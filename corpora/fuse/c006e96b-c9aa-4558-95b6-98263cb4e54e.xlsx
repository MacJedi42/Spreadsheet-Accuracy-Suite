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Default Extension="rels" ContentType="application/vnd.openxmlformats-package.relationship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260" yWindow="20" windowWidth="25840" windowHeight="15360" tabRatio="500" activeTab="1"/>
  </bookViews>
  <sheets>
    <sheet name="downregulated" sheetId="4" r:id="rId1"/>
    <sheet name="upregulated" sheetId="5" r:id="rId2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M1127" i="4"/>
  <c r="E1127"/>
  <c r="C1127"/>
  <c r="M1126"/>
  <c r="E1126"/>
  <c r="C1126"/>
  <c r="M1125"/>
  <c r="E1125"/>
  <c r="C1125"/>
  <c r="M1124"/>
  <c r="E1124"/>
  <c r="C1124"/>
  <c r="M1123"/>
  <c r="E1123"/>
  <c r="C1123"/>
  <c r="M1122"/>
  <c r="E1122"/>
  <c r="C1122"/>
  <c r="M1121"/>
  <c r="E1121"/>
  <c r="C1121"/>
  <c r="M1120"/>
  <c r="E1120"/>
  <c r="C1120"/>
  <c r="M1119"/>
  <c r="E1119"/>
  <c r="C1119"/>
  <c r="M1118"/>
  <c r="E1118"/>
  <c r="C1118"/>
  <c r="M1117"/>
  <c r="E1117"/>
  <c r="C1117"/>
  <c r="M1116"/>
  <c r="E1116"/>
  <c r="C1116"/>
  <c r="M1115"/>
  <c r="E1115"/>
  <c r="C1115"/>
  <c r="M1114"/>
  <c r="E1114"/>
  <c r="C1114"/>
  <c r="M1113"/>
  <c r="E1113"/>
  <c r="C1113"/>
  <c r="M1112"/>
  <c r="E1112"/>
  <c r="C1112"/>
  <c r="M1111"/>
  <c r="E1111"/>
  <c r="C1111"/>
  <c r="M1110"/>
  <c r="E1110"/>
  <c r="C1110"/>
  <c r="M1109"/>
  <c r="E1109"/>
  <c r="C1109"/>
  <c r="M1108"/>
  <c r="E1108"/>
  <c r="C1108"/>
  <c r="M1107"/>
  <c r="E1107"/>
  <c r="C1107"/>
  <c r="M1106"/>
  <c r="E1106"/>
  <c r="C1106"/>
  <c r="M1105"/>
  <c r="E1105"/>
  <c r="C1105"/>
  <c r="M1104"/>
  <c r="E1104"/>
  <c r="C1104"/>
  <c r="M1103"/>
  <c r="E1103"/>
  <c r="C1103"/>
  <c r="M1102"/>
  <c r="E1102"/>
  <c r="C1102"/>
  <c r="M1101"/>
  <c r="E1101"/>
  <c r="C1101"/>
  <c r="M1100"/>
  <c r="E1100"/>
  <c r="C1100"/>
  <c r="M1099"/>
  <c r="E1099"/>
  <c r="C1099"/>
  <c r="M1098"/>
  <c r="E1098"/>
  <c r="C1098"/>
  <c r="M1097"/>
  <c r="E1097"/>
  <c r="C1097"/>
  <c r="M1096"/>
  <c r="E1096"/>
  <c r="C1096"/>
  <c r="M1095"/>
  <c r="E1095"/>
  <c r="C1095"/>
  <c r="M1094"/>
  <c r="E1094"/>
  <c r="C1094"/>
  <c r="M1093"/>
  <c r="E1093"/>
  <c r="C1093"/>
  <c r="M1092"/>
  <c r="E1092"/>
  <c r="C1092"/>
  <c r="M1091"/>
  <c r="E1091"/>
  <c r="C1091"/>
  <c r="M1090"/>
  <c r="E1090"/>
  <c r="C1090"/>
  <c r="M1089"/>
  <c r="E1089"/>
  <c r="C1089"/>
  <c r="M1088"/>
  <c r="E1088"/>
  <c r="C1088"/>
  <c r="M1087"/>
  <c r="E1087"/>
  <c r="C1087"/>
  <c r="M1086"/>
  <c r="E1086"/>
  <c r="C1086"/>
  <c r="M1085"/>
  <c r="E1085"/>
  <c r="C1085"/>
  <c r="M1084"/>
  <c r="E1084"/>
  <c r="C1084"/>
  <c r="M1083"/>
  <c r="E1083"/>
  <c r="C1083"/>
  <c r="M1082"/>
  <c r="E1082"/>
  <c r="C1082"/>
  <c r="M1081"/>
  <c r="E1081"/>
  <c r="C1081"/>
  <c r="M1080"/>
  <c r="E1080"/>
  <c r="C1080"/>
  <c r="M1079"/>
  <c r="E1079"/>
  <c r="C1079"/>
  <c r="M1078"/>
  <c r="E1078"/>
  <c r="C1078"/>
  <c r="M1077"/>
  <c r="E1077"/>
  <c r="C1077"/>
  <c r="M1076"/>
  <c r="E1076"/>
  <c r="C1076"/>
  <c r="M1075"/>
  <c r="E1075"/>
  <c r="C1075"/>
  <c r="M1074"/>
  <c r="E1074"/>
  <c r="C1074"/>
  <c r="M1073"/>
  <c r="E1073"/>
  <c r="C1073"/>
  <c r="M1072"/>
  <c r="E1072"/>
  <c r="C1072"/>
  <c r="M1071"/>
  <c r="E1071"/>
  <c r="C1071"/>
  <c r="M1070"/>
  <c r="E1070"/>
  <c r="C1070"/>
  <c r="M1069"/>
  <c r="E1069"/>
  <c r="C1069"/>
  <c r="M1068"/>
  <c r="E1068"/>
  <c r="C1068"/>
  <c r="M1067"/>
  <c r="E1067"/>
  <c r="C1067"/>
  <c r="M1066"/>
  <c r="E1066"/>
  <c r="C1066"/>
  <c r="M1065"/>
  <c r="E1065"/>
  <c r="C1065"/>
  <c r="M1064"/>
  <c r="E1064"/>
  <c r="C1064"/>
  <c r="M1063"/>
  <c r="E1063"/>
  <c r="C1063"/>
  <c r="M1062"/>
  <c r="E1062"/>
  <c r="C1062"/>
  <c r="M1061"/>
  <c r="E1061"/>
  <c r="C1061"/>
  <c r="M1060"/>
  <c r="E1060"/>
  <c r="C1060"/>
  <c r="M1059"/>
  <c r="E1059"/>
  <c r="C1059"/>
  <c r="M1058"/>
  <c r="E1058"/>
  <c r="C1058"/>
  <c r="M1057"/>
  <c r="E1057"/>
  <c r="C1057"/>
  <c r="M1056"/>
  <c r="E1056"/>
  <c r="C1056"/>
  <c r="M1055"/>
  <c r="E1055"/>
  <c r="C1055"/>
  <c r="M1054"/>
  <c r="E1054"/>
  <c r="C1054"/>
  <c r="M1053"/>
  <c r="E1053"/>
  <c r="C1053"/>
  <c r="M1052"/>
  <c r="E1052"/>
  <c r="C1052"/>
  <c r="M1051"/>
  <c r="E1051"/>
  <c r="C1051"/>
  <c r="M1050"/>
  <c r="E1050"/>
  <c r="C1050"/>
  <c r="M1049"/>
  <c r="E1049"/>
  <c r="C1049"/>
  <c r="M1048"/>
  <c r="E1048"/>
  <c r="C1048"/>
  <c r="M1047"/>
  <c r="E1047"/>
  <c r="C1047"/>
  <c r="M1046"/>
  <c r="E1046"/>
  <c r="C1046"/>
  <c r="M1045"/>
  <c r="E1045"/>
  <c r="C1045"/>
  <c r="M1044"/>
  <c r="E1044"/>
  <c r="C1044"/>
  <c r="M1043"/>
  <c r="E1043"/>
  <c r="C1043"/>
  <c r="M1042"/>
  <c r="E1042"/>
  <c r="C1042"/>
  <c r="M1041"/>
  <c r="E1041"/>
  <c r="C1041"/>
  <c r="M1040"/>
  <c r="E1040"/>
  <c r="C1040"/>
  <c r="M1039"/>
  <c r="E1039"/>
  <c r="C1039"/>
  <c r="M1038"/>
  <c r="E1038"/>
  <c r="C1038"/>
  <c r="M1037"/>
  <c r="E1037"/>
  <c r="C1037"/>
  <c r="M1036"/>
  <c r="E1036"/>
  <c r="C1036"/>
  <c r="M1035"/>
  <c r="E1035"/>
  <c r="C1035"/>
  <c r="M1034"/>
  <c r="E1034"/>
  <c r="C1034"/>
  <c r="M1033"/>
  <c r="E1033"/>
  <c r="C1033"/>
  <c r="M1032"/>
  <c r="E1032"/>
  <c r="C1032"/>
  <c r="M1031"/>
  <c r="E1031"/>
  <c r="C1031"/>
  <c r="M1030"/>
  <c r="E1030"/>
  <c r="C1030"/>
  <c r="M1029"/>
  <c r="E1029"/>
  <c r="C1029"/>
  <c r="M1028"/>
  <c r="E1028"/>
  <c r="C1028"/>
  <c r="M1027"/>
  <c r="E1027"/>
  <c r="C1027"/>
  <c r="M1026"/>
  <c r="E1026"/>
  <c r="C1026"/>
  <c r="M1025"/>
  <c r="E1025"/>
  <c r="C1025"/>
  <c r="M1024"/>
  <c r="E1024"/>
  <c r="C1024"/>
  <c r="M1023"/>
  <c r="E1023"/>
  <c r="C1023"/>
  <c r="M1022"/>
  <c r="E1022"/>
  <c r="C1022"/>
  <c r="M1021"/>
  <c r="E1021"/>
  <c r="C1021"/>
  <c r="M1020"/>
  <c r="E1020"/>
  <c r="C1020"/>
  <c r="M1019"/>
  <c r="E1019"/>
  <c r="C1019"/>
  <c r="M1018"/>
  <c r="E1018"/>
  <c r="C1018"/>
  <c r="M1017"/>
  <c r="E1017"/>
  <c r="C1017"/>
  <c r="M1016"/>
  <c r="E1016"/>
  <c r="C1016"/>
  <c r="M1015"/>
  <c r="E1015"/>
  <c r="C1015"/>
  <c r="M1014"/>
  <c r="E1014"/>
  <c r="C1014"/>
  <c r="M1013"/>
  <c r="E1013"/>
  <c r="C1013"/>
  <c r="M1012"/>
  <c r="E1012"/>
  <c r="C1012"/>
  <c r="M1011"/>
  <c r="E1011"/>
  <c r="C1011"/>
  <c r="M1010"/>
  <c r="E1010"/>
  <c r="C1010"/>
  <c r="M1009"/>
  <c r="E1009"/>
  <c r="C1009"/>
  <c r="M1008"/>
  <c r="E1008"/>
  <c r="C1008"/>
  <c r="M1007"/>
  <c r="E1007"/>
  <c r="C1007"/>
  <c r="M1006"/>
  <c r="E1006"/>
  <c r="C1006"/>
  <c r="M1005"/>
  <c r="E1005"/>
  <c r="C1005"/>
  <c r="M1004"/>
  <c r="E1004"/>
  <c r="C1004"/>
  <c r="M1003"/>
  <c r="E1003"/>
  <c r="C1003"/>
  <c r="M1002"/>
  <c r="E1002"/>
  <c r="C1002"/>
  <c r="M1001"/>
  <c r="E1001"/>
  <c r="C1001"/>
  <c r="M1000"/>
  <c r="E1000"/>
  <c r="C1000"/>
  <c r="M999"/>
  <c r="E999"/>
  <c r="C999"/>
  <c r="M998"/>
  <c r="E998"/>
  <c r="C998"/>
  <c r="M997"/>
  <c r="E997"/>
  <c r="C997"/>
  <c r="M996"/>
  <c r="E996"/>
  <c r="C996"/>
  <c r="M995"/>
  <c r="E995"/>
  <c r="C995"/>
  <c r="M994"/>
  <c r="E994"/>
  <c r="C994"/>
  <c r="M993"/>
  <c r="E993"/>
  <c r="C993"/>
  <c r="M992"/>
  <c r="E992"/>
  <c r="C992"/>
  <c r="M991"/>
  <c r="E991"/>
  <c r="C991"/>
  <c r="M990"/>
  <c r="E990"/>
  <c r="C990"/>
  <c r="M989"/>
  <c r="E989"/>
  <c r="C989"/>
  <c r="M988"/>
  <c r="E988"/>
  <c r="C988"/>
  <c r="M987"/>
  <c r="E987"/>
  <c r="C987"/>
  <c r="M986"/>
  <c r="E986"/>
  <c r="C986"/>
  <c r="M985"/>
  <c r="E985"/>
  <c r="C985"/>
  <c r="M984"/>
  <c r="E984"/>
  <c r="C984"/>
  <c r="M983"/>
  <c r="E983"/>
  <c r="C983"/>
  <c r="M982"/>
  <c r="E982"/>
  <c r="C982"/>
  <c r="M981"/>
  <c r="E981"/>
  <c r="C981"/>
  <c r="M980"/>
  <c r="E980"/>
  <c r="C980"/>
  <c r="M979"/>
  <c r="E979"/>
  <c r="C979"/>
  <c r="M978"/>
  <c r="E978"/>
  <c r="C978"/>
  <c r="M977"/>
  <c r="E977"/>
  <c r="C977"/>
  <c r="M976"/>
  <c r="E976"/>
  <c r="C976"/>
  <c r="M975"/>
  <c r="E975"/>
  <c r="C975"/>
  <c r="M974"/>
  <c r="E974"/>
  <c r="C974"/>
  <c r="M973"/>
  <c r="E973"/>
  <c r="C973"/>
  <c r="M972"/>
  <c r="E972"/>
  <c r="C972"/>
  <c r="M971"/>
  <c r="E971"/>
  <c r="C971"/>
  <c r="M970"/>
  <c r="E970"/>
  <c r="C970"/>
  <c r="M969"/>
  <c r="E969"/>
  <c r="C969"/>
  <c r="M968"/>
  <c r="E968"/>
  <c r="C968"/>
  <c r="M967"/>
  <c r="E967"/>
  <c r="C967"/>
  <c r="M966"/>
  <c r="E966"/>
  <c r="C966"/>
  <c r="M965"/>
  <c r="E965"/>
  <c r="C965"/>
  <c r="M964"/>
  <c r="E964"/>
  <c r="C964"/>
  <c r="M963"/>
  <c r="E963"/>
  <c r="C963"/>
  <c r="M962"/>
  <c r="E962"/>
  <c r="C962"/>
  <c r="M961"/>
  <c r="E961"/>
  <c r="C961"/>
  <c r="M960"/>
  <c r="E960"/>
  <c r="C960"/>
  <c r="M959"/>
  <c r="E959"/>
  <c r="C959"/>
  <c r="M958"/>
  <c r="E958"/>
  <c r="C958"/>
  <c r="M957"/>
  <c r="E957"/>
  <c r="C957"/>
  <c r="M956"/>
  <c r="E956"/>
  <c r="C956"/>
  <c r="M955"/>
  <c r="E955"/>
  <c r="C955"/>
  <c r="M954"/>
  <c r="E954"/>
  <c r="C954"/>
  <c r="M953"/>
  <c r="E953"/>
  <c r="C953"/>
  <c r="M952"/>
  <c r="E952"/>
  <c r="C952"/>
  <c r="M951"/>
  <c r="E951"/>
  <c r="C951"/>
  <c r="M950"/>
  <c r="E950"/>
  <c r="C950"/>
  <c r="M949"/>
  <c r="E949"/>
  <c r="C949"/>
  <c r="M948"/>
  <c r="E948"/>
  <c r="C948"/>
  <c r="M947"/>
  <c r="E947"/>
  <c r="C947"/>
  <c r="M946"/>
  <c r="E946"/>
  <c r="C946"/>
  <c r="M945"/>
  <c r="E945"/>
  <c r="C945"/>
  <c r="M944"/>
  <c r="E944"/>
  <c r="C944"/>
  <c r="M943"/>
  <c r="E943"/>
  <c r="C943"/>
  <c r="M942"/>
  <c r="E942"/>
  <c r="C942"/>
  <c r="M941"/>
  <c r="E941"/>
  <c r="C941"/>
  <c r="M940"/>
  <c r="E940"/>
  <c r="C940"/>
  <c r="M939"/>
  <c r="E939"/>
  <c r="C939"/>
  <c r="M938"/>
  <c r="E938"/>
  <c r="C938"/>
  <c r="M937"/>
  <c r="E937"/>
  <c r="C937"/>
  <c r="M936"/>
  <c r="E936"/>
  <c r="C936"/>
  <c r="M935"/>
  <c r="E935"/>
  <c r="C935"/>
  <c r="M934"/>
  <c r="E934"/>
  <c r="C934"/>
  <c r="M933"/>
  <c r="E933"/>
  <c r="C933"/>
  <c r="M932"/>
  <c r="E932"/>
  <c r="C932"/>
  <c r="M931"/>
  <c r="E931"/>
  <c r="C931"/>
  <c r="M930"/>
  <c r="E930"/>
  <c r="C930"/>
  <c r="M929"/>
  <c r="E929"/>
  <c r="C929"/>
  <c r="M928"/>
  <c r="E928"/>
  <c r="C928"/>
  <c r="M927"/>
  <c r="E927"/>
  <c r="C927"/>
  <c r="M926"/>
  <c r="E926"/>
  <c r="C926"/>
  <c r="M925"/>
  <c r="E925"/>
  <c r="C925"/>
  <c r="M924"/>
  <c r="E924"/>
  <c r="C924"/>
  <c r="M923"/>
  <c r="E923"/>
  <c r="C923"/>
  <c r="M922"/>
  <c r="E922"/>
  <c r="C922"/>
  <c r="M921"/>
  <c r="E921"/>
  <c r="C921"/>
  <c r="M920"/>
  <c r="E920"/>
  <c r="C920"/>
  <c r="M919"/>
  <c r="E919"/>
  <c r="C919"/>
  <c r="M918"/>
  <c r="E918"/>
  <c r="C918"/>
  <c r="M917"/>
  <c r="E917"/>
  <c r="C917"/>
  <c r="M916"/>
  <c r="E916"/>
  <c r="C916"/>
  <c r="M915"/>
  <c r="E915"/>
  <c r="C915"/>
  <c r="M914"/>
  <c r="E914"/>
  <c r="C914"/>
  <c r="M913"/>
  <c r="E913"/>
  <c r="C913"/>
  <c r="M912"/>
  <c r="E912"/>
  <c r="C912"/>
  <c r="M911"/>
  <c r="E911"/>
  <c r="C911"/>
  <c r="M910"/>
  <c r="E910"/>
  <c r="C910"/>
  <c r="M909"/>
  <c r="E909"/>
  <c r="C909"/>
  <c r="M908"/>
  <c r="E908"/>
  <c r="C908"/>
  <c r="M907"/>
  <c r="E907"/>
  <c r="C907"/>
  <c r="M906"/>
  <c r="E906"/>
  <c r="C906"/>
  <c r="M905"/>
  <c r="E905"/>
  <c r="C905"/>
  <c r="M904"/>
  <c r="E904"/>
  <c r="C904"/>
  <c r="M903"/>
  <c r="E903"/>
  <c r="C903"/>
  <c r="M902"/>
  <c r="E902"/>
  <c r="C902"/>
  <c r="M901"/>
  <c r="E901"/>
  <c r="C901"/>
  <c r="M900"/>
  <c r="E900"/>
  <c r="C900"/>
  <c r="M899"/>
  <c r="E899"/>
  <c r="C899"/>
  <c r="M898"/>
  <c r="E898"/>
  <c r="C898"/>
  <c r="M897"/>
  <c r="E897"/>
  <c r="C897"/>
  <c r="M896"/>
  <c r="E896"/>
  <c r="C896"/>
  <c r="M895"/>
  <c r="E895"/>
  <c r="C895"/>
  <c r="M894"/>
  <c r="E894"/>
  <c r="C894"/>
  <c r="M893"/>
  <c r="E893"/>
  <c r="C893"/>
  <c r="M892"/>
  <c r="E892"/>
  <c r="C892"/>
  <c r="M891"/>
  <c r="E891"/>
  <c r="C891"/>
  <c r="M890"/>
  <c r="E890"/>
  <c r="C890"/>
  <c r="M889"/>
  <c r="E889"/>
  <c r="C889"/>
  <c r="M888"/>
  <c r="E888"/>
  <c r="C888"/>
  <c r="M887"/>
  <c r="E887"/>
  <c r="C887"/>
  <c r="M886"/>
  <c r="E886"/>
  <c r="C886"/>
  <c r="M885"/>
  <c r="E885"/>
  <c r="C885"/>
  <c r="M884"/>
  <c r="E884"/>
  <c r="C884"/>
  <c r="M883"/>
  <c r="E883"/>
  <c r="C883"/>
  <c r="M882"/>
  <c r="E882"/>
  <c r="C882"/>
  <c r="M881"/>
  <c r="E881"/>
  <c r="C881"/>
  <c r="M880"/>
  <c r="E880"/>
  <c r="C880"/>
  <c r="M879"/>
  <c r="E879"/>
  <c r="C879"/>
  <c r="M878"/>
  <c r="E878"/>
  <c r="C878"/>
  <c r="M877"/>
  <c r="E877"/>
  <c r="C877"/>
  <c r="M876"/>
  <c r="E876"/>
  <c r="C876"/>
  <c r="M875"/>
  <c r="E875"/>
  <c r="C875"/>
  <c r="M874"/>
  <c r="E874"/>
  <c r="C874"/>
  <c r="M873"/>
  <c r="E873"/>
  <c r="C873"/>
  <c r="M872"/>
  <c r="E872"/>
  <c r="C872"/>
  <c r="M871"/>
  <c r="E871"/>
  <c r="C871"/>
  <c r="M870"/>
  <c r="E870"/>
  <c r="C870"/>
  <c r="M869"/>
  <c r="E869"/>
  <c r="C869"/>
  <c r="M868"/>
  <c r="E868"/>
  <c r="C868"/>
  <c r="M867"/>
  <c r="E867"/>
  <c r="C867"/>
  <c r="M866"/>
  <c r="E866"/>
  <c r="C866"/>
  <c r="M865"/>
  <c r="E865"/>
  <c r="C865"/>
  <c r="M864"/>
  <c r="E864"/>
  <c r="C864"/>
  <c r="M863"/>
  <c r="E863"/>
  <c r="C863"/>
  <c r="M862"/>
  <c r="E862"/>
  <c r="C862"/>
  <c r="M861"/>
  <c r="E861"/>
  <c r="C861"/>
  <c r="M860"/>
  <c r="E860"/>
  <c r="C860"/>
  <c r="M859"/>
  <c r="E859"/>
  <c r="C859"/>
  <c r="M858"/>
  <c r="E858"/>
  <c r="C858"/>
  <c r="M857"/>
  <c r="E857"/>
  <c r="C857"/>
  <c r="M856"/>
  <c r="E856"/>
  <c r="C856"/>
  <c r="M855"/>
  <c r="E855"/>
  <c r="C855"/>
  <c r="M854"/>
  <c r="E854"/>
  <c r="C854"/>
  <c r="M853"/>
  <c r="E853"/>
  <c r="C853"/>
  <c r="M852"/>
  <c r="E852"/>
  <c r="C852"/>
  <c r="M851"/>
  <c r="E851"/>
  <c r="C851"/>
  <c r="M850"/>
  <c r="E850"/>
  <c r="C850"/>
  <c r="M849"/>
  <c r="E849"/>
  <c r="C849"/>
  <c r="M848"/>
  <c r="E848"/>
  <c r="C848"/>
  <c r="M847"/>
  <c r="E847"/>
  <c r="C847"/>
  <c r="M846"/>
  <c r="E846"/>
  <c r="C846"/>
  <c r="M845"/>
  <c r="E845"/>
  <c r="C845"/>
  <c r="M844"/>
  <c r="E844"/>
  <c r="C844"/>
  <c r="M843"/>
  <c r="E843"/>
  <c r="C843"/>
  <c r="M842"/>
  <c r="E842"/>
  <c r="C842"/>
  <c r="M841"/>
  <c r="E841"/>
  <c r="C841"/>
  <c r="M840"/>
  <c r="E840"/>
  <c r="C840"/>
  <c r="M839"/>
  <c r="E839"/>
  <c r="C839"/>
  <c r="M838"/>
  <c r="E838"/>
  <c r="C838"/>
  <c r="M837"/>
  <c r="E837"/>
  <c r="C837"/>
  <c r="M836"/>
  <c r="E836"/>
  <c r="C836"/>
  <c r="M835"/>
  <c r="E835"/>
  <c r="C835"/>
  <c r="M834"/>
  <c r="E834"/>
  <c r="C834"/>
  <c r="M833"/>
  <c r="E833"/>
  <c r="C833"/>
  <c r="M832"/>
  <c r="E832"/>
  <c r="C832"/>
  <c r="M831"/>
  <c r="E831"/>
  <c r="C831"/>
  <c r="M830"/>
  <c r="E830"/>
  <c r="C830"/>
  <c r="M829"/>
  <c r="E829"/>
  <c r="C829"/>
  <c r="M828"/>
  <c r="E828"/>
  <c r="C828"/>
  <c r="M827"/>
  <c r="E827"/>
  <c r="C827"/>
  <c r="M826"/>
  <c r="E826"/>
  <c r="C826"/>
  <c r="M825"/>
  <c r="E825"/>
  <c r="C825"/>
  <c r="M824"/>
  <c r="E824"/>
  <c r="C824"/>
  <c r="M823"/>
  <c r="E823"/>
  <c r="C823"/>
  <c r="M822"/>
  <c r="E822"/>
  <c r="C822"/>
  <c r="M821"/>
  <c r="E821"/>
  <c r="C821"/>
  <c r="M820"/>
  <c r="E820"/>
  <c r="C820"/>
  <c r="M819"/>
  <c r="E819"/>
  <c r="C819"/>
  <c r="M818"/>
  <c r="E818"/>
  <c r="C818"/>
  <c r="M817"/>
  <c r="E817"/>
  <c r="C817"/>
  <c r="M816"/>
  <c r="E816"/>
  <c r="C816"/>
  <c r="M815"/>
  <c r="E815"/>
  <c r="C815"/>
  <c r="M814"/>
  <c r="E814"/>
  <c r="C814"/>
  <c r="M813"/>
  <c r="E813"/>
  <c r="C813"/>
  <c r="M812"/>
  <c r="E812"/>
  <c r="C812"/>
  <c r="M811"/>
  <c r="E811"/>
  <c r="C811"/>
  <c r="M810"/>
  <c r="E810"/>
  <c r="C810"/>
  <c r="M809"/>
  <c r="E809"/>
  <c r="C809"/>
  <c r="M808"/>
  <c r="E808"/>
  <c r="C808"/>
  <c r="M807"/>
  <c r="E807"/>
  <c r="C807"/>
  <c r="M806"/>
  <c r="E806"/>
  <c r="C806"/>
  <c r="M805"/>
  <c r="E805"/>
  <c r="C805"/>
  <c r="M804"/>
  <c r="E804"/>
  <c r="C804"/>
  <c r="M803"/>
  <c r="E803"/>
  <c r="C803"/>
  <c r="M802"/>
  <c r="E802"/>
  <c r="C802"/>
  <c r="M801"/>
  <c r="E801"/>
  <c r="C801"/>
  <c r="M800"/>
  <c r="E800"/>
  <c r="C800"/>
  <c r="M799"/>
  <c r="E799"/>
  <c r="C799"/>
  <c r="M798"/>
  <c r="E798"/>
  <c r="C798"/>
  <c r="M797"/>
  <c r="E797"/>
  <c r="C797"/>
  <c r="M796"/>
  <c r="E796"/>
  <c r="C796"/>
  <c r="M795"/>
  <c r="E795"/>
  <c r="C795"/>
  <c r="M794"/>
  <c r="E794"/>
  <c r="C794"/>
  <c r="M793"/>
  <c r="E793"/>
  <c r="C793"/>
  <c r="M792"/>
  <c r="E792"/>
  <c r="C792"/>
  <c r="M791"/>
  <c r="E791"/>
  <c r="C791"/>
  <c r="M790"/>
  <c r="E790"/>
  <c r="C790"/>
  <c r="M789"/>
  <c r="E789"/>
  <c r="C789"/>
  <c r="M788"/>
  <c r="E788"/>
  <c r="C788"/>
  <c r="M787"/>
  <c r="E787"/>
  <c r="C787"/>
  <c r="M786"/>
  <c r="E786"/>
  <c r="C786"/>
  <c r="M785"/>
  <c r="E785"/>
  <c r="C785"/>
  <c r="M784"/>
  <c r="E784"/>
  <c r="C784"/>
  <c r="M783"/>
  <c r="E783"/>
  <c r="C783"/>
  <c r="M782"/>
  <c r="E782"/>
  <c r="C782"/>
  <c r="M781"/>
  <c r="E781"/>
  <c r="C781"/>
  <c r="M780"/>
  <c r="E780"/>
  <c r="C780"/>
  <c r="M779"/>
  <c r="E779"/>
  <c r="C779"/>
  <c r="M778"/>
  <c r="E778"/>
  <c r="C778"/>
  <c r="M777"/>
  <c r="E777"/>
  <c r="C777"/>
  <c r="M776"/>
  <c r="E776"/>
  <c r="C776"/>
  <c r="M775"/>
  <c r="E775"/>
  <c r="C775"/>
  <c r="M774"/>
  <c r="E774"/>
  <c r="C774"/>
  <c r="M773"/>
  <c r="E773"/>
  <c r="C773"/>
  <c r="M772"/>
  <c r="E772"/>
  <c r="C772"/>
  <c r="M771"/>
  <c r="E771"/>
  <c r="C771"/>
  <c r="M770"/>
  <c r="E770"/>
  <c r="C770"/>
  <c r="M769"/>
  <c r="E769"/>
  <c r="C769"/>
  <c r="M768"/>
  <c r="E768"/>
  <c r="C768"/>
  <c r="M767"/>
  <c r="E767"/>
  <c r="C767"/>
  <c r="M766"/>
  <c r="E766"/>
  <c r="C766"/>
  <c r="M765"/>
  <c r="E765"/>
  <c r="C765"/>
  <c r="M764"/>
  <c r="E764"/>
  <c r="C764"/>
  <c r="M763"/>
  <c r="E763"/>
  <c r="C763"/>
  <c r="M762"/>
  <c r="E762"/>
  <c r="C762"/>
  <c r="M761"/>
  <c r="E761"/>
  <c r="C761"/>
  <c r="M760"/>
  <c r="E760"/>
  <c r="C760"/>
  <c r="M759"/>
  <c r="E759"/>
  <c r="C759"/>
  <c r="M758"/>
  <c r="E758"/>
  <c r="C758"/>
  <c r="M757"/>
  <c r="E757"/>
  <c r="C757"/>
  <c r="M756"/>
  <c r="E756"/>
  <c r="C756"/>
  <c r="M755"/>
  <c r="E755"/>
  <c r="C755"/>
  <c r="M754"/>
  <c r="E754"/>
  <c r="C754"/>
  <c r="M753"/>
  <c r="E753"/>
  <c r="C753"/>
  <c r="M752"/>
  <c r="E752"/>
  <c r="C752"/>
  <c r="M751"/>
  <c r="E751"/>
  <c r="C751"/>
  <c r="M750"/>
  <c r="E750"/>
  <c r="C750"/>
  <c r="M749"/>
  <c r="E749"/>
  <c r="C749"/>
  <c r="M748"/>
  <c r="E748"/>
  <c r="C748"/>
  <c r="M747"/>
  <c r="E747"/>
  <c r="C747"/>
  <c r="M746"/>
  <c r="E746"/>
  <c r="C746"/>
  <c r="M745"/>
  <c r="E745"/>
  <c r="C745"/>
  <c r="M744"/>
  <c r="E744"/>
  <c r="C744"/>
  <c r="M743"/>
  <c r="E743"/>
  <c r="C743"/>
  <c r="M742"/>
  <c r="E742"/>
  <c r="C742"/>
  <c r="M741"/>
  <c r="E741"/>
  <c r="C741"/>
  <c r="M740"/>
  <c r="E740"/>
  <c r="C740"/>
  <c r="M739"/>
  <c r="E739"/>
  <c r="C739"/>
  <c r="M738"/>
  <c r="E738"/>
  <c r="C738"/>
  <c r="M737"/>
  <c r="E737"/>
  <c r="C737"/>
  <c r="M736"/>
  <c r="E736"/>
  <c r="C736"/>
  <c r="M735"/>
  <c r="E735"/>
  <c r="C735"/>
  <c r="M734"/>
  <c r="E734"/>
  <c r="C734"/>
  <c r="M733"/>
  <c r="E733"/>
  <c r="C733"/>
  <c r="M732"/>
  <c r="E732"/>
  <c r="C732"/>
  <c r="M731"/>
  <c r="E731"/>
  <c r="C731"/>
  <c r="M730"/>
  <c r="E730"/>
  <c r="C730"/>
  <c r="M729"/>
  <c r="E729"/>
  <c r="C729"/>
  <c r="M728"/>
  <c r="E728"/>
  <c r="C728"/>
  <c r="M727"/>
  <c r="E727"/>
  <c r="C727"/>
  <c r="M726"/>
  <c r="E726"/>
  <c r="C726"/>
  <c r="M725"/>
  <c r="E725"/>
  <c r="C725"/>
  <c r="M724"/>
  <c r="E724"/>
  <c r="C724"/>
  <c r="M723"/>
  <c r="E723"/>
  <c r="C723"/>
  <c r="M722"/>
  <c r="E722"/>
  <c r="C722"/>
  <c r="M721"/>
  <c r="E721"/>
  <c r="C721"/>
  <c r="M720"/>
  <c r="E720"/>
  <c r="C720"/>
  <c r="M719"/>
  <c r="E719"/>
  <c r="C719"/>
  <c r="M718"/>
  <c r="E718"/>
  <c r="C718"/>
  <c r="M717"/>
  <c r="E717"/>
  <c r="C717"/>
  <c r="M716"/>
  <c r="E716"/>
  <c r="C716"/>
  <c r="M715"/>
  <c r="E715"/>
  <c r="C715"/>
  <c r="M714"/>
  <c r="E714"/>
  <c r="C714"/>
  <c r="M713"/>
  <c r="E713"/>
  <c r="C713"/>
  <c r="M712"/>
  <c r="E712"/>
  <c r="C712"/>
  <c r="M711"/>
  <c r="E711"/>
  <c r="C711"/>
  <c r="M710"/>
  <c r="E710"/>
  <c r="C710"/>
  <c r="M709"/>
  <c r="E709"/>
  <c r="C709"/>
  <c r="M708"/>
  <c r="E708"/>
  <c r="C708"/>
  <c r="M707"/>
  <c r="E707"/>
  <c r="C707"/>
  <c r="M706"/>
  <c r="E706"/>
  <c r="C706"/>
  <c r="M705"/>
  <c r="E705"/>
  <c r="C705"/>
  <c r="M704"/>
  <c r="E704"/>
  <c r="C704"/>
  <c r="M703"/>
  <c r="E703"/>
  <c r="C703"/>
  <c r="M702"/>
  <c r="E702"/>
  <c r="C702"/>
  <c r="M701"/>
  <c r="E701"/>
  <c r="C701"/>
  <c r="M700"/>
  <c r="E700"/>
  <c r="C700"/>
  <c r="M699"/>
  <c r="E699"/>
  <c r="C699"/>
  <c r="M698"/>
  <c r="E698"/>
  <c r="C698"/>
  <c r="M697"/>
  <c r="E697"/>
  <c r="C697"/>
  <c r="M696"/>
  <c r="E696"/>
  <c r="C696"/>
  <c r="M695"/>
  <c r="E695"/>
  <c r="C695"/>
  <c r="M694"/>
  <c r="E694"/>
  <c r="C694"/>
  <c r="M693"/>
  <c r="E693"/>
  <c r="C693"/>
  <c r="M692"/>
  <c r="E692"/>
  <c r="C692"/>
  <c r="M691"/>
  <c r="E691"/>
  <c r="C691"/>
  <c r="M690"/>
  <c r="E690"/>
  <c r="C690"/>
  <c r="M689"/>
  <c r="E689"/>
  <c r="C689"/>
  <c r="M688"/>
  <c r="E688"/>
  <c r="C688"/>
  <c r="M687"/>
  <c r="E687"/>
  <c r="C687"/>
  <c r="M686"/>
  <c r="E686"/>
  <c r="C686"/>
  <c r="M685"/>
  <c r="E685"/>
  <c r="C685"/>
  <c r="M684"/>
  <c r="E684"/>
  <c r="C684"/>
  <c r="M683"/>
  <c r="E683"/>
  <c r="C683"/>
  <c r="M682"/>
  <c r="E682"/>
  <c r="C682"/>
  <c r="M681"/>
  <c r="E681"/>
  <c r="C681"/>
  <c r="M680"/>
  <c r="E680"/>
  <c r="C680"/>
  <c r="M679"/>
  <c r="E679"/>
  <c r="C679"/>
  <c r="M678"/>
  <c r="E678"/>
  <c r="C678"/>
  <c r="M677"/>
  <c r="E677"/>
  <c r="C677"/>
  <c r="M676"/>
  <c r="E676"/>
  <c r="C676"/>
  <c r="M675"/>
  <c r="E675"/>
  <c r="C675"/>
  <c r="M674"/>
  <c r="E674"/>
  <c r="C674"/>
  <c r="M673"/>
  <c r="E673"/>
  <c r="C673"/>
  <c r="M672"/>
  <c r="E672"/>
  <c r="C672"/>
  <c r="M671"/>
  <c r="E671"/>
  <c r="C671"/>
  <c r="M670"/>
  <c r="E670"/>
  <c r="C670"/>
  <c r="M669"/>
  <c r="E669"/>
  <c r="C669"/>
  <c r="M668"/>
  <c r="E668"/>
  <c r="C668"/>
  <c r="M667"/>
  <c r="E667"/>
  <c r="C667"/>
  <c r="M666"/>
  <c r="E666"/>
  <c r="C666"/>
  <c r="M665"/>
  <c r="E665"/>
  <c r="C665"/>
  <c r="M664"/>
  <c r="E664"/>
  <c r="C664"/>
  <c r="M663"/>
  <c r="E663"/>
  <c r="C663"/>
  <c r="M662"/>
  <c r="E662"/>
  <c r="C662"/>
  <c r="M661"/>
  <c r="E661"/>
  <c r="C661"/>
  <c r="M660"/>
  <c r="E660"/>
  <c r="C660"/>
  <c r="M659"/>
  <c r="E659"/>
  <c r="C659"/>
  <c r="M658"/>
  <c r="E658"/>
  <c r="C658"/>
  <c r="M657"/>
  <c r="E657"/>
  <c r="C657"/>
  <c r="M656"/>
  <c r="E656"/>
  <c r="C656"/>
  <c r="M655"/>
  <c r="E655"/>
  <c r="C655"/>
  <c r="M654"/>
  <c r="E654"/>
  <c r="C654"/>
  <c r="M653"/>
  <c r="E653"/>
  <c r="C653"/>
  <c r="M652"/>
  <c r="E652"/>
  <c r="C652"/>
  <c r="M651"/>
  <c r="E651"/>
  <c r="C651"/>
  <c r="M650"/>
  <c r="E650"/>
  <c r="C650"/>
  <c r="M649"/>
  <c r="E649"/>
  <c r="C649"/>
  <c r="M648"/>
  <c r="E648"/>
  <c r="C648"/>
  <c r="M647"/>
  <c r="E647"/>
  <c r="C647"/>
  <c r="M646"/>
  <c r="E646"/>
  <c r="C646"/>
  <c r="M645"/>
  <c r="E645"/>
  <c r="C645"/>
  <c r="M644"/>
  <c r="E644"/>
  <c r="C644"/>
  <c r="M643"/>
  <c r="E643"/>
  <c r="C643"/>
  <c r="M642"/>
  <c r="E642"/>
  <c r="C642"/>
  <c r="M641"/>
  <c r="E641"/>
  <c r="C641"/>
  <c r="M640"/>
  <c r="E640"/>
  <c r="C640"/>
  <c r="M639"/>
  <c r="E639"/>
  <c r="C639"/>
  <c r="M638"/>
  <c r="E638"/>
  <c r="C638"/>
  <c r="M637"/>
  <c r="E637"/>
  <c r="C637"/>
  <c r="M636"/>
  <c r="E636"/>
  <c r="C636"/>
  <c r="M635"/>
  <c r="E635"/>
  <c r="C635"/>
  <c r="M634"/>
  <c r="E634"/>
  <c r="C634"/>
  <c r="M633"/>
  <c r="E633"/>
  <c r="C633"/>
  <c r="M632"/>
  <c r="E632"/>
  <c r="C632"/>
  <c r="M631"/>
  <c r="E631"/>
  <c r="C631"/>
  <c r="M630"/>
  <c r="E630"/>
  <c r="C630"/>
  <c r="M629"/>
  <c r="E629"/>
  <c r="C629"/>
  <c r="M628"/>
  <c r="E628"/>
  <c r="C628"/>
  <c r="M627"/>
  <c r="E627"/>
  <c r="C627"/>
  <c r="M626"/>
  <c r="E626"/>
  <c r="C626"/>
  <c r="M625"/>
  <c r="E625"/>
  <c r="C625"/>
  <c r="M624"/>
  <c r="E624"/>
  <c r="C624"/>
  <c r="M623"/>
  <c r="E623"/>
  <c r="C623"/>
  <c r="M622"/>
  <c r="E622"/>
  <c r="C622"/>
  <c r="M621"/>
  <c r="E621"/>
  <c r="C621"/>
  <c r="M620"/>
  <c r="E620"/>
  <c r="C620"/>
  <c r="M619"/>
  <c r="E619"/>
  <c r="C619"/>
  <c r="M618"/>
  <c r="E618"/>
  <c r="C618"/>
  <c r="M617"/>
  <c r="E617"/>
  <c r="C617"/>
  <c r="M616"/>
  <c r="E616"/>
  <c r="C616"/>
  <c r="M615"/>
  <c r="E615"/>
  <c r="C615"/>
  <c r="M614"/>
  <c r="E614"/>
  <c r="C614"/>
  <c r="M613"/>
  <c r="E613"/>
  <c r="C613"/>
  <c r="M612"/>
  <c r="E612"/>
  <c r="C612"/>
  <c r="M611"/>
  <c r="E611"/>
  <c r="C611"/>
  <c r="M610"/>
  <c r="E610"/>
  <c r="C610"/>
  <c r="M609"/>
  <c r="E609"/>
  <c r="C609"/>
  <c r="M608"/>
  <c r="E608"/>
  <c r="C608"/>
  <c r="M607"/>
  <c r="E607"/>
  <c r="C607"/>
  <c r="M606"/>
  <c r="E606"/>
  <c r="C606"/>
  <c r="M605"/>
  <c r="E605"/>
  <c r="C605"/>
  <c r="M604"/>
  <c r="E604"/>
  <c r="C604"/>
  <c r="M603"/>
  <c r="E603"/>
  <c r="C603"/>
  <c r="M602"/>
  <c r="E602"/>
  <c r="C602"/>
  <c r="M601"/>
  <c r="E601"/>
  <c r="C601"/>
  <c r="M600"/>
  <c r="E600"/>
  <c r="C600"/>
  <c r="M599"/>
  <c r="E599"/>
  <c r="C599"/>
  <c r="M598"/>
  <c r="E598"/>
  <c r="C598"/>
  <c r="M597"/>
  <c r="E597"/>
  <c r="C597"/>
  <c r="M596"/>
  <c r="E596"/>
  <c r="C596"/>
  <c r="M595"/>
  <c r="E595"/>
  <c r="C595"/>
  <c r="M594"/>
  <c r="E594"/>
  <c r="C594"/>
  <c r="M593"/>
  <c r="E593"/>
  <c r="C593"/>
  <c r="M592"/>
  <c r="E592"/>
  <c r="C592"/>
  <c r="M591"/>
  <c r="E591"/>
  <c r="C591"/>
  <c r="M590"/>
  <c r="E590"/>
  <c r="C590"/>
  <c r="M589"/>
  <c r="E589"/>
  <c r="C589"/>
  <c r="M588"/>
  <c r="E588"/>
  <c r="C588"/>
  <c r="M587"/>
  <c r="E587"/>
  <c r="C587"/>
  <c r="M586"/>
  <c r="E586"/>
  <c r="C586"/>
  <c r="M585"/>
  <c r="E585"/>
  <c r="C585"/>
  <c r="M584"/>
  <c r="E584"/>
  <c r="C584"/>
  <c r="M583"/>
  <c r="E583"/>
  <c r="C583"/>
  <c r="M582"/>
  <c r="E582"/>
  <c r="C582"/>
  <c r="M581"/>
  <c r="E581"/>
  <c r="C581"/>
  <c r="M580"/>
  <c r="E580"/>
  <c r="C580"/>
  <c r="M579"/>
  <c r="E579"/>
  <c r="C579"/>
  <c r="M578"/>
  <c r="E578"/>
  <c r="C578"/>
  <c r="M577"/>
  <c r="E577"/>
  <c r="C577"/>
  <c r="M576"/>
  <c r="E576"/>
  <c r="C576"/>
  <c r="M575"/>
  <c r="E575"/>
  <c r="C575"/>
  <c r="M574"/>
  <c r="E574"/>
  <c r="C574"/>
  <c r="M573"/>
  <c r="E573"/>
  <c r="C573"/>
  <c r="M572"/>
  <c r="E572"/>
  <c r="C572"/>
  <c r="M571"/>
  <c r="E571"/>
  <c r="C571"/>
  <c r="M570"/>
  <c r="E570"/>
  <c r="C570"/>
  <c r="M569"/>
  <c r="E569"/>
  <c r="C569"/>
  <c r="M568"/>
  <c r="E568"/>
  <c r="C568"/>
  <c r="M567"/>
  <c r="E567"/>
  <c r="C567"/>
  <c r="M566"/>
  <c r="E566"/>
  <c r="C566"/>
  <c r="M565"/>
  <c r="E565"/>
  <c r="C565"/>
  <c r="M564"/>
  <c r="E564"/>
  <c r="C564"/>
  <c r="M563"/>
  <c r="E563"/>
  <c r="C563"/>
  <c r="M562"/>
  <c r="E562"/>
  <c r="C562"/>
  <c r="M561"/>
  <c r="E561"/>
  <c r="C561"/>
  <c r="M560"/>
  <c r="E560"/>
  <c r="C560"/>
  <c r="M559"/>
  <c r="E559"/>
  <c r="C559"/>
  <c r="M558"/>
  <c r="E558"/>
  <c r="C558"/>
  <c r="M557"/>
  <c r="E557"/>
  <c r="C557"/>
  <c r="M556"/>
  <c r="E556"/>
  <c r="C556"/>
  <c r="M555"/>
  <c r="E555"/>
  <c r="C555"/>
  <c r="M554"/>
  <c r="E554"/>
  <c r="C554"/>
  <c r="M553"/>
  <c r="E553"/>
  <c r="C553"/>
  <c r="M552"/>
  <c r="E552"/>
  <c r="C552"/>
  <c r="M551"/>
  <c r="E551"/>
  <c r="C551"/>
  <c r="M550"/>
  <c r="E550"/>
  <c r="C550"/>
  <c r="M549"/>
  <c r="E549"/>
  <c r="C549"/>
  <c r="M548"/>
  <c r="E548"/>
  <c r="C548"/>
  <c r="M547"/>
  <c r="E547"/>
  <c r="C547"/>
  <c r="M546"/>
  <c r="E546"/>
  <c r="C546"/>
  <c r="M545"/>
  <c r="E545"/>
  <c r="C545"/>
  <c r="M544"/>
  <c r="E544"/>
  <c r="C544"/>
  <c r="M543"/>
  <c r="E543"/>
  <c r="C543"/>
  <c r="M542"/>
  <c r="E542"/>
  <c r="C542"/>
  <c r="M541"/>
  <c r="E541"/>
  <c r="C541"/>
  <c r="M540"/>
  <c r="E540"/>
  <c r="C540"/>
  <c r="M539"/>
  <c r="E539"/>
  <c r="C539"/>
  <c r="M538"/>
  <c r="E538"/>
  <c r="C538"/>
  <c r="M537"/>
  <c r="E537"/>
  <c r="C537"/>
  <c r="M536"/>
  <c r="E536"/>
  <c r="C536"/>
  <c r="M535"/>
  <c r="E535"/>
  <c r="C535"/>
  <c r="M534"/>
  <c r="E534"/>
  <c r="C534"/>
  <c r="M533"/>
  <c r="E533"/>
  <c r="C533"/>
  <c r="M532"/>
  <c r="E532"/>
  <c r="C532"/>
  <c r="M531"/>
  <c r="E531"/>
  <c r="C531"/>
  <c r="M530"/>
  <c r="E530"/>
  <c r="C530"/>
  <c r="M529"/>
  <c r="E529"/>
  <c r="C529"/>
  <c r="M528"/>
  <c r="E528"/>
  <c r="C528"/>
  <c r="M527"/>
  <c r="E527"/>
  <c r="C527"/>
  <c r="M526"/>
  <c r="E526"/>
  <c r="C526"/>
  <c r="M525"/>
  <c r="E525"/>
  <c r="C525"/>
  <c r="M524"/>
  <c r="E524"/>
  <c r="C524"/>
  <c r="M523"/>
  <c r="E523"/>
  <c r="C523"/>
  <c r="M522"/>
  <c r="E522"/>
  <c r="C522"/>
  <c r="M521"/>
  <c r="E521"/>
  <c r="C521"/>
  <c r="M520"/>
  <c r="E520"/>
  <c r="C520"/>
  <c r="M519"/>
  <c r="E519"/>
  <c r="C519"/>
  <c r="M518"/>
  <c r="E518"/>
  <c r="C518"/>
  <c r="M517"/>
  <c r="E517"/>
  <c r="C517"/>
  <c r="M516"/>
  <c r="E516"/>
  <c r="C516"/>
  <c r="M515"/>
  <c r="E515"/>
  <c r="C515"/>
  <c r="M514"/>
  <c r="E514"/>
  <c r="C514"/>
  <c r="M513"/>
  <c r="E513"/>
  <c r="C513"/>
  <c r="M512"/>
  <c r="E512"/>
  <c r="C512"/>
  <c r="M511"/>
  <c r="E511"/>
  <c r="C511"/>
  <c r="M510"/>
  <c r="E510"/>
  <c r="C510"/>
  <c r="M509"/>
  <c r="E509"/>
  <c r="C509"/>
  <c r="M508"/>
  <c r="E508"/>
  <c r="C508"/>
  <c r="M507"/>
  <c r="E507"/>
  <c r="C507"/>
  <c r="M506"/>
  <c r="E506"/>
  <c r="C506"/>
  <c r="M505"/>
  <c r="E505"/>
  <c r="C505"/>
  <c r="M504"/>
  <c r="E504"/>
  <c r="C504"/>
  <c r="M503"/>
  <c r="E503"/>
  <c r="C503"/>
  <c r="M502"/>
  <c r="E502"/>
  <c r="C502"/>
  <c r="M501"/>
  <c r="E501"/>
  <c r="C501"/>
  <c r="M500"/>
  <c r="E500"/>
  <c r="C500"/>
  <c r="M499"/>
  <c r="E499"/>
  <c r="C499"/>
  <c r="M498"/>
  <c r="E498"/>
  <c r="C498"/>
  <c r="M497"/>
  <c r="E497"/>
  <c r="C497"/>
  <c r="M496"/>
  <c r="E496"/>
  <c r="C496"/>
  <c r="M495"/>
  <c r="E495"/>
  <c r="C495"/>
  <c r="M494"/>
  <c r="E494"/>
  <c r="C494"/>
  <c r="M493"/>
  <c r="E493"/>
  <c r="C493"/>
  <c r="M492"/>
  <c r="E492"/>
  <c r="C492"/>
  <c r="M491"/>
  <c r="E491"/>
  <c r="C491"/>
  <c r="M490"/>
  <c r="E490"/>
  <c r="C490"/>
  <c r="M489"/>
  <c r="E489"/>
  <c r="C489"/>
  <c r="M488"/>
  <c r="E488"/>
  <c r="C488"/>
  <c r="M487"/>
  <c r="E487"/>
  <c r="C487"/>
  <c r="M486"/>
  <c r="E486"/>
  <c r="C486"/>
  <c r="M485"/>
  <c r="E485"/>
  <c r="C485"/>
  <c r="M484"/>
  <c r="E484"/>
  <c r="C484"/>
  <c r="M483"/>
  <c r="E483"/>
  <c r="C483"/>
  <c r="M482"/>
  <c r="E482"/>
  <c r="C482"/>
  <c r="M481"/>
  <c r="E481"/>
  <c r="C481"/>
  <c r="M480"/>
  <c r="E480"/>
  <c r="C480"/>
  <c r="M479"/>
  <c r="E479"/>
  <c r="C479"/>
  <c r="M478"/>
  <c r="E478"/>
  <c r="C478"/>
  <c r="M477"/>
  <c r="E477"/>
  <c r="C477"/>
  <c r="M476"/>
  <c r="E476"/>
  <c r="C476"/>
  <c r="M475"/>
  <c r="E475"/>
  <c r="C475"/>
  <c r="M474"/>
  <c r="E474"/>
  <c r="C474"/>
  <c r="M473"/>
  <c r="E473"/>
  <c r="C473"/>
  <c r="M472"/>
  <c r="E472"/>
  <c r="C472"/>
  <c r="M471"/>
  <c r="E471"/>
  <c r="C471"/>
  <c r="M470"/>
  <c r="E470"/>
  <c r="C470"/>
  <c r="M469"/>
  <c r="E469"/>
  <c r="C469"/>
  <c r="M468"/>
  <c r="E468"/>
  <c r="C468"/>
  <c r="M467"/>
  <c r="E467"/>
  <c r="C467"/>
  <c r="M466"/>
  <c r="E466"/>
  <c r="C466"/>
  <c r="M465"/>
  <c r="E465"/>
  <c r="C465"/>
  <c r="M464"/>
  <c r="E464"/>
  <c r="C464"/>
  <c r="M463"/>
  <c r="E463"/>
  <c r="C463"/>
  <c r="M462"/>
  <c r="E462"/>
  <c r="C462"/>
  <c r="M461"/>
  <c r="E461"/>
  <c r="C461"/>
  <c r="M460"/>
  <c r="E460"/>
  <c r="C460"/>
  <c r="M459"/>
  <c r="E459"/>
  <c r="C459"/>
  <c r="M458"/>
  <c r="E458"/>
  <c r="C458"/>
  <c r="M457"/>
  <c r="E457"/>
  <c r="C457"/>
  <c r="M456"/>
  <c r="E456"/>
  <c r="C456"/>
  <c r="M455"/>
  <c r="E455"/>
  <c r="C455"/>
  <c r="M454"/>
  <c r="E454"/>
  <c r="C454"/>
  <c r="M453"/>
  <c r="E453"/>
  <c r="C453"/>
  <c r="M452"/>
  <c r="E452"/>
  <c r="C452"/>
  <c r="M451"/>
  <c r="E451"/>
  <c r="C451"/>
  <c r="M450"/>
  <c r="E450"/>
  <c r="C450"/>
  <c r="M449"/>
  <c r="E449"/>
  <c r="C449"/>
  <c r="M448"/>
  <c r="E448"/>
  <c r="C448"/>
  <c r="M447"/>
  <c r="E447"/>
  <c r="C447"/>
  <c r="M446"/>
  <c r="E446"/>
  <c r="C446"/>
  <c r="M445"/>
  <c r="E445"/>
  <c r="C445"/>
  <c r="M444"/>
  <c r="E444"/>
  <c r="C444"/>
  <c r="M443"/>
  <c r="E443"/>
  <c r="C443"/>
  <c r="M442"/>
  <c r="E442"/>
  <c r="C442"/>
  <c r="M441"/>
  <c r="E441"/>
  <c r="C441"/>
  <c r="M440"/>
  <c r="E440"/>
  <c r="C440"/>
  <c r="M439"/>
  <c r="E439"/>
  <c r="C439"/>
  <c r="M438"/>
  <c r="E438"/>
  <c r="C438"/>
  <c r="M437"/>
  <c r="E437"/>
  <c r="C437"/>
  <c r="M436"/>
  <c r="E436"/>
  <c r="C436"/>
  <c r="M435"/>
  <c r="E435"/>
  <c r="C435"/>
  <c r="M434"/>
  <c r="E434"/>
  <c r="C434"/>
  <c r="M433"/>
  <c r="E433"/>
  <c r="C433"/>
  <c r="M432"/>
  <c r="E432"/>
  <c r="C432"/>
  <c r="M431"/>
  <c r="E431"/>
  <c r="C431"/>
  <c r="M430"/>
  <c r="E430"/>
  <c r="C430"/>
  <c r="M429"/>
  <c r="E429"/>
  <c r="C429"/>
  <c r="M428"/>
  <c r="E428"/>
  <c r="C428"/>
  <c r="M427"/>
  <c r="E427"/>
  <c r="C427"/>
  <c r="M426"/>
  <c r="E426"/>
  <c r="C426"/>
  <c r="M425"/>
  <c r="E425"/>
  <c r="C425"/>
  <c r="M424"/>
  <c r="E424"/>
  <c r="C424"/>
  <c r="M423"/>
  <c r="E423"/>
  <c r="C423"/>
  <c r="M422"/>
  <c r="E422"/>
  <c r="C422"/>
  <c r="M421"/>
  <c r="E421"/>
  <c r="C421"/>
  <c r="M420"/>
  <c r="E420"/>
  <c r="C420"/>
  <c r="M419"/>
  <c r="E419"/>
  <c r="C419"/>
  <c r="M418"/>
  <c r="E418"/>
  <c r="C418"/>
  <c r="M417"/>
  <c r="E417"/>
  <c r="C417"/>
  <c r="M416"/>
  <c r="E416"/>
  <c r="C416"/>
  <c r="M415"/>
  <c r="E415"/>
  <c r="C415"/>
  <c r="M414"/>
  <c r="E414"/>
  <c r="C414"/>
  <c r="M413"/>
  <c r="E413"/>
  <c r="C413"/>
  <c r="M412"/>
  <c r="E412"/>
  <c r="C412"/>
  <c r="M411"/>
  <c r="E411"/>
  <c r="C411"/>
  <c r="M410"/>
  <c r="E410"/>
  <c r="C410"/>
  <c r="M409"/>
  <c r="E409"/>
  <c r="C409"/>
  <c r="M408"/>
  <c r="E408"/>
  <c r="C408"/>
  <c r="M407"/>
  <c r="E407"/>
  <c r="C407"/>
  <c r="M406"/>
  <c r="E406"/>
  <c r="C406"/>
  <c r="M405"/>
  <c r="E405"/>
  <c r="C405"/>
  <c r="M404"/>
  <c r="E404"/>
  <c r="C404"/>
  <c r="M403"/>
  <c r="E403"/>
  <c r="C403"/>
  <c r="M402"/>
  <c r="E402"/>
  <c r="C402"/>
  <c r="M401"/>
  <c r="E401"/>
  <c r="C401"/>
  <c r="M400"/>
  <c r="E400"/>
  <c r="C400"/>
  <c r="M399"/>
  <c r="E399"/>
  <c r="C399"/>
  <c r="M398"/>
  <c r="E398"/>
  <c r="C398"/>
  <c r="M397"/>
  <c r="E397"/>
  <c r="C397"/>
  <c r="M396"/>
  <c r="E396"/>
  <c r="C396"/>
  <c r="M395"/>
  <c r="E395"/>
  <c r="C395"/>
  <c r="M394"/>
  <c r="E394"/>
  <c r="C394"/>
  <c r="M393"/>
  <c r="E393"/>
  <c r="C393"/>
  <c r="M392"/>
  <c r="E392"/>
  <c r="C392"/>
  <c r="M391"/>
  <c r="E391"/>
  <c r="C391"/>
  <c r="M390"/>
  <c r="E390"/>
  <c r="C390"/>
  <c r="M389"/>
  <c r="E389"/>
  <c r="C389"/>
  <c r="M388"/>
  <c r="E388"/>
  <c r="C388"/>
  <c r="M387"/>
  <c r="E387"/>
  <c r="C387"/>
  <c r="M386"/>
  <c r="E386"/>
  <c r="C386"/>
  <c r="M385"/>
  <c r="E385"/>
  <c r="C385"/>
  <c r="M384"/>
  <c r="E384"/>
  <c r="C384"/>
  <c r="M383"/>
  <c r="E383"/>
  <c r="C383"/>
  <c r="M382"/>
  <c r="E382"/>
  <c r="C382"/>
  <c r="M381"/>
  <c r="E381"/>
  <c r="C381"/>
  <c r="M380"/>
  <c r="E380"/>
  <c r="C380"/>
  <c r="M379"/>
  <c r="E379"/>
  <c r="C379"/>
  <c r="M378"/>
  <c r="E378"/>
  <c r="C378"/>
  <c r="M377"/>
  <c r="E377"/>
  <c r="C377"/>
  <c r="M376"/>
  <c r="E376"/>
  <c r="C376"/>
  <c r="M375"/>
  <c r="E375"/>
  <c r="C375"/>
  <c r="M374"/>
  <c r="E374"/>
  <c r="C374"/>
  <c r="M373"/>
  <c r="E373"/>
  <c r="C373"/>
  <c r="M372"/>
  <c r="E372"/>
  <c r="C372"/>
  <c r="M371"/>
  <c r="E371"/>
  <c r="C371"/>
  <c r="M370"/>
  <c r="E370"/>
  <c r="C370"/>
  <c r="M369"/>
  <c r="E369"/>
  <c r="C369"/>
  <c r="M368"/>
  <c r="E368"/>
  <c r="C368"/>
  <c r="M367"/>
  <c r="E367"/>
  <c r="C367"/>
  <c r="M366"/>
  <c r="E366"/>
  <c r="C366"/>
  <c r="M365"/>
  <c r="E365"/>
  <c r="C365"/>
  <c r="M364"/>
  <c r="E364"/>
  <c r="C364"/>
  <c r="M363"/>
  <c r="E363"/>
  <c r="C363"/>
  <c r="M362"/>
  <c r="E362"/>
  <c r="C362"/>
  <c r="M361"/>
  <c r="E361"/>
  <c r="C361"/>
  <c r="M360"/>
  <c r="E360"/>
  <c r="C360"/>
  <c r="M359"/>
  <c r="E359"/>
  <c r="C359"/>
  <c r="M358"/>
  <c r="E358"/>
  <c r="C358"/>
  <c r="M357"/>
  <c r="E357"/>
  <c r="C357"/>
  <c r="M356"/>
  <c r="E356"/>
  <c r="C356"/>
  <c r="M355"/>
  <c r="E355"/>
  <c r="C355"/>
  <c r="M354"/>
  <c r="E354"/>
  <c r="C354"/>
  <c r="M353"/>
  <c r="E353"/>
  <c r="C353"/>
  <c r="M352"/>
  <c r="E352"/>
  <c r="C352"/>
  <c r="M351"/>
  <c r="E351"/>
  <c r="C351"/>
  <c r="M350"/>
  <c r="E350"/>
  <c r="C350"/>
  <c r="M349"/>
  <c r="E349"/>
  <c r="C349"/>
  <c r="M348"/>
  <c r="E348"/>
  <c r="C348"/>
  <c r="M347"/>
  <c r="E347"/>
  <c r="C347"/>
  <c r="M346"/>
  <c r="E346"/>
  <c r="C346"/>
  <c r="M345"/>
  <c r="E345"/>
  <c r="C345"/>
  <c r="M344"/>
  <c r="E344"/>
  <c r="C344"/>
  <c r="M343"/>
  <c r="E343"/>
  <c r="C343"/>
  <c r="M342"/>
  <c r="E342"/>
  <c r="C342"/>
  <c r="M341"/>
  <c r="E341"/>
  <c r="C341"/>
  <c r="M340"/>
  <c r="E340"/>
  <c r="C340"/>
  <c r="M339"/>
  <c r="E339"/>
  <c r="C339"/>
  <c r="M338"/>
  <c r="E338"/>
  <c r="C338"/>
  <c r="M337"/>
  <c r="E337"/>
  <c r="C337"/>
  <c r="M336"/>
  <c r="E336"/>
  <c r="C336"/>
  <c r="M335"/>
  <c r="E335"/>
  <c r="C335"/>
  <c r="M334"/>
  <c r="E334"/>
  <c r="C334"/>
  <c r="M333"/>
  <c r="E333"/>
  <c r="C333"/>
  <c r="M332"/>
  <c r="E332"/>
  <c r="C332"/>
  <c r="M331"/>
  <c r="E331"/>
  <c r="C331"/>
  <c r="M330"/>
  <c r="E330"/>
  <c r="C330"/>
  <c r="M329"/>
  <c r="E329"/>
  <c r="C329"/>
  <c r="M328"/>
  <c r="E328"/>
  <c r="C328"/>
  <c r="M327"/>
  <c r="E327"/>
  <c r="C327"/>
  <c r="M326"/>
  <c r="E326"/>
  <c r="C326"/>
  <c r="M325"/>
  <c r="E325"/>
  <c r="C325"/>
  <c r="M324"/>
  <c r="E324"/>
  <c r="C324"/>
  <c r="M323"/>
  <c r="E323"/>
  <c r="C323"/>
  <c r="M322"/>
  <c r="E322"/>
  <c r="C322"/>
  <c r="M321"/>
  <c r="E321"/>
  <c r="C321"/>
  <c r="M320"/>
  <c r="E320"/>
  <c r="C320"/>
  <c r="M319"/>
  <c r="E319"/>
  <c r="C319"/>
  <c r="M318"/>
  <c r="E318"/>
  <c r="C318"/>
  <c r="M317"/>
  <c r="E317"/>
  <c r="C317"/>
  <c r="M316"/>
  <c r="E316"/>
  <c r="C316"/>
  <c r="M315"/>
  <c r="E315"/>
  <c r="C315"/>
  <c r="M314"/>
  <c r="E314"/>
  <c r="C314"/>
  <c r="M313"/>
  <c r="E313"/>
  <c r="C313"/>
  <c r="M312"/>
  <c r="E312"/>
  <c r="C312"/>
  <c r="M311"/>
  <c r="E311"/>
  <c r="C311"/>
  <c r="M310"/>
  <c r="E310"/>
  <c r="C310"/>
  <c r="M309"/>
  <c r="E309"/>
  <c r="C309"/>
  <c r="M308"/>
  <c r="E308"/>
  <c r="C308"/>
  <c r="M307"/>
  <c r="E307"/>
  <c r="C307"/>
  <c r="M306"/>
  <c r="E306"/>
  <c r="C306"/>
  <c r="M305"/>
  <c r="E305"/>
  <c r="C305"/>
  <c r="M304"/>
  <c r="E304"/>
  <c r="C304"/>
  <c r="M303"/>
  <c r="E303"/>
  <c r="C303"/>
  <c r="M302"/>
  <c r="E302"/>
  <c r="C302"/>
  <c r="M301"/>
  <c r="E301"/>
  <c r="C301"/>
  <c r="M300"/>
  <c r="E300"/>
  <c r="C300"/>
  <c r="M299"/>
  <c r="E299"/>
  <c r="C299"/>
  <c r="M298"/>
  <c r="E298"/>
  <c r="C298"/>
  <c r="M297"/>
  <c r="E297"/>
  <c r="C297"/>
  <c r="M296"/>
  <c r="E296"/>
  <c r="C296"/>
  <c r="M295"/>
  <c r="E295"/>
  <c r="C295"/>
  <c r="M294"/>
  <c r="E294"/>
  <c r="C294"/>
  <c r="M293"/>
  <c r="E293"/>
  <c r="C293"/>
  <c r="M292"/>
  <c r="E292"/>
  <c r="C292"/>
  <c r="M291"/>
  <c r="E291"/>
  <c r="C291"/>
  <c r="M290"/>
  <c r="E290"/>
  <c r="C290"/>
  <c r="M289"/>
  <c r="E289"/>
  <c r="C289"/>
  <c r="M288"/>
  <c r="E288"/>
  <c r="C288"/>
  <c r="M287"/>
  <c r="E287"/>
  <c r="C287"/>
  <c r="M286"/>
  <c r="E286"/>
  <c r="C286"/>
  <c r="M285"/>
  <c r="E285"/>
  <c r="C285"/>
  <c r="M284"/>
  <c r="E284"/>
  <c r="C284"/>
  <c r="M283"/>
  <c r="E283"/>
  <c r="C283"/>
  <c r="M282"/>
  <c r="E282"/>
  <c r="C282"/>
  <c r="M281"/>
  <c r="E281"/>
  <c r="C281"/>
  <c r="M280"/>
  <c r="E280"/>
  <c r="C280"/>
  <c r="M279"/>
  <c r="E279"/>
  <c r="C279"/>
  <c r="M278"/>
  <c r="E278"/>
  <c r="C278"/>
  <c r="M277"/>
  <c r="E277"/>
  <c r="C277"/>
  <c r="M276"/>
  <c r="E276"/>
  <c r="C276"/>
  <c r="M275"/>
  <c r="E275"/>
  <c r="C275"/>
  <c r="M274"/>
  <c r="E274"/>
  <c r="C274"/>
  <c r="M273"/>
  <c r="E273"/>
  <c r="C273"/>
  <c r="M272"/>
  <c r="E272"/>
  <c r="C272"/>
  <c r="M271"/>
  <c r="E271"/>
  <c r="C271"/>
  <c r="M270"/>
  <c r="E270"/>
  <c r="C270"/>
  <c r="M269"/>
  <c r="E269"/>
  <c r="C269"/>
  <c r="M268"/>
  <c r="E268"/>
  <c r="C268"/>
  <c r="M267"/>
  <c r="E267"/>
  <c r="C267"/>
  <c r="M266"/>
  <c r="E266"/>
  <c r="C266"/>
  <c r="M265"/>
  <c r="E265"/>
  <c r="C265"/>
  <c r="M264"/>
  <c r="E264"/>
  <c r="C264"/>
  <c r="M263"/>
  <c r="E263"/>
  <c r="C263"/>
  <c r="M262"/>
  <c r="E262"/>
  <c r="C262"/>
  <c r="M261"/>
  <c r="E261"/>
  <c r="C261"/>
  <c r="M260"/>
  <c r="E260"/>
  <c r="C260"/>
  <c r="M259"/>
  <c r="E259"/>
  <c r="C259"/>
  <c r="M258"/>
  <c r="E258"/>
  <c r="C258"/>
  <c r="M257"/>
  <c r="E257"/>
  <c r="C257"/>
  <c r="M256"/>
  <c r="E256"/>
  <c r="C256"/>
  <c r="M255"/>
  <c r="E255"/>
  <c r="C255"/>
  <c r="M254"/>
  <c r="E254"/>
  <c r="C254"/>
  <c r="M253"/>
  <c r="E253"/>
  <c r="C253"/>
  <c r="M252"/>
  <c r="E252"/>
  <c r="C252"/>
  <c r="M251"/>
  <c r="E251"/>
  <c r="C251"/>
  <c r="M250"/>
  <c r="E250"/>
  <c r="C250"/>
  <c r="M249"/>
  <c r="E249"/>
  <c r="C249"/>
  <c r="M248"/>
  <c r="E248"/>
  <c r="C248"/>
  <c r="M247"/>
  <c r="E247"/>
  <c r="C247"/>
  <c r="M246"/>
  <c r="E246"/>
  <c r="C246"/>
  <c r="M245"/>
  <c r="E245"/>
  <c r="C245"/>
  <c r="M244"/>
  <c r="E244"/>
  <c r="C244"/>
  <c r="M243"/>
  <c r="E243"/>
  <c r="C243"/>
  <c r="M242"/>
  <c r="E242"/>
  <c r="C242"/>
  <c r="M241"/>
  <c r="E241"/>
  <c r="C241"/>
  <c r="M240"/>
  <c r="E240"/>
  <c r="C240"/>
  <c r="M239"/>
  <c r="E239"/>
  <c r="C239"/>
  <c r="M238"/>
  <c r="E238"/>
  <c r="C238"/>
  <c r="M237"/>
  <c r="E237"/>
  <c r="C237"/>
  <c r="M236"/>
  <c r="E236"/>
  <c r="C236"/>
  <c r="M235"/>
  <c r="E235"/>
  <c r="C235"/>
  <c r="M234"/>
  <c r="E234"/>
  <c r="C234"/>
  <c r="M233"/>
  <c r="E233"/>
  <c r="C233"/>
  <c r="M232"/>
  <c r="E232"/>
  <c r="C232"/>
  <c r="M231"/>
  <c r="E231"/>
  <c r="C231"/>
  <c r="M230"/>
  <c r="E230"/>
  <c r="C230"/>
  <c r="M229"/>
  <c r="E229"/>
  <c r="C229"/>
  <c r="M228"/>
  <c r="E228"/>
  <c r="C228"/>
  <c r="M227"/>
  <c r="E227"/>
  <c r="C227"/>
  <c r="M226"/>
  <c r="E226"/>
  <c r="C226"/>
  <c r="M225"/>
  <c r="E225"/>
  <c r="C225"/>
  <c r="M224"/>
  <c r="E224"/>
  <c r="C224"/>
  <c r="M223"/>
  <c r="E223"/>
  <c r="C223"/>
  <c r="M222"/>
  <c r="E222"/>
  <c r="C222"/>
  <c r="M221"/>
  <c r="E221"/>
  <c r="C221"/>
  <c r="M220"/>
  <c r="E220"/>
  <c r="C220"/>
  <c r="M219"/>
  <c r="E219"/>
  <c r="C219"/>
  <c r="M218"/>
  <c r="E218"/>
  <c r="C218"/>
  <c r="M217"/>
  <c r="E217"/>
  <c r="C217"/>
  <c r="M216"/>
  <c r="E216"/>
  <c r="C216"/>
  <c r="M215"/>
  <c r="E215"/>
  <c r="C215"/>
  <c r="M214"/>
  <c r="E214"/>
  <c r="C214"/>
  <c r="M213"/>
  <c r="E213"/>
  <c r="C213"/>
  <c r="M212"/>
  <c r="E212"/>
  <c r="C212"/>
  <c r="M211"/>
  <c r="E211"/>
  <c r="C211"/>
  <c r="M210"/>
  <c r="E210"/>
  <c r="C210"/>
  <c r="M209"/>
  <c r="E209"/>
  <c r="C209"/>
  <c r="M208"/>
  <c r="E208"/>
  <c r="C208"/>
  <c r="M207"/>
  <c r="E207"/>
  <c r="C207"/>
  <c r="M206"/>
  <c r="E206"/>
  <c r="C206"/>
  <c r="M205"/>
  <c r="E205"/>
  <c r="C205"/>
  <c r="M204"/>
  <c r="E204"/>
  <c r="C204"/>
  <c r="M203"/>
  <c r="E203"/>
  <c r="C203"/>
  <c r="M202"/>
  <c r="E202"/>
  <c r="C202"/>
  <c r="M201"/>
  <c r="E201"/>
  <c r="C201"/>
  <c r="M200"/>
  <c r="E200"/>
  <c r="C200"/>
  <c r="M199"/>
  <c r="E199"/>
  <c r="C199"/>
  <c r="M198"/>
  <c r="E198"/>
  <c r="C198"/>
  <c r="M197"/>
  <c r="E197"/>
  <c r="C197"/>
  <c r="M196"/>
  <c r="E196"/>
  <c r="C196"/>
  <c r="M195"/>
  <c r="E195"/>
  <c r="C195"/>
  <c r="M194"/>
  <c r="E194"/>
  <c r="C194"/>
  <c r="M193"/>
  <c r="E193"/>
  <c r="C193"/>
  <c r="M192"/>
  <c r="E192"/>
  <c r="C192"/>
  <c r="M191"/>
  <c r="E191"/>
  <c r="C191"/>
  <c r="M190"/>
  <c r="E190"/>
  <c r="C190"/>
  <c r="M189"/>
  <c r="E189"/>
  <c r="C189"/>
  <c r="M188"/>
  <c r="E188"/>
  <c r="C188"/>
  <c r="M187"/>
  <c r="E187"/>
  <c r="C187"/>
  <c r="M186"/>
  <c r="E186"/>
  <c r="C186"/>
  <c r="M185"/>
  <c r="E185"/>
  <c r="C185"/>
  <c r="M184"/>
  <c r="E184"/>
  <c r="C184"/>
  <c r="M183"/>
  <c r="E183"/>
  <c r="C183"/>
  <c r="M182"/>
  <c r="E182"/>
  <c r="C182"/>
  <c r="M181"/>
  <c r="E181"/>
  <c r="C181"/>
  <c r="M180"/>
  <c r="E180"/>
  <c r="C180"/>
  <c r="M179"/>
  <c r="E179"/>
  <c r="C179"/>
  <c r="M178"/>
  <c r="E178"/>
  <c r="C178"/>
  <c r="M177"/>
  <c r="E177"/>
  <c r="C177"/>
  <c r="M176"/>
  <c r="E176"/>
  <c r="C176"/>
  <c r="M175"/>
  <c r="E175"/>
  <c r="C175"/>
  <c r="M174"/>
  <c r="E174"/>
  <c r="C174"/>
  <c r="M173"/>
  <c r="E173"/>
  <c r="C173"/>
  <c r="M172"/>
  <c r="E172"/>
  <c r="C172"/>
  <c r="M171"/>
  <c r="E171"/>
  <c r="C171"/>
  <c r="M170"/>
  <c r="E170"/>
  <c r="C170"/>
  <c r="M169"/>
  <c r="E169"/>
  <c r="C169"/>
  <c r="M168"/>
  <c r="E168"/>
  <c r="C168"/>
  <c r="M167"/>
  <c r="E167"/>
  <c r="C167"/>
  <c r="M166"/>
  <c r="E166"/>
  <c r="C166"/>
  <c r="M165"/>
  <c r="E165"/>
  <c r="C165"/>
  <c r="M164"/>
  <c r="E164"/>
  <c r="C164"/>
  <c r="M163"/>
  <c r="E163"/>
  <c r="C163"/>
  <c r="M162"/>
  <c r="E162"/>
  <c r="C162"/>
  <c r="M161"/>
  <c r="E161"/>
  <c r="C161"/>
  <c r="M160"/>
  <c r="E160"/>
  <c r="C160"/>
  <c r="M159"/>
  <c r="E159"/>
  <c r="C159"/>
  <c r="M158"/>
  <c r="E158"/>
  <c r="C158"/>
  <c r="M157"/>
  <c r="E157"/>
  <c r="C157"/>
  <c r="M156"/>
  <c r="E156"/>
  <c r="C156"/>
  <c r="M155"/>
  <c r="E155"/>
  <c r="C155"/>
  <c r="M154"/>
  <c r="E154"/>
  <c r="C154"/>
  <c r="M153"/>
  <c r="E153"/>
  <c r="C153"/>
  <c r="M152"/>
  <c r="E152"/>
  <c r="C152"/>
  <c r="M151"/>
  <c r="E151"/>
  <c r="C151"/>
  <c r="M150"/>
  <c r="E150"/>
  <c r="C150"/>
  <c r="M149"/>
  <c r="E149"/>
  <c r="C149"/>
  <c r="M148"/>
  <c r="E148"/>
  <c r="C148"/>
  <c r="M147"/>
  <c r="E147"/>
  <c r="C147"/>
  <c r="M146"/>
  <c r="E146"/>
  <c r="C146"/>
  <c r="M145"/>
  <c r="E145"/>
  <c r="C145"/>
  <c r="M144"/>
  <c r="E144"/>
  <c r="C144"/>
  <c r="M143"/>
  <c r="E143"/>
  <c r="C143"/>
  <c r="M142"/>
  <c r="E142"/>
  <c r="C142"/>
  <c r="M141"/>
  <c r="E141"/>
  <c r="C141"/>
  <c r="M140"/>
  <c r="E140"/>
  <c r="C140"/>
  <c r="M139"/>
  <c r="E139"/>
  <c r="C139"/>
  <c r="M138"/>
  <c r="E138"/>
  <c r="C138"/>
  <c r="M137"/>
  <c r="E137"/>
  <c r="C137"/>
  <c r="M136"/>
  <c r="E136"/>
  <c r="C136"/>
  <c r="M135"/>
  <c r="E135"/>
  <c r="C135"/>
  <c r="M134"/>
  <c r="E134"/>
  <c r="C134"/>
  <c r="M133"/>
  <c r="E133"/>
  <c r="C133"/>
  <c r="M132"/>
  <c r="E132"/>
  <c r="C132"/>
  <c r="M131"/>
  <c r="E131"/>
  <c r="C131"/>
  <c r="M130"/>
  <c r="E130"/>
  <c r="C130"/>
  <c r="M129"/>
  <c r="E129"/>
  <c r="C129"/>
  <c r="M128"/>
  <c r="E128"/>
  <c r="C128"/>
  <c r="M127"/>
  <c r="E127"/>
  <c r="C127"/>
  <c r="M126"/>
  <c r="E126"/>
  <c r="C126"/>
  <c r="M125"/>
  <c r="E125"/>
  <c r="C125"/>
  <c r="M124"/>
  <c r="E124"/>
  <c r="C124"/>
  <c r="M123"/>
  <c r="E123"/>
  <c r="C123"/>
  <c r="M122"/>
  <c r="E122"/>
  <c r="C122"/>
  <c r="M121"/>
  <c r="E121"/>
  <c r="C121"/>
  <c r="M120"/>
  <c r="E120"/>
  <c r="C120"/>
  <c r="M119"/>
  <c r="E119"/>
  <c r="C119"/>
  <c r="M118"/>
  <c r="E118"/>
  <c r="C118"/>
  <c r="M117"/>
  <c r="E117"/>
  <c r="C117"/>
  <c r="M116"/>
  <c r="E116"/>
  <c r="C116"/>
  <c r="M115"/>
  <c r="E115"/>
  <c r="C115"/>
  <c r="M114"/>
  <c r="E114"/>
  <c r="C114"/>
  <c r="M113"/>
  <c r="E113"/>
  <c r="C113"/>
  <c r="M112"/>
  <c r="E112"/>
  <c r="C112"/>
  <c r="M111"/>
  <c r="E111"/>
  <c r="C111"/>
  <c r="M110"/>
  <c r="E110"/>
  <c r="C110"/>
  <c r="M109"/>
  <c r="E109"/>
  <c r="C109"/>
  <c r="M108"/>
  <c r="E108"/>
  <c r="C108"/>
  <c r="M107"/>
  <c r="E107"/>
  <c r="C107"/>
  <c r="M106"/>
  <c r="E106"/>
  <c r="C106"/>
  <c r="M105"/>
  <c r="E105"/>
  <c r="C105"/>
  <c r="M104"/>
  <c r="E104"/>
  <c r="C104"/>
  <c r="M103"/>
  <c r="E103"/>
  <c r="C103"/>
  <c r="M102"/>
  <c r="E102"/>
  <c r="C102"/>
  <c r="M101"/>
  <c r="E101"/>
  <c r="C101"/>
  <c r="M100"/>
  <c r="E100"/>
  <c r="C100"/>
  <c r="M99"/>
  <c r="E99"/>
  <c r="C99"/>
  <c r="M98"/>
  <c r="E98"/>
  <c r="C98"/>
  <c r="M97"/>
  <c r="E97"/>
  <c r="C97"/>
  <c r="M96"/>
  <c r="E96"/>
  <c r="C96"/>
  <c r="M95"/>
  <c r="E95"/>
  <c r="C95"/>
  <c r="M94"/>
  <c r="E94"/>
  <c r="C94"/>
  <c r="M93"/>
  <c r="E93"/>
  <c r="C93"/>
  <c r="M92"/>
  <c r="E92"/>
  <c r="C92"/>
  <c r="M91"/>
  <c r="E91"/>
  <c r="C91"/>
  <c r="M90"/>
  <c r="E90"/>
  <c r="C90"/>
  <c r="M89"/>
  <c r="E89"/>
  <c r="C89"/>
  <c r="M88"/>
  <c r="E88"/>
  <c r="C88"/>
  <c r="M87"/>
  <c r="E87"/>
  <c r="C87"/>
  <c r="M86"/>
  <c r="E86"/>
  <c r="C86"/>
  <c r="M85"/>
  <c r="E85"/>
  <c r="C85"/>
  <c r="M84"/>
  <c r="E84"/>
  <c r="C84"/>
  <c r="M83"/>
  <c r="E83"/>
  <c r="C83"/>
  <c r="M82"/>
  <c r="E82"/>
  <c r="C82"/>
  <c r="M81"/>
  <c r="E81"/>
  <c r="C81"/>
  <c r="M80"/>
  <c r="E80"/>
  <c r="C80"/>
  <c r="M79"/>
  <c r="E79"/>
  <c r="C79"/>
  <c r="M78"/>
  <c r="E78"/>
  <c r="C78"/>
  <c r="M77"/>
  <c r="E77"/>
  <c r="C77"/>
  <c r="M76"/>
  <c r="E76"/>
  <c r="C76"/>
  <c r="M75"/>
  <c r="E75"/>
  <c r="C75"/>
  <c r="M74"/>
  <c r="E74"/>
  <c r="C74"/>
  <c r="M73"/>
  <c r="E73"/>
  <c r="C73"/>
  <c r="M72"/>
  <c r="E72"/>
  <c r="C72"/>
  <c r="M71"/>
  <c r="E71"/>
  <c r="C71"/>
  <c r="M70"/>
  <c r="E70"/>
  <c r="C70"/>
  <c r="M69"/>
  <c r="E69"/>
  <c r="C69"/>
  <c r="M68"/>
  <c r="E68"/>
  <c r="C68"/>
  <c r="M67"/>
  <c r="E67"/>
  <c r="C67"/>
  <c r="M66"/>
  <c r="E66"/>
  <c r="C66"/>
  <c r="M65"/>
  <c r="E65"/>
  <c r="C65"/>
  <c r="M64"/>
  <c r="E64"/>
  <c r="C64"/>
  <c r="M63"/>
  <c r="E63"/>
  <c r="C63"/>
  <c r="M62"/>
  <c r="E62"/>
  <c r="C62"/>
  <c r="M61"/>
  <c r="E61"/>
  <c r="C61"/>
  <c r="M60"/>
  <c r="E60"/>
  <c r="C60"/>
  <c r="M59"/>
  <c r="E59"/>
  <c r="C59"/>
  <c r="M58"/>
  <c r="E58"/>
  <c r="C58"/>
  <c r="M57"/>
  <c r="E57"/>
  <c r="C57"/>
  <c r="M56"/>
  <c r="E56"/>
  <c r="C56"/>
  <c r="M55"/>
  <c r="E55"/>
  <c r="C55"/>
  <c r="M54"/>
  <c r="E54"/>
  <c r="C54"/>
  <c r="M53"/>
  <c r="E53"/>
  <c r="C53"/>
  <c r="M52"/>
  <c r="E52"/>
  <c r="C52"/>
  <c r="M51"/>
  <c r="E51"/>
  <c r="C51"/>
  <c r="M50"/>
  <c r="E50"/>
  <c r="C50"/>
  <c r="M49"/>
  <c r="E49"/>
  <c r="C49"/>
  <c r="M48"/>
  <c r="E48"/>
  <c r="C48"/>
  <c r="M47"/>
  <c r="E47"/>
  <c r="C47"/>
  <c r="M46"/>
  <c r="E46"/>
  <c r="C46"/>
  <c r="M45"/>
  <c r="E45"/>
  <c r="C45"/>
  <c r="M44"/>
  <c r="E44"/>
  <c r="C44"/>
  <c r="M43"/>
  <c r="E43"/>
  <c r="C43"/>
  <c r="M42"/>
  <c r="E42"/>
  <c r="C42"/>
  <c r="M41"/>
  <c r="E41"/>
  <c r="C41"/>
  <c r="M40"/>
  <c r="E40"/>
  <c r="C40"/>
  <c r="M39"/>
  <c r="E39"/>
  <c r="C39"/>
  <c r="M38"/>
  <c r="E38"/>
  <c r="C38"/>
  <c r="M37"/>
  <c r="E37"/>
  <c r="C37"/>
  <c r="M36"/>
  <c r="E36"/>
  <c r="C36"/>
  <c r="M35"/>
  <c r="E35"/>
  <c r="C35"/>
  <c r="M34"/>
  <c r="E34"/>
  <c r="C34"/>
  <c r="M33"/>
  <c r="E33"/>
  <c r="C33"/>
  <c r="M32"/>
  <c r="E32"/>
  <c r="C32"/>
  <c r="M31"/>
  <c r="E31"/>
  <c r="C31"/>
  <c r="M30"/>
  <c r="E30"/>
  <c r="C30"/>
  <c r="M29"/>
  <c r="E29"/>
  <c r="C29"/>
  <c r="M28"/>
  <c r="E28"/>
  <c r="C28"/>
  <c r="M27"/>
  <c r="E27"/>
  <c r="C27"/>
  <c r="M26"/>
  <c r="E26"/>
  <c r="C26"/>
  <c r="M25"/>
  <c r="E25"/>
  <c r="C25"/>
  <c r="M24"/>
  <c r="E24"/>
  <c r="C24"/>
  <c r="M23"/>
  <c r="E23"/>
  <c r="C23"/>
  <c r="M22"/>
  <c r="E22"/>
  <c r="C22"/>
  <c r="M21"/>
  <c r="E21"/>
  <c r="C21"/>
  <c r="M20"/>
  <c r="E20"/>
  <c r="C20"/>
  <c r="M19"/>
  <c r="E19"/>
  <c r="C19"/>
  <c r="M18"/>
  <c r="E18"/>
  <c r="C18"/>
  <c r="M17"/>
  <c r="E17"/>
  <c r="C17"/>
  <c r="M16"/>
  <c r="E16"/>
  <c r="C16"/>
  <c r="M15"/>
  <c r="E15"/>
  <c r="C15"/>
  <c r="M14"/>
  <c r="E14"/>
  <c r="C14"/>
  <c r="M13"/>
  <c r="E13"/>
  <c r="C13"/>
  <c r="M12"/>
  <c r="E12"/>
  <c r="C12"/>
  <c r="M11"/>
  <c r="E11"/>
  <c r="C11"/>
  <c r="M10"/>
  <c r="E10"/>
  <c r="C10"/>
  <c r="M9"/>
  <c r="E9"/>
  <c r="C9"/>
  <c r="M8"/>
  <c r="E8"/>
  <c r="C8"/>
  <c r="M7"/>
  <c r="E7"/>
  <c r="C7"/>
  <c r="M6"/>
  <c r="E6"/>
  <c r="C6"/>
  <c r="M5"/>
  <c r="E5"/>
  <c r="C5"/>
  <c r="M4"/>
  <c r="E4"/>
  <c r="C4"/>
  <c r="M3"/>
  <c r="E3"/>
  <c r="C3"/>
  <c r="M2"/>
  <c r="E2"/>
  <c r="C2"/>
  <c r="M573" i="5"/>
  <c r="E573"/>
  <c r="C573"/>
  <c r="M572"/>
  <c r="E572"/>
  <c r="C572"/>
  <c r="M571"/>
  <c r="E571"/>
  <c r="C571"/>
  <c r="M570"/>
  <c r="E570"/>
  <c r="C570"/>
  <c r="M569"/>
  <c r="E569"/>
  <c r="C569"/>
  <c r="M568"/>
  <c r="E568"/>
  <c r="C568"/>
  <c r="M567"/>
  <c r="E567"/>
  <c r="C567"/>
  <c r="M566"/>
  <c r="E566"/>
  <c r="C566"/>
  <c r="M565"/>
  <c r="E565"/>
  <c r="C565"/>
  <c r="M564"/>
  <c r="E564"/>
  <c r="C564"/>
  <c r="M563"/>
  <c r="E563"/>
  <c r="C563"/>
  <c r="M562"/>
  <c r="E562"/>
  <c r="C562"/>
  <c r="M561"/>
  <c r="E561"/>
  <c r="C561"/>
  <c r="M560"/>
  <c r="E560"/>
  <c r="C560"/>
  <c r="M559"/>
  <c r="E559"/>
  <c r="C559"/>
  <c r="M558"/>
  <c r="E558"/>
  <c r="C558"/>
  <c r="M557"/>
  <c r="E557"/>
  <c r="C557"/>
  <c r="M556"/>
  <c r="E556"/>
  <c r="C556"/>
  <c r="M555"/>
  <c r="E555"/>
  <c r="C555"/>
  <c r="M554"/>
  <c r="E554"/>
  <c r="C554"/>
  <c r="M553"/>
  <c r="E553"/>
  <c r="C553"/>
  <c r="M552"/>
  <c r="E552"/>
  <c r="C552"/>
  <c r="M551"/>
  <c r="E551"/>
  <c r="C551"/>
  <c r="M550"/>
  <c r="E550"/>
  <c r="C550"/>
  <c r="M549"/>
  <c r="E549"/>
  <c r="C549"/>
  <c r="M548"/>
  <c r="E548"/>
  <c r="C548"/>
  <c r="M547"/>
  <c r="E547"/>
  <c r="C547"/>
  <c r="M546"/>
  <c r="E546"/>
  <c r="C546"/>
  <c r="M545"/>
  <c r="E545"/>
  <c r="C545"/>
  <c r="M544"/>
  <c r="E544"/>
  <c r="C544"/>
  <c r="M543"/>
  <c r="E543"/>
  <c r="C543"/>
  <c r="M542"/>
  <c r="E542"/>
  <c r="C542"/>
  <c r="M541"/>
  <c r="E541"/>
  <c r="C541"/>
  <c r="M540"/>
  <c r="E540"/>
  <c r="C540"/>
  <c r="M539"/>
  <c r="E539"/>
  <c r="C539"/>
  <c r="M538"/>
  <c r="E538"/>
  <c r="C538"/>
  <c r="M537"/>
  <c r="E537"/>
  <c r="C537"/>
  <c r="M536"/>
  <c r="E536"/>
  <c r="C536"/>
  <c r="M535"/>
  <c r="E535"/>
  <c r="C535"/>
  <c r="M534"/>
  <c r="E534"/>
  <c r="C534"/>
  <c r="M533"/>
  <c r="E533"/>
  <c r="C533"/>
  <c r="M532"/>
  <c r="E532"/>
  <c r="C532"/>
  <c r="M531"/>
  <c r="E531"/>
  <c r="C531"/>
  <c r="M530"/>
  <c r="E530"/>
  <c r="C530"/>
  <c r="M529"/>
  <c r="E529"/>
  <c r="C529"/>
  <c r="M528"/>
  <c r="E528"/>
  <c r="C528"/>
  <c r="M527"/>
  <c r="E527"/>
  <c r="C527"/>
  <c r="M526"/>
  <c r="E526"/>
  <c r="C526"/>
  <c r="M525"/>
  <c r="E525"/>
  <c r="C525"/>
  <c r="M524"/>
  <c r="E524"/>
  <c r="C524"/>
  <c r="M523"/>
  <c r="E523"/>
  <c r="C523"/>
  <c r="M522"/>
  <c r="E522"/>
  <c r="C522"/>
  <c r="M521"/>
  <c r="E521"/>
  <c r="C521"/>
  <c r="M520"/>
  <c r="E520"/>
  <c r="C520"/>
  <c r="M519"/>
  <c r="E519"/>
  <c r="C519"/>
  <c r="M518"/>
  <c r="E518"/>
  <c r="C518"/>
  <c r="M517"/>
  <c r="E517"/>
  <c r="C517"/>
  <c r="M516"/>
  <c r="E516"/>
  <c r="C516"/>
  <c r="M515"/>
  <c r="E515"/>
  <c r="C515"/>
  <c r="M514"/>
  <c r="E514"/>
  <c r="C514"/>
  <c r="M513"/>
  <c r="E513"/>
  <c r="C513"/>
  <c r="M512"/>
  <c r="E512"/>
  <c r="C512"/>
  <c r="M511"/>
  <c r="E511"/>
  <c r="C511"/>
  <c r="M510"/>
  <c r="E510"/>
  <c r="C510"/>
  <c r="M509"/>
  <c r="E509"/>
  <c r="C509"/>
  <c r="M508"/>
  <c r="E508"/>
  <c r="C508"/>
  <c r="M507"/>
  <c r="E507"/>
  <c r="C507"/>
  <c r="M506"/>
  <c r="E506"/>
  <c r="C506"/>
  <c r="M505"/>
  <c r="E505"/>
  <c r="C505"/>
  <c r="M504"/>
  <c r="E504"/>
  <c r="C504"/>
  <c r="M503"/>
  <c r="E503"/>
  <c r="C503"/>
  <c r="M502"/>
  <c r="E502"/>
  <c r="C502"/>
  <c r="M501"/>
  <c r="E501"/>
  <c r="C501"/>
  <c r="M500"/>
  <c r="E500"/>
  <c r="C500"/>
  <c r="M499"/>
  <c r="E499"/>
  <c r="C499"/>
  <c r="M498"/>
  <c r="E498"/>
  <c r="C498"/>
  <c r="M497"/>
  <c r="E497"/>
  <c r="C497"/>
  <c r="M496"/>
  <c r="E496"/>
  <c r="C496"/>
  <c r="M495"/>
  <c r="E495"/>
  <c r="C495"/>
  <c r="M494"/>
  <c r="E494"/>
  <c r="C494"/>
  <c r="M493"/>
  <c r="E493"/>
  <c r="C493"/>
  <c r="M492"/>
  <c r="E492"/>
  <c r="C492"/>
  <c r="M491"/>
  <c r="E491"/>
  <c r="C491"/>
  <c r="M490"/>
  <c r="E490"/>
  <c r="C490"/>
  <c r="M489"/>
  <c r="E489"/>
  <c r="C489"/>
  <c r="M488"/>
  <c r="E488"/>
  <c r="C488"/>
  <c r="M487"/>
  <c r="E487"/>
  <c r="C487"/>
  <c r="M486"/>
  <c r="E486"/>
  <c r="C486"/>
  <c r="M485"/>
  <c r="E485"/>
  <c r="C485"/>
  <c r="M484"/>
  <c r="E484"/>
  <c r="C484"/>
  <c r="M483"/>
  <c r="E483"/>
  <c r="C483"/>
  <c r="M482"/>
  <c r="E482"/>
  <c r="C482"/>
  <c r="M481"/>
  <c r="E481"/>
  <c r="C481"/>
  <c r="M480"/>
  <c r="E480"/>
  <c r="C480"/>
  <c r="M479"/>
  <c r="E479"/>
  <c r="C479"/>
  <c r="M478"/>
  <c r="E478"/>
  <c r="C478"/>
  <c r="M477"/>
  <c r="E477"/>
  <c r="C477"/>
  <c r="M476"/>
  <c r="E476"/>
  <c r="C476"/>
  <c r="M475"/>
  <c r="E475"/>
  <c r="C475"/>
  <c r="M474"/>
  <c r="E474"/>
  <c r="C474"/>
  <c r="M473"/>
  <c r="E473"/>
  <c r="C473"/>
  <c r="M472"/>
  <c r="E472"/>
  <c r="C472"/>
  <c r="M471"/>
  <c r="E471"/>
  <c r="C471"/>
  <c r="M470"/>
  <c r="E470"/>
  <c r="C470"/>
  <c r="M469"/>
  <c r="E469"/>
  <c r="C469"/>
  <c r="M468"/>
  <c r="E468"/>
  <c r="C468"/>
  <c r="M467"/>
  <c r="E467"/>
  <c r="C467"/>
  <c r="M466"/>
  <c r="E466"/>
  <c r="C466"/>
  <c r="M465"/>
  <c r="E465"/>
  <c r="C465"/>
  <c r="M464"/>
  <c r="E464"/>
  <c r="C464"/>
  <c r="M463"/>
  <c r="E463"/>
  <c r="C463"/>
  <c r="M462"/>
  <c r="E462"/>
  <c r="C462"/>
  <c r="M461"/>
  <c r="E461"/>
  <c r="C461"/>
  <c r="M460"/>
  <c r="E460"/>
  <c r="C460"/>
  <c r="M459"/>
  <c r="E459"/>
  <c r="C459"/>
  <c r="M458"/>
  <c r="E458"/>
  <c r="C458"/>
  <c r="M457"/>
  <c r="E457"/>
  <c r="C457"/>
  <c r="M456"/>
  <c r="E456"/>
  <c r="C456"/>
  <c r="M455"/>
  <c r="E455"/>
  <c r="C455"/>
  <c r="M454"/>
  <c r="E454"/>
  <c r="C454"/>
  <c r="M453"/>
  <c r="E453"/>
  <c r="C453"/>
  <c r="M452"/>
  <c r="E452"/>
  <c r="C452"/>
  <c r="M451"/>
  <c r="E451"/>
  <c r="C451"/>
  <c r="M450"/>
  <c r="E450"/>
  <c r="C450"/>
  <c r="M449"/>
  <c r="E449"/>
  <c r="C449"/>
  <c r="M448"/>
  <c r="E448"/>
  <c r="C448"/>
  <c r="M447"/>
  <c r="E447"/>
  <c r="C447"/>
  <c r="M446"/>
  <c r="E446"/>
  <c r="C446"/>
  <c r="M445"/>
  <c r="E445"/>
  <c r="C445"/>
  <c r="M444"/>
  <c r="E444"/>
  <c r="C444"/>
  <c r="M443"/>
  <c r="E443"/>
  <c r="C443"/>
  <c r="M442"/>
  <c r="E442"/>
  <c r="C442"/>
  <c r="M441"/>
  <c r="E441"/>
  <c r="C441"/>
  <c r="M440"/>
  <c r="E440"/>
  <c r="C440"/>
  <c r="M439"/>
  <c r="E439"/>
  <c r="C439"/>
  <c r="M438"/>
  <c r="E438"/>
  <c r="C438"/>
  <c r="M437"/>
  <c r="E437"/>
  <c r="C437"/>
  <c r="M436"/>
  <c r="E436"/>
  <c r="C436"/>
  <c r="M435"/>
  <c r="E435"/>
  <c r="C435"/>
  <c r="M434"/>
  <c r="E434"/>
  <c r="C434"/>
  <c r="M433"/>
  <c r="E433"/>
  <c r="C433"/>
  <c r="M432"/>
  <c r="E432"/>
  <c r="C432"/>
  <c r="M431"/>
  <c r="E431"/>
  <c r="C431"/>
  <c r="M430"/>
  <c r="E430"/>
  <c r="C430"/>
  <c r="M429"/>
  <c r="E429"/>
  <c r="C429"/>
  <c r="M428"/>
  <c r="E428"/>
  <c r="C428"/>
  <c r="M427"/>
  <c r="E427"/>
  <c r="C427"/>
  <c r="M426"/>
  <c r="E426"/>
  <c r="C426"/>
  <c r="M425"/>
  <c r="E425"/>
  <c r="C425"/>
  <c r="M424"/>
  <c r="E424"/>
  <c r="C424"/>
  <c r="M423"/>
  <c r="E423"/>
  <c r="C423"/>
  <c r="M422"/>
  <c r="E422"/>
  <c r="C422"/>
  <c r="M421"/>
  <c r="E421"/>
  <c r="C421"/>
  <c r="M420"/>
  <c r="E420"/>
  <c r="C420"/>
  <c r="M419"/>
  <c r="E419"/>
  <c r="C419"/>
  <c r="M418"/>
  <c r="E418"/>
  <c r="C418"/>
  <c r="M417"/>
  <c r="E417"/>
  <c r="C417"/>
  <c r="M416"/>
  <c r="E416"/>
  <c r="C416"/>
  <c r="M415"/>
  <c r="E415"/>
  <c r="C415"/>
  <c r="M414"/>
  <c r="E414"/>
  <c r="C414"/>
  <c r="M413"/>
  <c r="E413"/>
  <c r="C413"/>
  <c r="M412"/>
  <c r="E412"/>
  <c r="C412"/>
  <c r="M411"/>
  <c r="E411"/>
  <c r="C411"/>
  <c r="M410"/>
  <c r="E410"/>
  <c r="C410"/>
  <c r="M409"/>
  <c r="E409"/>
  <c r="C409"/>
  <c r="M408"/>
  <c r="E408"/>
  <c r="C408"/>
  <c r="M407"/>
  <c r="E407"/>
  <c r="C407"/>
  <c r="M406"/>
  <c r="E406"/>
  <c r="C406"/>
  <c r="M405"/>
  <c r="E405"/>
  <c r="C405"/>
  <c r="M404"/>
  <c r="E404"/>
  <c r="C404"/>
  <c r="M403"/>
  <c r="E403"/>
  <c r="C403"/>
  <c r="M402"/>
  <c r="E402"/>
  <c r="C402"/>
  <c r="M401"/>
  <c r="E401"/>
  <c r="C401"/>
  <c r="M400"/>
  <c r="E400"/>
  <c r="C400"/>
  <c r="M399"/>
  <c r="E399"/>
  <c r="C399"/>
  <c r="M398"/>
  <c r="E398"/>
  <c r="C398"/>
  <c r="M397"/>
  <c r="E397"/>
  <c r="C397"/>
  <c r="M396"/>
  <c r="E396"/>
  <c r="C396"/>
  <c r="M395"/>
  <c r="E395"/>
  <c r="C395"/>
  <c r="M394"/>
  <c r="E394"/>
  <c r="C394"/>
  <c r="M393"/>
  <c r="E393"/>
  <c r="C393"/>
  <c r="M392"/>
  <c r="E392"/>
  <c r="C392"/>
  <c r="M391"/>
  <c r="E391"/>
  <c r="C391"/>
  <c r="M390"/>
  <c r="E390"/>
  <c r="C390"/>
  <c r="M389"/>
  <c r="E389"/>
  <c r="C389"/>
  <c r="M388"/>
  <c r="E388"/>
  <c r="C388"/>
  <c r="M387"/>
  <c r="E387"/>
  <c r="C387"/>
  <c r="M386"/>
  <c r="E386"/>
  <c r="C386"/>
  <c r="M385"/>
  <c r="E385"/>
  <c r="C385"/>
  <c r="M384"/>
  <c r="E384"/>
  <c r="C384"/>
  <c r="M383"/>
  <c r="E383"/>
  <c r="C383"/>
  <c r="M382"/>
  <c r="E382"/>
  <c r="C382"/>
  <c r="M381"/>
  <c r="E381"/>
  <c r="C381"/>
  <c r="M380"/>
  <c r="E380"/>
  <c r="C380"/>
  <c r="M379"/>
  <c r="E379"/>
  <c r="C379"/>
  <c r="M378"/>
  <c r="E378"/>
  <c r="C378"/>
  <c r="M377"/>
  <c r="E377"/>
  <c r="C377"/>
  <c r="M376"/>
  <c r="E376"/>
  <c r="C376"/>
  <c r="M375"/>
  <c r="E375"/>
  <c r="C375"/>
  <c r="M374"/>
  <c r="E374"/>
  <c r="C374"/>
  <c r="M373"/>
  <c r="E373"/>
  <c r="C373"/>
  <c r="M372"/>
  <c r="E372"/>
  <c r="C372"/>
  <c r="M371"/>
  <c r="E371"/>
  <c r="C371"/>
  <c r="M370"/>
  <c r="E370"/>
  <c r="C370"/>
  <c r="M369"/>
  <c r="E369"/>
  <c r="C369"/>
  <c r="M368"/>
  <c r="E368"/>
  <c r="C368"/>
  <c r="M367"/>
  <c r="E367"/>
  <c r="C367"/>
  <c r="M366"/>
  <c r="E366"/>
  <c r="C366"/>
  <c r="M365"/>
  <c r="E365"/>
  <c r="C365"/>
  <c r="M364"/>
  <c r="E364"/>
  <c r="C364"/>
  <c r="M363"/>
  <c r="E363"/>
  <c r="C363"/>
  <c r="M362"/>
  <c r="E362"/>
  <c r="C362"/>
  <c r="M361"/>
  <c r="E361"/>
  <c r="C361"/>
  <c r="M360"/>
  <c r="E360"/>
  <c r="C360"/>
  <c r="M359"/>
  <c r="E359"/>
  <c r="C359"/>
  <c r="M358"/>
  <c r="E358"/>
  <c r="C358"/>
  <c r="M357"/>
  <c r="E357"/>
  <c r="C357"/>
  <c r="M356"/>
  <c r="E356"/>
  <c r="C356"/>
  <c r="M355"/>
  <c r="E355"/>
  <c r="C355"/>
  <c r="M354"/>
  <c r="E354"/>
  <c r="C354"/>
  <c r="M353"/>
  <c r="E353"/>
  <c r="C353"/>
  <c r="M352"/>
  <c r="E352"/>
  <c r="C352"/>
  <c r="M351"/>
  <c r="E351"/>
  <c r="C351"/>
  <c r="M350"/>
  <c r="E350"/>
  <c r="C350"/>
  <c r="M349"/>
  <c r="E349"/>
  <c r="C349"/>
  <c r="M348"/>
  <c r="E348"/>
  <c r="C348"/>
  <c r="M347"/>
  <c r="E347"/>
  <c r="C347"/>
  <c r="M346"/>
  <c r="E346"/>
  <c r="C346"/>
  <c r="M345"/>
  <c r="E345"/>
  <c r="C345"/>
  <c r="M344"/>
  <c r="E344"/>
  <c r="C344"/>
  <c r="M343"/>
  <c r="E343"/>
  <c r="C343"/>
  <c r="M342"/>
  <c r="E342"/>
  <c r="C342"/>
  <c r="M341"/>
  <c r="E341"/>
  <c r="C341"/>
  <c r="M340"/>
  <c r="E340"/>
  <c r="C340"/>
  <c r="M339"/>
  <c r="E339"/>
  <c r="C339"/>
  <c r="M338"/>
  <c r="E338"/>
  <c r="C338"/>
  <c r="M337"/>
  <c r="E337"/>
  <c r="C337"/>
  <c r="M336"/>
  <c r="E336"/>
  <c r="C336"/>
  <c r="M335"/>
  <c r="E335"/>
  <c r="C335"/>
  <c r="M334"/>
  <c r="E334"/>
  <c r="C334"/>
  <c r="M333"/>
  <c r="E333"/>
  <c r="C333"/>
  <c r="M332"/>
  <c r="E332"/>
  <c r="C332"/>
  <c r="M331"/>
  <c r="E331"/>
  <c r="C331"/>
  <c r="M330"/>
  <c r="E330"/>
  <c r="C330"/>
  <c r="M329"/>
  <c r="E329"/>
  <c r="C329"/>
  <c r="M328"/>
  <c r="E328"/>
  <c r="C328"/>
  <c r="M327"/>
  <c r="E327"/>
  <c r="C327"/>
  <c r="M326"/>
  <c r="E326"/>
  <c r="C326"/>
  <c r="M325"/>
  <c r="E325"/>
  <c r="C325"/>
  <c r="M324"/>
  <c r="E324"/>
  <c r="C324"/>
  <c r="M323"/>
  <c r="E323"/>
  <c r="C323"/>
  <c r="M322"/>
  <c r="E322"/>
  <c r="C322"/>
  <c r="M321"/>
  <c r="E321"/>
  <c r="C321"/>
  <c r="M320"/>
  <c r="E320"/>
  <c r="C320"/>
  <c r="M319"/>
  <c r="E319"/>
  <c r="C319"/>
  <c r="M318"/>
  <c r="E318"/>
  <c r="C318"/>
  <c r="M317"/>
  <c r="E317"/>
  <c r="C317"/>
  <c r="M316"/>
  <c r="E316"/>
  <c r="C316"/>
  <c r="M315"/>
  <c r="E315"/>
  <c r="C315"/>
  <c r="M314"/>
  <c r="E314"/>
  <c r="C314"/>
  <c r="M313"/>
  <c r="E313"/>
  <c r="C313"/>
  <c r="M312"/>
  <c r="E312"/>
  <c r="C312"/>
  <c r="M311"/>
  <c r="E311"/>
  <c r="C311"/>
  <c r="M310"/>
  <c r="E310"/>
  <c r="C310"/>
  <c r="M309"/>
  <c r="E309"/>
  <c r="C309"/>
  <c r="M308"/>
  <c r="E308"/>
  <c r="C308"/>
  <c r="M307"/>
  <c r="E307"/>
  <c r="C307"/>
  <c r="M306"/>
  <c r="E306"/>
  <c r="C306"/>
  <c r="M305"/>
  <c r="E305"/>
  <c r="C305"/>
  <c r="M304"/>
  <c r="E304"/>
  <c r="C304"/>
  <c r="M303"/>
  <c r="E303"/>
  <c r="C303"/>
  <c r="M302"/>
  <c r="E302"/>
  <c r="C302"/>
  <c r="M301"/>
  <c r="E301"/>
  <c r="C301"/>
  <c r="M300"/>
  <c r="E300"/>
  <c r="C300"/>
  <c r="M299"/>
  <c r="E299"/>
  <c r="C299"/>
  <c r="M298"/>
  <c r="E298"/>
  <c r="C298"/>
  <c r="M297"/>
  <c r="E297"/>
  <c r="C297"/>
  <c r="M296"/>
  <c r="E296"/>
  <c r="C296"/>
  <c r="M295"/>
  <c r="E295"/>
  <c r="C295"/>
  <c r="M294"/>
  <c r="E294"/>
  <c r="C294"/>
  <c r="M293"/>
  <c r="E293"/>
  <c r="C293"/>
  <c r="M292"/>
  <c r="E292"/>
  <c r="C292"/>
  <c r="M291"/>
  <c r="E291"/>
  <c r="C291"/>
  <c r="M290"/>
  <c r="E290"/>
  <c r="C290"/>
  <c r="M289"/>
  <c r="E289"/>
  <c r="C289"/>
  <c r="M288"/>
  <c r="E288"/>
  <c r="C288"/>
  <c r="M287"/>
  <c r="E287"/>
  <c r="C287"/>
  <c r="M286"/>
  <c r="E286"/>
  <c r="C286"/>
  <c r="M285"/>
  <c r="E285"/>
  <c r="C285"/>
  <c r="M284"/>
  <c r="E284"/>
  <c r="C284"/>
  <c r="M283"/>
  <c r="E283"/>
  <c r="C283"/>
  <c r="M282"/>
  <c r="E282"/>
  <c r="C282"/>
  <c r="M281"/>
  <c r="E281"/>
  <c r="C281"/>
  <c r="M280"/>
  <c r="E280"/>
  <c r="C280"/>
  <c r="M279"/>
  <c r="E279"/>
  <c r="C279"/>
  <c r="M278"/>
  <c r="E278"/>
  <c r="C278"/>
  <c r="M277"/>
  <c r="E277"/>
  <c r="C277"/>
  <c r="M276"/>
  <c r="E276"/>
  <c r="C276"/>
  <c r="M275"/>
  <c r="E275"/>
  <c r="C275"/>
  <c r="M274"/>
  <c r="E274"/>
  <c r="C274"/>
  <c r="M273"/>
  <c r="E273"/>
  <c r="C273"/>
  <c r="M272"/>
  <c r="E272"/>
  <c r="C272"/>
  <c r="M271"/>
  <c r="E271"/>
  <c r="C271"/>
  <c r="M270"/>
  <c r="E270"/>
  <c r="C270"/>
  <c r="M269"/>
  <c r="E269"/>
  <c r="C269"/>
  <c r="M268"/>
  <c r="E268"/>
  <c r="C268"/>
  <c r="M267"/>
  <c r="E267"/>
  <c r="C267"/>
  <c r="M266"/>
  <c r="E266"/>
  <c r="C266"/>
  <c r="M265"/>
  <c r="E265"/>
  <c r="C265"/>
  <c r="M264"/>
  <c r="E264"/>
  <c r="C264"/>
  <c r="M263"/>
  <c r="E263"/>
  <c r="C263"/>
  <c r="M262"/>
  <c r="E262"/>
  <c r="C262"/>
  <c r="M261"/>
  <c r="E261"/>
  <c r="C261"/>
  <c r="M260"/>
  <c r="E260"/>
  <c r="C260"/>
  <c r="M259"/>
  <c r="E259"/>
  <c r="C259"/>
  <c r="M258"/>
  <c r="E258"/>
  <c r="C258"/>
  <c r="M257"/>
  <c r="E257"/>
  <c r="C257"/>
  <c r="M256"/>
  <c r="E256"/>
  <c r="C256"/>
  <c r="M255"/>
  <c r="E255"/>
  <c r="C255"/>
  <c r="M254"/>
  <c r="E254"/>
  <c r="C254"/>
  <c r="M253"/>
  <c r="E253"/>
  <c r="C253"/>
  <c r="M252"/>
  <c r="E252"/>
  <c r="C252"/>
  <c r="M251"/>
  <c r="E251"/>
  <c r="C251"/>
  <c r="M250"/>
  <c r="E250"/>
  <c r="C250"/>
  <c r="M249"/>
  <c r="E249"/>
  <c r="C249"/>
  <c r="M248"/>
  <c r="E248"/>
  <c r="C248"/>
  <c r="M247"/>
  <c r="E247"/>
  <c r="C247"/>
  <c r="M246"/>
  <c r="E246"/>
  <c r="C246"/>
  <c r="M245"/>
  <c r="E245"/>
  <c r="C245"/>
  <c r="M244"/>
  <c r="E244"/>
  <c r="C244"/>
  <c r="M243"/>
  <c r="E243"/>
  <c r="C243"/>
  <c r="M242"/>
  <c r="E242"/>
  <c r="C242"/>
  <c r="M241"/>
  <c r="E241"/>
  <c r="C241"/>
  <c r="M240"/>
  <c r="E240"/>
  <c r="C240"/>
  <c r="M239"/>
  <c r="E239"/>
  <c r="C239"/>
  <c r="M238"/>
  <c r="E238"/>
  <c r="C238"/>
  <c r="M237"/>
  <c r="E237"/>
  <c r="C237"/>
  <c r="M236"/>
  <c r="E236"/>
  <c r="C236"/>
  <c r="M235"/>
  <c r="E235"/>
  <c r="C235"/>
  <c r="M234"/>
  <c r="E234"/>
  <c r="C234"/>
  <c r="M233"/>
  <c r="E233"/>
  <c r="C233"/>
  <c r="M232"/>
  <c r="E232"/>
  <c r="C232"/>
  <c r="M231"/>
  <c r="E231"/>
  <c r="C231"/>
  <c r="M230"/>
  <c r="E230"/>
  <c r="C230"/>
  <c r="M229"/>
  <c r="E229"/>
  <c r="C229"/>
  <c r="M228"/>
  <c r="E228"/>
  <c r="C228"/>
  <c r="M227"/>
  <c r="E227"/>
  <c r="C227"/>
  <c r="M226"/>
  <c r="E226"/>
  <c r="C226"/>
  <c r="M225"/>
  <c r="E225"/>
  <c r="C225"/>
  <c r="M224"/>
  <c r="E224"/>
  <c r="C224"/>
  <c r="M223"/>
  <c r="E223"/>
  <c r="C223"/>
  <c r="M222"/>
  <c r="E222"/>
  <c r="C222"/>
  <c r="M221"/>
  <c r="E221"/>
  <c r="C221"/>
  <c r="M220"/>
  <c r="E220"/>
  <c r="C220"/>
  <c r="M219"/>
  <c r="E219"/>
  <c r="C219"/>
  <c r="M218"/>
  <c r="E218"/>
  <c r="C218"/>
  <c r="M217"/>
  <c r="E217"/>
  <c r="C217"/>
  <c r="M216"/>
  <c r="E216"/>
  <c r="C216"/>
  <c r="M215"/>
  <c r="E215"/>
  <c r="C215"/>
  <c r="M214"/>
  <c r="E214"/>
  <c r="C214"/>
  <c r="M213"/>
  <c r="E213"/>
  <c r="C213"/>
  <c r="M212"/>
  <c r="E212"/>
  <c r="C212"/>
  <c r="M211"/>
  <c r="E211"/>
  <c r="C211"/>
  <c r="M210"/>
  <c r="E210"/>
  <c r="C210"/>
  <c r="M209"/>
  <c r="E209"/>
  <c r="C209"/>
  <c r="M208"/>
  <c r="E208"/>
  <c r="C208"/>
  <c r="M207"/>
  <c r="E207"/>
  <c r="C207"/>
  <c r="M206"/>
  <c r="E206"/>
  <c r="C206"/>
  <c r="M205"/>
  <c r="E205"/>
  <c r="C205"/>
  <c r="M204"/>
  <c r="E204"/>
  <c r="C204"/>
  <c r="M203"/>
  <c r="E203"/>
  <c r="C203"/>
  <c r="M202"/>
  <c r="E202"/>
  <c r="C202"/>
  <c r="M201"/>
  <c r="E201"/>
  <c r="C201"/>
  <c r="M200"/>
  <c r="E200"/>
  <c r="C200"/>
  <c r="M199"/>
  <c r="E199"/>
  <c r="C199"/>
  <c r="M198"/>
  <c r="E198"/>
  <c r="C198"/>
  <c r="M197"/>
  <c r="E197"/>
  <c r="C197"/>
  <c r="M196"/>
  <c r="E196"/>
  <c r="C196"/>
  <c r="M195"/>
  <c r="E195"/>
  <c r="C195"/>
  <c r="M194"/>
  <c r="E194"/>
  <c r="C194"/>
  <c r="M193"/>
  <c r="E193"/>
  <c r="C193"/>
  <c r="M192"/>
  <c r="E192"/>
  <c r="C192"/>
  <c r="M191"/>
  <c r="E191"/>
  <c r="C191"/>
  <c r="M190"/>
  <c r="E190"/>
  <c r="C190"/>
  <c r="M189"/>
  <c r="E189"/>
  <c r="C189"/>
  <c r="M188"/>
  <c r="E188"/>
  <c r="C188"/>
  <c r="M187"/>
  <c r="E187"/>
  <c r="C187"/>
  <c r="M186"/>
  <c r="E186"/>
  <c r="C186"/>
  <c r="M185"/>
  <c r="E185"/>
  <c r="C185"/>
  <c r="M184"/>
  <c r="E184"/>
  <c r="C184"/>
  <c r="M183"/>
  <c r="E183"/>
  <c r="C183"/>
  <c r="M182"/>
  <c r="E182"/>
  <c r="C182"/>
  <c r="M181"/>
  <c r="E181"/>
  <c r="C181"/>
  <c r="M180"/>
  <c r="E180"/>
  <c r="C180"/>
  <c r="M179"/>
  <c r="E179"/>
  <c r="C179"/>
  <c r="M178"/>
  <c r="E178"/>
  <c r="C178"/>
  <c r="M177"/>
  <c r="E177"/>
  <c r="C177"/>
  <c r="M176"/>
  <c r="E176"/>
  <c r="C176"/>
  <c r="M175"/>
  <c r="E175"/>
  <c r="C175"/>
  <c r="M174"/>
  <c r="E174"/>
  <c r="C174"/>
  <c r="M173"/>
  <c r="E173"/>
  <c r="C173"/>
  <c r="M172"/>
  <c r="E172"/>
  <c r="C172"/>
  <c r="M171"/>
  <c r="E171"/>
  <c r="C171"/>
  <c r="M170"/>
  <c r="E170"/>
  <c r="C170"/>
  <c r="M169"/>
  <c r="E169"/>
  <c r="C169"/>
  <c r="M168"/>
  <c r="E168"/>
  <c r="C168"/>
  <c r="M167"/>
  <c r="E167"/>
  <c r="C167"/>
  <c r="M166"/>
  <c r="E166"/>
  <c r="C166"/>
  <c r="M165"/>
  <c r="E165"/>
  <c r="C165"/>
  <c r="M164"/>
  <c r="E164"/>
  <c r="C164"/>
  <c r="M163"/>
  <c r="E163"/>
  <c r="C163"/>
  <c r="M162"/>
  <c r="E162"/>
  <c r="C162"/>
  <c r="M161"/>
  <c r="E161"/>
  <c r="C161"/>
  <c r="M160"/>
  <c r="E160"/>
  <c r="C160"/>
  <c r="M159"/>
  <c r="E159"/>
  <c r="C159"/>
  <c r="M158"/>
  <c r="E158"/>
  <c r="C158"/>
  <c r="M157"/>
  <c r="E157"/>
  <c r="C157"/>
  <c r="M156"/>
  <c r="E156"/>
  <c r="C156"/>
  <c r="M155"/>
  <c r="E155"/>
  <c r="C155"/>
  <c r="M154"/>
  <c r="E154"/>
  <c r="C154"/>
  <c r="M153"/>
  <c r="E153"/>
  <c r="C153"/>
  <c r="M152"/>
  <c r="E152"/>
  <c r="C152"/>
  <c r="M151"/>
  <c r="E151"/>
  <c r="C151"/>
  <c r="M150"/>
  <c r="E150"/>
  <c r="C150"/>
  <c r="M149"/>
  <c r="E149"/>
  <c r="C149"/>
  <c r="M148"/>
  <c r="E148"/>
  <c r="C148"/>
  <c r="M147"/>
  <c r="E147"/>
  <c r="C147"/>
  <c r="M146"/>
  <c r="E146"/>
  <c r="C146"/>
  <c r="M145"/>
  <c r="E145"/>
  <c r="C145"/>
  <c r="M144"/>
  <c r="E144"/>
  <c r="C144"/>
  <c r="M143"/>
  <c r="E143"/>
  <c r="C143"/>
  <c r="M142"/>
  <c r="E142"/>
  <c r="C142"/>
  <c r="M141"/>
  <c r="E141"/>
  <c r="C141"/>
  <c r="M140"/>
  <c r="E140"/>
  <c r="C140"/>
  <c r="M139"/>
  <c r="E139"/>
  <c r="C139"/>
  <c r="M138"/>
  <c r="E138"/>
  <c r="C138"/>
  <c r="M137"/>
  <c r="E137"/>
  <c r="C137"/>
  <c r="M136"/>
  <c r="E136"/>
  <c r="C136"/>
  <c r="M135"/>
  <c r="E135"/>
  <c r="C135"/>
  <c r="M134"/>
  <c r="E134"/>
  <c r="C134"/>
  <c r="M133"/>
  <c r="E133"/>
  <c r="C133"/>
  <c r="M132"/>
  <c r="E132"/>
  <c r="C132"/>
  <c r="M131"/>
  <c r="E131"/>
  <c r="C131"/>
  <c r="M130"/>
  <c r="E130"/>
  <c r="C130"/>
  <c r="M129"/>
  <c r="E129"/>
  <c r="C129"/>
  <c r="M128"/>
  <c r="E128"/>
  <c r="C128"/>
  <c r="M127"/>
  <c r="E127"/>
  <c r="C127"/>
  <c r="M126"/>
  <c r="E126"/>
  <c r="C126"/>
  <c r="M125"/>
  <c r="E125"/>
  <c r="C125"/>
  <c r="M124"/>
  <c r="E124"/>
  <c r="C124"/>
  <c r="M123"/>
  <c r="E123"/>
  <c r="C123"/>
  <c r="M122"/>
  <c r="E122"/>
  <c r="C122"/>
  <c r="M121"/>
  <c r="E121"/>
  <c r="C121"/>
  <c r="M120"/>
  <c r="E120"/>
  <c r="C120"/>
  <c r="M119"/>
  <c r="E119"/>
  <c r="C119"/>
  <c r="M118"/>
  <c r="E118"/>
  <c r="C118"/>
  <c r="M117"/>
  <c r="E117"/>
  <c r="C117"/>
  <c r="M116"/>
  <c r="E116"/>
  <c r="C116"/>
  <c r="M115"/>
  <c r="E115"/>
  <c r="C115"/>
  <c r="M114"/>
  <c r="E114"/>
  <c r="C114"/>
  <c r="M113"/>
  <c r="E113"/>
  <c r="C113"/>
  <c r="M112"/>
  <c r="E112"/>
  <c r="C112"/>
  <c r="M111"/>
  <c r="E111"/>
  <c r="C111"/>
  <c r="M110"/>
  <c r="E110"/>
  <c r="C110"/>
  <c r="M109"/>
  <c r="E109"/>
  <c r="C109"/>
  <c r="M108"/>
  <c r="E108"/>
  <c r="C108"/>
  <c r="M107"/>
  <c r="E107"/>
  <c r="C107"/>
  <c r="M106"/>
  <c r="E106"/>
  <c r="C106"/>
  <c r="M105"/>
  <c r="E105"/>
  <c r="C105"/>
  <c r="M104"/>
  <c r="E104"/>
  <c r="C104"/>
  <c r="M103"/>
  <c r="E103"/>
  <c r="C103"/>
  <c r="M102"/>
  <c r="E102"/>
  <c r="C102"/>
  <c r="M101"/>
  <c r="E101"/>
  <c r="C101"/>
  <c r="M100"/>
  <c r="E100"/>
  <c r="C100"/>
  <c r="M99"/>
  <c r="E99"/>
  <c r="C99"/>
  <c r="M98"/>
  <c r="E98"/>
  <c r="C98"/>
  <c r="M97"/>
  <c r="E97"/>
  <c r="C97"/>
  <c r="M96"/>
  <c r="E96"/>
  <c r="C96"/>
  <c r="M95"/>
  <c r="E95"/>
  <c r="C95"/>
  <c r="M94"/>
  <c r="E94"/>
  <c r="C94"/>
  <c r="M93"/>
  <c r="E93"/>
  <c r="C93"/>
  <c r="M92"/>
  <c r="E92"/>
  <c r="C92"/>
  <c r="M91"/>
  <c r="E91"/>
  <c r="C91"/>
  <c r="M90"/>
  <c r="E90"/>
  <c r="C90"/>
  <c r="M89"/>
  <c r="E89"/>
  <c r="C89"/>
  <c r="M88"/>
  <c r="E88"/>
  <c r="C88"/>
  <c r="M87"/>
  <c r="E87"/>
  <c r="C87"/>
  <c r="M86"/>
  <c r="E86"/>
  <c r="C86"/>
  <c r="M85"/>
  <c r="E85"/>
  <c r="C85"/>
  <c r="M84"/>
  <c r="E84"/>
  <c r="C84"/>
  <c r="M83"/>
  <c r="E83"/>
  <c r="C83"/>
  <c r="M82"/>
  <c r="E82"/>
  <c r="C82"/>
  <c r="M81"/>
  <c r="E81"/>
  <c r="C81"/>
  <c r="M80"/>
  <c r="E80"/>
  <c r="C80"/>
  <c r="M79"/>
  <c r="E79"/>
  <c r="C79"/>
  <c r="M78"/>
  <c r="E78"/>
  <c r="C78"/>
  <c r="M77"/>
  <c r="E77"/>
  <c r="C77"/>
  <c r="M76"/>
  <c r="E76"/>
  <c r="C76"/>
  <c r="M75"/>
  <c r="E75"/>
  <c r="C75"/>
  <c r="M74"/>
  <c r="E74"/>
  <c r="C74"/>
  <c r="M73"/>
  <c r="E73"/>
  <c r="C73"/>
  <c r="M72"/>
  <c r="E72"/>
  <c r="C72"/>
  <c r="M71"/>
  <c r="E71"/>
  <c r="C71"/>
  <c r="M70"/>
  <c r="E70"/>
  <c r="C70"/>
  <c r="M69"/>
  <c r="E69"/>
  <c r="C69"/>
  <c r="M68"/>
  <c r="E68"/>
  <c r="C68"/>
  <c r="M67"/>
  <c r="E67"/>
  <c r="C67"/>
  <c r="M66"/>
  <c r="E66"/>
  <c r="C66"/>
  <c r="M65"/>
  <c r="E65"/>
  <c r="C65"/>
  <c r="M64"/>
  <c r="E64"/>
  <c r="C64"/>
  <c r="M63"/>
  <c r="E63"/>
  <c r="C63"/>
  <c r="M62"/>
  <c r="E62"/>
  <c r="C62"/>
  <c r="M61"/>
  <c r="E61"/>
  <c r="C61"/>
  <c r="M60"/>
  <c r="E60"/>
  <c r="C60"/>
  <c r="M59"/>
  <c r="E59"/>
  <c r="C59"/>
  <c r="M58"/>
  <c r="E58"/>
  <c r="C58"/>
  <c r="M57"/>
  <c r="E57"/>
  <c r="C57"/>
  <c r="M56"/>
  <c r="E56"/>
  <c r="C56"/>
  <c r="M55"/>
  <c r="E55"/>
  <c r="C55"/>
  <c r="M54"/>
  <c r="E54"/>
  <c r="C54"/>
  <c r="M53"/>
  <c r="E53"/>
  <c r="C53"/>
  <c r="M52"/>
  <c r="E52"/>
  <c r="C52"/>
  <c r="M51"/>
  <c r="E51"/>
  <c r="C51"/>
  <c r="M50"/>
  <c r="E50"/>
  <c r="C50"/>
  <c r="M49"/>
  <c r="E49"/>
  <c r="C49"/>
  <c r="M48"/>
  <c r="E48"/>
  <c r="C48"/>
  <c r="M47"/>
  <c r="E47"/>
  <c r="C47"/>
  <c r="M46"/>
  <c r="E46"/>
  <c r="C46"/>
  <c r="M45"/>
  <c r="E45"/>
  <c r="C45"/>
  <c r="M44"/>
  <c r="E44"/>
  <c r="C44"/>
  <c r="M43"/>
  <c r="E43"/>
  <c r="C43"/>
  <c r="M42"/>
  <c r="E42"/>
  <c r="C42"/>
  <c r="M41"/>
  <c r="E41"/>
  <c r="C41"/>
  <c r="M40"/>
  <c r="E40"/>
  <c r="C40"/>
  <c r="M39"/>
  <c r="E39"/>
  <c r="C39"/>
  <c r="M38"/>
  <c r="E38"/>
  <c r="C38"/>
  <c r="M37"/>
  <c r="E37"/>
  <c r="C37"/>
  <c r="M36"/>
  <c r="E36"/>
  <c r="C36"/>
  <c r="M35"/>
  <c r="E35"/>
  <c r="C35"/>
  <c r="M34"/>
  <c r="E34"/>
  <c r="C34"/>
  <c r="M33"/>
  <c r="E33"/>
  <c r="C33"/>
  <c r="M32"/>
  <c r="E32"/>
  <c r="C32"/>
  <c r="M31"/>
  <c r="E31"/>
  <c r="C31"/>
  <c r="M30"/>
  <c r="E30"/>
  <c r="C30"/>
  <c r="M29"/>
  <c r="E29"/>
  <c r="C29"/>
  <c r="M28"/>
  <c r="E28"/>
  <c r="C28"/>
  <c r="M27"/>
  <c r="E27"/>
  <c r="C27"/>
  <c r="M26"/>
  <c r="E26"/>
  <c r="C26"/>
  <c r="M25"/>
  <c r="E25"/>
  <c r="C25"/>
  <c r="M24"/>
  <c r="E24"/>
  <c r="C24"/>
  <c r="M23"/>
  <c r="E23"/>
  <c r="C23"/>
  <c r="M22"/>
  <c r="E22"/>
  <c r="C22"/>
  <c r="M21"/>
  <c r="E21"/>
  <c r="C21"/>
  <c r="M20"/>
  <c r="E20"/>
  <c r="C20"/>
  <c r="M19"/>
  <c r="E19"/>
  <c r="C19"/>
  <c r="M18"/>
  <c r="E18"/>
  <c r="C18"/>
  <c r="M17"/>
  <c r="E17"/>
  <c r="C17"/>
  <c r="M16"/>
  <c r="E16"/>
  <c r="C16"/>
  <c r="M15"/>
  <c r="E15"/>
  <c r="C15"/>
  <c r="M14"/>
  <c r="E14"/>
  <c r="C14"/>
  <c r="M13"/>
  <c r="E13"/>
  <c r="C13"/>
  <c r="M12"/>
  <c r="E12"/>
  <c r="C12"/>
  <c r="M11"/>
  <c r="E11"/>
  <c r="C11"/>
  <c r="M10"/>
  <c r="E10"/>
  <c r="C10"/>
  <c r="M9"/>
  <c r="E9"/>
  <c r="C9"/>
  <c r="M8"/>
  <c r="E8"/>
  <c r="C8"/>
  <c r="M7"/>
  <c r="E7"/>
  <c r="C7"/>
  <c r="M6"/>
  <c r="E6"/>
  <c r="C6"/>
  <c r="M5"/>
  <c r="E5"/>
  <c r="C5"/>
  <c r="M4"/>
  <c r="E4"/>
  <c r="C4"/>
  <c r="M3"/>
  <c r="E3"/>
  <c r="C3"/>
  <c r="M2"/>
  <c r="E2"/>
  <c r="C2"/>
</calcChain>
</file>

<file path=xl/sharedStrings.xml><?xml version="1.0" encoding="utf-8"?>
<sst xmlns="http://schemas.openxmlformats.org/spreadsheetml/2006/main" count="13608" uniqueCount="8735">
  <si>
    <t>GO:0003677 DNA binding,GO:0005515 protein binding,GO:0000166 nucleotide binding,GO:0005524 ATP binding,GO:0005525 GTP binding</t>
  </si>
  <si>
    <t>GO:0005634 nucleus,GO:0005737 cytoplasm,GO:0005730 nucleolus,GO:0000786 nucleosome</t>
  </si>
  <si>
    <t>H200002078</t>
  </si>
  <si>
    <t>NM_021203</t>
  </si>
  <si>
    <t>SRPRB</t>
  </si>
  <si>
    <t>Signal recognition particle receptor subunit beta (SR-beta)(Protein APMCF1) [Source:UniProtKB/Swiss-Prot;Acc:Q9Y5M8]</t>
  </si>
  <si>
    <t>GO:0007264 small GTPase mediated signal transduction,GO:0006886 intracellular protein transport</t>
  </si>
  <si>
    <t>GO:0005515 protein binding,GO:0003729 mRNA binding,GO:0003723 RNA binding,GO:0000166 nucleotide binding,GO:0003676 nucleic acid binding,GO:0003729 mRNA binding</t>
  </si>
  <si>
    <t>GATA2 shRNA</t>
    <phoneticPr fontId="1"/>
  </si>
  <si>
    <t>Control shRNA</t>
    <phoneticPr fontId="1"/>
  </si>
  <si>
    <t>GO:0007165 signal transduction,GO:0045954 positive regulation of natural killer cell mediated cytotoxicity,GO:0048469 cell maturation,GO:0045078 positive regulation of interferon-gamma biosynthetic process,GO:0042102 positive regulation of T cell proliferation,GO:0002729 positive regulation of natural killer cell cytokine production,GO:0032733 positive regulation of interleukin-10 production,GO:0032825 positive regulation of natural killer cell differentiation</t>
  </si>
  <si>
    <t>GO:0005125 cytokine activity,GO:0005134 interleukin-2 receptor binding</t>
  </si>
  <si>
    <t>opHsV0400001978</t>
  </si>
  <si>
    <t>AC021107.3</t>
  </si>
  <si>
    <t>Uncharacterized protein ENSP00000329229 (HCG2036705)  [Source:UniProtKB/TrEMBL;Acc:A8MPX3]</t>
  </si>
  <si>
    <t>AHsV10001276</t>
  </si>
  <si>
    <t>NM_014252.2</t>
  </si>
  <si>
    <t>SLC25A15</t>
  </si>
  <si>
    <t>Coiled-coil-helix-coiled-coil-helix domain-containing protein 7  [Source:UniProtKB/Swiss-Prot;Acc:Q9BUK0]</t>
  </si>
  <si>
    <t>H200003262</t>
  </si>
  <si>
    <t>NM_005615</t>
  </si>
  <si>
    <t>RNASE6</t>
  </si>
  <si>
    <t>H200008353</t>
  </si>
  <si>
    <t>NM_032663;NM_032663;NM_032663</t>
  </si>
  <si>
    <t>USP30</t>
  </si>
  <si>
    <t>39S ribosomal protein L4, mitochondrial (L4mt)(MRP-L4) [Source:UniProtKB/Swiss-Prot;Acc:Q9BYD3]</t>
  </si>
  <si>
    <t>H300022486</t>
  </si>
  <si>
    <t>NM_001011668;NM_001011668;NM_001011668;NM_001011668;NM_001011668</t>
  </si>
  <si>
    <t>CHCHD7</t>
  </si>
  <si>
    <t>GO:0003677 DNA binding,GO:0003735 structural constituent of ribosome,GO:0005515 protein binding</t>
  </si>
  <si>
    <t>GO:0005622 intracellular,GO:0005634 nucleus,GO:0005654 nucleoplasm,GO:0005829 cytosol,GO:0005840 ribosome,GO:0015935 small ribosomal subunit,GO:0022627 cytosolic small ribosomal subunit</t>
  </si>
  <si>
    <t>GO:0005515 protein binding,GO:0000166 nucleotide binding,GO:0005525 GTP binding,GO:0004872 receptor activity</t>
  </si>
  <si>
    <t>GO:0016021 integral to membrane,GO:0016020 membrane,GO:0005622 intracellular,GO:0005783 endoplasmic reticulum,GO:0005789 endoplasmic reticulum membrane,GO:0030529 ribonucleoprotein complex</t>
  </si>
  <si>
    <t>H300021799</t>
  </si>
  <si>
    <t>GO:0005737 cytoplasm,GO:0005634 nucleus,GO:0016607 nuclear speck,GO:0005681 spliceosome,GO:0035145 exon-exon junction complex,GO:0005634 nucleus</t>
  </si>
  <si>
    <t>CHsGV10002219</t>
  </si>
  <si>
    <t>NM_001134484.1;NM_001001790.2;NM_001134485.1</t>
  </si>
  <si>
    <t>TOMM5</t>
  </si>
  <si>
    <t>Mitochondrial import receptor subunit TOM5 homolog  [Source:UniProtKB/Swiss-Prot;Acc:Q8N4H5]</t>
  </si>
  <si>
    <t>GO:0015031 protein transport,GO:0006626 protein targeting to mitochondrion</t>
  </si>
  <si>
    <t>GO:0016021 integral to membrane,GO:0005739 mitochondrion,GO:0016020 membrane,GO:0005742 mitochondrial outer membrane translocase complex</t>
  </si>
  <si>
    <t>Interleukin-21 Precursor (IL-21)(Za11) [Source:UniProtKB/Swiss-Prot;Acc:Q9HBE4]</t>
  </si>
  <si>
    <t>CHsGV10003998</t>
  </si>
  <si>
    <t>NM_022762.3</t>
  </si>
  <si>
    <t>RMND5B</t>
  </si>
  <si>
    <t>Ribonuclease K6 Precursor (RNase K6)(EC 3.1.27.-) [Source:UniProtKB/Swiss-Prot;Acc:Q93091]</t>
  </si>
  <si>
    <t>Nucleolar phosphoprotein p130 (Nucleolar 130 kDa protein)(140 kDa nucleolar phosphoprotein)(Nopp140)(Nucleolar and coiled-body phosphoprotein 1)(HCV NS5A trans-regulated protein 13)(NS5ATP13) [Source:UniProtKB/Swiss-Prot;Acc:Q14978]</t>
  </si>
  <si>
    <t>GO:0007049 cell cycle,GO:0007067 mitosis,GO:0006334 nucleosome assembly,GO:0006364 rRNA processing</t>
  </si>
  <si>
    <t>GO:0008150 biological_process,GO:0008380 RNA splicing,GO:0006396 RNA processing,GO:0006810 transport,GO:0051028 mRNA transport</t>
  </si>
  <si>
    <t>GO:0004252 serine-type endopeptidase activity,GO:0008236 serine-type peptidase activity</t>
  </si>
  <si>
    <t>opHsV0400000575</t>
  </si>
  <si>
    <t>NM_005330</t>
  </si>
  <si>
    <t>HBE1</t>
  </si>
  <si>
    <t>Hemoglobin subunit epsilon (Hemoglobin epsilon chain)(Epsilon-globin) [Source:UniProtKB/Swiss-Prot;Acc:P02100]</t>
  </si>
  <si>
    <t>GO:0006810 transport,GO:0015671 oxygen transport</t>
  </si>
  <si>
    <t>GO:0005833 hemoglobin complex</t>
  </si>
  <si>
    <t>H300021050</t>
  </si>
  <si>
    <t>NM_004741</t>
  </si>
  <si>
    <t>NOLC1</t>
  </si>
  <si>
    <t>RPS15P5</t>
  </si>
  <si>
    <t>40S ribosomal protein S15 (RIG protein) [Source:UniProtKB/Swiss-Prot;Acc:P62841]</t>
  </si>
  <si>
    <t>GO:0000056 ribosomal small subunit export from nucleus,GO:0006364 rRNA processing,GO:0006412 translation,GO:0006414 translational elongation,GO:0042274 ribosomal small subunit biogenesis</t>
  </si>
  <si>
    <t>H300018659</t>
  </si>
  <si>
    <t>NM_199483;NM_199483</t>
  </si>
  <si>
    <t>C20orf24</t>
  </si>
  <si>
    <t>Uncharacterized protein C20orf24 (Rab5-interacting protein)(RIP5) [Source:UniProtKB/Swiss-Prot;Acc:Q9BUV8]</t>
  </si>
  <si>
    <t>AHsV10003507</t>
  </si>
  <si>
    <t>NM_020145.2</t>
  </si>
  <si>
    <t>SH3GLB2</t>
  </si>
  <si>
    <t>GO:0016021 integral to membrane,GO:0016020 membrane,GO:0005856 cytoskeleton,GO:0005624 membrane fraction,GO:0005887 integral to plasma membrane,GO:0043231 intracellular membrane-bounded organelle</t>
  </si>
  <si>
    <t>CHsGV10003993</t>
  </si>
  <si>
    <t>NM_002517.2</t>
  </si>
  <si>
    <t>NPAS1</t>
  </si>
  <si>
    <t>Neuronal PAS domain-containing protein 1 (Neuronal PAS1)(Member of PAS protein 5)(Basic-helix-loop-helix-PAS protein MOP5) [Source:UniProtKB/Swiss-Prot;Acc:Q99742]</t>
  </si>
  <si>
    <t>NM_152877;NM_152877;NM_152877;NM_152877;NM_152875;NM_152876;NM_152876;NM_152876;NM_152876</t>
  </si>
  <si>
    <t>FAS</t>
  </si>
  <si>
    <t>Ubiquitin carboxyl-terminal hydrolase 30 (EC 3.1.2.15)(Ubiquitin thioesterase 30)(Ubiquitin-specific-processing protease 30)(Deubiquitinating enzyme 30) [Source:UniProtKB/Swiss-Prot;Acc:Q70CQ3]</t>
  </si>
  <si>
    <t>GO:0016787 hydrolase activity,GO:0008233 peptidase activity,GO:0004221 ubiquitin thiolesterase activity,GO:0008234 cysteine-type peptidase activity</t>
  </si>
  <si>
    <t>H200017463</t>
  </si>
  <si>
    <t>NM_146388;NM_146388;NM_146388</t>
  </si>
  <si>
    <t>MRPL4</t>
  </si>
  <si>
    <t>AHsV10002588</t>
  </si>
  <si>
    <t>NM_005729.3</t>
  </si>
  <si>
    <t>GO:0003755 peptidyl-prolyl cis-trans isomerase activity,GO:0016853 isomerase activity,GO:0042277 peptide binding</t>
  </si>
  <si>
    <t>GO:0005624 membrane fraction,GO:0005739 mitochondrion,GO:0005759 mitochondrial matrix</t>
  </si>
  <si>
    <t>H200018004</t>
  </si>
  <si>
    <t>NM_021803</t>
  </si>
  <si>
    <t>IL21</t>
  </si>
  <si>
    <t>H300000118</t>
  </si>
  <si>
    <t>NM_004090</t>
  </si>
  <si>
    <t>DUSP3</t>
  </si>
  <si>
    <t>Dual specificity protein phosphatase 3 (EC 3.1.3.48)(EC 3.1.3.16)(Dual specificity protein phosphatase VHR) [Source:UniProtKB/Swiss-Prot;Acc:P51452]</t>
  </si>
  <si>
    <t>GO:0005654 nucleoplasm</t>
  </si>
  <si>
    <t>opHsV0400000329</t>
  </si>
  <si>
    <t>NM_003761;NM_003761</t>
  </si>
  <si>
    <t>NM_003375.2</t>
  </si>
  <si>
    <t>VDAC2</t>
  </si>
  <si>
    <t>Voltage-dependent anion-selective channel protein 2 (VDAC-2)(hVDAC2)(Outer mitochondrial membrane protein porin 2) [Source:UniProtKB/Swiss-Prot;Acc:P45880]</t>
  </si>
  <si>
    <t>GO:0000166 nucleotide binding,GO:0005515 protein binding,GO:0008308 voltage-gated anion channel activity</t>
  </si>
  <si>
    <t>GO:0005739 mitochondrion,GO:0005741 mitochondrial outer membrane,GO:0016020 membrane,GO:0016021 integral to membrane,GO:0042645 mitochondrial nucleoid</t>
  </si>
  <si>
    <t>Protein RMD5 homolog B  [Source:UniProtKB/Swiss-Prot;Acc:Q96G75]</t>
  </si>
  <si>
    <t>H200014920</t>
  </si>
  <si>
    <t>NM_005791</t>
  </si>
  <si>
    <t>MPHOSPH10</t>
  </si>
  <si>
    <t>Mitochondrial ornithine transporter 1 (Solute carrier family 25 member 15) [Source:UniProtKB/Swiss-Prot;Acc:Q9Y619]</t>
  </si>
  <si>
    <t>GO:0000050 urea cycle,GO:0000066 mitochondrial ornithine transport,GO:0006520 amino acid metabolic process,GO:0006810 transport,GO:0006813 potassium ion transport</t>
  </si>
  <si>
    <t>GO:0000064 L-ornithine transmembrane transporter activity,GO:0005215 transporter activity,GO:0005249 voltage-gated potassium channel activity,GO:0005488 binding</t>
  </si>
  <si>
    <t>CHsGV10003486</t>
  </si>
  <si>
    <t>GO:0006952 defense response,GO:0006401 RNA catabolic process</t>
  </si>
  <si>
    <t>CHsGV10001148</t>
  </si>
  <si>
    <t>NM_005105.2</t>
  </si>
  <si>
    <t>RBM8A</t>
  </si>
  <si>
    <t>RNA-binding protein 8A (RNA-binding motif protein 8A)(Ribonucleoprotein RBM8A)(RNA-binding protein Y14)(Binder of OVCA1-1)(BOV-1) [Source:UniProtKB/Swiss-Prot;Acc:Q9Y5S9]</t>
  </si>
  <si>
    <t>Protein JTB Precursor (Jumping translocation breakpoint protein)(Prostate androgen-regulated protein)(PAR protein) [Source:UniProtKB/Swiss-Prot;Acc:O76095]</t>
  </si>
  <si>
    <t>Transmembrane protein 176A (Hepatocellular carcinoma-associated antigen 112) [Source:UniProtKB/Swiss-Prot;Acc:Q96HP8]</t>
  </si>
  <si>
    <t>H300019939</t>
  </si>
  <si>
    <t>NM_176895;NM_176895;NM_176895;NM_176895</t>
  </si>
  <si>
    <t>PPAP2A</t>
  </si>
  <si>
    <t>Lipid phosphate phosphohydrolase 1 (EC 3.1.3.4)(Phosphatidic acid phosphatase 2a)(PAP2-alpha)(PAP-2a)(PAP2a)(Phosphatidate phosphohydrolase type 2a) [Source:UniProtKB/Swiss-Prot;Acc:O14494]</t>
  </si>
  <si>
    <t>GO:0000122 negative regulation of transcription from RNA polymerase II promoter,GO:0007610 behavior,GO:0007165 signal transduction,GO:0007417 central nervous system development,GO:0045449 regulation of transcription,GO:0000122 negative regulation of transcription from RNA polymerase II promoter,GO:0007610 behavior</t>
  </si>
  <si>
    <t>H200002606</t>
  </si>
  <si>
    <t>NM_016586;NM_016586</t>
  </si>
  <si>
    <t>MBIP</t>
  </si>
  <si>
    <t>MAP3K12-binding inhibitory protein 1 (MAPK upstream kinase-binding inhibitory protein)(MUK-binding inhibitory protein) [Source:UniProtKB/Swiss-Prot;Acc:Q9NS73]</t>
  </si>
  <si>
    <t>GO:0000173 inactivation of MAPK activity during osmolarity sensing</t>
  </si>
  <si>
    <t>GO:0004860 protein kinase inhibitor activity</t>
  </si>
  <si>
    <t>AHsV10000819</t>
  </si>
  <si>
    <t>GO:0005515 protein binding,GO:0003735 structural constituent of ribosome,GO:0003729 mRNA binding</t>
  </si>
  <si>
    <t>GO:0005634 nucleus,GO:0005622 intracellular,GO:0005840 ribosome,GO:0005829 cytosol,GO:0005730 nucleolus,GO:0022627 cytosolic small ribosomal subunit</t>
  </si>
  <si>
    <t>H200006992</t>
  </si>
  <si>
    <t>NM_001071</t>
  </si>
  <si>
    <t>TYMS</t>
  </si>
  <si>
    <t>Thymidylate synthase (TSase)(TS)(EC 2.1.1.45) [Source:UniProtKB/Swiss-Prot;Acc:P04818]</t>
  </si>
  <si>
    <t>Tumor necrosis factor receptor superfamily member 6 Precursor (FASLG receptor)(Apoptosis-mediating surface antigen FAS)(Apo-1 antigen)(CD95 antigen) [Source:UniProtKB/Swiss-Prot;Acc:P25445]</t>
  </si>
  <si>
    <t>AHsV10001889</t>
  </si>
  <si>
    <t>NM_024098.3</t>
  </si>
  <si>
    <t>CCDC86</t>
  </si>
  <si>
    <t>Coiled-coil domain-containing protein 86 (Cytokine-induced protein with coiled-coil domain) [Source:UniProtKB/Swiss-Prot;Acc:Q9H6F5]</t>
  </si>
  <si>
    <t>GO:0005634 nucleus,GO:0005730 nucleolus,GO:0030529 ribonucleoprotein complex,GO:0005732 small nucleolar ribonucleoprotein complex</t>
  </si>
  <si>
    <t>GO:0016021 integral to membrane,GO:0005624 membrane fraction,GO:0005795 Golgi stack,GO:0016020 membrane,GO:0005794 Golgi apparatus</t>
  </si>
  <si>
    <t>NM_006370</t>
  </si>
  <si>
    <t>VTI1B</t>
  </si>
  <si>
    <t>Vesicle transport through interaction with t-SNAREs homolog 1B (Vesicle transport v-SNARE protein Vti1-like 1)(Vti1-rp1) [Source:UniProtKB/Swiss-Prot;Acc:Q9UEU0]</t>
  </si>
  <si>
    <t>GO:0006904 vesicle docking during exocytosis,GO:0008283 cell proliferation,GO:0006886 intracellular protein transport,GO:0016192 vesicle-mediated transport,GO:0006944 membrane fusion</t>
  </si>
  <si>
    <t>GO:0016021 integral to membrane,GO:0016020 membrane,GO:0005794 Golgi apparatus,GO:0012505 endomembrane system</t>
  </si>
  <si>
    <t>CHsGV10002022</t>
  </si>
  <si>
    <t>NM_018487.2</t>
  </si>
  <si>
    <t>TMEM176A</t>
  </si>
  <si>
    <t>NM_014230;NM_014230</t>
  </si>
  <si>
    <t>SRP68</t>
  </si>
  <si>
    <t>Signal recognition particle 68 kDa protein (SRP68) [Source:UniProtKB/Swiss-Prot;Acc:Q9UHB9]</t>
  </si>
  <si>
    <t>H200012154</t>
  </si>
  <si>
    <t>NM_001976</t>
  </si>
  <si>
    <t>ENO3</t>
  </si>
  <si>
    <t>H200004499</t>
  </si>
  <si>
    <t>NM_033087</t>
  </si>
  <si>
    <t>Glutaredoxin-related protein 5  [Source:UniProtKB/Swiss-Prot;Acc:Q86SX6]</t>
  </si>
  <si>
    <t>GO:0009055 electron carrier activity,GO:0015450 P-P-bond-hydrolysis-driven protein transmembrane transporter activity,GO:0015035 protein disulfide oxidoreductase activity</t>
  </si>
  <si>
    <t>GO:0016021 integral to membrane,GO:0005739 mitochondrion</t>
  </si>
  <si>
    <t>H200007627</t>
  </si>
  <si>
    <t>NM_001017</t>
  </si>
  <si>
    <t>RPS13</t>
  </si>
  <si>
    <t>40S ribosomal protein S13  [Source:UniProtKB/Swiss-Prot;Acc:P62277]</t>
  </si>
  <si>
    <t>GO:0006412 translation,GO:0006414 translational elongation,GO:0033119 negative regulation of RNA splicing</t>
  </si>
  <si>
    <t>NM_006036.3;NM_001042386.1;NM_001042385.1</t>
  </si>
  <si>
    <t>PREPL</t>
  </si>
  <si>
    <t>Prolyl endopeptidase-like (EC 3.4.21.-)(Prolylendopeptidase-like) [Source:UniProtKB/Swiss-Prot;Acc:Q4J6C6]</t>
  </si>
  <si>
    <t>Endophilin-B2 (SH3 domain-containing GRB2-like protein B2) [Source:UniProtKB/Swiss-Prot;Acc:Q9NR46]</t>
  </si>
  <si>
    <t>AHsV10001712</t>
  </si>
  <si>
    <t>NM_001018.3</t>
  </si>
  <si>
    <t>H200001219</t>
  </si>
  <si>
    <t>NM_006694</t>
  </si>
  <si>
    <t>JTB</t>
  </si>
  <si>
    <t>H200008341</t>
  </si>
  <si>
    <t>PSMD14</t>
  </si>
  <si>
    <t>26S proteasome non-ATPase regulatory subunit 14 (26S proteasome regulatory subunit rpn11)(26S proteasome-associated PAD1 homolog 1) [Source:UniProtKB/Swiss-Prot;Acc:O00487]</t>
  </si>
  <si>
    <t>GO:0004799 thymidylate synthase activity</t>
  </si>
  <si>
    <t>CHsGV10001896</t>
  </si>
  <si>
    <t>NM_002408.3;NM_001015883</t>
  </si>
  <si>
    <t>MGAT2</t>
  </si>
  <si>
    <t>Alpha-1,6-mannosyl-glycoprotein 2-beta-N-acetylglucosaminyltransferase (EC 2.4.1.143)(Mannoside acetylglucosaminyltransferase 2)(N-glycosyl-oligosaccharide-glycoprotein N-acetylglucosaminyltransferase II)(Beta-1,2-N-acetylglucosaminyltransferase II)(GlcNAc-T II)(GNT-II) [Source:UniProtKB/Swiss-Prot;Acc:Q10469]</t>
  </si>
  <si>
    <t>GO:0009312 oligosaccharide biosynthetic process,GO:0018279 protein amino acid N-linked glycosylation via asparagine,GO:0018279 protein amino acid N-linked glycosylation via asparagine</t>
  </si>
  <si>
    <t>H300009660</t>
  </si>
  <si>
    <t>H200016980</t>
  </si>
  <si>
    <t>GO:0016787 hydrolase activity,GO:0008270 zinc ion binding,GO:0000166 nucleotide binding,GO:0005524 ATP binding,GO:0003676 nucleic acid binding,GO:0004386 helicase activity,GO:0008026 ATP-dependent helicase activity,GO:0003678 DNA helicase activity</t>
  </si>
  <si>
    <t>H200008502</t>
  </si>
  <si>
    <t>NM_032901</t>
  </si>
  <si>
    <t>C12orf62</t>
  </si>
  <si>
    <t>Beta-enolase (EC 4.2.1.11)(2-phospho-D-glycerate hydro-lyase)(Muscle-specific enolase)(MSE)(Skeletal muscle enolase)(Enolase 3) [Source:UniProtKB/Swiss-Prot;Acc:P13929]</t>
  </si>
  <si>
    <t>GO:0000287 magnesium ion binding,GO:0016829 lyase activity,GO:0004634 phosphopyruvate hydratase activity</t>
  </si>
  <si>
    <t>GO:0005737 cytoplasm,GO:0000015 phosphopyruvate hydratase complex</t>
  </si>
  <si>
    <t>opHsV0400000455</t>
  </si>
  <si>
    <t>DENR</t>
  </si>
  <si>
    <t>UPF0448 protein C10orf104  [Source:UniProtKB/Swiss-Prot;Acc:Q96DE5]</t>
  </si>
  <si>
    <t>H300001628</t>
  </si>
  <si>
    <t>NM_016417</t>
  </si>
  <si>
    <t>GLRX5</t>
  </si>
  <si>
    <t>H200003192</t>
  </si>
  <si>
    <t>GO:0006231 dTMP biosynthetic process</t>
  </si>
  <si>
    <t>U3 small nucleolar ribonucleoprotein protein MPP10 (M phase phosphoprotein 10) [Source:UniProtKB/Swiss-Prot;Acc:O00566]</t>
  </si>
  <si>
    <t>GO:0008380 RNA splicing,GO:0006364 rRNA processing</t>
  </si>
  <si>
    <t>GO:0005515 protein binding,GO:0031202 RNA splicing factor activity, transesterification mechanism</t>
  </si>
  <si>
    <t>GO:0007275 multicellular organismal development,GO:0006470 protein amino acid dephosphorylation,GO:0007049 cell cycle,GO:0016311 dephosphorylation,GO:0030335 positive regulation of cell migration</t>
  </si>
  <si>
    <t>GO:0016787 hydrolase activity,GO:0008138 protein tyrosine/serine/threonine phosphatase activity,GO:0004725 protein tyrosine phosphatase activity,GO:0016791 phosphatase activity</t>
  </si>
  <si>
    <t>GO:0005737 cytoplasm,GO:0005886 plasma membrane,GO:0005783 endoplasmic reticulum,GO:0005769 early endosome,GO:0005819 spindle,GO:0005634 nucleus</t>
  </si>
  <si>
    <t>GO:0006511 ubiquitin-dependent protein catabolic process,GO:0031145 anaphase-promoting complex-dependent proteasomal ubiquitin-dependent protein catabolic process,GO:0051436 negative regulation of ubiquitin-protein ligase activity during mitotic cell cycle,GO:0051437 positive regulation of ubiquitin-protein ligase activity during mitotic cell cycle</t>
  </si>
  <si>
    <t>H200010661</t>
  </si>
  <si>
    <t>NM_021809;NM_021809</t>
  </si>
  <si>
    <t>TGIF2</t>
  </si>
  <si>
    <t>Homeobox protein TGIF2 (5'-TG-3'-interacting factor 2)(TGF(beta)-induced transcription factor 2)(TGFB-induced factor 2) [Source:UniProtKB/Swiss-Prot;Acc:Q9GZN2]</t>
  </si>
  <si>
    <t>AHsV10000745</t>
  </si>
  <si>
    <t>NM_001135673</t>
  </si>
  <si>
    <t>ATL2</t>
  </si>
  <si>
    <t>Atlastin-2 (ADP-ribosylation factor-like protein 6-interacting protein 2)(ARL-6-interacting protein 2)(Aip-2) [Source:UniProtKB/Swiss-Prot;Acc:Q8NHH9]</t>
  </si>
  <si>
    <t>H300021140</t>
  </si>
  <si>
    <t>RECQL4</t>
  </si>
  <si>
    <t>ATP-dependent DNA helicase Q4 (EC 3.6.1.-)(RecQ protein-like 4)(RecQ4)(RTS) [Source:UniProtKB/Swiss-Prot;Acc:O94761]</t>
  </si>
  <si>
    <t>Uncharacterized protein C12orf62  [Source:UniProtKB/Swiss-Prot;Acc:Q96I36]</t>
  </si>
  <si>
    <t>Density-regulated protein (DRP)(Protein DRP1)(Smooth muscle cell-associated protein 3)(SMAP-3) [Source:UniProtKB/Swiss-Prot;Acc:O43583]</t>
  </si>
  <si>
    <t>Protein tyrosine phosphatase type IVA 1 (EC 3.1.3.48)(Protein-tyrosine phosphatase 4a1)(Protein-tyrosine phosphatase of regenerating liver 1)(PRL-1)(PTP(CAAXI)) [Source:UniProtKB/Swiss-Prot;Acc:Q93096]</t>
  </si>
  <si>
    <t>H300014546</t>
  </si>
  <si>
    <t>NM_080666</t>
  </si>
  <si>
    <t>WDR89</t>
  </si>
  <si>
    <t>WD repeat-containing protein 89  [Source:UniProtKB/Swiss-Prot;Acc:Q96FK6]</t>
  </si>
  <si>
    <t>GO:0003677 DNA binding,GO:0016787 hydrolase activity,GO:0003824 catalytic activity,GO:0042803 protein homodimerization activity,GO:0004518 nuclease activity,GO:0004519 endonuclease activity,GO:0003690 double-stranded DNA binding,GO:0047485 protein N-terminus binding,GO:0003697 single-stranded DNA binding,GO:0004520 endodeoxyribonuclease activity,GO:0000405 bubble DNA binding</t>
  </si>
  <si>
    <t>GO:0005634 nucleus,GO:0005654 nucleoplasm,GO:0005675 holo TFIIH complex</t>
  </si>
  <si>
    <t>H300002228</t>
  </si>
  <si>
    <t>NM_017866</t>
  </si>
  <si>
    <t>TMEM70</t>
  </si>
  <si>
    <t>Transmembrane protein 70  [Source:UniProtKB/Swiss-Prot;Acc:Q9BUB7]</t>
  </si>
  <si>
    <t>CHsGV10003106</t>
  </si>
  <si>
    <t>NM_031452.2</t>
  </si>
  <si>
    <t>GO:0007275 multicellular organismal development,GO:0006281 DNA repair,GO:0008284 positive regulation of cell proliferation,GO:0006310 DNA recombination,GO:0043473 pigmentation,GO:0048705 skeletal morphogenesis,GO:0045875 negative regulation of sister chromatid cohesion</t>
  </si>
  <si>
    <t>ALDH18A1</t>
  </si>
  <si>
    <t>Delta-1-pyrroline-5-carboxylate synthetase (P5CS)(Aldehyde dehydrogenase family 18 member A1) [Includes Glutamate 5-kinase(GK)(EC 2.7.2.11)(Gamma-glutamyl kinase);Gamma-glutamyl phosphate reductase(GPR)(EC 1.2.1.41)(Glutamate-5-semialdehyde dehydrogenase)(Glutamyl-gamma-semialdehyde dehydrogenase)] [Source:UniProtKB/Swiss-Prot;Acc:P54886]</t>
  </si>
  <si>
    <t>GO:0008152 metabolic process,GO:0008652 amino acid biosynthetic process,GO:0006561 proline biosynthetic process</t>
  </si>
  <si>
    <t>GO:0003824 catalytic activity,GO:0016491 oxidoreductase activity,GO:0004349 glutamate 5-kinase activity,GO:0004350 glutamate-5-semialdehyde dehydrogenase activity</t>
  </si>
  <si>
    <t>H300015423</t>
  </si>
  <si>
    <t>NM_000123</t>
  </si>
  <si>
    <t>ERCC5</t>
  </si>
  <si>
    <t>NM_024589</t>
  </si>
  <si>
    <t>ROGDI</t>
  </si>
  <si>
    <t>Protein rogdi homolog  [Source:UniProtKB/Swiss-Prot;Acc:Q9GZN7]</t>
  </si>
  <si>
    <t>CHsGV10001692</t>
  </si>
  <si>
    <t>NM_001031745.1;NM_144968.1</t>
  </si>
  <si>
    <t>RIBC1</t>
  </si>
  <si>
    <t>RIB43A-like with coiled-coils protein 1  [Source:UniProtKB/Swiss-Prot;Acc:Q8N443]</t>
  </si>
  <si>
    <t>CHsGV10001897</t>
  </si>
  <si>
    <t>NM_003463.3</t>
  </si>
  <si>
    <t>PTP4A1</t>
  </si>
  <si>
    <t>H300007562</t>
  </si>
  <si>
    <t>NM_020243</t>
  </si>
  <si>
    <t>TOMM22</t>
  </si>
  <si>
    <t>GO:0006289 nucleotide-excision repair,GO:0006974 response to DNA damage stimulus,GO:0006281 DNA repair,GO:0007605 sensory perception of sound,GO:0006283 transcription-coupled nucleotide-excision repair,GO:0043066 negative regulation of apoptosis,GO:0000718 nucleotide-excision repair, DNA damage removal,GO:0006295 nucleotide-excision repair, DNA incision, 3'-to lesion,GO:0009650 UV protection,GO:0035264 multicellular organism growth,GO:0008340 determination of adult life span,GO:0010225 response to UV-C</t>
  </si>
  <si>
    <t>GO:0016021 integral to membrane,GO:0016020 membrane,GO:0005739 mitochondrion,GO:0005742 mitochondrial outer membrane translocase complex,GO:0000299 integral to membrane of membrane fraction</t>
  </si>
  <si>
    <t>H300020301</t>
  </si>
  <si>
    <t>NM_001100120;NM_001100120;NM_001037324</t>
  </si>
  <si>
    <t>ECE2</t>
  </si>
  <si>
    <t>Endothelin-converting enzyme 2 (ECE-2) [Includes Methyltransferase-like region(EC 2.1.1.-);Endothelin-converting enzyme 2 region(EC 3.4.24.71)] [Source:UniProtKB/Swiss-Prot;Acc:O60344]</t>
  </si>
  <si>
    <t>GO:0008152 metabolic process,GO:0006508 proteolysis,GO:0007267 cell-cell signaling,GO:0007507 heart development,GO:0007420 brain development,GO:0010002 cardioblast differentiation,GO:0016486 peptide hormone processing</t>
  </si>
  <si>
    <t>FAM103A1</t>
  </si>
  <si>
    <t>Protein FAM103A1  [Source:UniProtKB/Swiss-Prot;Acc:Q9BTL3]</t>
  </si>
  <si>
    <t>H200019018</t>
  </si>
  <si>
    <t>NM_017771</t>
  </si>
  <si>
    <t>PXK</t>
  </si>
  <si>
    <t>PX domain-containing protein kinase-like protein (Modulator of Na,K-ATPase)(MONaKA) [Source:UniProtKB/Swiss-Prot;Acc:Q7Z7A4]</t>
  </si>
  <si>
    <t>GO:0006468 protein amino acid phosphorylation,GO:0007154 cell communication</t>
  </si>
  <si>
    <t>GO:0008150 biological_process,GO:0006413 translational initiation</t>
  </si>
  <si>
    <t>GO:0003674 molecular_function,GO:0003743 translation initiation factor activity</t>
  </si>
  <si>
    <t>H300008676</t>
  </si>
  <si>
    <t>NM_173473</t>
  </si>
  <si>
    <t>C10orf104</t>
  </si>
  <si>
    <t>H300002667</t>
  </si>
  <si>
    <t>AL137792.11</t>
  </si>
  <si>
    <t>DHsGV10000735</t>
  </si>
  <si>
    <t>LOC643043</t>
  </si>
  <si>
    <t>H300022916</t>
  </si>
  <si>
    <t>NM_015726</t>
  </si>
  <si>
    <t>WDR42A</t>
  </si>
  <si>
    <t>WD repeat-containing protein 42A  [Source:UniProtKB/Swiss-Prot;Acc:Q5TAQ9]</t>
  </si>
  <si>
    <t>H200001060</t>
  </si>
  <si>
    <t>GO:0005515 protein binding,GO:0005524 ATP binding,GO:0004674 protein serine/threonine kinase activity,GO:0004713 protein tyrosine kinase activity,GO:0035091 phosphoinositide binding,GO:0004672 protein kinase activity</t>
  </si>
  <si>
    <t>H200011919</t>
  </si>
  <si>
    <t>NM_002860;NM_002860</t>
  </si>
  <si>
    <t>L-lactate dehydrogenase C chain (LDH-C)(EC 1.1.1.27)(LDH testis subunit)(LDH-X)(Cancer/testis antigen 32)(CT32) [Source:UniProtKB/Swiss-Prot;Acc:P07864]</t>
  </si>
  <si>
    <t>GO:0005975 carbohydrate metabolic process,GO:0008152 metabolic process,GO:0055114 oxidation reduction,GO:0007264 small GTPase mediated signal transduction,GO:0019642 anaerobic glycolysis,GO:0044262 cellular carbohydrate metabolic process,GO:0006096 glycolysis</t>
  </si>
  <si>
    <t>GO:0005488 binding,GO:0005525 GTP binding,GO:0003824 catalytic activity,GO:0016491 oxidoreductase activity,GO:0004459 L-lactate dehydrogenase activity,GO:0016616 oxidoreductase activity, acting on the CH-OH group of donors, NAD or NADP as acceptor</t>
  </si>
  <si>
    <t>AHsV10001001</t>
  </si>
  <si>
    <t>NM_145059.2</t>
  </si>
  <si>
    <t>FUK</t>
  </si>
  <si>
    <t>L-fucose kinase (Fucokinase)(EC 2.7.1.52) [Source:UniProtKB/Swiss-Prot;Acc:Q8N0W3]</t>
  </si>
  <si>
    <t>H300004534</t>
  </si>
  <si>
    <t>NM_022828</t>
  </si>
  <si>
    <t>YTHDC2</t>
  </si>
  <si>
    <t>Mitochondrial import receptor subunit TOM22 homolog (Translocase of outer membrane 22 kDa subunit homolog)(hTom22)(1C9-2) [Source:UniProtKB/Swiss-Prot;Acc:Q9NS69]</t>
  </si>
  <si>
    <t>GO:0015031 protein transport,GO:0065002 intracellular protein transmembrane transport,GO:0043681 protein import into mitochondrion</t>
  </si>
  <si>
    <t>GO:0004872 receptor activity,GO:0008320 protein transmembrane transporter activity</t>
  </si>
  <si>
    <t>GO:0016740 transferase activity,GO:0008270 zinc ion binding,GO:0008168 methyltransferase activity,GO:0046872 metal ion binding,GO:0008233 peptidase activity,GO:0008237 metallopeptidase activity,GO:0004222 metalloendopeptidase activity</t>
  </si>
  <si>
    <t>DNA repair protein complementing XP-G cells (Xeroderma pigmentosum group G-complementing protein)(DNA excision repair protein ERCC-5) [Source:UniProtKB/Swiss-Prot;Acc:P28715]</t>
  </si>
  <si>
    <t>YTH domain-containing protein 2  [Source:UniProtKB/Swiss-Prot;Acc:Q9H6S0]</t>
  </si>
  <si>
    <t>Retinoblastoma-like protein 2 (RBR-2)(PRB2)(130 kDa retinoblastoma-associated protein)(p130) [Source:UniProtKB/Swiss-Prot;Acc:Q08999]</t>
  </si>
  <si>
    <t>H300011287</t>
  </si>
  <si>
    <t>NM_006601</t>
  </si>
  <si>
    <t>PTGES3</t>
  </si>
  <si>
    <t>opHsV0400002182</t>
  </si>
  <si>
    <t>NM_001031725</t>
  </si>
  <si>
    <t>DDX59</t>
  </si>
  <si>
    <t>Probable ATP-dependent RNA helicase DDX59 (EC 3.6.1.-)(DEAD box protein 59)(Zinc finger HIT domain-containing protein 5) [Source:UniProtKB/Swiss-Prot;Acc:Q5T1V6]</t>
  </si>
  <si>
    <t>GO:0016787 hydrolase activity,GO:0008270 zinc ion binding,GO:0000166 nucleotide binding,GO:0005524 ATP binding,GO:0046872 metal ion binding,GO:0003676 nucleic acid binding,GO:0003723 RNA binding,GO:0004386 helicase activity,GO:0008026 ATP-dependent helicase activity</t>
  </si>
  <si>
    <t>H200006679</t>
  </si>
  <si>
    <t>NM_005611</t>
  </si>
  <si>
    <t>RBL2</t>
  </si>
  <si>
    <t>GO:0007165 signal transduction,GO:0006633 fatty acid biosynthetic process,GO:0000723 telomere maintenance,GO:0001516 prostaglandin biosynthetic process</t>
  </si>
  <si>
    <t>GO:0016853 isomerase activity,GO:0050220 prostaglandin-E synthase activity,GO:0051082 unfolded protein binding,GO:0003720 telomerase activity</t>
  </si>
  <si>
    <t>GO:0005737 cytoplasm,GO:0000781 chromosome, telomeric region,GO:0005697 telomerase holoenzyme complex</t>
  </si>
  <si>
    <t>H200011008</t>
  </si>
  <si>
    <t>NM_002301;NM_002301</t>
  </si>
  <si>
    <t>LDHC</t>
  </si>
  <si>
    <t>H300009739</t>
  </si>
  <si>
    <t>NM_003001;NM_001035513;NM_001035513</t>
  </si>
  <si>
    <t>SDHC</t>
  </si>
  <si>
    <t>Succinate dehydrogenase cytochrome b560 subunit, mitochondrial Precursor (Succinate dehydrogenase complex subunit C)(Integral membrane protein CII-3)(QPs-1)(QPs1)(Succinate-ubiquinone oxidoreductase cytochrome B large subunit)(CYBL) [Source:UniProtKB/Swiss-Prot;Acc:Q99643]</t>
  </si>
  <si>
    <t>GO:0009055 electron carrier activity,GO:0000104 succinate dehydrogenase activity</t>
  </si>
  <si>
    <t>GO:0016787 hydrolase activity,GO:0004527 exonuclease activity,GO:0017005 tyrosyl-DNA phosphodiesterase activity,GO:0008081 phosphoric diester hydrolase activity</t>
  </si>
  <si>
    <t>Prostaglandin E synthase 3 (EC 5.3.99.3)(Cytosolic prostaglandin E2 synthase)(cPGES)(Telomerase-binding protein p23)(Hsp90 co-chaperone)(Progesterone receptor complex p23) [Source:UniProtKB/Swiss-Prot;Acc:Q15185]</t>
  </si>
  <si>
    <t>GO:0007165 signal transduction,GO:0006468 protein amino acid phosphorylation,GO:0006955 immune response,GO:0048015 phosphoinositide-mediated signaling,GO:0008284 positive regulation of cell proliferation,GO:0009887 organ morphogenesis,GO:0006916 anti-apoptosis,GO:0046777 protein amino acid autophosphorylation,GO:0045740 positive regulation of DNA replication,GO:0007169 transmembrane receptor protein tyrosine kinase signaling pathway,GO:0030879 mammary gland development,GO:0051262 protein tetramerization,GO:0007420 brain development,GO:0008286 insulin receptor signaling pathway,GO:0030238 male sex determination,GO:0030335 positive regulation of cell migration,GO:0048009 insulin-like growth factor receptor signaling pathway,GO:0014065 phosphoinositide 3-kinase cascade</t>
  </si>
  <si>
    <t>GO:0016740 transferase activity,GO:0000166 nucleotide binding,GO:0005524 ATP binding,GO:0004872 receptor activity,GO:0042802 identical protein binding,GO:0004674 protein serine/threonine kinase activity,GO:0004713 protein tyrosine kinase activity,GO:0005158 insulin receptor binding,GO:0004672 protein kinase activity,GO:0004714 transmembrane receptor protein tyrosine kinase activity,GO:0005010 insulin-like growth factor receptor activity,GO:0031994 insulin-like growth factor I binding,GO:0043548 phosphoinositide 3-kinase binding,GO:0043559 insulin binding,GO:0043560 insulin receptor substrate binding</t>
  </si>
  <si>
    <t>GO:0016020 membrane,GO:0005792 microsome,GO:0005887 integral to plasma membrane</t>
  </si>
  <si>
    <t>H200015612</t>
  </si>
  <si>
    <t>NM_018319;NM_018319;NM_018319</t>
  </si>
  <si>
    <t>TDP1</t>
  </si>
  <si>
    <t>Tyrosyl-DNA phosphodiesterase 1 (Tyr-DNA phosphodiesterase 1)(EC 3.1.4.-) [Source:UniProtKB/Swiss-Prot;Acc:Q9NUW8]</t>
  </si>
  <si>
    <t>GO:0006974 response to DNA damage stimulus,GO:0006281 DNA repair,GO:0008219 cell death</t>
  </si>
  <si>
    <t>GO:0016021 integral to membrane,GO:0016020 membrane,GO:0005794 Golgi apparatus,GO:0000139 Golgi membrane,GO:0030659 cytoplasmic vesicle membrane</t>
  </si>
  <si>
    <t>H300007137</t>
  </si>
  <si>
    <t>OR2I1P</t>
  </si>
  <si>
    <t>GO:0006281 DNA repair,GO:0006366 transcription from RNA polymerase II promoter,GO:0006471 protein amino acid ADP-ribosylation,GO:0006974 response to DNA damage stimulus,GO:0016068 type I hypersensitivity,GO:0006284 base-excision repair,GO:0000723 telomere maintenance,GO:0006259 DNA metabolic process,GO:0040009 regulation of growth rate,GO:0016540 protein autoprocessing</t>
  </si>
  <si>
    <t>GO:0003677 DNA binding,GO:0003950 NAD+ ADP-ribosyltransferase activity,GO:0042802 identical protein binding,GO:0047485 protein N-terminus binding,GO:0008270 zinc ion binding,GO:0051287 NAD or NADH binding,GO:0046872 metal ion binding,GO:0005515 protein binding</t>
  </si>
  <si>
    <t>GO:0005634 nucleus,GO:0005635 nuclear envelope,GO:0005730 nucleolus,GO:0005622 intracellular,GO:0005730 nucleolus,GO:0005654 nucleoplasm</t>
  </si>
  <si>
    <t>H300016678</t>
  </si>
  <si>
    <t>NM_017782</t>
  </si>
  <si>
    <t>C10orf18</t>
  </si>
  <si>
    <t>Uncharacterized protein C10orf18  [Source:UniProtKB/Swiss-Prot;Acc:Q5VWN6]</t>
  </si>
  <si>
    <t>CHsGV10001133</t>
  </si>
  <si>
    <t>NM_001145396.1;NM_153329.3</t>
  </si>
  <si>
    <t>ALDH16A1</t>
  </si>
  <si>
    <t>Aldehyde dehydrogenase family 16 member A1  [Source:UniProtKB/Swiss-Prot;Acc:Q8IZ83]</t>
  </si>
  <si>
    <t>H200001682</t>
  </si>
  <si>
    <t>NM_014255</t>
  </si>
  <si>
    <t>CNPY2</t>
  </si>
  <si>
    <t>Protein canopy homolog 2 Precursor (MIR-interacting saposin-like protein)(Transmembrane protein 4)(Putative secreted protein ZSIG9) [Source:UniProtKB/Swiss-Prot;Acc:Q9Y2B0]</t>
  </si>
  <si>
    <t>GO:0005887 integral to plasma membrane,GO:0005783 endoplasmic reticulum</t>
  </si>
  <si>
    <t>opHsV0400002604</t>
  </si>
  <si>
    <t>NM_000875</t>
  </si>
  <si>
    <t>IGF1R</t>
  </si>
  <si>
    <t>Insulin-like growth factor 1 receptor Precursor (EC 2.7.10.1)(Insulin-like growth factor I receptor)(IGF-I receptor)(CD221 antigen) [Contains Insulin-like growth factor 1 receptor alpha chain;Insulin-like growth factor 1 receptor beta chain] [Source:UniProtKB/Swiss-Prot;Acc:P08069]</t>
  </si>
  <si>
    <t>H200013397</t>
  </si>
  <si>
    <t>NM_005038</t>
  </si>
  <si>
    <t>PPID</t>
  </si>
  <si>
    <t>40 kDa peptidyl-prolyl cis-trans isomerase (PPIase)(Rotamase)(EC 5.2.1.8)(Cyclophilin-40)(CYP-40)(Cyclophilin-related protein) [Source:UniProtKB/Swiss-Prot;Acc:Q08752]</t>
  </si>
  <si>
    <t>GO:0005515 protein binding,GO:0016853 isomerase activity,GO:0003755 peptidyl-prolyl cis-trans isomerase activity,GO:0016018 cyclosporin A binding</t>
  </si>
  <si>
    <t>H200006941</t>
  </si>
  <si>
    <t>NM_005717</t>
  </si>
  <si>
    <t>ARPC5</t>
  </si>
  <si>
    <t>Actin-related protein 2/3 complex subunit 5 (Arp2/3 complex 16 kDa subunit)(p16-ARC) [Source:UniProtKB/Swiss-Prot;Acc:O15511]</t>
  </si>
  <si>
    <t>GO:0030036 actin cytoskeleton organization,GO:0006928 cell motion,GO:0030833 regulation of actin filament polymerization</t>
  </si>
  <si>
    <t>GO:0005515 protein binding,GO:0003779 actin binding,GO:0005200 structural constituent of cytoskeleton</t>
  </si>
  <si>
    <t>GO:0005856 cytoskeleton,GO:0005737 cytoplasm,GO:0042995 cell projection,GO:0005885 Arp2/3 protein complex</t>
  </si>
  <si>
    <t>CHsGV10002942</t>
  </si>
  <si>
    <t>NM_001618.3</t>
  </si>
  <si>
    <t>PARP1</t>
  </si>
  <si>
    <t>Poly [ADP-ribose] polymerase 1 (PARP-1)(EC 2.4.2.30)(ADPRT)(NAD(+) ADP-ribosyltransferase 1)(Poly[ADP-ribose] synthetase 1) [Source:UniProtKB/Swiss-Prot;Acc:P09874]</t>
  </si>
  <si>
    <t>H300016597</t>
  </si>
  <si>
    <t>NM_001382</t>
  </si>
  <si>
    <t>DPAGT1</t>
  </si>
  <si>
    <t>UDP-N-acetylglucosamine--dolichyl-phosphate N-acetylglucosaminephosphotransferase (EC 2.7.8.15)(N-acetylglucosamine-1-phosphate transferase)(GlcNAc-1-P transferase)(G1PT)(GPT) [Source:UniProtKB/Swiss-Prot;Acc:Q9H3H5]</t>
  </si>
  <si>
    <t>GO:0051259 protein oligomerization,GO:0019408 dolichol biosynthetic process</t>
  </si>
  <si>
    <t>GO:0016757 transferase activity, transferring glycosyl groups,GO:0003975 UDP-N-acetylglucosamine-dolichyl-phosphate N-acetylglucosaminephosphotransferase activity,GO:0008963 phospho-N-acetylmuramoyl-pentapeptide-transferase activity</t>
  </si>
  <si>
    <t>H300019350</t>
  </si>
  <si>
    <t>NM_015556</t>
  </si>
  <si>
    <t>AHsV10003231</t>
  </si>
  <si>
    <t>NM_017871.4</t>
  </si>
  <si>
    <t>opHsV0400004229</t>
  </si>
  <si>
    <t>NM_004621;NM_004621;NM_004621</t>
  </si>
  <si>
    <t>TRPC6</t>
  </si>
  <si>
    <t>Short transient receptor potential channel 6 (TrpC6) [Source:UniProtKB/Swiss-Prot;Acc:Q9Y210]</t>
  </si>
  <si>
    <t>GO:0005488 binding,GO:0005216 ion channel activity,GO:0005262 calcium channel activity</t>
  </si>
  <si>
    <t>GO:0003824 catalytic activity,GO:0043169 cation binding,GO:0016798 hydrolase activity, acting on glycosyl bonds,GO:0004560 alpha-L-fucosidase activity</t>
  </si>
  <si>
    <t>H300003560</t>
  </si>
  <si>
    <t>NM_005202</t>
  </si>
  <si>
    <t>COL8A2</t>
  </si>
  <si>
    <t>Collagen alpha-2(VIII) chain Precursor (Endothelial collagen) [Source:UniProtKB/Swiss-Prot;Acc:P25067]</t>
  </si>
  <si>
    <t>GO:0016337 cell-cell adhesion,GO:0030198 extracellular matrix organization and biogenesis,GO:0050673 epithelial cell proliferation,GO:0048593 camera-type eye morphogenesis</t>
  </si>
  <si>
    <t>GO:0005201 extracellular matrix structural constituent,GO:0030674 protein binding, bridging</t>
  </si>
  <si>
    <t>GO:0005576 extracellular region,GO:0005578 proteinaceous extracellular matrix,GO:0005604 basement membrane</t>
  </si>
  <si>
    <t>CHsGV10003441</t>
  </si>
  <si>
    <t>NM_002014.3</t>
  </si>
  <si>
    <t>FKBP4</t>
  </si>
  <si>
    <t>FK506-binding protein 4 (EC 5.2.1.8)(Peptidyl-prolyl cis-trans isomerase)(PPIase)(Rotamase)(HSP-binding immunophilin)(HBI)(FKBP52 protein)(52 kDa FK506-binding protein)(FKBP59)(p59 protein) [Source:UniProtKB/Swiss-Prot;Acc:Q02790]</t>
  </si>
  <si>
    <t>GO:0006457 protein folding,GO:0007566 embryo implantation,GO:0006825 copper ion transport,GO:0006463 steroid hormone receptor complex assembly,GO:0031503 protein complex localization,GO:0046661 male sex differentiation,GO:0006825 copper ion transport,GO:0031503 protein complex localization,GO:0007566 embryo implantation,GO:0006463 steroid hormone receptor complex assembly,GO:0046661 male sex differentiation</t>
  </si>
  <si>
    <t>GO:0005524 ATP binding,GO:0005525 GTP binding,GO:0035259 glucocorticoid receptor binding,GO:0005528 FK506 binding,GO:0051219 phosphoprotein binding,GO:0031072 heat shock protein binding,GO:0003755 peptidyl-prolyl cis-trans isomerase activity,GO:0016853 isomerase activity,GO:0005524 ATP binding,GO:0005525 GTP binding,GO:0031072 heat shock protein binding,GO:0051219 phosphoprotein binding,GO:0035259 glucocorticoid receptor binding</t>
  </si>
  <si>
    <t>GO:0005737 cytoplasm,GO:0005634 nucleus,GO:0005622 intracellular,GO:0005634 nucleus</t>
  </si>
  <si>
    <t>GO:0003677 DNA binding,GO:0005515 protein binding,GO:0008270 zinc ion binding,GO:0046872 metal ion binding,GO:0016563 transcription activator activity,GO:0045322 unmethylated CpG binding</t>
  </si>
  <si>
    <t>GO:0005634 nucleus,GO:0016607 nuclear speck,GO:0016363 nuclear matrix</t>
  </si>
  <si>
    <t>GO:0008152 metabolic process,GO:0006006 glucose metabolic process,GO:0006633 fatty acid biosynthetic process,GO:0009790 embryonic development,GO:0006096 glycolysis,GO:0006094 gluconeogenesis,GO:0006098 pentose-phosphate shunt,GO:0019682 glyceraldehyde-3-phosphate metabolic process</t>
  </si>
  <si>
    <t>GO:0016853 isomerase activity,GO:0003824 catalytic activity,GO:0004807 triose-phosphate isomerase activity</t>
  </si>
  <si>
    <t>AHsV10001938</t>
  </si>
  <si>
    <t>NM_001098817.1</t>
  </si>
  <si>
    <t>INO80C</t>
  </si>
  <si>
    <t>INO80 complex subunit C  [Source:UniProtKB/Swiss-Prot;Acc:Q6PI98]</t>
  </si>
  <si>
    <t>H300004426</t>
  </si>
  <si>
    <t>NM_032020</t>
  </si>
  <si>
    <t>FUCA2</t>
  </si>
  <si>
    <t>Plasma alpha-L-fucosidase Precursor (EC 3.2.1.51)(Alpha-L-fucoside fucohydrolase 2)(Alpha-L-fucosidase 2) [Source:UniProtKB/Swiss-Prot;Acc:Q9BTY2]</t>
  </si>
  <si>
    <t>GO:0005975 carbohydrate metabolic process,GO:0008152 metabolic process,GO:0006004 fucose metabolic process</t>
  </si>
  <si>
    <t>GO:0042981 regulation of apoptosis,GO:0007166 cell surface receptor linked signal transduction,GO:0043123 positive regulation of I-kappaB kinase/NF-kappaB cascade,GO:0001890 placenta development,GO:0001666 response to hypoxia,GO:0001666 response to hypoxia</t>
  </si>
  <si>
    <t>GO:0005622 intracellular,GO:0005737 cytoplasm,GO:0005829 cytosol</t>
  </si>
  <si>
    <t>H300018638</t>
  </si>
  <si>
    <t>GO:0016020 membrane,GO:0030054 cell junction,GO:0005887 integral to plasma membrane,GO:0045202 synapse,GO:0042470 melanosome</t>
  </si>
  <si>
    <t>H300004315</t>
  </si>
  <si>
    <t>RP11-298C3.2</t>
  </si>
  <si>
    <t>AHsV10000880</t>
  </si>
  <si>
    <t>NM_000433.3</t>
  </si>
  <si>
    <t>GO:0006968 cellular defense response,GO:0042554 superoxide release,GO:0045087 innate immune response,GO:0045730 respiratory burst</t>
  </si>
  <si>
    <t>GO:0008022 protein C-terminus binding,GO:0009055 electron carrier activity,GO:0048365 Rac GTPase binding</t>
  </si>
  <si>
    <t>GO:0001669 acrosomal vesicle,GO:0005634 nucleus,GO:0005730 nucleolus,GO:0005737 cytoplasm,GO:0043020 NADPH oxidase complex</t>
  </si>
  <si>
    <t>H200008486</t>
  </si>
  <si>
    <t>NM_014593</t>
  </si>
  <si>
    <t>CXXC1</t>
  </si>
  <si>
    <t>CpG-binding protein (PHD finger and CXXC domain-containing protein 1)(CXXC-type zinc finger protein 1) [Source:UniProtKB/Swiss-Prot;Acc:Q9P0U4]</t>
  </si>
  <si>
    <t>AHsV10001299</t>
  </si>
  <si>
    <t>E3 ubiquitin-protein ligase HECW1 (EC 6.3.2.-)(HECT, C2 and WW domain-containing protein 1)(NEDD4-like E3 ubiquitin-protein ligase 1)(hNEDL1) [Source:UniProtKB/Swiss-Prot;Acc:Q76N89]</t>
  </si>
  <si>
    <t>GO:0005515 protein binding,GO:0016874 ligase activity,GO:0016881 acid-amino acid ligase activity</t>
  </si>
  <si>
    <t>H300021664</t>
  </si>
  <si>
    <t>NM_003549;NM_003549</t>
  </si>
  <si>
    <t>GO:0003824 catalytic activity,GO:0004415 hyalurononglucosaminidase activity</t>
  </si>
  <si>
    <t>H200005367</t>
  </si>
  <si>
    <t>NM_015426</t>
  </si>
  <si>
    <t>WDR51A</t>
  </si>
  <si>
    <t>WD repeat-containing protein 51A  [Source:UniProtKB/Swiss-Prot;Acc:Q8NBT0]</t>
  </si>
  <si>
    <t>AHsV10001747</t>
  </si>
  <si>
    <t>NM_016499.3</t>
  </si>
  <si>
    <t>TMEM216</t>
  </si>
  <si>
    <t>Transmembrane protein 216  [Source:UniProtKB/Swiss-Prot;Acc:Q9P0N5]</t>
  </si>
  <si>
    <t>H200009490</t>
  </si>
  <si>
    <t>NM_001166</t>
  </si>
  <si>
    <t>BIRC2</t>
  </si>
  <si>
    <t>Baculoviral IAP repeat-containing protein 2 (Inhibitor of apoptosis protein 2)(HIAP-2)(HIAP2)(C-IAP1)(TNFR2-TRAF-signaling complex protein 2)(IAP homolog B)(RING finger protein 48) [Source:UniProtKB/Swiss-Prot;Acc:Q13490]</t>
  </si>
  <si>
    <t>H200000865</t>
  </si>
  <si>
    <t>NM_006530</t>
  </si>
  <si>
    <t>YEATS4</t>
  </si>
  <si>
    <t>YEATS domain-containing protein 4 (Glioma-amplified sequence 41)(Gas41)(NuMA-binding protein 1)(NuBI-1)(NuBI1) [Source:UniProtKB/Swiss-Prot;Acc:O95619]</t>
  </si>
  <si>
    <t>NM_004711;NM_004711;NM_145738;NM_145738;NM_145738</t>
  </si>
  <si>
    <t>SYNGR1</t>
  </si>
  <si>
    <t>Synaptogyrin-1  [Source:UniProtKB/Swiss-Prot;Acc:O43759]</t>
  </si>
  <si>
    <t>NCF2</t>
  </si>
  <si>
    <t>Neutrophil cytosol factor 2 (NCF-2)(Neutrophil NADPH oxidase factor 2)(NADPH oxidase activator 2)(67 kDa neutrophil oxidase factor)(p67-phox) [Source:UniProtKB/Swiss-Prot;Acc:P19878]</t>
  </si>
  <si>
    <t>GO:0006350 transcription,GO:0006355 regulation of transcription, DNA-dependent,GO:0016568 chromatin modification,GO:0007067 mitosis,GO:0045893 positive regulation of transcription, DNA-dependent,GO:0001558 regulation of cell growth</t>
  </si>
  <si>
    <t>NM_000365;NM_000365;NM_000365</t>
  </si>
  <si>
    <t>TPI1</t>
  </si>
  <si>
    <t>Chondroitin sulfate synthase 2 (EC 2.4.1.175)(Glucuronosyl-N-acetylgalactosaminyl-proteoglycan 4-beta-N-acetylgalactosaminyltransferase II)(N-acetylgalactosaminyl-proteoglycan 3-beta-glucuronosyltransferase II)(EC 2.4.1.226)(Chondroitin glucuronyltransferase II)(N-acetylgalactosaminyltransferase)(Chondroitin-polymerizing factor) [Source:UniProtKB/Swiss-Prot;Acc:Q8IZ52]</t>
  </si>
  <si>
    <t>GO:0005515 protein binding,GO:0016740 transferase activity,GO:0046872 metal ion binding,GO:0047238 glucuronosyl-N-acetylgalactosaminyl-proteoglycan 4-beta-N-acetylgalactosaminyltransferase activity,GO:0050510 N-acetylgalactosaminyl-proteoglycan 3-beta-glucuronosyltransferase activity</t>
  </si>
  <si>
    <t>GO:0016021 integral to membrane,GO:0016020 membrane,GO:0005794 Golgi apparatus,GO:0032580 Golgi cisterna membrane</t>
  </si>
  <si>
    <t>H300020653</t>
  </si>
  <si>
    <t>NM_024790</t>
  </si>
  <si>
    <t>CSPP1</t>
  </si>
  <si>
    <t>Centrosome and spindle pole-associated protein 1  [Source:UniProtKB/Swiss-Prot;Acc:Q1MSJ5]</t>
  </si>
  <si>
    <t>H200017725</t>
  </si>
  <si>
    <t>NM_003262</t>
  </si>
  <si>
    <t>SEC62</t>
  </si>
  <si>
    <t>Translocation protein SEC62 (Translocation protein 1)(TP-1)(hTP-1) [Source:UniProtKB/Swiss-Prot;Acc:Q99442]</t>
  </si>
  <si>
    <t>GO:0015031 protein transport,GO:0065002 intracellular protein transmembrane transport,GO:0006810 transport,GO:0006334 nucleosome assembly,GO:0006613 cotranslational protein targeting to membrane</t>
  </si>
  <si>
    <t>GO:0003677 DNA binding,GO:0005524 ATP binding,GO:0004872 receptor activity,GO:0008565 protein transporter activity,GO:0042626 ATPase activity, coupled to transmembrane movement of substances</t>
  </si>
  <si>
    <t>GO:0016021 integral to membrane,GO:0016020 membrane,GO:0005634 nucleus,GO:0005783 endoplasmic reticulum,GO:0005789 endoplasmic reticulum membrane,GO:0000786 nucleosome</t>
  </si>
  <si>
    <t>H300020465</t>
  </si>
  <si>
    <t>NM_006113;NM_006113</t>
  </si>
  <si>
    <t>VAV3</t>
  </si>
  <si>
    <t>NM_001008393.2</t>
  </si>
  <si>
    <t>C4orf46</t>
  </si>
  <si>
    <t>Uncharacterized protein C4orf46  [Source:UniProtKB/Swiss-Prot;Acc:Q504U0]</t>
  </si>
  <si>
    <t>H300007375</t>
  </si>
  <si>
    <t>H300020020</t>
  </si>
  <si>
    <t>NM_015052</t>
  </si>
  <si>
    <t>HECW1</t>
  </si>
  <si>
    <t>Triosephosphate isomerase (TIM)(EC 5.3.1.1)(Triose-phosphate isomerase) [Source:UniProtKB/Swiss-Prot;Acc:P60174]</t>
  </si>
  <si>
    <t>Calcium-transporting ATPase type 2C member 2 (ATPase 2C2)(EC 3.6.3.8)(Secretory pathway Ca(2+)-ATPase 2) [Source:UniProtKB/Swiss-Prot;Acc:O75185]</t>
  </si>
  <si>
    <t>GO:0006816 calcium ion transport,GO:0006754 ATP biosynthetic process,GO:0006812 cation transport,GO:0008152 metabolic process</t>
  </si>
  <si>
    <t>GO:0005524 ATP binding,GO:0000287 magnesium ion binding,GO:0005509 calcium ion binding,GO:0000166 nucleotide binding,GO:0016787 hydrolase activity,GO:0003824 catalytic activity,GO:0005388 calcium-transporting ATPase activity</t>
  </si>
  <si>
    <t>H300015362</t>
  </si>
  <si>
    <t>NM_032656</t>
  </si>
  <si>
    <t>DHX37</t>
  </si>
  <si>
    <t>Probable ATP-dependent RNA helicase DHX37 (EC 3.6.1.-)(DEAH box protein 37) [Source:UniProtKB/Swiss-Prot;Acc:Q8IY37]</t>
  </si>
  <si>
    <t>GO:0005515 protein binding,GO:0016787 hydrolase activity,GO:0000166 nucleotide binding,GO:0005524 ATP binding,GO:0003676 nucleic acid binding,GO:0017111 nucleoside-triphosphatase activity,GO:0004386 helicase activity</t>
  </si>
  <si>
    <t>GO:0003677 DNA binding,GO:0003700 transcription factor activity,GO:0043565 sequence-specific DNA binding,GO:0003713 transcription coactivator activity</t>
  </si>
  <si>
    <t>H200001619</t>
  </si>
  <si>
    <t>NM_020123</t>
  </si>
  <si>
    <t>TM9SF3</t>
  </si>
  <si>
    <t>NADH dehydrogenase [ubiquinone] 1 alpha subcomplex subunit 11 (NADH-ubiquinone oxidoreductase subunit B14.7)(Complex I-B14.7)(CI-B14.7) [Source:UniProtKB/Swiss-Prot;Acc:Q86Y39]</t>
  </si>
  <si>
    <t>GO:0005739 mitochondrion,GO:0005743 mitochondrial inner membrane,GO:0016020 membrane,GO:0016021 integral to membrane,GO:0070469 respiratory chain</t>
  </si>
  <si>
    <t>H200017531</t>
  </si>
  <si>
    <t>AHsV10002109</t>
  </si>
  <si>
    <t>NM_001031689.2</t>
  </si>
  <si>
    <t>PLAA</t>
  </si>
  <si>
    <t>GO:0003700 transcription factor activity,GO:0008022 protein C-terminus binding,GO:0005200 structural constituent of cytoskeleton</t>
  </si>
  <si>
    <t>GO:0005634 nucleus,GO:0005654 nucleoplasm,GO:0016363 nuclear matrix</t>
  </si>
  <si>
    <t>CHsGV10003547</t>
  </si>
  <si>
    <t>NM_024536.5</t>
  </si>
  <si>
    <t>CHPF</t>
  </si>
  <si>
    <t>NM_002046.3</t>
  </si>
  <si>
    <t>GAPDH</t>
  </si>
  <si>
    <t>Glyceraldehyde-3-phosphate dehydrogenase (GAPDH)(EC 1.2.1.12) [Source:UniProtKB/Swiss-Prot;Acc:P04406]</t>
  </si>
  <si>
    <t>GO:0005524 ATP binding,GO:0004872 receptor activity,GO:0004812 aminoacyl-tRNA ligase activity</t>
  </si>
  <si>
    <t>CHsGV10002765</t>
  </si>
  <si>
    <t>NM_014861.2</t>
  </si>
  <si>
    <t>ATP2C2</t>
  </si>
  <si>
    <t>GO:0006006 glucose metabolic process,GO:0055114 oxidation reduction,GO:0008152 metabolic process,GO:0006096 glycolysis</t>
  </si>
  <si>
    <t>GO:0005515 protein binding,GO:0051287 NAD or NADH binding,GO:0016491 oxidoreductase activity,GO:0005488 binding,GO:0003824 catalytic activity,GO:0004365 glyceraldehyde-3-phosphate dehydrogenase (phosphorylating) activity,GO:0008943 glyceraldehyde-3-phosphate dehydrogenase activity</t>
  </si>
  <si>
    <t>GO:0005737 cytoplasm,GO:0048471 perinuclear region of cytoplasm,GO:0016020 membrane</t>
  </si>
  <si>
    <t>H200007834</t>
  </si>
  <si>
    <t>NM_004728</t>
  </si>
  <si>
    <t>DDX21</t>
  </si>
  <si>
    <t>Nucleolar RNA helicase 2 (EC 3.6.1.-)(Nucleolar RNA helicase II)(Nucleolar RNA helicase Gu)(RH II/Gu)(Gu-alpha)(DEAD box protein 21) [Source:UniProtKB/Swiss-Prot;Acc:Q9NR30]</t>
  </si>
  <si>
    <t>GO:0005515 protein binding,GO:0016787 hydrolase activity,GO:0000166 nucleotide binding,GO:0005524 ATP binding,GO:0003676 nucleic acid binding,GO:0003723 RNA binding,GO:0017111 nucleoside-triphosphatase activity,GO:0004386 helicase activity,GO:0008026 ATP-dependent helicase activity,GO:0004004 ATP-dependent RNA helicase activity</t>
  </si>
  <si>
    <t>H200007295</t>
  </si>
  <si>
    <t>NM_004506</t>
  </si>
  <si>
    <t>HSF2</t>
  </si>
  <si>
    <t>Heat shock factor protein 2 (HSF 2)(Heat shock transcription factor 2)(HSTF 2) [Source:UniProtKB/Swiss-Prot;Acc:Q03933]</t>
  </si>
  <si>
    <t>Guanine nucleotide exchange factor VAV3 (VAV-3) [Source:UniProtKB/Swiss-Prot;Acc:Q9UKW4]</t>
  </si>
  <si>
    <t>GO:0005515 protein binding,GO:0005085 guanyl-nucleotide exchange factor activity,GO:0005089 Rho guanyl-nucleotide exchange factor activity</t>
  </si>
  <si>
    <t>GO:0005488 binding,GO:0005515 protein binding,GO:0016005 phospholipase A2 activator activity</t>
  </si>
  <si>
    <t>H300017396</t>
  </si>
  <si>
    <t>NM_032354</t>
  </si>
  <si>
    <t>TMEM107</t>
  </si>
  <si>
    <t>Transmembrane protein 107  [Source:UniProtKB/Swiss-Prot;Acc:Q6UX40]</t>
  </si>
  <si>
    <t>H300011582</t>
  </si>
  <si>
    <t>NM_020967</t>
  </si>
  <si>
    <t>GO:0046872 metal ion binding,GO:0005506 iron ion binding,GO:0003824 catalytic activity,GO:0051539 4 iron, 4 sulfur cluster binding,GO:0051536 iron-sulfur cluster binding</t>
  </si>
  <si>
    <t>CHsGV10002896</t>
  </si>
  <si>
    <t>NM_013334.2;NM_021971.1</t>
  </si>
  <si>
    <t>GMPPB</t>
  </si>
  <si>
    <t>Mannose-1-phosphate guanyltransferase beta (EC 2.7.7.13)(GTP-mannose-1-phosphate guanylyltransferase beta)(GDP-mannose pyrophosphorylase B) [Source:UniProtKB/Swiss-Prot;Acc:Q9Y5P6]</t>
  </si>
  <si>
    <t>GO:0005525 GTP binding,GO:0000166 nucleotide binding,GO:0016740 transferase activity,GO:0016779 nucleotidyltransferase activity,GO:0004475 mannose-1-phosphate guanylyltransferase activity</t>
  </si>
  <si>
    <t>H200004253</t>
  </si>
  <si>
    <t>NM_133645;NM_133645;NM_133645;NM_133645</t>
  </si>
  <si>
    <t>MTO1</t>
  </si>
  <si>
    <t>Protein MTO1 homolog, mitochondrial Precursor  [Source:UniProtKB/Swiss-Prot;Acc:Q9Y2Z2]</t>
  </si>
  <si>
    <t>GO:0005515 protein binding,GO:0005488 binding,GO:0016829 lyase activity,GO:0003824 catalytic activity,GO:0050662 coenzyme binding,GO:0003854 3-beta-hydroxy-delta5-steroid dehydrogenase activity,GO:0004022 alcohol dehydrogenase activity,GO:0008831 dTDP-4-dehydrorhamnose reductase activity,GO:0008460 dTDP-glucose 4,6-dehydratase activity,GO:0016857 racemase and epimerase activity, acting on carbohydrates and derivatives</t>
  </si>
  <si>
    <t>opHsV0400004117</t>
  </si>
  <si>
    <t>CTD-2530H13.2</t>
  </si>
  <si>
    <t>GO:0005515 protein binding,GO:0008270 zinc ion binding,GO:0046872 metal ion binding,GO:0003700 transcription factor activity,GO:0043565 sequence-specific DNA binding,GO:0003714 transcription corepressor activity,GO:0050825 ice binding</t>
  </si>
  <si>
    <t>H200005206</t>
  </si>
  <si>
    <t>Phospholipase A-2-activating protein (PLA2P)(PLAP) [Source:UniProtKB/Swiss-Prot;Acc:Q9Y263]</t>
  </si>
  <si>
    <t>GO:0006644 phospholipid metabolic process,GO:0006954 inflammatory response,GO:0007165 signal transduction</t>
  </si>
  <si>
    <t>GO:0050660 FAD binding</t>
  </si>
  <si>
    <t>NCOA5</t>
  </si>
  <si>
    <t>Nuclear receptor coactivator 5 (NCoA-5)(Coactivator independent of AF-2)(CIA) [Source:UniProtKB/Swiss-Prot;Acc:Q9HCD5]</t>
  </si>
  <si>
    <t>GO:0006412 translation,GO:0006350 transcription,GO:0006355 regulation of transcription, DNA-dependent</t>
  </si>
  <si>
    <t>CHsGV10003735</t>
  </si>
  <si>
    <t>Pleckstrin homology-like domain family A member 3 (TDAG51/Ipl homolog 1) [Source:UniProtKB/Swiss-Prot;Acc:Q9Y5J5]</t>
  </si>
  <si>
    <t>H200002124</t>
  </si>
  <si>
    <t>NM_014305</t>
  </si>
  <si>
    <t>TGDS</t>
  </si>
  <si>
    <t>dTDP-D-glucose 4,6-dehydratase (EC 4.2.1.46) [Source:UniProtKB/Swiss-Prot;Acc:O95455]</t>
  </si>
  <si>
    <t>GO:0005975 carbohydrate metabolic process,GO:0008152 metabolic process,GO:0009058 biosynthetic process,GO:0044237 cellular metabolic process,GO:0006694 steroid biosynthetic process,GO:0045226 extracellular polysaccharide biosynthetic process</t>
  </si>
  <si>
    <t>GO:0006412 translation,GO:0006350 transcription,GO:0006355 regulation of transcription, DNA-dependent,GO:0006367 transcription initiation from RNA polymerase II promoter,GO:0042309 homoiothermy,GO:0006369 termination of RNA polymerase II transcription,GO:0050826 response to freezing</t>
  </si>
  <si>
    <t>GO:0003677 DNA binding,GO:0005515 protein binding,GO:0003735 structural constituent of ribosome,GO:0008270 zinc ion binding,GO:0046872 metal ion binding,GO:0003700 transcription factor activity,GO:0003676 nucleic acid binding,GO:0003723 RNA binding,GO:0004879 ligand-dependent nuclear receptor activity,GO:0045735 nutrient reservoir activity,GO:0050825 ice binding</t>
  </si>
  <si>
    <t>GO:0005515 protein binding,GO:0016787 hydrolase activity,GO:0004013 adenosylhomocysteinase activity</t>
  </si>
  <si>
    <t>GO:0005737 cytoplasm,GO:0042470 melanosome</t>
  </si>
  <si>
    <t>H200015413</t>
  </si>
  <si>
    <t>NM_005762</t>
  </si>
  <si>
    <t>TRIM28</t>
  </si>
  <si>
    <t>GO:0006950 response to stress,GO:0006366 transcription from RNA polymerase II promoter,GO:0006350 transcription,GO:0006355 regulation of transcription, DNA-dependent</t>
  </si>
  <si>
    <t>Transmembrane 9 superfamily member 3 Precursor (SM-11044-binding protein)(EP70-P-iso) [Source:UniProtKB/Swiss-Prot;Acc:Q9HD45]</t>
  </si>
  <si>
    <t>AHsV10000498</t>
  </si>
  <si>
    <t>NM_175614.2</t>
  </si>
  <si>
    <t>NDUFA11</t>
  </si>
  <si>
    <t>NM_017774;NM_017774;NM_017774</t>
  </si>
  <si>
    <t>CDKAL1</t>
  </si>
  <si>
    <t>CDK5 regulatory subunit-associated protein 1-like 1  [Source:UniProtKB/Swiss-Prot;Acc:Q5VV42]</t>
  </si>
  <si>
    <t>GO:0006350 transcription,GO:0043193 positive regulation of gene-specific transcription,GO:0007242 intracellular signaling cascade,GO:0006357 regulation of transcription from RNA polymerase II promoter,GO:0001837 epithelial to mesenchymal transition,GO:0042309 homoiothermy,GO:0050826 response to freezing</t>
  </si>
  <si>
    <t>AHsV10002484</t>
  </si>
  <si>
    <t>NM_024051.2</t>
  </si>
  <si>
    <t>GGCT</t>
  </si>
  <si>
    <t>Gamma-glutamylcyclotransferase (EC 2.3.2.4)(Cytochrome c-releasing factor 21) [Source:UniProtKB/Swiss-Prot;Acc:O75223]</t>
  </si>
  <si>
    <t>GO:0001836 release of cytochrome c from mitochondria</t>
  </si>
  <si>
    <t>GO:0003839 gamma-glutamylcyclotransferase activity,GO:0008415 acyltransferase activity,GO:0016740 transferase activity,GO:0042803 protein homodimerization activity</t>
  </si>
  <si>
    <t>RRP15-like protein (Ribosomal RNA-processing protein 15) [Source:UniProtKB/Swiss-Prot;Acc:Q9Y3B9]</t>
  </si>
  <si>
    <t>H200008581</t>
  </si>
  <si>
    <t>NM_016292</t>
  </si>
  <si>
    <t>TRAP1</t>
  </si>
  <si>
    <t>GO:0008033 tRNA processing,GO:0001522 pseudouridine synthesis,GO:0031119 tRNA pseudouridine synthesis</t>
  </si>
  <si>
    <t>GO:0003723 RNA binding,GO:0009982 pseudouridine synthase activity,GO:0016866 intramolecular transferase activity</t>
  </si>
  <si>
    <t>H300018708</t>
  </si>
  <si>
    <t>NM_002383;NM_002383</t>
  </si>
  <si>
    <t>MAZ</t>
  </si>
  <si>
    <t>Myc-associated zinc finger protein (MAZI)(Purine-binding transcription factor)(Pur-1)(ZF87)(ZIF87) [Source:UniProtKB/Swiss-Prot;Acc:P56270]</t>
  </si>
  <si>
    <t>17-beta-hydroxysteroid dehydrogenase 14 (EC 1.1.1.-)(Dehydrogenase/reductase SDR family member 10)(17-beta-hydroxysteroid dehydrogenase DHRS10)(Retinal short-chain dehydrogenase/reductase retSDR3) [Source:UniProtKB/Swiss-Prot;Acc:Q9BPX1]</t>
  </si>
  <si>
    <t>NM_016052</t>
  </si>
  <si>
    <t>RRP15</t>
  </si>
  <si>
    <t>Heat shock protein 75 kDa, mitochondrial Precursor (HSP 75)(Tumor necrosis factor type 1 receptor-associated protein)(TRAP-1)(TNFR-associated protein 1) [Source:UniProtKB/Swiss-Prot;Acc:Q12931]</t>
  </si>
  <si>
    <t>GO:0008150 biological_process,GO:0006457 protein folding</t>
  </si>
  <si>
    <t>GO:0000166 nucleotide binding,GO:0005524 ATP binding,GO:0005164 tumor necrosis factor receptor binding,GO:0051082 unfolded protein binding</t>
  </si>
  <si>
    <t>H200016652</t>
  </si>
  <si>
    <t>NM_012396;NM_012396</t>
  </si>
  <si>
    <t>PHLDA3</t>
  </si>
  <si>
    <t>GO:0005488 binding,GO:0003824 catalytic activity,GO:0016491 oxidoreductase activity,GO:0004303 estradiol 17-beta-dehydrogenase activity,GO:0050662 coenzyme binding,GO:0004022 alcohol dehydrogenase activity,GO:0047045 testosterone 17-beta-dehydrogenase (NADP+) activity,GO:0004349 glutamate 5-kinase activity,GO:0008667 2,3-dihydro-2,3-dihydroxybenzoate dehydrogenase activity</t>
  </si>
  <si>
    <t>AHsV10002651</t>
  </si>
  <si>
    <t>NM_015027.2</t>
  </si>
  <si>
    <t>PDXDC1</t>
  </si>
  <si>
    <t>Pyridoxal-dependent decarboxylase domain-containing protein 1 (EC 4.1.1.-) [Source:UniProtKB/Swiss-Prot;Acc:Q6P996]</t>
  </si>
  <si>
    <t>GO:0019752 carboxylic acid metabolic process</t>
  </si>
  <si>
    <t>GO:0005634 nucleus,GO:0005622 intracellular,GO:0005840 ribosome</t>
  </si>
  <si>
    <t>H200008066</t>
  </si>
  <si>
    <t>NM_000687</t>
  </si>
  <si>
    <t>AHCY</t>
  </si>
  <si>
    <t>Adenosylhomocysteinase (AdoHcyase)(EC 3.3.1.1)(S-adenosyl-L-homocysteine hydrolase) [Source:UniProtKB/Swiss-Prot;Acc:P23526]</t>
  </si>
  <si>
    <t>GO:0008152 metabolic process,GO:0006730 one-carbon compound metabolic process</t>
  </si>
  <si>
    <t>GO:0000166 nucleotide binding,GO:0005524 ATP binding,GO:0030170 pyridoxal phosphate binding,GO:0016757 transferase activity, transferring glycosyl groups,GO:0042803 protein homodimerization activity,GO:0008144 drug binding,GO:0016208 AMP binding,GO:0005536 glucose binding,GO:0004645 phosphorylase activity,GO:0002060 purine binding,GO:0032052 bile acid binding,GO:0008184 glycogen phosphorylase activity</t>
  </si>
  <si>
    <t>GO:0005886 plasma membrane,GO:0005634 nucleus,GO:0005737 cytoplasm,GO:0005625 soluble fraction</t>
  </si>
  <si>
    <t>Signal peptidase complex subunit 1 (EC 3.4.-.-)(Microsomal signal peptidase 12 kDa subunit)(SPase 12 kDa subunit) [Source:UniProtKB/Swiss-Prot;Acc:Q9Y6A9]</t>
  </si>
  <si>
    <t>GO:0006508 proteolysis,GO:0006465 signal peptide processing</t>
  </si>
  <si>
    <t>GO:0003674 molecular_function,GO:0008233 peptidase activity</t>
  </si>
  <si>
    <t>Transcription intermediary factor 1-beta (TIF1-beta)(Tripartite motif-containing protein 28)(Nuclear corepressor KAP-1)(KRAB-associated protein 1)(KAP-1)(KRAB-interacting protein 1)(KRIP-1)(RING finger protein 96) [Source:UniProtKB/Swiss-Prot;Acc:Q13263]</t>
  </si>
  <si>
    <t>GO:0016021 integral to membrane,GO:0016020 membrane,GO:0005792 microsome,GO:0005783 endoplasmic reticulum,GO:0030176 integral to endoplasmic reticulum membrane,GO:0005787 signal peptidase complex</t>
  </si>
  <si>
    <t>opHsV0400005243</t>
  </si>
  <si>
    <t>AC018755.3</t>
  </si>
  <si>
    <t>Uncharacterized protein ENSP00000365934  [Source:UniProtKB/Swiss-Prot;Acc:A8MPU0]</t>
  </si>
  <si>
    <t>H200013742</t>
  </si>
  <si>
    <t>NM_031292</t>
  </si>
  <si>
    <t>PUS7L</t>
  </si>
  <si>
    <t>Pseudouridylate synthase 7 homolog-like protein (EC 5.4.99.-) [Source:UniProtKB/Swiss-Prot;Acc:Q9H0K6]</t>
  </si>
  <si>
    <t>H200002762</t>
  </si>
  <si>
    <t>NM_016246</t>
  </si>
  <si>
    <t>HSD17B14</t>
  </si>
  <si>
    <t>GO:0006511 ubiquitin-dependent protein catabolic process,GO:0006281 DNA repair,GO:0006464 protein modification process,GO:0016481 negative regulation of transcription,GO:0016925 protein sumoylation,GO:0032880 regulation of protein localization,GO:0043433 negative regulation of transcription factor activity,GO:0031334 positive regulation of protein complex assembly</t>
  </si>
  <si>
    <t>GO:0016020 membrane,GO:0005634 nucleus,GO:0005737 cytoplasm,GO:0016607 nuclear speck,GO:0005643 nuclear pore,GO:0031965 nuclear membrane,GO:0016605 PML body</t>
  </si>
  <si>
    <t>H200014800</t>
  </si>
  <si>
    <t>NM_182471;NM_182470</t>
  </si>
  <si>
    <t>GO:0000287 magnesium ion binding,GO:0003824 catalytic activity,GO:0030955 potassium ion binding,GO:0004743 pyruvate kinase activity</t>
  </si>
  <si>
    <t>GO:0005515 protein binding,GO:0016829 lyase activity,GO:0016831 carboxy-lyase activity,GO:0030170 pyridoxal phosphate binding</t>
  </si>
  <si>
    <t>H200000196</t>
  </si>
  <si>
    <t>NM_002863</t>
  </si>
  <si>
    <t>PYGL</t>
  </si>
  <si>
    <t>Glycogen phosphorylase, liver form (EC 2.4.1.1) [Source:UniProtKB/Swiss-Prot;Acc:P06737]</t>
  </si>
  <si>
    <t>GO:0005975 carbohydrate metabolic process,GO:0042593 glucose homeostasis,GO:0005977 glycogen metabolic process</t>
  </si>
  <si>
    <t>H200001973</t>
  </si>
  <si>
    <t>NM_014041</t>
  </si>
  <si>
    <t>SPCS1</t>
  </si>
  <si>
    <t>HEXB</t>
  </si>
  <si>
    <t>GO:0008152 metabolic process,GO:0006629 lipid metabolic process,GO:0055114 oxidation reduction,GO:0044237 cellular metabolic process,GO:0006561 proline biosynthetic process,GO:0006706 steroid catabolic process,GO:0009239 enterobactin biosynthetic process</t>
  </si>
  <si>
    <t>Beta-hexosaminidase subunit beta Precursor (EC 3.2.1.52)(N-acetyl-beta-glucosaminidase subunit beta)(Beta-N-acetylhexosaminidase subunit beta)(Hexosaminidase subunit B)(Cervical cancer proto-oncogene 7 protein)(HCC-7) [Contains Beta-hexosaminidase subunit beta chain B;Beta-hexosaminidase subunit beta chain A] [Source:UniProtKB/Swiss-Prot;Acc:P07686]</t>
  </si>
  <si>
    <t>H200006358</t>
  </si>
  <si>
    <t>NM_032509</t>
  </si>
  <si>
    <t>MAK16</t>
  </si>
  <si>
    <t>Protein MAK16 homolog (Protein RBM13)(NNP78) [Source:UniProtKB/Swiss-Prot;Acc:Q9BXY0]</t>
  </si>
  <si>
    <t>GO:0005975 carbohydrate metabolic process,GO:0008152 metabolic process,GO:0008654 phospholipid biosynthetic process,GO:0048477 oogenesis,GO:0007040 lysosome organization and biogenesis,GO:0050885 neuromuscular process controlling balance,GO:0007605 sensory perception of sound,GO:0044267 cellular protein metabolic process,GO:0030203 glycosaminoglycan metabolic process,GO:0001501 skeletal development,GO:0042552 myelination,GO:0007626 locomotory behavior,GO:0019953 sexual reproduction,GO:0006874 cellular calcium ion homeostasis,GO:0019915 sequestering of lipid,GO:0006689 ganglioside catabolic process,GO:0006687 glycosphingolipid metabolic process,GO:0007341 penetration of zona pellucida,GO:0008049 male courtship behavior,GO:0009313 oligosaccharide catabolic process,GO:0031323 regulation of cellular metabolic process</t>
  </si>
  <si>
    <t>GO:0043169 cation binding,GO:0016798 hydrolase activity, acting on glycosyl bonds,GO:0042803 protein homodimerization activity,GO:0046982 protein heterodimerization activity,GO:0004563 beta-N-acetylhexosaminidase activity</t>
  </si>
  <si>
    <t>GO:0016020 membrane,GO:0001669 acrosome,GO:0005764 lysosome</t>
  </si>
  <si>
    <t>opHsV0400006010</t>
  </si>
  <si>
    <t>NM_003352;NM_003352;NM_003352</t>
  </si>
  <si>
    <t>SUMO1</t>
  </si>
  <si>
    <t>Small ubiquitin-related modifier 1 Precursor (SUMO-1)(Sentrin)(Ubiquitin-like protein SMT3C)(SMT3 homolog 3)(Ubiquitin-homology domain protein PIC1)(Ubiquitin-like protein UBL1)(GAP-modifying protein 1)(GMP1) [Source:UniProtKB/Swiss-Prot;Acc:P63165]</t>
  </si>
  <si>
    <t>GO:0005773 vacuole,GO:0005774 vacuolar membrane,GO:0016020 membrane,GO:0016021 integral to membrane,GO:0016469 proton-transporting two-sector ATPase complex,GO:0033180 proton-transporting V-type ATPase, V1 domain</t>
  </si>
  <si>
    <t>H200000411</t>
  </si>
  <si>
    <t>NM_004175</t>
  </si>
  <si>
    <t>SNRPD3</t>
  </si>
  <si>
    <t>Small nuclear ribonucleoprotein Sm D3 (Sm-D3)(snRNP core protein D3) [Source:UniProtKB/Swiss-Prot;Acc:P62318]</t>
  </si>
  <si>
    <t>GO:0005634 nucleus,GO:0005737 cytoplasm,GO:0005829 cytosol,GO:0005654 nucleoplasm,GO:0005681 spliceosome,GO:0030532 small nuclear ribonucleoprotein complex</t>
  </si>
  <si>
    <t>H300020394</t>
  </si>
  <si>
    <t>GO:0016020 membrane,GO:0005794 Golgi apparatus,GO:0000139 Golgi membrane</t>
  </si>
  <si>
    <t>H300007882</t>
  </si>
  <si>
    <t>NM_031296</t>
  </si>
  <si>
    <t>RAB33B</t>
  </si>
  <si>
    <t>Ras-related protein Rab-33B  [Source:UniProtKB/Swiss-Prot;Acc:Q9H082]</t>
  </si>
  <si>
    <t>H300021413</t>
  </si>
  <si>
    <t>NM_004470;NM_004470</t>
  </si>
  <si>
    <t>FKBP2</t>
  </si>
  <si>
    <t>FK506-binding protein 2 Precursor (EC 5.2.1.8)(Peptidyl-prolyl cis-trans isomerase)(PPIase)(Rotamase)(13 kDa FKBP)(FKBP-13) [Source:UniProtKB/Swiss-Prot;Acc:P26885]</t>
  </si>
  <si>
    <t>GO:0005515 protein binding,GO:0016853 isomerase activity,GO:0003755 peptidyl-prolyl cis-trans isomerase activity,GO:0005528 FK506 binding</t>
  </si>
  <si>
    <t>GO:0016020 membrane,GO:0005783 endoplasmic reticulum,GO:0005789 endoplasmic reticulum membrane</t>
  </si>
  <si>
    <t>H200005026</t>
  </si>
  <si>
    <t>NM_000521</t>
  </si>
  <si>
    <t>TRAIP</t>
  </si>
  <si>
    <t>TRAF-interacting protein (RING finger protein 206) [Source:UniProtKB/Swiss-Prot;Acc:Q9BWF2]</t>
  </si>
  <si>
    <t>GO:0006917 induction of apoptosis,GO:0008283 cell proliferation,GO:0007165 signal transduction,GO:0007165 signal transduction</t>
  </si>
  <si>
    <t>GO:0005515 protein binding,GO:0008270 zinc ion binding,GO:0005057 receptor signaling protein activity,GO:0046872 metal ion binding,GO:0005515 protein binding,GO:0005057 receptor signaling protein activity</t>
  </si>
  <si>
    <t>Mitochondrial dicarboxylate carrier (Solute carrier family 25 member 10) [Source:UniProtKB/Swiss-Prot;Acc:Q9UBX3]</t>
  </si>
  <si>
    <t>GO:0006810 transport,GO:0006835 dicarboxylic acid transport,GO:0006839 mitochondrial transport,GO:0006094 gluconeogenesis</t>
  </si>
  <si>
    <t>GO:0005488 binding,GO:0005215 transporter activity,GO:0005310 dicarboxylic acid transmembrane transporter activity,GO:0015291 secondary active transmembrane transporter activity</t>
  </si>
  <si>
    <t>AHsV10001405</t>
  </si>
  <si>
    <t>NM_001183.4</t>
  </si>
  <si>
    <t>ATP6AP1</t>
  </si>
  <si>
    <t>V-type proton ATPase subunit S1 Precursor (V-ATPase subunit S1)(Vacuolar proton pump subunit S1)(V-ATPase S1 accessory protein)(V-ATPase Ac45 subunit)(Protein XAP-3) [Source:UniProtKB/Swiss-Prot;Acc:Q15904]</t>
  </si>
  <si>
    <t>GO:0006811 ion transport,GO:0015986 ATP synthesis coupled proton transport,GO:0015992 proton transport</t>
  </si>
  <si>
    <t>GO:0000166 nucleotide binding,GO:0005215 transporter activity,GO:0005524 ATP binding,GO:0046933 hydrogen ion transporting ATP synthase activity, rotational mechanism,GO:0046961 proton-transporting ATPase activity, rotational mechanism</t>
  </si>
  <si>
    <t>CD302 antigen Precursor (C-type lectin domain family 13 member A)(C-type lectin BIMLEC)(Type I transmembrane C-type lectin receptor DCL-1)(CD302 antigen) [Source:UniProtKB/Swiss-Prot;Acc:Q8IX05]</t>
  </si>
  <si>
    <t>GO:0005529 sugar binding,GO:0005488 binding</t>
  </si>
  <si>
    <t>CHsGV10003810</t>
  </si>
  <si>
    <t>NM_025129.3</t>
  </si>
  <si>
    <t>FUZ</t>
  </si>
  <si>
    <t>Protein fuzzy homolog  [Source:UniProtKB/Swiss-Prot;Acc:Q9BT04]</t>
  </si>
  <si>
    <t>H300019249</t>
  </si>
  <si>
    <t>NM_148956;NM_148956</t>
  </si>
  <si>
    <t>NSUN5</t>
  </si>
  <si>
    <t>NM_003934;NM_003934;NM_003934</t>
  </si>
  <si>
    <t>FUBP3</t>
  </si>
  <si>
    <t>Far upstream element-binding protein 3 (FUSE-binding protein 3) [Source:UniProtKB/Swiss-Prot;Acc:Q96I24]</t>
  </si>
  <si>
    <t>GO:0003677 DNA binding,GO:0005515 protein binding,GO:0003723 RNA binding,GO:0016563 transcription activator activity</t>
  </si>
  <si>
    <t>CHsGV10001152</t>
  </si>
  <si>
    <t>NM_181836.4</t>
  </si>
  <si>
    <t>TMED7</t>
  </si>
  <si>
    <t>Transmembrane emp24 domain-containing protein 7 Precursor  [Source:UniProtKB/Swiss-Prot;Acc:Q9Y3B3]</t>
  </si>
  <si>
    <t>H200021030</t>
  </si>
  <si>
    <t>NM_022782</t>
  </si>
  <si>
    <t>GO:0000087 M phase of mitotic cell cycle</t>
  </si>
  <si>
    <t>Ubiquitin-conjugating enzyme E2 D1 (EC 6.3.2.19)(Ubiquitin-protein ligase D1)(Ubiquitin carrier protein D1)(UbcH5)(Ubiquitin-conjugating enzyme E2-17 kDa 1)(E2(17)KB 1)(UBC4/5 homolog)(Stimulator of Fe transport)(SFT) [Source:UniProtKB/Swiss-Prot;Acc:P51668]</t>
  </si>
  <si>
    <t>GO:0043687 post-translational protein modification,GO:0051246 regulation of protein metabolic process</t>
  </si>
  <si>
    <t>GO:0019787 small conjugating protein ligase activity</t>
  </si>
  <si>
    <t>H200006197</t>
  </si>
  <si>
    <t>NM_006096;NM_006096</t>
  </si>
  <si>
    <t>NDRG1</t>
  </si>
  <si>
    <t>Protein NDRG1 (N-myc downstream-regulated gene 1 protein)(Differentiation-related gene 1 protein)(DRG-1)(Reducing agents and tunicamycin-responsive protein)(RTP)(Nickel-specific induction protein Cap43)(Rit42) [Source:UniProtKB/Swiss-Prot;Acc:Q92597]</t>
  </si>
  <si>
    <t>GO:0010038 response to metal ion,GO:0045576 mast cell activation</t>
  </si>
  <si>
    <t>GO:0005515 protein binding,GO:0031177 phosphopantetheine binding</t>
  </si>
  <si>
    <t>GO:0005886 plasma membrane,GO:0005634 nucleus,GO:0005856 cytoskeleton,GO:0005737 cytoplasm</t>
  </si>
  <si>
    <t>opHsV0400006200</t>
  </si>
  <si>
    <t>NM_006134</t>
  </si>
  <si>
    <t>TMEM50B</t>
  </si>
  <si>
    <t>Transmembrane protein 50B (HCV p7-trans-regulated protein 3) [Source:UniProtKB/Swiss-Prot;Acc:P56557]</t>
  </si>
  <si>
    <t>GO:0005886 plasma membrane,GO:0016021 integral to membrane,GO:0005783 endoplasmic reticulum</t>
  </si>
  <si>
    <t>CHsGV10000232</t>
  </si>
  <si>
    <t>NM_005879.2</t>
  </si>
  <si>
    <t>GO:0016020 membrane,GO:0005737 cytoplasm,GO:0005625 soluble fraction</t>
  </si>
  <si>
    <t>H200002121</t>
  </si>
  <si>
    <t>NM_001419;NM_001419</t>
  </si>
  <si>
    <t>ELAVL1</t>
  </si>
  <si>
    <t>ELAV-like protein 1 (Hu-antigen R)(HuR) [Source:UniProtKB/Swiss-Prot;Acc:Q15717]</t>
  </si>
  <si>
    <t>GO:0007275 multicellular organismal development,GO:0048255 mRNA stabilization</t>
  </si>
  <si>
    <t>opHsV0400004254</t>
  </si>
  <si>
    <t>NM_012140;NM_012140</t>
  </si>
  <si>
    <t>SLC25A10</t>
  </si>
  <si>
    <t>GO:0006629 lipid metabolic process,GO:0008654 phospholipid biosynthetic process,GO:0006663 platelet activating factor biosynthetic process,GO:0001558 regulation of cell growth,GO:0043154 negative regulation of caspase activity,GO:0043066 negative regulation of apoptosis,GO:0006657 CDP-choline pathway</t>
  </si>
  <si>
    <t>GO:0016740 transferase activity,GO:0000287 magnesium ion binding,GO:0030145 manganese ion binding,GO:0016780 phosphotransferase activity, for other substituted phosphate groups,GO:0019992 diacylglycerol binding,GO:0004142 diacylglycerol cholinephosphotransferase activity</t>
  </si>
  <si>
    <t>GO:0016021 integral to membrane,GO:0016020 membrane,GO:0005737 cytoplasm,GO:0005792 microsome,GO:0005794 Golgi apparatus,GO:0000139 Golgi membrane</t>
  </si>
  <si>
    <t>H300004833</t>
  </si>
  <si>
    <t>NM_004598</t>
  </si>
  <si>
    <t>SPOCK1</t>
  </si>
  <si>
    <t>Testican-1 Precursor (Protein SPOCK) [Source:UniProtKB/Swiss-Prot;Acc:Q08629]</t>
  </si>
  <si>
    <t>GO:0007155 cell adhesion,GO:0007275 multicellular organismal development,GO:0007399 nervous system development,GO:0008283 cell proliferation,GO:0006928 cell motion</t>
  </si>
  <si>
    <t>CHsGV10002632</t>
  </si>
  <si>
    <t>NM_014880.4</t>
  </si>
  <si>
    <t>CD302</t>
  </si>
  <si>
    <t>NM_015448.1</t>
  </si>
  <si>
    <t>RP11-529I10.4</t>
  </si>
  <si>
    <t>Protein DPCD  [Source:UniProtKB/Swiss-Prot;Acc:Q9BVM2]</t>
  </si>
  <si>
    <t>AHsV10002895</t>
  </si>
  <si>
    <t>NM_014573.2</t>
  </si>
  <si>
    <t>TMEM97</t>
  </si>
  <si>
    <t>Transmembrane protein 97 (Protein MAC30) [Source:UniProtKB/Swiss-Prot;Acc:Q5BJF2]</t>
  </si>
  <si>
    <t>Putative methyltransferase NSUN5 (EC 2.1.1.-)(NOL1/NOP2/Sun domain family member 5)(NOL1R)(Williams-Beuren syndrome chromosomal region 20A protein) [Source:UniProtKB/Swiss-Prot;Acc:Q96P11]</t>
  </si>
  <si>
    <t>H300002340</t>
  </si>
  <si>
    <t>AC005740.1</t>
  </si>
  <si>
    <t>opHsV0400006334</t>
  </si>
  <si>
    <t>NM_017842</t>
  </si>
  <si>
    <t>SLC48A1</t>
  </si>
  <si>
    <t>H200012823</t>
  </si>
  <si>
    <t>NM_003338</t>
  </si>
  <si>
    <t>UBE2D1</t>
  </si>
  <si>
    <t>H300006066</t>
  </si>
  <si>
    <t>NM_001619</t>
  </si>
  <si>
    <t>ADRBK1</t>
  </si>
  <si>
    <t>Beta-adrenergic receptor kinase 1 (Beta-ARK-1)(EC 2.7.11.15)(G-protein coupled receptor kinase 2) [Source:UniProtKB/Swiss-Prot;Acc:P25098]</t>
  </si>
  <si>
    <t>GO:0007165 signal transduction,GO:0006468 protein amino acid phosphorylation,GO:0007186 G-protein coupled receptor protein signaling pathway,GO:0007507 heart development,GO:0007217 tachykinin signaling pathway,GO:0060048 cardiac muscle contraction,GO:0018105 peptidyl-serine phosphorylation,GO:0002026 regulation of the force of heart contraction,GO:0007213 acetylcholine receptor signaling, muscarinic pathway,GO:0002029 desensitization of G-protein coupled receptor protein signaling pathway,GO:0003108 negative regulation of the force of heart contraction by chemical signal,GO:0033605 positive regulation of catecholamine secretion,GO:0045988 negative regulation of striated muscle contraction</t>
  </si>
  <si>
    <t>GO:0016740 transferase activity,GO:0005515 protein binding,GO:0000166 nucleotide binding,GO:0005524 ATP binding,GO:0004872 receptor activity,GO:0004674 protein serine/threonine kinase activity,GO:0004713 protein tyrosine kinase activity,GO:0004871 signal transducer activity,GO:0004672 protein kinase activity,GO:0004703 G-protein coupled receptor kinase activity,GO:0047696 beta-adrenergic receptor kinase activity</t>
  </si>
  <si>
    <t>GO:0000166 nucleotide binding,GO:0003676 nucleic acid binding,GO:0003723 RNA binding,GO:0042802 identical protein binding,GO:0003729 mRNA binding</t>
  </si>
  <si>
    <t>H300018851</t>
  </si>
  <si>
    <t>NM_020244</t>
  </si>
  <si>
    <t>CHPT1</t>
  </si>
  <si>
    <t>Cholinephosphotransferase 1 (EC 2.7.8.2)(Diacylglycerol cholinephosphotransferase 1)(hCPT1)(AAPT1-like protein) [Source:UniProtKB/Swiss-Prot;Acc:Q8WUD6]</t>
  </si>
  <si>
    <t>GO:0003677 DNA binding,GO:0008270 zinc ion binding,GO:0046872 metal ion binding,GO:0003899 DNA-directed RNA polymerase activity</t>
  </si>
  <si>
    <t>H200004281</t>
  </si>
  <si>
    <t>NM_020774</t>
  </si>
  <si>
    <t>MIB1</t>
  </si>
  <si>
    <t>E3 ubiquitin-protein ligase MIB1 (EC 6.3.2.-)(Mind bomb homolog 1)(DAPK-interacting protein 1)(DIP-1)(Zinc finger ZZ type with ankyrin repeat domain protein 2) [Source:UniProtKB/Swiss-Prot;Acc:Q86YT6]</t>
  </si>
  <si>
    <t>GO:0001701 in utero embryonic development,GO:0006511 ubiquitin-dependent protein catabolic process,GO:0016567 protein ubiquitination,GO:0007507 heart development,GO:0007219 Notch signaling pathway,GO:0045665 negative regulation of neuron differentiation,GO:0001568 blood vessel development,GO:0001756 somitogenesis,GO:0001841 neural tube formation,GO:0001947 heart looping,GO:0045807 positive regulation of endocytosis</t>
  </si>
  <si>
    <t>GO:0005886 plasma membrane,GO:0005737 cytoplasm,GO:0031410 cytoplasmic vesicle</t>
  </si>
  <si>
    <t>AHsV10000411</t>
  </si>
  <si>
    <t>60S ribosomal protein L26-like 1  [Source:UniProtKB/Swiss-Prot;Acc:Q9UNX3]</t>
  </si>
  <si>
    <t>GO:0005622 intracellular,GO:0005840 ribosome,GO:0005829 cytosol,GO:0015934 large ribosomal subunit</t>
  </si>
  <si>
    <t>ADAMTSL4</t>
  </si>
  <si>
    <t>ADAMTS-like protein 4 Precursor (ADAMTSL-4)(Thrombospondin repeat-containing protein 1) [Source:UniProtKB/Swiss-Prot;Acc:Q6UY14]</t>
  </si>
  <si>
    <t>GO:0008233 peptidase activity,GO:0002020 protease binding,GO:0004222 metalloendopeptidase activity</t>
  </si>
  <si>
    <t>GO:0005886 plasma membrane,GO:0005576 extracellular region,GO:0005737 cytoplasm,GO:0031012 extracellular matrix</t>
  </si>
  <si>
    <t>H200006549</t>
  </si>
  <si>
    <t>NM_207340</t>
  </si>
  <si>
    <t>ZDHHC24</t>
  </si>
  <si>
    <t>Probable palmitoyltransferase ZDHHC24 (EC 2.3.1.-)(Zinc finger DHHC domain-containing protein 24)(DHHC-24) [Source:UniProtKB/Swiss-Prot;Acc:Q6UX98]</t>
  </si>
  <si>
    <t>H200013444</t>
  </si>
  <si>
    <t>NM_015654</t>
  </si>
  <si>
    <t>NAT9</t>
  </si>
  <si>
    <t>N-acetyltransferase 9 (EC 2.3.1.-)(Embryo brain-specific protein) [Source:UniProtKB/Swiss-Prot;Acc:Q9BTE0]</t>
  </si>
  <si>
    <t>H200021149</t>
  </si>
  <si>
    <t>NM_005034</t>
  </si>
  <si>
    <t>POLR2K</t>
  </si>
  <si>
    <t>DNA-directed RNA polymerases I, II, and III subunit RPABC4 (RNA polymerases I, II, and III subunit ABC4)(DNA-directed RNA polymerase II subunit K)(RPB10alpha)(DNA-directed RNA polymerases I, II, and III 7.0 kDa polypeptide)(RPB7.0)(ABC10-alpha) [Source:UniProtKB/Swiss-Prot;Acc:P53803]</t>
  </si>
  <si>
    <t>GO:0006350 transcription,GO:0006367 transcription initiation from RNA polymerase II promoter,GO:0000398 nuclear mRNA splicing, via spliceosome,GO:0006368 RNA elongation from RNA polymerase II promoter,GO:0006383 transcription from RNA polymerase III promoter,GO:0006356 regulation of transcription from RNA polymerase I promoter</t>
  </si>
  <si>
    <t>opHsV0400000343</t>
  </si>
  <si>
    <t>NM_005882;NM_005882</t>
  </si>
  <si>
    <t>MAEA</t>
  </si>
  <si>
    <t>Macrophage erythroblast attacher (Erythroblast macrophage protein)(Cell proliferation-inducing gene 5 protein)(Human lung cancer oncogene 10 protein)(HLC-10) [Source:UniProtKB/Swiss-Prot;Acc:Q7L5Y9]</t>
  </si>
  <si>
    <t>AHsV10001280</t>
  </si>
  <si>
    <t>NM_001145031.1</t>
  </si>
  <si>
    <t>Urokinase-type plasminogen activator Precursor (U-plasminogen activator)(uPA)(EC 3.4.21.73) [Contains Urokinase-type plasminogen activator long chain A;Urokinase-type plasminogen activator short chain A;Urokinase-type plasminogen activator chain B] [Sourc</t>
  </si>
  <si>
    <t>opHsV0400010472</t>
  </si>
  <si>
    <t>NM_020782</t>
  </si>
  <si>
    <t>KLHDC5</t>
  </si>
  <si>
    <t>H300005294</t>
  </si>
  <si>
    <t>NM_016093</t>
  </si>
  <si>
    <t>RPL26L1</t>
  </si>
  <si>
    <t>H300010305</t>
  </si>
  <si>
    <t>NM_019032;NM_019032</t>
  </si>
  <si>
    <t>NM_015659</t>
  </si>
  <si>
    <t>GO:0003677 DNA binding,GO:0003723 RNA binding</t>
  </si>
  <si>
    <t>H300009128</t>
  </si>
  <si>
    <t>AC007000.2</t>
  </si>
  <si>
    <t>Uncharacterized protein MGC35361  [Source:UniProtKB/Swiss-Prot;Acc:Q8N0U4]</t>
  </si>
  <si>
    <t>NM_002951;NM_002951;NM_002951;NM_002951;NM_002951</t>
  </si>
  <si>
    <t>GO:0018279 protein amino acid N-linked glycosylation via asparagine</t>
  </si>
  <si>
    <t>GO:0004579 dolichyl-diphosphooligosaccharide-protein glycotransferase activity</t>
  </si>
  <si>
    <t>GO:0005789 endoplasmic reticulum membrane,GO:0008250 oligosaccharyltransferase complex</t>
  </si>
  <si>
    <t>H200007349</t>
  </si>
  <si>
    <t>NM_005024</t>
  </si>
  <si>
    <t>SERPINB10</t>
  </si>
  <si>
    <t>Serpin B10 (Proteinase inhibitor 10)(Bomapin) [Source:UniProtKB/Swiss-Prot;Acc:P48595]</t>
  </si>
  <si>
    <t>H200004998</t>
  </si>
  <si>
    <t>NM_000263</t>
  </si>
  <si>
    <t>NAGLU</t>
  </si>
  <si>
    <t>Alpha-N-acetylglucosaminidase Precursor (EC 3.2.1.50)(N-acetyl-alpha-glucosaminidase)(NAG) [Contains Alpha-N-acetylglucosaminidase 82 kDa form;Alpha-N-acetylglucosaminidase 77 kDa form] [Source:UniProtKB/Swiss-Prot;Acc:P54802]</t>
  </si>
  <si>
    <t>AHsV10003282</t>
  </si>
  <si>
    <t>NM_033130.3</t>
  </si>
  <si>
    <t>H200018905</t>
  </si>
  <si>
    <t>NM_032124</t>
  </si>
  <si>
    <t>HDHD2</t>
  </si>
  <si>
    <t>Haloacid dehalogenase-like hydrolase domain-containing protein 2  [Source:UniProtKB/Swiss-Prot;Acc:Q9H0R4]</t>
  </si>
  <si>
    <t>Lysosomal protective protein Precursor (EC 3.4.16.5)(Cathepsin A)(Carboxypeptidase C)(Protective protein for beta-galactosidase) [Contains Lysosomal protective protein 32 kDa chain;Lysosomal protective protein 20 kDa chain] [Source:UniProtKB/Swiss-Prot;Acc:P10619]</t>
  </si>
  <si>
    <t>Kelch domain-containing protein 5  [Source:UniProtKB/Swiss-Prot;Acc:Q9P2K6]</t>
  </si>
  <si>
    <t>H200019499</t>
  </si>
  <si>
    <t>NM_022484</t>
  </si>
  <si>
    <t>TMEM168</t>
  </si>
  <si>
    <t>Transmembrane protein 168  [Source:UniProtKB/Swiss-Prot;Acc:Q9H0V1]</t>
  </si>
  <si>
    <t>GO:0016021 integral to membrane,GO:0016020 membrane,GO:0030133 transport vesicle</t>
  </si>
  <si>
    <t>Disintegrin and metalloproteinase domain-containing protein 15 Precursor (ADAM 15)(EC 3.4.24.-)(Metalloproteinase-like, disintegrin-like, and cysteine-rich protein 15)(MDC-15)(Metalloprotease RGD disintegrin protein)(Metargidin) [Source:UniProtKB/Swiss-Prot;Acc:Q13444]</t>
  </si>
  <si>
    <t>GO:0043065 positive regulation of apoptosis</t>
  </si>
  <si>
    <t>GO:0005515 protein binding,GO:0017124 SH3 domain binding,GO:0008270 zinc ion binding,GO:0008237 metallopeptidase activity,GO:0008233 peptidase activity,GO:0004222 metalloendopeptidase activity,GO:0046872 metal ion binding</t>
  </si>
  <si>
    <t>H200004008</t>
  </si>
  <si>
    <t>NM_007219</t>
  </si>
  <si>
    <t>RNF24</t>
  </si>
  <si>
    <t>RING finger protein 24  [Source:UniProtKB/Swiss-Prot;Acc:Q9Y225]</t>
  </si>
  <si>
    <t>H300003781</t>
  </si>
  <si>
    <t>GO:0016021 integral to membrane,GO:0016020 membrane,GO:0005794 Golgi apparatus,GO:0000139 Golgi membrane,GO:0005625 soluble fraction</t>
  </si>
  <si>
    <t>CHsGV10002044</t>
  </si>
  <si>
    <t>NM_032231.4;NM_001014812.1</t>
  </si>
  <si>
    <t>FAM96A</t>
  </si>
  <si>
    <t>H200006179</t>
  </si>
  <si>
    <t>TIGD4</t>
  </si>
  <si>
    <t>NM_148978;NM_148978;NM_148978;NM_148977;NM_148977</t>
  </si>
  <si>
    <t>GO:0005524 ATP binding,GO:0004594 pantothenate kinase activity</t>
  </si>
  <si>
    <t>H200002322</t>
  </si>
  <si>
    <t>NM_173546</t>
  </si>
  <si>
    <t>KLHDC8B</t>
  </si>
  <si>
    <t>Kelch domain-containing protein 8B  [Source:UniProtKB/Swiss-Prot;Acc:Q8IXV7]</t>
  </si>
  <si>
    <t>H300018539</t>
  </si>
  <si>
    <t>NM_000308;NM_000308</t>
  </si>
  <si>
    <t>CTSA</t>
  </si>
  <si>
    <t>H300009259</t>
  </si>
  <si>
    <t>RPS26P6</t>
  </si>
  <si>
    <t>Ribosomal protein S26 Fragment  [Source:UniProtKB/TrEMBL;Acc:Q76N56]</t>
  </si>
  <si>
    <t>H200008877</t>
  </si>
  <si>
    <t>GO:0006508 proteolysis,GO:0006886 intracellular protein transport</t>
  </si>
  <si>
    <t>GO:0005515 protein binding,GO:0008047 enzyme activator activity,GO:0008233 peptidase activity,GO:0004185 serine-type carboxypeptidase activity</t>
  </si>
  <si>
    <t>GO:0005783 endoplasmic reticulum,GO:0005739 mitochondrion,GO:0005764 lysosome</t>
  </si>
  <si>
    <t>CHsGV10003405</t>
  </si>
  <si>
    <t>NM_207191.1;NM_003815.3;NM_207196.1;NM_207194.1;NM_207195.1;NM_207197.1</t>
  </si>
  <si>
    <t>ADAM15</t>
  </si>
  <si>
    <t>GO:0005634 nucleus,GO:0000119 mediator complex,GO:0005665 DNA-directed RNA polymerase II, core complex</t>
  </si>
  <si>
    <t>AHsV10000549</t>
  </si>
  <si>
    <t>Adenosine deaminase-like protein (EC 3.5.4.-) [Source:UniProtKB/Swiss-Prot;Acc:Q6DHV7]</t>
  </si>
  <si>
    <t>GO:0009168 purine ribonucleoside monophosphate biosynthetic process</t>
  </si>
  <si>
    <t>GO:0019239 deaminase activity</t>
  </si>
  <si>
    <t>CHsGV10003134</t>
  </si>
  <si>
    <t>NM_214710.3</t>
  </si>
  <si>
    <t>PRSSL1</t>
  </si>
  <si>
    <t>Serine protease 1-like protein 1 Precursor (EC 3.4.21.-) [Source:UniProtKB/Swiss-Prot;Acc:Q6UWY2]</t>
  </si>
  <si>
    <t>GO:0006355 regulation of transcription, DNA-dependent,GO:0006396 RNA processing</t>
  </si>
  <si>
    <t>Receptor-binding cancer antigen expressed on SiSo cells (Cancer-associated surface antigen RCAS1)(Estrogen receptor-binding fragment-associated gene 9 protein) [Source:UniProtKB/Swiss-Prot;Acc:O00559]</t>
  </si>
  <si>
    <t>GO:0006915 apoptosis,GO:0001558 regulation of cell growth</t>
  </si>
  <si>
    <t>GO:0016505 apoptotic protease activator activity</t>
  </si>
  <si>
    <t>Calcium-binding mitochondrial carrier protein Aralar1 (Mitochondrial aspartate glutamate carrier 1)(Solute carrier family 25 member 12) [Source:UniProtKB/Swiss-Prot;Acc:O75746]</t>
  </si>
  <si>
    <t>UPF0195 protein FAM96A  [Source:UniProtKB/Swiss-Prot;Acc:Q9H5X1]</t>
  </si>
  <si>
    <t>H200002610</t>
  </si>
  <si>
    <t>NM_021734;NM_021734;NM_021734</t>
  </si>
  <si>
    <t>SLC25A19</t>
  </si>
  <si>
    <t>Mitochondrial deoxynucleotide carrier (Solute carrier family 25 member 19)(Mitochondrial uncoupling protein 1) [Source:UniProtKB/Swiss-Prot;Acc:Q9HC21]</t>
  </si>
  <si>
    <t>GO:0006810 transport,GO:0006839 mitochondrial transport,GO:0030302 deoxynucleotide transport</t>
  </si>
  <si>
    <t>GO:0005488 binding,GO:0005215 transporter activity,GO:0030233 deoxynucleotide transmembrane transporter activity</t>
  </si>
  <si>
    <t>H200014396</t>
  </si>
  <si>
    <t>NM_145720</t>
  </si>
  <si>
    <t>Tigger transposable element-derived protein 4  [Source:UniProtKB/Swiss-Prot;Acc:Q8IY51]</t>
  </si>
  <si>
    <t>H200011997</t>
  </si>
  <si>
    <t>H300018759</t>
  </si>
  <si>
    <t>NM_000601</t>
  </si>
  <si>
    <t>HGF</t>
  </si>
  <si>
    <t>Hepatocyte growth factor Precursor (Scatter factor)(SF)(Hepatopoeitin-A) [Contains Hepatocyte growth factor alpha chain;Hepatocyte growth factor beta chain] [Source:UniProtKB/Swiss-Prot;Acc:P14210]</t>
  </si>
  <si>
    <t>Exocyst complex component 6 (Exocyst complex component Sec15A)(SEC15-like protein 1) [Source:UniProtKB/Swiss-Prot;Acc:Q8TAG9]</t>
  </si>
  <si>
    <t>GO:0006904 vesicle docking during exocytosis,GO:0015031 protein transport</t>
  </si>
  <si>
    <t>GO:0000145 exocyst</t>
  </si>
  <si>
    <t>H300019121</t>
  </si>
  <si>
    <t>NM_198319;NM_198319;NM_198319</t>
  </si>
  <si>
    <t>PRMT1</t>
  </si>
  <si>
    <t>Protein arginine N-methyltransferase 1 (EC 2.1.1.-)(Interferon receptor 1-bound protein 4) [Source:UniProtKB/Swiss-Prot;Acc:Q99873]</t>
  </si>
  <si>
    <t>NM_004264</t>
  </si>
  <si>
    <t>GO:0007160 cell-matrix adhesion,GO:0006508 proteolysis</t>
  </si>
  <si>
    <t>GO:0003702 RNA polymerase II transcription factor activity,GO:0003713 transcription coactivator activity,GO:0003899 DNA-directed RNA polymerase activity</t>
  </si>
  <si>
    <t>NM_001012969.1</t>
  </si>
  <si>
    <t>ADAL</t>
  </si>
  <si>
    <t>Neural Wiskott-Aldrich syndrome protein (N-WASP) [Source:UniProtKB/Swiss-Prot;Acc:O00401]</t>
  </si>
  <si>
    <t>GO:0006350 transcription,GO:0006355 regulation of transcription, DNA-dependent,GO:0007155 cell adhesion,GO:0007186 G-protein coupled receptor protein signaling pathway,GO:0006461 protein complex assembly,GO:0006928 cell motion,GO:0008154 actin polymerization or depolymerization,GO:0009617 response to bacterium</t>
  </si>
  <si>
    <t>GO:0005515 protein binding,GO:0003779 actin binding,GO:0005198 structural molecule activity,GO:0005179 hormone activity,GO:0005083 small GTPase regulator activity,GO:0005199 structural constituent of cell wall</t>
  </si>
  <si>
    <t>GO:0016021 integral to membrane,GO:0005634 nucleus,GO:0005576 extracellular region,GO:0005737 cytoplasm,GO:0030027 lamellipodium,GO:0005730 nucleolus,GO:0015629 actin cytoskeleton</t>
  </si>
  <si>
    <t>AHsV10001120</t>
  </si>
  <si>
    <t>NM_003705.2</t>
  </si>
  <si>
    <t>SLC25A12</t>
  </si>
  <si>
    <t>H200012531</t>
  </si>
  <si>
    <t>NM_006090;NM_006090</t>
  </si>
  <si>
    <t>CEPT1</t>
  </si>
  <si>
    <t>opHsV0400000291</t>
  </si>
  <si>
    <t>NM_003758</t>
  </si>
  <si>
    <t>EIF3S1</t>
  </si>
  <si>
    <t>Eukaryotic translation initiation factor 3 subunit J (eIF3j)(Eukaryotic translation initiation factor 3 subunit 1)(eIF-3-alpha)(eIF3 p35) [Source:UniProtKB/Swiss-Prot;Acc:O75822]</t>
  </si>
  <si>
    <t>GO:0016021 integral to membrane,GO:0016020 membrane,GO:0005634 nucleus,GO:0005783 endoplasmic reticulum,GO:0005789 endoplasmic reticulum membrane,GO:0031965 nuclear membrane</t>
  </si>
  <si>
    <t>H300021702</t>
  </si>
  <si>
    <t>NM_205838;NM_205838;NM_205838</t>
  </si>
  <si>
    <t>LST1</t>
  </si>
  <si>
    <t>Leukocyte-specific transcript 1 protein (Protein B144) [Source:UniProtKB/Swiss-Prot;Acc:O00453]</t>
  </si>
  <si>
    <t>GO:0008233 peptidase activity,GO:0004252 serine-type endopeptidase activity,GO:0003824 catalytic activity</t>
  </si>
  <si>
    <t>H200001750</t>
  </si>
  <si>
    <t>NM_004215</t>
  </si>
  <si>
    <t>EBAG9</t>
  </si>
  <si>
    <t>Acid sphingomyelinase-like phosphodiesterase 3b Precursor (ASM-like phosphodiesterase 3b)(EC 3.1.4.-) [Source:UniProtKB/Swiss-Prot;Acc:Q92485]</t>
  </si>
  <si>
    <t>AHsV10001370</t>
  </si>
  <si>
    <t>NM_019053.4</t>
  </si>
  <si>
    <t>EXOC6</t>
  </si>
  <si>
    <t>H200003172</t>
  </si>
  <si>
    <t>NM_020354</t>
  </si>
  <si>
    <t>ENTPD7</t>
  </si>
  <si>
    <t>Ectonucleoside triphosphate diphosphohydrolase 7 (NTPDase 7)(EC 3.6.1.-)(Lysosomal apyrase-like protein 1) [Source:UniProtKB/Swiss-Prot;Acc:Q9NQZ7]</t>
  </si>
  <si>
    <t>GO:0005509 calcium ion binding,GO:0016787 hydrolase activity</t>
  </si>
  <si>
    <t>GO:0016021 integral to membrane,GO:0016020 membrane,GO:0031410 cytoplasmic vesicle,GO:0030659 cytoplasmic vesicle membrane</t>
  </si>
  <si>
    <t>H200000825</t>
  </si>
  <si>
    <t>NM_016319</t>
  </si>
  <si>
    <t>COPS7A</t>
  </si>
  <si>
    <t>H300007748</t>
  </si>
  <si>
    <t>NM_003941</t>
  </si>
  <si>
    <t>WASL</t>
  </si>
  <si>
    <t>GO:0006915 apoptosis,GO:0007166 cell surface receptor linked signal transduction,GO:0050731 positive regulation of peptidyl-tyrosine phosphorylation,GO:0006955 immune response,GO:0007165 signal transduction,GO:0046642 negative regulation of alpha-beta T cell proliferation,GO:0050731 positive regulation of peptidyl-tyrosine phosphorylation,GO:0046642 negative regulation of alpha-beta T cell proliferation</t>
  </si>
  <si>
    <t>GO:0005515 protein binding,GO:0004888 transmembrane receptor activity,GO:0004872 receptor activity,GO:0005031 tumor necrosis factor receptor activity,GO:0005515 protein binding</t>
  </si>
  <si>
    <t>GO:0005887 integral to plasma membrane,GO:0009897 external side of plasma membrane,GO:0016020 membrane,GO:0009897 external side of plasma membrane</t>
  </si>
  <si>
    <t>GO:0006364 rRNA processing,GO:0001522 pseudouridine synthesis</t>
  </si>
  <si>
    <t>GO:0005634 nucleus,GO:0005732 small nucleolar ribonucleoprotein complex</t>
  </si>
  <si>
    <t>H200013906</t>
  </si>
  <si>
    <t>NM_004704</t>
  </si>
  <si>
    <t>RRP9</t>
  </si>
  <si>
    <t>MED21</t>
  </si>
  <si>
    <t>Mediator of RNA polymerase II transcription subunit 21 (Mediator complex subunit 21)(RNA polymerase II holoenzyme component SRB7)(RNAPII complex component SRB7)(hSrb7) [Source:UniProtKB/Swiss-Prot;Acc:Q13503]</t>
  </si>
  <si>
    <t>GO:0006350 transcription,GO:0045944 positive regulation of transcription from RNA polymerase II promoter</t>
  </si>
  <si>
    <t>GO:0006364 rRNA processing</t>
  </si>
  <si>
    <t>GO:0005634 nucleus,GO:0005732 small nucleolar ribonucleoprotein complex,GO:0030532 small nuclear ribonucleoprotein complex</t>
  </si>
  <si>
    <t>H300019042</t>
  </si>
  <si>
    <t>NM_001005413;NM_001005413;NM_001005413;NM_001005413</t>
  </si>
  <si>
    <t>ZWINT</t>
  </si>
  <si>
    <t>Choline/ethanolaminephosphotransferase 1 (hCEPT1)(EC 2.7.8.1)(EC 2.7.8.2) [Source:UniProtKB/Swiss-Prot;Acc:Q9Y6K0]</t>
  </si>
  <si>
    <t>GO:0006629 lipid metabolic process,GO:0008654 phospholipid biosynthetic process</t>
  </si>
  <si>
    <t>GO:0016740 transferase activity,GO:0000287 magnesium ion binding,GO:0030145 manganese ion binding,GO:0016780 phosphotransferase activity, for other substituted phosphate groups,GO:0004142 diacylglycerol cholinephosphotransferase activity,GO:0004307 ethanolaminephosphotransferase activity</t>
  </si>
  <si>
    <t>GO:0005634 nucleus,GO:0000777 condensed chromosome kinetochore</t>
  </si>
  <si>
    <t>N-acetylgalactosaminyltransferase 7 (EC 2.4.1.-)(Polypeptide GalNAc transferase 7)(pp-GaNTase 7)(GalNAc-T7)(Protein-UDP acetylgalactosaminyltransferase 7)(UDP-GalNAc:polypeptide N-acetylgalactosaminyltransferase 7) [Source:UniProtKB/Swiss-Prot;Acc:Q86SF2]</t>
  </si>
  <si>
    <t>GO:0005975 carbohydrate metabolic process,GO:0006493 protein amino acid O-linked glycosylation</t>
  </si>
  <si>
    <t>H300001708</t>
  </si>
  <si>
    <t>NM_174913</t>
  </si>
  <si>
    <t>C14orf21</t>
  </si>
  <si>
    <t>Pumilio domain-containing protein C14orf21  [Source:UniProtKB/Swiss-Prot;Acc:Q86U38]</t>
  </si>
  <si>
    <t>GO:0005488 binding,GO:0003723 RNA binding</t>
  </si>
  <si>
    <t>COP9 signalosome complex subunit 7a (Signalosome subunit 7a)(SGN7a)(JAB1-containing signalosome subunit 7a)(Dermal papilla-derived protein 10) [Source:UniProtKB/Swiss-Prot;Acc:Q9UBW8]</t>
  </si>
  <si>
    <t>GO:0005634 nucleus,GO:0005737 cytoplasm,GO:0008180 signalosome</t>
  </si>
  <si>
    <t>CHsGV10002801</t>
  </si>
  <si>
    <t>NM_003820.2</t>
  </si>
  <si>
    <t>TNFRSF14</t>
  </si>
  <si>
    <t>GO:0006955 immune response,GO:0016358 dendrite development,GO:0008360 regulation of cell shape,GO:0009653 anatomical structure morphogenesis,GO:0000902 cell morphogenesis,GO:0050672 negative regulation of lymphocyte proliferation</t>
  </si>
  <si>
    <t>H200012475</t>
  </si>
  <si>
    <t>NM_014474;NM_014474;NM_014474</t>
  </si>
  <si>
    <t>SMPDL3B</t>
  </si>
  <si>
    <t>Myeloid cell surface antigen CD33 Precursor (Sialic acid-binding Ig-like lectin 3)(Siglec-3)(gp67)(CD33 antigen) [Source:UniProtKB/Swiss-Prot;Acc:P20138]</t>
  </si>
  <si>
    <t>GO:0008285 negative regulation of cell proliferation,GO:0007165 signal transduction,GO:0007155 cell adhesion,GO:0007267 cell-cell signaling</t>
  </si>
  <si>
    <t>GO:0005515 protein binding,GO:0005529 sugar binding,GO:0004872 receptor activity</t>
  </si>
  <si>
    <t>H300003763</t>
  </si>
  <si>
    <t>NM_018648</t>
  </si>
  <si>
    <t>NOLA3</t>
  </si>
  <si>
    <t>H/ACA ribonucleoprotein complex subunit 3 (Nucleolar protein family A member 3)(snoRNP protein NOP10) [Source:UniProtKB/Swiss-Prot;Acc:Q9NPE3]</t>
  </si>
  <si>
    <t>H300021299</t>
  </si>
  <si>
    <t>NM_001024218;NM_001024218</t>
  </si>
  <si>
    <t>GPHN</t>
  </si>
  <si>
    <t>Gephyrin  [Source:UniProtKB/Swiss-Prot;Acc:Q9NQX3]</t>
  </si>
  <si>
    <t>GO:0006777 Mo-molybdopterin cofactor biosynthetic process,GO:0007529 establishment of synaptic specificity at neuromuscular junction,GO:0032324 molybdopterin cofactor biosynthetic process</t>
  </si>
  <si>
    <t>GO:0000287 magnesium ion binding,GO:0000166 nucleotide binding,GO:0003824 catalytic activity,GO:0005515 protein binding</t>
  </si>
  <si>
    <t>ZW10 interactor (ZW10-interacting protein 1)(Zwint-1) [Source:UniProtKB/Swiss-Prot;Acc:O95229]</t>
  </si>
  <si>
    <t>GO:0007049 cell cycle,GO:0051301 cell division,GO:0000070 mitotic sister chromatid segregation,GO:0007051 spindle organization and biogenesis,GO:0048015 phosphoinositide-mediated signaling,GO:0007093 mitotic cell cycle checkpoint,GO:0051649 establishment of localization in cell</t>
  </si>
  <si>
    <t>GO:0047485 protein N-terminus binding</t>
  </si>
  <si>
    <t>GO:0016212 kynurenine-oxoglutarate transaminase activity,GO:0016769 transferase activity, transferring nitrogenous groups,GO:0016829 lyase activity,GO:0016847 1-aminocyclopropane-1-carboxylate synthase activity,GO:0030170 pyridoxal phosphate binding,GO:00</t>
  </si>
  <si>
    <t>H200015841</t>
  </si>
  <si>
    <t>NM_017423</t>
  </si>
  <si>
    <t>GALNT7</t>
  </si>
  <si>
    <t>H200004641</t>
  </si>
  <si>
    <t>NM_017882</t>
  </si>
  <si>
    <t>CLN6</t>
  </si>
  <si>
    <t>U3 small nucleolar RNA-interacting protein 2 (U3 small nucleolar ribonucleoprotein-associated 55 kDa protein)(U3 snoRNP-associated 55 kDa protein)(U3-55K)(RRP9 homolog) [Source:UniProtKB/Swiss-Prot;Acc:O43818]</t>
  </si>
  <si>
    <t>GO:0007601 visual perception,GO:0030163 protein catabolic process,GO:0008203 cholesterol metabolic process,GO:0030203 glycosaminoglycan metabolic process,GO:0045862 positive regulation of proteolysis,GO:0001573 ganglioside metabolic process,GO:0007042 lysosomal lumen acidification,GO:0031987 locomotion during locomotory behavior,GO:0044265 cellular macromolecule catabolic process</t>
  </si>
  <si>
    <t>GO:0042803 protein homodimerization activity</t>
  </si>
  <si>
    <t>H300021601</t>
  </si>
  <si>
    <t>NM_152633</t>
  </si>
  <si>
    <t>FANCB</t>
  </si>
  <si>
    <t>Fanconi anemia group B protein (Protein FACB)(Fanconi anemia-associated polypeptide of 95 kDa)(FAAP95) [Source:UniProtKB/Swiss-Prot;Acc:Q8NB91]</t>
  </si>
  <si>
    <t>GO:0006974 response to DNA damage stimulus,GO:0006281 DNA repair</t>
  </si>
  <si>
    <t>opHsV0400004306</t>
  </si>
  <si>
    <t>NM_001772</t>
  </si>
  <si>
    <t>CD33</t>
  </si>
  <si>
    <t>GO:0005515 protein binding,GO:0004252 serine-type endopeptidase activity,GO:0008233 peptidase activity</t>
  </si>
  <si>
    <t>opHsV0400000990</t>
  </si>
  <si>
    <t>CEBPD</t>
  </si>
  <si>
    <t>CCAAT/enhancer-binding protein delta (C/EBP delta)(Nuclear factor NF-IL6-beta)(NF-IL6-beta) [Source:UniProtKB/Swiss-Prot;Acc:P49716]</t>
  </si>
  <si>
    <t>H300019985</t>
  </si>
  <si>
    <t>STK3</t>
  </si>
  <si>
    <t>GO:0005886 plasma membrane,GO:0005856 cytoskeleton,GO:0005622 intracellular,GO:0005737 cytoplasm,GO:0030054 cell junction,GO:0045202 synapse,GO:0045211 postsynaptic membrane</t>
  </si>
  <si>
    <t>AHsV10000729</t>
  </si>
  <si>
    <t>NM_001122671.1</t>
  </si>
  <si>
    <t>CCBL1</t>
  </si>
  <si>
    <t>Kynurenine--oxoglutarate transaminase 1 (EC 2.6.1.7)(Kynurenine--oxoglutarate transaminase I)(Kynurenine aminotransferase I)(KATI)(Glutamine--phenylpyruvate transaminase)(EC 2.6.1.64)(Glutamine transaminase K)(GTK)(Cysteine-S-conjugate beta-lyase)(EC 4.4.</t>
  </si>
  <si>
    <t>GO:0006575 amino acid derivative metabolic process,GO:0009058 biosynthetic process</t>
  </si>
  <si>
    <t>H200008496</t>
  </si>
  <si>
    <t>NM_015938</t>
  </si>
  <si>
    <t>NMD3</t>
  </si>
  <si>
    <t>60S ribosomal export protein NMD3 (hNMD3) [Source:UniProtKB/Swiss-Prot;Acc:Q96D46]</t>
  </si>
  <si>
    <t>AHsV10000253</t>
  </si>
  <si>
    <t>NM_031946.4</t>
  </si>
  <si>
    <t>AGAP3</t>
  </si>
  <si>
    <t>Tumor necrosis factor receptor superfamily member 14 Precursor (Herpesvirus entry mediator A)(Tumor necrosis factor receptor-like 2)(TR2) [Source:UniProtKB/Swiss-Prot;Acc:Q92956]</t>
  </si>
  <si>
    <t>Arf-GAP, GTPase, ANK repeat and PH domain-containing protein 3 (AGAP-3)(Centaurin-gamma-3)(MR1-interacting protein)(MRIP-1)(CRAM-associated GTPase)(CRAG) [Source:UniProtKB/Swiss-Prot;Acc:Q96P47]</t>
  </si>
  <si>
    <t>GO:0007264 small GTPase mediated signal transduction,GO:0015031 protein transport,GO:0032312 regulation of ARF GTPase activity</t>
  </si>
  <si>
    <t>GO:0005525 GTP binding,GO:0008060 ARF GTPase activator activity,GO:0008270 zinc ion binding</t>
  </si>
  <si>
    <t>H200005937</t>
  </si>
  <si>
    <t>NM_006012</t>
  </si>
  <si>
    <t>CLPP</t>
  </si>
  <si>
    <t>Putative ATP-dependent Clp protease proteolytic subunit, mitochondrial Precursor (EC 3.4.21.92)(Endopeptidase Clp) [Source:UniProtKB/Swiss-Prot;Acc:Q16740]</t>
  </si>
  <si>
    <t>NM_000627;NM_000627;NM_000627;NM_000627;NM_000627;NM_000627;NM_000627;NM_000627</t>
  </si>
  <si>
    <t>LTBP1</t>
  </si>
  <si>
    <t>Latent-transforming growth factor beta-binding protein, isoform 1L Precursor (LTBP-1)(Transforming growth factor beta-1-binding protein 1)(TGF-beta1-BP-1) [Source:UniProtKB/Swiss-Prot;Acc:Q14766]</t>
  </si>
  <si>
    <t>H300014038</t>
  </si>
  <si>
    <t>NM_133443</t>
  </si>
  <si>
    <t>GPT2</t>
  </si>
  <si>
    <t>Alanine aminotransferase 2 (ALT2)(EC 2.6.1.2)(Glutamic--pyruvic transaminase 2)(Glutamate pyruvate transaminase 2)(GPT 2)(Glutamic--alanine transaminase 2) [Source:UniProtKB/Swiss-Prot;Acc:Q8TD30]</t>
  </si>
  <si>
    <t>GO:0030170 pyridoxal phosphate binding,GO:0016769 transferase activity, transferring nitrogenous groups,GO:0004021 alanine transaminase activity,GO:0016847 1-aminocyclopropane-1-carboxylate synthase activity</t>
  </si>
  <si>
    <t>Serine/threonine-protein kinase 3 (EC 2.7.11.1)(STE20-like kinase MST2)(MST-2)(Mammalian STE20-like protein kinase 2)(Serine/threonine-protein kinase Krs-1) [Source:UniProtKB/Swiss-Prot;Acc:Q13188]</t>
  </si>
  <si>
    <t>GO:0007165 signal transduction,GO:0006468 protein amino acid phosphorylation,GO:0007243 protein kinase cascade,GO:0043065 positive regulation of apoptosis</t>
  </si>
  <si>
    <t>Ceroid-lipofuscinosis neuronal protein 6 (Protein CLN6) [Source:UniProtKB/Swiss-Prot;Acc:Q9NWW5]</t>
  </si>
  <si>
    <t>GO:0016740 transferase activity,GO:0000287 magnesium ion binding,GO:0005515 protein binding,GO:0000166 nucleotide binding,GO:0005524 ATP binding,GO:0004674 protein serine/threonine kinase activity,GO:0004713 protein tyrosine kinase activity,GO:0046983 protein dimerization activity,GO:0004672 protein kinase activity</t>
  </si>
  <si>
    <t>GO:0004571 mannosyl-oligosaccharide 1,2-alpha-mannosidase activity,GO:0005509 calcium ion binding</t>
  </si>
  <si>
    <t>H300001995</t>
  </si>
  <si>
    <t>NM_001945</t>
  </si>
  <si>
    <t>HBEGF</t>
  </si>
  <si>
    <t>Proheparin-binding EGF-like growth factor Precursor [Contains Heparin-binding EGF-like growth factor(HB-EGF)(HBEGF)(Diphtheria toxin receptor)(DT-R)] [Source:UniProtKB/Swiss-Prot;Acc:Q99075]</t>
  </si>
  <si>
    <t>H300019561</t>
  </si>
  <si>
    <t>GO:0007165 signal transduction,GO:0007517 muscle development,GO:0007173 epidermal growth factor receptor signaling pathway,GO:0048661 positive regulation of smooth muscle cell proliferation,GO:0008016 regulation of heart contraction,GO:0035313 wound healing, spreading of epidermal cells,GO:0051549 positive regulation of keratinocyte migration</t>
  </si>
  <si>
    <t>GO:0004872 receptor activity,GO:0008201 heparin binding,GO:0008083 growth factor activity,GO:0005154 epidermal growth factor receptor binding</t>
  </si>
  <si>
    <t>GO:0005886 plasma membrane,GO:0005576 extracellular region,GO:0005887 integral to plasma membrane,GO:0009986 cell surface,GO:0005615 extracellular space</t>
  </si>
  <si>
    <t>H200012662</t>
  </si>
  <si>
    <t>AC010896.3</t>
  </si>
  <si>
    <t>Ethanolaminephosphotransferase 1 (hEPT1)(EC 2.7.8.1)(Selenoprotein I)(SelI) [Source:UniProtKB/Swiss-Prot;Acc:Q9C0D9]</t>
  </si>
  <si>
    <t>GO:0008654 phospholipid biosynthetic process</t>
  </si>
  <si>
    <t>GO:0016740 transferase activity,GO:0000287 magnesium ion binding,GO:0030145 manganese ion binding,GO:0016780 phosphotransferase activity, for other substituted phosphate groups,GO:0008430 selenium binding,GO:0004307 ethanolaminephosphotransferase activity</t>
  </si>
  <si>
    <t>MIF</t>
  </si>
  <si>
    <t>macrophage migration inhibitory factor (glycosylation-inhibiting factor) [Source:HGNC Symbol;Acc:7097]</t>
  </si>
  <si>
    <t>AHsV10003145</t>
  </si>
  <si>
    <t>NM_018217</t>
  </si>
  <si>
    <t>EDEM2</t>
  </si>
  <si>
    <t>GO:0001516 prostaglandin biosynthetic process;GO:0006954 inflammatory response;GO:0007166 cell surface receptor linked signal transduction;GO:0008283 cell proliferation;GO:0019752 carboxylic acid metabolic process;GO:0030890 positive regulation of B cell proliferation;GO:0042327 positive regulation of phosphorylation;GO:0043030 regulation of macrophage activation;GO:0043066 negative regulation of apoptosis;GO:0045087 innate immune response;GO:0048146 positive regulation of fibroblast proliferation;GO:0070207 protein homotrimerization;GO:0070374 positive regulation of ERK1 and ERK2 cascade</t>
  </si>
  <si>
    <t>GO:0004167 dopachrome isomerase activity;GO:0005125 cytokine activity;GO:0016853 isomerase activity;GO:0043498 cell surface binding;GO:0050178 phenylpyruvate tautomerase activity</t>
  </si>
  <si>
    <t>GO:0005576 extracellular region;GO:0005615 extracellular space;GO:0005737 cytoplasm</t>
  </si>
  <si>
    <t>H200011770</t>
  </si>
  <si>
    <t>NM_003118</t>
  </si>
  <si>
    <t>SPARC</t>
  </si>
  <si>
    <t>SPARC Precursor (Secreted protein acidic and rich in cysteine)(Osteonectin)(ON)(Basement-membrane protein 40)(BM-40) [Source:UniProtKB/Swiss-Prot;Acc:P09486]</t>
  </si>
  <si>
    <t>GO:0001503 ossification,GO:0007169 transmembrane receptor protein tyrosine kinase signaling pathway</t>
  </si>
  <si>
    <t>GO:0005509 calcium ion binding,GO:0005507 copper ion binding,GO:0005518 collagen binding</t>
  </si>
  <si>
    <t>GO:0005576 extracellular region,GO:0005604 basement membrane,GO:0031093 platelet alpha granule lumen</t>
  </si>
  <si>
    <t>H300021177</t>
  </si>
  <si>
    <t>NM_022782;NM_022782</t>
  </si>
  <si>
    <t>MPHOSPH9</t>
  </si>
  <si>
    <t>M-phase phosphoprotein 9  [Source:UniProtKB/Swiss-Prot;Acc:Q99550]</t>
  </si>
  <si>
    <t>GO:0005737 cytoplasm,GO:0005739 mitochondrion,GO:0005741 mitochondrial outer membrane,GO:0016020 membrane,GO:0016021 integral to membrane</t>
  </si>
  <si>
    <t>GO:0005524 ATP binding,GO:0004674 protein serine/threonine kinase activity,GO:0004672 protein kinase activity</t>
  </si>
  <si>
    <t>H300018781</t>
  </si>
  <si>
    <t>NM_018224;NM_018224</t>
  </si>
  <si>
    <t>C7orf44</t>
  </si>
  <si>
    <t>Uncharacterized protein C7orf44  [Source:UniProtKB/Swiss-Prot;Acc:Q9GZY4]</t>
  </si>
  <si>
    <t>NM_002415</t>
  </si>
  <si>
    <t>GO:0003735 structural constituent of ribosome,GO:0045182 translation regulator activity</t>
  </si>
  <si>
    <t>NM_012198.3</t>
  </si>
  <si>
    <t>GCA</t>
  </si>
  <si>
    <t>Grancalcin  [Source:UniProtKB/Swiss-Prot;Acc:P28676]</t>
  </si>
  <si>
    <t>GO:0006944 membrane fusion</t>
  </si>
  <si>
    <t>opHsV0400002648</t>
  </si>
  <si>
    <t>NM_001008237;NM_001008237</t>
  </si>
  <si>
    <t>H300022255</t>
  </si>
  <si>
    <t>NM_080741;NM_080741;NM_080741;NM_080741;NM_080741</t>
  </si>
  <si>
    <t>NEU4</t>
  </si>
  <si>
    <t>Sialidase-4 (EC 3.2.1.18)(N-acetyl-alpha-neuraminidase 4) [Source:UniProtKB/Swiss-Prot;Acc:Q8WWR8]</t>
  </si>
  <si>
    <t>GO:0005515 protein binding,GO:0016798 hydrolase activity, acting on glycosyl bonds,GO:0004308 exo-alpha-sialidase activity</t>
  </si>
  <si>
    <t>GO:0016020 membrane,GO:0005764 lysosome,GO:0019866 organelle inner membrane</t>
  </si>
  <si>
    <t>AHsV10003241</t>
  </si>
  <si>
    <t>NM_006809.4</t>
  </si>
  <si>
    <t>TOMM34</t>
  </si>
  <si>
    <t>Mitochondrial import receptor subunit TOM34 (hTom34)(Translocase of outer membrane 34 kDa subunit) [Source:UniProtKB/Swiss-Prot;Acc:Q15785]</t>
  </si>
  <si>
    <t>GO:0006626 protein targeting to mitochondrion</t>
  </si>
  <si>
    <t>GO:0005048 signal sequence binding,GO:0005488 binding</t>
  </si>
  <si>
    <t>H200003873</t>
  </si>
  <si>
    <t>NM_003503;NM_003503</t>
  </si>
  <si>
    <t>CDC7</t>
  </si>
  <si>
    <t>Cell division cycle 7-related protein kinase (CDC7-related kinase)(HsCdc7)(huCdc7)(EC 2.7.11.1) [Source:UniProtKB/Swiss-Prot;Acc:O00311]</t>
  </si>
  <si>
    <t>GO:0006468 protein amino acid phosphorylation,GO:0051301 cell division</t>
  </si>
  <si>
    <t>H300007154</t>
  </si>
  <si>
    <t>NM_003830</t>
  </si>
  <si>
    <t>SIGLEC5</t>
  </si>
  <si>
    <t>Sialic acid-binding Ig-like lectin 5 Precursor (Siglec-5)(Obesity-binding protein 2)(OB-binding protein 2)(OB-BP2)(CD33 antigen-like 2)(CD170 antigen) [Source:UniProtKB/Swiss-Prot;Acc:O15389]</t>
  </si>
  <si>
    <t>H200008623</t>
  </si>
  <si>
    <t>NM_177937;NM_016548</t>
  </si>
  <si>
    <t>C9orf155</t>
  </si>
  <si>
    <t>ER degradation-enhancing alpha-mannosidase-like 2 Precursor  [Source:UniProtKB/Swiss-Prot;Acc:Q9BV94]</t>
  </si>
  <si>
    <t>NM_006002;NM_006002</t>
  </si>
  <si>
    <t>UCHL3</t>
  </si>
  <si>
    <t>Ubiquitin carboxyl-terminal hydrolase isozyme L3 (UCH-L3)(EC 3.4.19.12)(Ubiquitin thioesterase L3) [Source:UniProtKB/Swiss-Prot;Acc:P15374]</t>
  </si>
  <si>
    <t>Zinc transporter 5 (ZnT-5)(ZnT-like transporter 1)(hZTL1)(Solute carrier family 30 member 5) [Source:UniProtKB/Swiss-Prot;Acc:Q8TAD4]</t>
  </si>
  <si>
    <t>H200003283</t>
  </si>
  <si>
    <t>NM_022497</t>
  </si>
  <si>
    <t>MRPS25</t>
  </si>
  <si>
    <t>28S ribosomal protein S25, mitochondrial (S25mt)(MRP-S25) [Source:UniProtKB/Swiss-Prot;Acc:P82663]</t>
  </si>
  <si>
    <t>GO:0005515 protein binding,GO:0003735 structural constituent of ribosome</t>
  </si>
  <si>
    <t>H200004214</t>
  </si>
  <si>
    <t>NM_025204</t>
  </si>
  <si>
    <t>TRABD</t>
  </si>
  <si>
    <t>TraB domain-containing protein  [Source:UniProtKB/Swiss-Prot;Acc:Q9H4I3]</t>
  </si>
  <si>
    <t>H200010146</t>
  </si>
  <si>
    <t>NM_199069;NM_199069;NM_199069</t>
  </si>
  <si>
    <t>C3orf60</t>
  </si>
  <si>
    <t>Uncharacterized protein C3orf60  [Source:UniProtKB/Swiss-Prot;Acc:Q9BU61]</t>
  </si>
  <si>
    <t>AHsV10000417</t>
  </si>
  <si>
    <t>NM_206926.1</t>
  </si>
  <si>
    <t>SEPN1</t>
  </si>
  <si>
    <t>Selenoprotein N Precursor (SelN) [Source:UniProtKB/Swiss-Prot;Acc:Q9NZV5]</t>
  </si>
  <si>
    <t>opHsV0400001948</t>
  </si>
  <si>
    <t>RP11-323H21.2</t>
  </si>
  <si>
    <t>opHsV0400006299</t>
  </si>
  <si>
    <t>NM_016067</t>
  </si>
  <si>
    <t>MRPS18C</t>
  </si>
  <si>
    <t>CHsGV10000469</t>
  </si>
  <si>
    <t>NM_019896.2</t>
  </si>
  <si>
    <t>POLE4</t>
  </si>
  <si>
    <t>DNA polymerase epsilon subunit 4 (DNA polymerase II subunit 4)(EC 2.7.7.7)(DNA polymerase epsilon subunit p12) [Source:UniProtKB/Swiss-Prot;Acc:Q9NR33]</t>
  </si>
  <si>
    <t>GO:0005515 protein binding,GO:0003677 DNA binding,GO:0043565 sequence-specific DNA binding,GO:0016740 transferase activity,GO:0016779 nucleotidyltransferase activity,GO:0003887 DNA-directed DNA polymerase activity</t>
  </si>
  <si>
    <t>39S ribosomal protein L37, mitochondrial Precursor (L37mt)(MRP-L37) [Source:UniProtKB/Swiss-Prot;Acc:Q9BZE1]</t>
  </si>
  <si>
    <t>AHsV10002123</t>
  </si>
  <si>
    <t>NM_152363.4</t>
  </si>
  <si>
    <t>ANKLE1</t>
  </si>
  <si>
    <t>Ankyrin repeat and LEM domain-containing protein 1 (Ankyrin repeat domain-containing protein 41) [Source:UniProtKB/Swiss-Prot;Acc:Q8NAG6]</t>
  </si>
  <si>
    <t>GO:0005975 carbohydrate metabolic process,GO:0006355 regulation of transcription, DNA-dependent</t>
  </si>
  <si>
    <t>GO:0003677 DNA binding,GO:0003824 catalytic activity,GO:0004879 ligand-dependent nuclear receptor activity</t>
  </si>
  <si>
    <t>EHsV10000003</t>
  </si>
  <si>
    <t>X-box-binding protein 1 (XBP-1)(Tax-responsive element-binding protein 5) [Source:UniProtKB/Swiss-Prot;Acc:P17861]</t>
  </si>
  <si>
    <t>GO:0006350 transcription,GO:0006355 regulation of transcription, DNA-dependent,GO:0006955 immune response,GO:0045449 regulation of transcription</t>
  </si>
  <si>
    <t>H200017225</t>
  </si>
  <si>
    <t>NM_201532;NM_001105540;NM_001105540</t>
  </si>
  <si>
    <t>DGKZ</t>
  </si>
  <si>
    <t>Diacylglycerol kinase zeta (DAG kinase zeta)(EC 2.7.1.107)(Diglyceride kinase zeta)(DGK-zeta) [Source:UniProtKB/Swiss-Prot;Acc:Q13574]</t>
  </si>
  <si>
    <t>GO:0016740 transferase activity,GO:0005515 protein binding,GO:0008270 zinc ion binding,GO:0005524 ATP binding,GO:0046872 metal ion binding,GO:0019992 diacylglycerol binding,GO:0004143 diacylglycerol kinase activity</t>
  </si>
  <si>
    <t>28S ribosomal protein S18c, mitochondrial Precursor (MRP-S18-c)(Mrps18c)(MRP-S18-1) [Source:UniProtKB/Swiss-Prot;Acc:Q9Y3D5]</t>
  </si>
  <si>
    <t>GO:0005622 intracellular,GO:0005840 ribosome,GO:0005739 mitochondrion,GO:0005763 mitochondrial small ribosomal subunit</t>
  </si>
  <si>
    <t>H300019040</t>
  </si>
  <si>
    <t>NM_002658</t>
  </si>
  <si>
    <t>PLAU</t>
  </si>
  <si>
    <t>Urokinase-type plasminogen activator Precursor (U-plasminogen activator)(uPA)(EC 3.4.21.73) [Contains Urokinase-type plasminogen activator long chain A;Urokinase-type plasminogen activator short chain A;Urokinase-type plasminogen activator chain B] [Source:UniProtKB/Swiss-Prot;Acc:P00749]</t>
  </si>
  <si>
    <t>GO:0003824 catalytic activity,GO:0004252 serine-type endopeptidase activity,GO:0016301 kinase activity,GO:0008233 peptidase activity</t>
  </si>
  <si>
    <t>AHsV10000679</t>
  </si>
  <si>
    <t>NM_018708.2</t>
  </si>
  <si>
    <t>FEM1A</t>
  </si>
  <si>
    <t>Protein fem-1 homolog A (FEM1-alpha)(FEM1a)(Prostaglandin E receptor 4-associated protein) [Source:UniProtKB/Swiss-Prot;Acc:Q9BSK4]</t>
  </si>
  <si>
    <t>Golgi membrane protein 1 (Golgi phosphoprotein 2)(Golgi membrane protein GP73) [Source:UniProtKB/Swiss-Prot;Acc:Q8NBJ4]</t>
  </si>
  <si>
    <t>GO:0016020 membrane,GO:0005794 Golgi apparatus,GO:0005887 integral to plasma membrane</t>
  </si>
  <si>
    <t>H200000887</t>
  </si>
  <si>
    <t>NM_016491</t>
  </si>
  <si>
    <t>MRPL37</t>
  </si>
  <si>
    <t>GO:0005840 ribosome,GO:0005739 mitochondrion,GO:0005761 mitochondrial ribosome</t>
  </si>
  <si>
    <t>CHsGV10003388</t>
  </si>
  <si>
    <t>H200006468</t>
  </si>
  <si>
    <t>GO:0008270 zinc ion binding,GO:0046872 metal ion binding,GO:0003676 nucleic acid binding,GO:0005198 structural molecule activity</t>
  </si>
  <si>
    <t>opHsV0400001778</t>
  </si>
  <si>
    <t>NM_001042546;NM_001042546</t>
  </si>
  <si>
    <t>ATPAF1</t>
  </si>
  <si>
    <t>ATP synthase mitochondrial F1 complex assembly factor 1 Precursor (ATP11 homolog) [Source:UniProtKB/Swiss-Prot;Acc:Q5TC12]</t>
  </si>
  <si>
    <t>Phosphorylase b kinase regulatory subunit beta (Phosphorylase kinase subunit beta) [Source:UniProtKB/Swiss-Prot;Acc:Q93100]</t>
  </si>
  <si>
    <t>GO:0005975 carbohydrate metabolic process,GO:0006091 generation of precursor metabolites and energy,GO:0005977 glycogen metabolic process</t>
  </si>
  <si>
    <t>Translocation-associated membrane protein 1  [Source:UniProtKB/Swiss-Prot;Acc:Q15629]</t>
  </si>
  <si>
    <t>GO:0015031 protein transport,GO:0065002 intracellular protein transmembrane transport,GO:0006613 cotranslational protein targeting to membrane</t>
  </si>
  <si>
    <t>H300005903</t>
  </si>
  <si>
    <t>NM_004867</t>
  </si>
  <si>
    <t>ITM2A</t>
  </si>
  <si>
    <t>Integral membrane protein 2A (E25 protein) [Source:UniProtKB/Swiss-Prot;Acc:O43736]</t>
  </si>
  <si>
    <t>H200017321</t>
  </si>
  <si>
    <t>NM_016306</t>
  </si>
  <si>
    <t>DNAJB11</t>
  </si>
  <si>
    <t>DnaJ homolog subfamily B member 11 Precursor (ER-associated dnaJ protein 3)(ERj3p)(ERdj3)(ER-associated Hsp40 co-chaperone)(ER-associated DNAJ)(HEDJ)(hDj9)(PWP1-interacting protein 4)(APOBEC1-binding protein 2)(ABBP-2) [Source:UniProtKB/Swiss-Prot;Acc:Q9UBS4]</t>
  </si>
  <si>
    <t>GO:0006457 protein folding,GO:0016556 mRNA modification</t>
  </si>
  <si>
    <t>GO:0005634 nucleus,GO:0005737 cytoplasm,GO:0005783 endoplasmic reticulum,GO:0005788 endoplasmic reticulum lumen</t>
  </si>
  <si>
    <t>H300019691</t>
  </si>
  <si>
    <t>NM_003640</t>
  </si>
  <si>
    <t>IKBKAP</t>
  </si>
  <si>
    <t>Lysosomal Pro-X carboxypeptidase Precursor (EC 3.4.16.2)(Prolylcarboxypeptidase)(PRCP)(Proline carboxypeptidase)(Angiotensinase C)(Lysosomal carboxypeptidase C) [Source:UniProtKB/Swiss-Prot;Acc:P42785]</t>
  </si>
  <si>
    <t>GO:0008236 serine-type peptidase activity,GO:0004180 carboxypeptidase activity</t>
  </si>
  <si>
    <t>AHsV10002920</t>
  </si>
  <si>
    <t>NM_024055.2</t>
  </si>
  <si>
    <t>SLC30A5</t>
  </si>
  <si>
    <t>H200013682</t>
  </si>
  <si>
    <t>NM_005080;NM_005080;NM_005080</t>
  </si>
  <si>
    <t>XBP1</t>
  </si>
  <si>
    <t>GO:0003677 DNA binding,GO:0005515 protein binding,GO:0004871 signal transducer activity,GO:0008607 phosphorylase kinase regulator activity,GO:0016944 RNA polymerase II transcription elongation factor activity</t>
  </si>
  <si>
    <t>GO:0005634 nucleus,GO:0005737 cytoplasm,GO:0005730 nucleolus,GO:0008023 transcription elongation factor complex,GO:0016591 DNA-directed RNA polymerase II, holoenzyme</t>
  </si>
  <si>
    <t>opHsV0400001261</t>
  </si>
  <si>
    <t>NM_001032363;NM_001032363</t>
  </si>
  <si>
    <t>C1orf151</t>
  </si>
  <si>
    <t>UPF0327 protein C1orf151  [Source:UniProtKB/Swiss-Prot;Acc:Q5TGZ0]</t>
  </si>
  <si>
    <t>H300021343</t>
  </si>
  <si>
    <t>AC109812.5</t>
  </si>
  <si>
    <t>Glycophorin E Fragment  [Source:UniProtKB/TrEMBL;Acc:Q9NRB2]</t>
  </si>
  <si>
    <t>H200001305</t>
  </si>
  <si>
    <t>NM_012328</t>
  </si>
  <si>
    <t>DNAJB9</t>
  </si>
  <si>
    <t>DnaJ homolog subfamily B member 9 (Microvascular endothelial differentiation gene 1 protein)(Mdg-1) [Source:UniProtKB/Swiss-Prot;Acc:Q9UBS3]</t>
  </si>
  <si>
    <t>GO:0031072 heat shock protein binding,GO:0051082 unfolded protein binding,GO:0030188 chaperone regulator activity,GO:0030188 chaperone regulator activity</t>
  </si>
  <si>
    <t>GO:0005634 nucleus,GO:0005737 cytoplasm,GO:0005783 endoplasmic reticulum,GO:0005730 nucleolus,GO:0005737 cytoplasm,GO:0005730 nucleolus</t>
  </si>
  <si>
    <t>H200006482</t>
  </si>
  <si>
    <t>NM_001031835;NM_001031835</t>
  </si>
  <si>
    <t>PHKB</t>
  </si>
  <si>
    <t>H200000878</t>
  </si>
  <si>
    <t>NM_014294</t>
  </si>
  <si>
    <t>TRAM1</t>
  </si>
  <si>
    <t>H200012135</t>
  </si>
  <si>
    <t>NM_000269;NM_198175;NM_002512</t>
  </si>
  <si>
    <t>NME1-NME2</t>
  </si>
  <si>
    <t>Nucleoside diphosphate kinase A (NDP kinase A)(NDK A)(EC 2.7.4.6)(Tumor metastatic process-associated protein)(Metastasis inhibition factor nm23)(nm23-H1)(Granzyme A-activated DNase)(GAAD) [Source:UniProtKB/Swiss-Prot;Acc:P15531]</t>
  </si>
  <si>
    <t>GO:0019941 modification-dependent protein catabolic process,GO:0051438 regulation of ubiquitin-protein ligase activity</t>
  </si>
  <si>
    <t>H200006173</t>
  </si>
  <si>
    <t>NM_199418;NM_199418</t>
  </si>
  <si>
    <t>PRCP</t>
  </si>
  <si>
    <t>H300019337</t>
  </si>
  <si>
    <t>NM_033101;NM_033101;NM_033101</t>
  </si>
  <si>
    <t>LGALS12</t>
  </si>
  <si>
    <t>Galectin-12 (Galectin-related inhibitor of proliferation) [Source:UniProtKB/Swiss-Prot;Acc:Q96DT0]</t>
  </si>
  <si>
    <t>H200005780</t>
  </si>
  <si>
    <t>NM_015168</t>
  </si>
  <si>
    <t>ZC3H4</t>
  </si>
  <si>
    <t>Zinc finger CCCH domain-containing protein 4  [Source:UniProtKB/Swiss-Prot;Acc:Q9UPT8]</t>
  </si>
  <si>
    <t>GO:0003677 DNA binding,GO:0016740 transferase activity,GO:0000287 magnesium ion binding,GO:0005515 protein binding,GO:0000166 nucleotide binding,GO:0005524 ATP binding,GO:0005525 GTP binding,GO:0016301 kinase activity,GO:0004550 nucleoside diphosphate kinase activity,GO:0004536 deoxyribonuclease activity</t>
  </si>
  <si>
    <t>Rho GTPase-activating protein 10 (Rho-type GTPase-activating protein 10)(GTPase regulator associated with focal adhesion kinase 2)(Graf-related protein 2) [Source:UniProtKB/Swiss-Prot;Acc:A1A4S6]</t>
  </si>
  <si>
    <t>GO:0007165 signal transduction,GO:0007010 cytoskeleton organization</t>
  </si>
  <si>
    <t>3-beta-hydroxysteroid-Delta(8),Delta(7)-isomerase (EC 5.3.3.5)(Cholestenol Delta-isomerase)(Delta(8)-Delta(7) sterol isomerase)(D8-D7 sterol isomerase)(Emopamil-binding protein) [Source:UniProtKB/Swiss-Prot;Acc:Q15125]</t>
  </si>
  <si>
    <t>H300018956</t>
  </si>
  <si>
    <t>NM_014929;NM_014929</t>
  </si>
  <si>
    <t>FASTKD2</t>
  </si>
  <si>
    <t>FAST kinase domain-containing protein 2  [Source:UniProtKB/Swiss-Prot;Acc:Q9NYY8]</t>
  </si>
  <si>
    <t>GO:0001501 skeletal development,GO:0030097 hemopoiesis,GO:0006695 cholesterol biosynthetic process,GO:0016125 sterol metabolic process</t>
  </si>
  <si>
    <t>GO:0016853 isomerase activity,GO:0004888 transmembrane receptor activity,GO:0015238 drug transporter activity,GO:0000247 C-8 sterol isomerase activity,GO:0047750 cholestenol delta-isomerase activity,GO:0004769 steroid delta-isomerase activity</t>
  </si>
  <si>
    <t>GO:0016021 integral to membrane,GO:0016020 membrane,GO:0005792 microsome,GO:0005887 integral to plasma membrane,GO:0005783 endoplasmic reticulum,GO:0005789 endoplasmic reticulum membrane,GO:0005792 microsome</t>
  </si>
  <si>
    <t>H200016616</t>
  </si>
  <si>
    <t>NM_018129</t>
  </si>
  <si>
    <t>PNPO</t>
  </si>
  <si>
    <t>Elongator complex protein 1 (ELP1)(IkappaB kinase complex-associated protein)(IKK complex-associated protein)(p150) [Source:UniProtKB/Swiss-Prot;Acc:O95163]</t>
  </si>
  <si>
    <t>GO:0006468 protein amino acid phosphorylation,GO:0006350 transcription,GO:0006955 immune response,GO:0006461 protein complex assembly,GO:0006357 regulation of transcription from RNA polymerase II promoter</t>
  </si>
  <si>
    <t>Uncharacterized potential DNA-binding protein C14orf106 (P243) [Source:UniProtKB/Swiss-Prot;Acc:Q6P0N0]</t>
  </si>
  <si>
    <t>H200003680</t>
  </si>
  <si>
    <t>NM_024605</t>
  </si>
  <si>
    <t>ARHGAP10</t>
  </si>
  <si>
    <t>GO:0005515 protein binding,GO:0005100 Rho GTPase activator activity</t>
  </si>
  <si>
    <t>opHsV0400004726</t>
  </si>
  <si>
    <t>NM_198329;NM_198329</t>
  </si>
  <si>
    <t>UBA5</t>
  </si>
  <si>
    <t>Ubiquitin-like modifier-activating enzyme 5 (Ubiquitin-activating enzyme 5)(Ubiquitin-activating enzyme E1 domain-containing protein 1)(UFM1-activating enzyme)(ThiFP1) [Source:UniProtKB/Swiss-Prot;Acc:Q9GZZ9]</t>
  </si>
  <si>
    <t>GO:0003824 catalytic activity,GO:0016616 oxidoreductase activity, acting on the CH-OH group of donors, NAD or NADP as acceptor,GO:0048037 cofactor binding</t>
  </si>
  <si>
    <t>H200004468</t>
  </si>
  <si>
    <t>NM_000885</t>
  </si>
  <si>
    <t>ITGA4</t>
  </si>
  <si>
    <t>Integrin alpha-4 Precursor (Integrin alpha-IV)(VLA-4)(CD49 antigen-like family member D)(CD49d antigen) [Source:UniProtKB/Swiss-Prot;Acc:P13612]</t>
  </si>
  <si>
    <t>GO:0007155 cell adhesion,GO:0016477 cell migration,GO:0007507 heart development,GO:0007229 integrin-mediated signaling pathway,GO:0007157 heterophilic cell adhesion,GO:0001974 blood vessel remodeling,GO:0030183 B cell differentiation,GO:0007159 leukocyte adhesion</t>
  </si>
  <si>
    <t>GO:0016021 integral to membrane,GO:0016020 membrane,GO:0009897 external side of plasma membrane,GO:0008305 integrin complex</t>
  </si>
  <si>
    <t>H200006004</t>
  </si>
  <si>
    <t>NM_006579</t>
  </si>
  <si>
    <t>EBP</t>
  </si>
  <si>
    <t>Brain mitochondrial carrier protein 1 (BMCP-1)(Mitochondrial uncoupling protein 5)(UCP 5)(Solute carrier family 25 member 14) [Source:UniProtKB/Swiss-Prot;Acc:O95258]</t>
  </si>
  <si>
    <t>H200011481</t>
  </si>
  <si>
    <t>NM_004053</t>
  </si>
  <si>
    <t>BYSL</t>
  </si>
  <si>
    <t>Bystin  [Source:UniProtKB/Swiss-Prot;Acc:Q13895]</t>
  </si>
  <si>
    <t>CHsGV10000866</t>
  </si>
  <si>
    <t>NM_018124.3</t>
  </si>
  <si>
    <t>RFWD3</t>
  </si>
  <si>
    <t>GO:0008285 negative regulation of cell proliferation,GO:0042981 regulation of apoptosis,GO:0050679 positive regulation of epithelial cell proliferation,GO:0045786 negative regulation of cell cycle,GO:0006183 GTP biosynthetic process,GO:0006228 UTP biosynthetic process,GO:0006241 CTP biosynthetic process,GO:0009117 nucleotide metabolic process,GO:0043388 positive regulation of DNA binding</t>
  </si>
  <si>
    <t>GO:0005634 nucleus,GO:0005829 cytosol,GO:0005667 transcription factor complex,GO:0005694 chromosome,GO:0000785 chromatin</t>
  </si>
  <si>
    <t>AHsV10001154</t>
  </si>
  <si>
    <t>NM_022367.2</t>
  </si>
  <si>
    <t>SEMA4A</t>
  </si>
  <si>
    <t>Semaphorin-4A Precursor (Semaphorin-B)(Sema B) [Source:UniProtKB/Swiss-Prot;Acc:Q9H3S1]</t>
  </si>
  <si>
    <t>GO:0006259 DNA metabolic process,GO:0007275 multicellular organismal development,GO:0007399 nervous system development,GO:0007601 visual perception,GO:0030154 cell differentiation,GO:0050896 response to stimulus</t>
  </si>
  <si>
    <t>GO:0003677 DNA binding,GO:0004872 receptor activity,GO:0005524 ATP binding,GO:0008094 DNA-dependent ATPase activity</t>
  </si>
  <si>
    <t>CHsGV10002439</t>
  </si>
  <si>
    <t>NM_004814.2</t>
  </si>
  <si>
    <t>SNRNP40</t>
  </si>
  <si>
    <t>U5 small nuclear ribonucleoprotein 40 kDa protein (U5 snRNP 40 kDa protein)(U5-40K)(U5 snRNP-specific 40 kDa protein)(38 kDa-splicing factor)(WD repeat-containing protein 57)(Prp8-binding protein)(hPRP8BP) [Source:UniProtKB/Swiss-Prot;Acc:Q96DI7]</t>
  </si>
  <si>
    <t>GO:0005634 nucleus,GO:0005732 small nucleolar ribonucleoprotein complex,GO:0005682 snRNP U5,GO:0005681 spliceosome</t>
  </si>
  <si>
    <t>GO:0005509 calcium ion binding,GO:0004872 receptor activity,GO:0042802 identical protein binding,GO:0001968 fibronectin binding</t>
  </si>
  <si>
    <t>AHsV10001772</t>
  </si>
  <si>
    <t>NM_022810.1</t>
  </si>
  <si>
    <t>SLC25A14</t>
  </si>
  <si>
    <t>Zinc finger protein 238 (Transcriptional repressor RP58)(58 kDa repressor protein)(Zinc finger protein C2H2-171)(Translin-associated zinc finger protein 1)(TAZ-1)(Zinc finger and BTB domain-containing protein 18) [Source:UniProtKB/Swiss-Prot;Acc:Q99592]</t>
  </si>
  <si>
    <t>GO:0006350 transcription,GO:0006355 regulation of transcription, DNA-dependent,GO:0006810 transport,GO:0000122 negative regulation of transcription from RNA polymerase II promoter</t>
  </si>
  <si>
    <t>Pyridoxine-5'-phosphate oxidase (EC 1.4.3.5)(Pyridoxamine-phosphate oxidase) [Source:UniProtKB/Swiss-Prot;Acc:Q9NVS9]</t>
  </si>
  <si>
    <t>GO:0055114 oxidation reduction,GO:0008615 pyridoxine biosynthetic process</t>
  </si>
  <si>
    <t>GO:0016491 oxidoreductase activity,GO:0010181 FMN binding,GO:0004733 pyridoxamine-phosphate oxidase activity</t>
  </si>
  <si>
    <t>Tetratricopeptide repeat protein 32 (TPR repeat protein 32) [Source:UniProtKB/Swiss-Prot;Acc:Q5I0X7]</t>
  </si>
  <si>
    <t>H200005660</t>
  </si>
  <si>
    <t>NM_024430;NM_024430;NM_024430</t>
  </si>
  <si>
    <t>PSTPIP2</t>
  </si>
  <si>
    <t>Proline-serine-threonine phosphatase-interacting protein 2  [Source:UniProtKB/Swiss-Prot;Acc:Q9H939]</t>
  </si>
  <si>
    <t>H200011819</t>
  </si>
  <si>
    <t>S100A9</t>
  </si>
  <si>
    <t>GO:0006355 regulation of transcription, DNA-dependent,GO:0044419 interspecies interaction between organisms,GO:0006461 protein complex assembly,GO:0045941 positive regulation of transcription,GO:0007169 transmembrane receptor protein tyrosine kinase signaling pathway,GO:0006337 nucleosome disassembly,GO:0006268 DNA unwinding during replication,GO:0006345 loss of chromatin silencing,GO:0019047 provirus integration,GO:0019059 initiation of viral infection</t>
  </si>
  <si>
    <t>GO:0003677 DNA binding,GO:0003700 transcription factor activity,GO:0030374 ligand-dependent nuclear receptor transcription coactivator activity,GO:0046965 retinoid X receptor binding,GO:0042975 peroxisome proliferator activated receptor binding,GO:0003680 AT DNA binding</t>
  </si>
  <si>
    <t>CHsGV10000364</t>
  </si>
  <si>
    <t>NM_138493.2</t>
  </si>
  <si>
    <t>C6orf129</t>
  </si>
  <si>
    <t>AHsV10001906</t>
  </si>
  <si>
    <t>NM_015659.2</t>
  </si>
  <si>
    <t>RSL1D1</t>
  </si>
  <si>
    <t>Trimeric intracellular cation channel type B (TRIC-B)(TRICB)(Transmembrane protein 38B) [Source:UniProtKB/Swiss-Prot;Acc:Q9NVV0]</t>
  </si>
  <si>
    <t>H200015776</t>
  </si>
  <si>
    <t>NM_005113;NM_005113</t>
  </si>
  <si>
    <t>GOLGA5</t>
  </si>
  <si>
    <t>Ribosomal L1 domain-containing protein 1 (Cellular senescence-inhibited gene protein)(Protein PBK1)(CATX-11) [Source:UniProtKB/Swiss-Prot;Acc:O76021]</t>
  </si>
  <si>
    <t>GO:0006355 regulation of transcription, DNA-dependent,GO:0006396 RNA processing,GO:0006412 translation</t>
  </si>
  <si>
    <t>RING finger and WD repeat domain-containing protein 3 (RING finger protein 201) [Source:UniProtKB/Swiss-Prot;Acc:Q6PCD5]</t>
  </si>
  <si>
    <t>H200009659</t>
  </si>
  <si>
    <t>NM_025234</t>
  </si>
  <si>
    <t>WDR61</t>
  </si>
  <si>
    <t>WD repeat-containing protein 61 (Meiotic recombination REC14 protein homolog) [Source:UniProtKB/Swiss-Prot;Acc:Q9GZS3]</t>
  </si>
  <si>
    <t>H200010309</t>
  </si>
  <si>
    <t>NM_018353</t>
  </si>
  <si>
    <t>C14orf106</t>
  </si>
  <si>
    <t>NM_006819;NM_006819;NM_006819</t>
  </si>
  <si>
    <t>STIP1</t>
  </si>
  <si>
    <t>Stress-induced-phosphoprotein 1 (STI1)(Hsc70/Hsp90-organizing protein)(Hop)(Transformation-sensitive protein IEF SSP 3521)(NY-REN-11 antigen) [Source:UniProtKB/Swiss-Prot;Acc:P31948]</t>
  </si>
  <si>
    <t>H200019664</t>
  </si>
  <si>
    <t>NM_032907</t>
  </si>
  <si>
    <t>UBL7</t>
  </si>
  <si>
    <t>Ubiquitin-like protein 7 (Ubiquitin-like protein SB132)(Bone marrow stromal cell ubiquitin-like protein)(BMSC-UbP) [Source:UniProtKB/Swiss-Prot;Acc:Q96S82]</t>
  </si>
  <si>
    <t>GO:0006511 ubiquitin-dependent protein catabolic process,GO:0006464 protein modification process</t>
  </si>
  <si>
    <t>AHsV10002922</t>
  </si>
  <si>
    <t>NM_001008237.1</t>
  </si>
  <si>
    <t>Alpha-soluble NSF attachment protein (SNAP-alpha)(N-ethylmaleimide-sensitive factor attachment protein alpha) [Source:UniProtKB/Swiss-Prot;Acc:P54920]</t>
  </si>
  <si>
    <t>Protein S100-A9 (S100 calcium-binding protein A9)(Calgranulin-B)(Migration inhibitory factor-related protein 14)(MRP-14)(P14)(Leukocyte L1 complex heavy chain)(Calprotectin L1H subunit) [Source:UniProtKB/Swiss-Prot;Acc:P06702]</t>
  </si>
  <si>
    <t>GO:0006954 inflammatory response,GO:0031532 actin cytoskeleton reorganization,GO:0007267 cell-cell signaling,GO:0030595 leukocyte chemotaxis,GO:0045113 regulation of integrin biosynthetic process</t>
  </si>
  <si>
    <t>GO:0005509 calcium ion binding,GO:0005515 protein binding,GO:0004871 signal transducer activity</t>
  </si>
  <si>
    <t>H300014162</t>
  </si>
  <si>
    <t>NM_201517;NM_201436;NM_201436</t>
  </si>
  <si>
    <t>H2AFV</t>
  </si>
  <si>
    <t>Histone H2A.V (H2A.F/Z) [Source:UniProtKB/Swiss-Prot;Acc:Q71UI9]</t>
  </si>
  <si>
    <t>Transmembrane and coiled-coil domain-containing protein C6orf129  [Source:UniProtKB/Swiss-Prot;Acc:Q9P0B6]</t>
  </si>
  <si>
    <t>H200017455</t>
  </si>
  <si>
    <t>NM_018112</t>
  </si>
  <si>
    <t>GO:0005634 nucleus,GO:0005622 intracellular,GO:0000228 nuclear chromosome</t>
  </si>
  <si>
    <t>H300022284</t>
  </si>
  <si>
    <t>NM_145905;NM_145905;NM_145905;NM_145905;NM_145905;NM_145905;NM_145905;NM_002131</t>
  </si>
  <si>
    <t>HMGA1</t>
  </si>
  <si>
    <t>High mobility group protein HMG-I/HMG-Y (HMG-I(Y))(High mobility group AT-hook protein 1)(High mobility group protein A1)(High mobility group protein-R) [Source:UniProtKB/Swiss-Prot;Acc:P17096]</t>
  </si>
  <si>
    <t>TTC32</t>
  </si>
  <si>
    <t>GO:0004553 hydrolase activity, hydrolyzing O-glycosyl compounds,GO:0004566 beta-glucuronidase activity,GO:0043169 cation binding</t>
  </si>
  <si>
    <t>H300000805</t>
  </si>
  <si>
    <t>DHsGV10002589</t>
  </si>
  <si>
    <t>FUS-interacting serine-arginine-rich protein 1 (TLS-associated protein with Ser-Arg repeats)(TLS-associated protein with SR repeats)(TASR)(TLS-associated serine-arginine protein)(TLS-associated SR protein)(40 kDa SR-repressor protein)(SRrp40)(Splicing fac</t>
  </si>
  <si>
    <t>GO:0000244 assembly of spliceosomal tri-snRNP,GO:0006376 mRNA splice site selection,GO:0006406 mRNA export from nucleus,GO:0008380 RNA splicing,GO:0016482 cytoplasmic transport,GO:0045449 regulation of transcription,GO:0048025 negative regulation of nucle</t>
  </si>
  <si>
    <t>GO:0000166 nucleotide binding,GO:0003676 nucleic acid binding,GO:0003723 RNA binding,GO:0031202 RNA splicing factor activity, transesterification mechanism,GO:0050733 RS domain binding,GO:0051082 unfolded protein binding</t>
  </si>
  <si>
    <t>GO:0005634 nucleus,GO:0005654 nucleoplasm,GO:0005737 cytoplasm,GO:0016607 nuclear speck</t>
  </si>
  <si>
    <t>H200006651</t>
  </si>
  <si>
    <t>NM_003970</t>
  </si>
  <si>
    <t>MYOM2</t>
  </si>
  <si>
    <t>Myomesin-2 (Myomesin family member 2)(M-protein)(165 kDa titin-associated protein)(165 kDa connectin-associated protein) [Source:UniProtKB/Swiss-Prot;Acc:P54296]</t>
  </si>
  <si>
    <t>GO:0008307 structural constituent of muscle</t>
  </si>
  <si>
    <t>GO:0005634 nucleus,GO:0005737 cytoplasm,GO:0005739 mitochondrion,GO:0005863 striated muscle thick filament</t>
  </si>
  <si>
    <t>H300005049</t>
  </si>
  <si>
    <t>NM_003827</t>
  </si>
  <si>
    <t>NAPA</t>
  </si>
  <si>
    <t>GO:0005515 protein binding,GO:0042803 protein homodimerization activity,GO:0017134 fibroblast growth factor binding</t>
  </si>
  <si>
    <t>GO:0003677 DNA binding,GO:0003723 RNA binding,GO:0003735 structural constituent of ribosome,GO:0005515 protein binding</t>
  </si>
  <si>
    <t>GO:0000785 chromatin,GO:0005622 intracellular,GO:0005634 nucleus,GO:0005840 ribosome</t>
  </si>
  <si>
    <t>H300018899</t>
  </si>
  <si>
    <t>NM_181342</t>
  </si>
  <si>
    <t>FKBP7</t>
  </si>
  <si>
    <t>FK506-binding protein 7 Precursor (EC 5.2.1.8)(Peptidyl-prolyl cis-trans isomerase)(PPIase)(Rotamase)(FKBP-23) [Source:UniProtKB/Swiss-Prot;Acc:Q9Y680]</t>
  </si>
  <si>
    <t>H200005700</t>
  </si>
  <si>
    <t>NM_205768</t>
  </si>
  <si>
    <t>ZNF238</t>
  </si>
  <si>
    <t>Dipeptidyl-peptidase 1 Precursor (EC 3.4.14.1)(Dipeptidyl-peptidase I)(DPP-I)(DPPI)(Cathepsin C)(Cathepsin J)(Dipeptidyl transferase) [Contains Dipeptidyl-peptidase 1 exclusion domain chain(Dipeptidyl-peptidase I exclusion domain chain);Dipeptidyl-peptidase 1 heavy chain(Dipeptidyl-peptidase I heavy chain);Dipeptidyl-peptidase 1 light chain(Dipeptidyl-peptidase I light chain)] [Source:UniProtKB/Swiss-Prot;Acc:P53634]</t>
  </si>
  <si>
    <t>GO:0008234 cysteine-type peptidase activity</t>
  </si>
  <si>
    <t>AHsV10001713</t>
  </si>
  <si>
    <t>NM_054016.1</t>
  </si>
  <si>
    <t>FUSIP1</t>
  </si>
  <si>
    <t>opHsV0400002627</t>
  </si>
  <si>
    <t>NM_170776</t>
  </si>
  <si>
    <t>GPR97</t>
  </si>
  <si>
    <t>Probable G-protein coupled receptor 97 Precursor (G-protein coupled receptor PGR26) [Source:UniProtKB/Swiss-Prot;Acc:Q86Y34]</t>
  </si>
  <si>
    <t>H300021883</t>
  </si>
  <si>
    <t>NM_006586</t>
  </si>
  <si>
    <t>CNPY3</t>
  </si>
  <si>
    <t>Protein canopy homolog 3 Precursor (Trinucleotide repeat-containing gene 5 protein)(CTG repeat protein 4a)(Expanded repeat-domain protein CAG/CTG 5) [Source:UniProtKB/Swiss-Prot;Acc:Q9BT09]</t>
  </si>
  <si>
    <t>H300021039</t>
  </si>
  <si>
    <t>NM_014679;NM_014679</t>
  </si>
  <si>
    <t>CEP57</t>
  </si>
  <si>
    <t>Centrosomal protein of 57 kDa (Cep57 protein)(Testis-specific protein 57)(Translokin)(FGF2-interacting protein) [Source:UniProtKB/Swiss-Prot;Acc:Q86XR8]</t>
  </si>
  <si>
    <t>GO:0000060 protein import into nucleus, translocation,GO:0007286 spermatid development,GO:0008543 fibroblast growth factor receptor signaling pathway</t>
  </si>
  <si>
    <t>GO:0005634 nucleus,GO:0005874 microtubule,GO:0005737 cytoplasm,GO:0005794 Golgi apparatus,GO:0005813 centrosome</t>
  </si>
  <si>
    <t>H300018822</t>
  </si>
  <si>
    <t>H200018160</t>
  </si>
  <si>
    <t>NM_022044</t>
  </si>
  <si>
    <t>SDF2L1</t>
  </si>
  <si>
    <t>TMEM38B</t>
  </si>
  <si>
    <t>Golgin subfamily A member 5 (Golgin-84)(RET-fused gene 5 protein)(Ret-II protein) [Source:UniProtKB/Swiss-Prot;Acc:Q8TBA6]</t>
  </si>
  <si>
    <t>AHsV10000661</t>
  </si>
  <si>
    <t>NM_000181.2</t>
  </si>
  <si>
    <t>GUSB</t>
  </si>
  <si>
    <t>Beta-glucuronidase Precursor (EC 3.2.1.31)(Beta-G1) [Source:UniProtKB/Swiss-Prot;Acc:P08236]</t>
  </si>
  <si>
    <t>GO:0005975 carbohydrate metabolic process,GO:0006027 glycosaminoglycan catabolic process,GO:0008152 metabolic process</t>
  </si>
  <si>
    <t>GO:0005737 cytoplasm,GO:0005886 plasma membrane,GO:0015629 actin cytoskeleton</t>
  </si>
  <si>
    <t>H200005971</t>
  </si>
  <si>
    <t>NM_006230;NM_006230</t>
  </si>
  <si>
    <t>POLD2</t>
  </si>
  <si>
    <t>DNA polymerase delta subunit 2 (EC 2.7.7.7)(DNA polymerase delta subunit p50) [Source:UniProtKB/Swiss-Prot;Acc:P49005]</t>
  </si>
  <si>
    <t>GO:0006260 DNA replication,GO:0006265 DNA topological change,GO:0006297 nucleotide-excision repair, DNA gap filling</t>
  </si>
  <si>
    <t>GO:0003677 DNA binding,GO:0016740 transferase activity,GO:0005515 protein binding,GO:0005524 ATP binding,GO:0016779 nucleotidyltransferase activity,GO:0003887 DNA-directed DNA polymerase activity,GO:0003918 DNA topoisomerase (ATP-hydrolyzing) activity</t>
  </si>
  <si>
    <t>GO:0005634 nucleus,GO:0005654 nucleoplasm,GO:0005694 chromosome</t>
  </si>
  <si>
    <t>Probable low affinity copper uptake protein 2 (Copper transporter 2)(hCTR2)(Solute carrier family 31 member 2) [Source:UniProtKB/Swiss-Prot;Acc:O15432]</t>
  </si>
  <si>
    <t>GO:0006811 ion transport,GO:0006825 copper ion transport</t>
  </si>
  <si>
    <t>GO:0005507 copper ion binding,GO:0005375 copper ion transmembrane transporter activity</t>
  </si>
  <si>
    <t>H200004952</t>
  </si>
  <si>
    <t>NM_004553</t>
  </si>
  <si>
    <t>NDUFS6</t>
  </si>
  <si>
    <t>NADH dehydrogenase [ubiquinone] iron-sulfur protein 6, mitochondrial Precursor (NADH-ubiquinone oxidoreductase 13 kDa-A subunit)(Complex I-13kD-A)(CI-13kD-A) [Source:UniProtKB/Swiss-Prot;Acc:O75380]</t>
  </si>
  <si>
    <t>GO:0009055 electron carrier activity,GO:0008137 NADH dehydrogenase (ubiquinone) activity</t>
  </si>
  <si>
    <t>H200012193</t>
  </si>
  <si>
    <t>NM_003932</t>
  </si>
  <si>
    <t>ST13</t>
  </si>
  <si>
    <t>GO:0006886 intracellular protein transport,GO:0016192 vesicle-mediated transport,GO:0030182 neuron differentiation,GO:0006944 membrane fusion,GO:0007420 brain development,GO:0045176 apical protein localization,GO:0006891 intra-Golgi vesicle-mediated transport</t>
  </si>
  <si>
    <t>GO:0005515 protein binding,GO:0019905 syntaxin binding</t>
  </si>
  <si>
    <t>GO:0016020 membrane,GO:0005794 Golgi apparatus,GO:0005783 endoplasmic reticulum</t>
  </si>
  <si>
    <t>NM_148170;NM_148170;NM_148170;NM_148170</t>
  </si>
  <si>
    <t>CTSC</t>
  </si>
  <si>
    <t>Acyl-coenzyme A thioesterase 8 (EC 3.1.2.27)(Choloyl-coenzyme A thioesterase)(Acyl-CoA thioesterase 8)(Peroxisomal acyl-coenzyme A thioester hydrolase 1)(PTE-1)(Peroxisomal long-chain acyl-CoA thioesterase 1)(HIV-Nef-associated acyl-CoA thioesterase)(Thioesterase II)(hTE)(hACTEIII)(hACTE-III)(PTE-2) [Source:UniProtKB/Swiss-Prot;Acc:O14734]</t>
  </si>
  <si>
    <t>GO:0006637 acyl-CoA metabolic process</t>
  </si>
  <si>
    <t>GO:0016291 acyl-CoA thioesterase activity</t>
  </si>
  <si>
    <t>H300020770</t>
  </si>
  <si>
    <t>NM_032831</t>
  </si>
  <si>
    <t>ORAI2</t>
  </si>
  <si>
    <t>Protein orai-2 (Transmembrane protein 142B)(CAP-binding protein complex-interacting protein 2) [Source:UniProtKB/Swiss-Prot;Acc:Q96SN7]</t>
  </si>
  <si>
    <t>AHsV10001243</t>
  </si>
  <si>
    <t>NM_024664.2</t>
  </si>
  <si>
    <t>PPCS</t>
  </si>
  <si>
    <t>Phosphopantothenate--cysteine ligase (EC 6.3.2.5)(Phosphopantothenoylcysteine synthetase)(PPC synthetase) [Source:UniProtKB/Swiss-Prot;Acc:Q9HAB8]</t>
  </si>
  <si>
    <t>GO:0004632 phosphopantothenate--cysteine ligase activity,GO:0016874 ligase activity</t>
  </si>
  <si>
    <t>H300009631</t>
  </si>
  <si>
    <t>NM_003132</t>
  </si>
  <si>
    <t>SRM</t>
  </si>
  <si>
    <t>Spermidine synthase (SPDSY)(EC 2.5.1.16)(Putrescine aminopropyltransferase) [Source:UniProtKB/Swiss-Prot;Acc:P19623]</t>
  </si>
  <si>
    <t>GO:0008295 spermidine biosynthetic process</t>
  </si>
  <si>
    <t>GO:0016740 transferase activity,GO:0003824 catalytic activity,GO:0004766 spermidine synthase activity</t>
  </si>
  <si>
    <t>H300019724</t>
  </si>
  <si>
    <t>IFI30</t>
  </si>
  <si>
    <t>Gamma-interferon-inducible lysosomal thiol reductase Precursor (Gamma-interferon-inducible protein IP-30) [Source:UniProtKB/Swiss-Prot;Acc:P13284]</t>
  </si>
  <si>
    <t>GO:0055114 oxidation reduction,GO:0019886 antigen processing and presentation of exogenous peptide antigen via MHC class II</t>
  </si>
  <si>
    <t>AHsV10002426</t>
  </si>
  <si>
    <t>NM_199344.2</t>
  </si>
  <si>
    <t>SFT2D2</t>
  </si>
  <si>
    <t>Stromal cell-derived factor 2-like protein 1 Precursor (SDF2-like protein 1)(PWP1-interacting protein 8) [Source:UniProtKB/Swiss-Prot;Acc:Q9HCN8]</t>
  </si>
  <si>
    <t>AHsV10002576</t>
  </si>
  <si>
    <t>NM_003798.2</t>
  </si>
  <si>
    <t>CTNNAL1</t>
  </si>
  <si>
    <t>Alpha-catulin (Catenin alpha-like protein 1)(Alpha-catenin-related protein)(ACRP) [Source:UniProtKB/Swiss-Prot;Acc:Q9UBT7]</t>
  </si>
  <si>
    <t>GO:0005198 structural molecule activity,GO:0045296 cadherin binding</t>
  </si>
  <si>
    <t>GO:0005488 binding,GO:0005515 protein binding,GO:0008565 protein transporter activity</t>
  </si>
  <si>
    <t>H200009621</t>
  </si>
  <si>
    <t>NM_138387</t>
  </si>
  <si>
    <t>G6PC3</t>
  </si>
  <si>
    <t>Glucose-6-phosphatase 3 (G-6-Pase 3)(G6Pase 3)(EC 3.1.3.9)(Glucose-6-phosphatase beta)(G6Pase-beta)(Ubiquitous glucose-6-phosphatase catalytic subunit-related protein) [Source:UniProtKB/Swiss-Prot;Acc:Q9BUM1]</t>
  </si>
  <si>
    <t>GO:0015760 glucose-6-phosphate transport,GO:0006094 gluconeogenesis</t>
  </si>
  <si>
    <t>GO:0016787 hydrolase activity,GO:0003824 catalytic activity,GO:0004346 glucose-6-phosphatase activity</t>
  </si>
  <si>
    <t>H300009513</t>
  </si>
  <si>
    <t>NM_014962;NM_014962;NM_014962;NM_014962;NM_014962</t>
  </si>
  <si>
    <t>BTBD3</t>
  </si>
  <si>
    <t>BTB/POZ domain-containing protein 3  [Source:UniProtKB/Swiss-Prot;Acc:Q9Y2F9]</t>
  </si>
  <si>
    <t>H200003003</t>
  </si>
  <si>
    <t>NM_145808</t>
  </si>
  <si>
    <t>MTPN</t>
  </si>
  <si>
    <t>Myotrophin (Protein V-1) [Source:UniProtKB/Swiss-Prot;Acc:P58546]</t>
  </si>
  <si>
    <t>GO:0005622 intracellular,GO:0005737 cytoplasm,GO:0005575 cellular_component,GO:0030424 axon,GO:0030424 axon</t>
  </si>
  <si>
    <t>CHsGV10001885</t>
  </si>
  <si>
    <t>NM_001017980.2</t>
  </si>
  <si>
    <t>VMA21</t>
  </si>
  <si>
    <t>Vacuolar ATPase assembly integral membrane protein VMA21 (Myopathy with excessive autophagy protein) [Source:UniProtKB/Swiss-Prot;Acc:Q3ZAQ7]</t>
  </si>
  <si>
    <t>GO:0070072 vacuolar proton-transporting V-type ATPase complex assembly</t>
  </si>
  <si>
    <t>GO:0016021 integral to membrane,GO:0031410 cytoplasmic vesicle,GO:0005783 endoplasmic reticulum,GO:0016020 membrane,GO:0005789 endoplasmic reticulum membrane,GO:0030127 COPII vesicle coat</t>
  </si>
  <si>
    <t>H200000173</t>
  </si>
  <si>
    <t>NM_000942</t>
  </si>
  <si>
    <t>PPIB</t>
  </si>
  <si>
    <t>Peptidyl-prolyl cis-trans isomerase B Precursor (PPIase)(Rotamase)(EC 5.2.1.8)(Cyclophilin B)(S-cyclophilin)(SCYLP)(CYP-S1) [Source:UniProtKB/Swiss-Prot;Acc:P23284]</t>
  </si>
  <si>
    <t>Hsc70-interacting protein (Hip)(Suppression of tumorigenicity protein 13)(Putative tumor suppressor ST13)(Protein FAM10A1)(Progesterone receptor-associated p48 protein)(Renal carcinoma antigen NY-REN-33) [Source:UniProtKB/Swiss-Prot;Acc:P50502]</t>
  </si>
  <si>
    <t>GO:0005488 binding,GO:0030674 protein binding, bridging</t>
  </si>
  <si>
    <t>H200017736</t>
  </si>
  <si>
    <t>NM_005469;NM_005469</t>
  </si>
  <si>
    <t>ACOT8</t>
  </si>
  <si>
    <t>Lipopolysaccharide-induced tumor necrosis factor-alpha factor (LPS-induced TNF-alpha factor)(p53-induced gene 7 protein)(Small integral membrane protein of lysosome/late endosome) [Source:UniProtKB/Swiss-Prot;Acc:Q99732]</t>
  </si>
  <si>
    <t>GO:0006350 transcription,GO:0006355 regulation of transcription, DNA-dependent,GO:0016568 chromatin modification,GO:0007275 multicellular organismal development,GO:0030154 cell differentiation,GO:0007283 spermatogenesis,GO:0006334 nucleosome assembly,GO:0006333 chromatin assembly or disassembly</t>
  </si>
  <si>
    <t>GO:0042393 histone binding</t>
  </si>
  <si>
    <t>AHsV10000962</t>
  </si>
  <si>
    <t>NM_012316.4</t>
  </si>
  <si>
    <t>KPNA6</t>
  </si>
  <si>
    <t>Importin subunit alpha-7 (Karyopherin subunit alpha-6) [Source:UniProtKB/Swiss-Prot;Acc:O60684]</t>
  </si>
  <si>
    <t>U2 small nuclear ribonucleoprotein auxiliary factor 35 kDa subunit-related protein 2 (U2(RNU2) small nuclear RNA auxiliary factor 1-like 2)(CCCH type zinc finger, RNA-binding motif and serine/arginine rich protein 2)(Renal carcinoma antigen NY-REN-20) [Source:UniProtKB/Swiss-Prot;Acc:Q15696]</t>
  </si>
  <si>
    <t>GO:0008380 RNA splicing</t>
  </si>
  <si>
    <t>GO:0003723 RNA binding,GO:0008270 zinc ion binding,GO:0000166 nucleotide binding,GO:0003676 nucleic acid binding,GO:0046872 metal ion binding</t>
  </si>
  <si>
    <t>GO:0005634 nucleus,GO:0030529 ribonucleoprotein complex,GO:0005689 U12-dependent spliceosome</t>
  </si>
  <si>
    <t>H200010704</t>
  </si>
  <si>
    <t>NM_019029</t>
  </si>
  <si>
    <t>CPVL</t>
  </si>
  <si>
    <t>Probable serine carboxypeptidase CPVL Precursor (EC 3.4.16.-)(Carboxypeptidase, vitellogenic-like)(Vitellogenic carboxypeptidase-like protein)(VCP-like protein)(HVLP) [Source:UniProtKB/Swiss-Prot;Acc:Q9H3G5]</t>
  </si>
  <si>
    <t>GO:0008233 peptidase activity,GO:0004185 serine-type carboxypeptidase activity</t>
  </si>
  <si>
    <t>AHsV10003224</t>
  </si>
  <si>
    <t>Vesicle transport protein SFT2B (SFT2 domain-containing protein 2) [Source:UniProtKB/Swiss-Prot;Acc:O95562]</t>
  </si>
  <si>
    <t>DHsGV10004389</t>
  </si>
  <si>
    <t>H200003357</t>
  </si>
  <si>
    <t>NM_001860</t>
  </si>
  <si>
    <t>SLC31A2</t>
  </si>
  <si>
    <t>GO:0006606 protein import into nucleus,GO:0006607 NLS-bearing substrate import into nucleus,GO:0006886 intracellular protein transport</t>
  </si>
  <si>
    <t>GO:0004066 asparagine synthase (glutamine-hydrolyzing) activity</t>
  </si>
  <si>
    <t>H200003165</t>
  </si>
  <si>
    <t>GO:0006584 catecholamine metabolic process,GO:0006417 regulation of translation,GO:0016049 cell growth,GO:0043403 skeletal muscle regeneration,GO:0021707 cerebellar granule cell differentiation,GO:0051146 striated muscle cell differentiation,GO:0016202 regulation of striated muscle development,GO:0006584 catecholamine metabolic process,GO:0051146 striated muscle cell differentiation,GO:0043403 skeletal muscle regeneration,GO:0021707 cerebellar granule cell differentiation</t>
  </si>
  <si>
    <t>GO:0007242 intracellular signaling cascade,GO:0007205 activation of protein kinase C activity</t>
  </si>
  <si>
    <t>AHsV10003287</t>
  </si>
  <si>
    <t>NM_001136472</t>
  </si>
  <si>
    <t>LITAF</t>
  </si>
  <si>
    <t>Trans-2-enoyl-CoA reductase, mitochondrial Precursor (HsNrbf-1)(EC 1.3.1.38)(NRBF-1) [Source:UniProtKB/Swiss-Prot;Acc:Q9BV79]</t>
  </si>
  <si>
    <t>GO:0005488 binding,GO:0008270 zinc ion binding,GO:0003824 catalytic activity,GO:0016491 oxidoreductase activity</t>
  </si>
  <si>
    <t>H300008039</t>
  </si>
  <si>
    <t>NM_018120</t>
  </si>
  <si>
    <t>ARMC1</t>
  </si>
  <si>
    <t>GO:0006350 transcription,GO:0006357 regulation of transcription from RNA polymerase II promoter,GO:0006915 apoptosis,GO:0043123 positive regulation of I-kappaB kinase/NF-kappaB cascade</t>
  </si>
  <si>
    <t>GO:0003702 RNA polymerase II transcription factor activity,GO:0004871 signal transducer activity,GO:0050699 WW domain binding</t>
  </si>
  <si>
    <t>GO:0005765 lysosomal membrane,GO:0005794 Golgi apparatus,GO:0005813 centrosome,GO:0016020 membrane</t>
  </si>
  <si>
    <t>CHsGV10002238</t>
  </si>
  <si>
    <t>NM_005089.3</t>
  </si>
  <si>
    <t>ZRSR2</t>
  </si>
  <si>
    <t>GO:0016853 isomerase activity,GO:0003755 peptidyl-prolyl cis-trans isomerase activity,GO:0042277 peptide binding,GO:0051082 unfolded protein binding</t>
  </si>
  <si>
    <t>H200003654</t>
  </si>
  <si>
    <t>NM_018154</t>
  </si>
  <si>
    <t>ASF1B</t>
  </si>
  <si>
    <t>Histone chaperone ASF1B (Anti-silencing function protein 1 homolog B)(hAsf1)(hAsf1b)(CCG1-interacting factor A-II)(CIA-II)(hCIA-II) [Source:UniProtKB/Swiss-Prot;Acc:Q9NVP2]</t>
  </si>
  <si>
    <t>Alkyldihydroxyacetonephosphate synthase, peroxisomal Precursor (Alkyl-DHAP synthase)(EC 2.5.1.26)(Alkylglycerone-phosphate synthase)(Aging-associated gene 5 protein) [Source:UniProtKB/Swiss-Prot;Acc:O00116]</t>
  </si>
  <si>
    <t>GO:0042221 response to chemical stimulus</t>
  </si>
  <si>
    <t>GO:0003824 catalytic activity,GO:0050660 FAD binding</t>
  </si>
  <si>
    <t>GO:0005739 mitochondrion,GO:0005777 peroxisome</t>
  </si>
  <si>
    <t>H300019069</t>
  </si>
  <si>
    <t>NM_181575</t>
  </si>
  <si>
    <t>AUP1</t>
  </si>
  <si>
    <t>Ancient ubiquitous protein 1 Precursor  [Source:UniProtKB/Swiss-Prot;Acc:Q9Y679]</t>
  </si>
  <si>
    <t>GO:0008415 acyltransferase activity</t>
  </si>
  <si>
    <t>CHsGV10003131</t>
  </si>
  <si>
    <t>NM_001136204.1;NM_018715.2</t>
  </si>
  <si>
    <t>RCC2</t>
  </si>
  <si>
    <t>Protein RCC2 (Telophase disk protein of 60 kDa)(RCC1-like protein TD-60) [Source:UniProtKB/Swiss-Prot;Acc:Q9P258]</t>
  </si>
  <si>
    <t>GO:0007049 cell cycle,GO:0051301 cell division,GO:0007067 mitosis</t>
  </si>
  <si>
    <t>GO:0005634 nucleus,GO:0005730 nucleolus,GO:0005819 spindle,GO:0005874 microtubule</t>
  </si>
  <si>
    <t>H300021102</t>
  </si>
  <si>
    <t>NM_016174</t>
  </si>
  <si>
    <t>CERCAM</t>
  </si>
  <si>
    <t>Glycosyltransferase 25 family member 3 Precursor (EC 2.-.-.-)(Cerebral endothelial cell adhesion molecule) [Source:UniProtKB/Swiss-Prot;Acc:Q5T4B2]</t>
  </si>
  <si>
    <t>H200002830</t>
  </si>
  <si>
    <t>NM_001024732;NM_001024732;NM_016011;NM_016011</t>
  </si>
  <si>
    <t>MECR</t>
  </si>
  <si>
    <t>Armadillo repeat-containing protein 1  [Source:UniProtKB/Swiss-Prot;Acc:Q9NVT9]</t>
  </si>
  <si>
    <t>GO:0030001 metal ion transport</t>
  </si>
  <si>
    <t>GO:0005488 binding,GO:0046872 metal ion binding</t>
  </si>
  <si>
    <t>GO:0016787 hydrolase activity,GO:0008083 growth factor activity</t>
  </si>
  <si>
    <t>CHsGV10002804</t>
  </si>
  <si>
    <t>NM_032139.2</t>
  </si>
  <si>
    <t>ANKRD27</t>
  </si>
  <si>
    <t>NM_017832.3</t>
  </si>
  <si>
    <t>C9orf6</t>
  </si>
  <si>
    <t>UPF0436 protein C9orf6  [Source:UniProtKB/Swiss-Prot;Acc:Q9NX38]</t>
  </si>
  <si>
    <t>H200011500</t>
  </si>
  <si>
    <t>NM_001014433;NM_001014433;NM_001014840;NM_001014840</t>
  </si>
  <si>
    <t>CUTA</t>
  </si>
  <si>
    <t>Protein CutA Precursor (Brain acetylcholinesterase putative membrane anchor)(Acetylcholinesterase-associated protein) [Source:UniProtKB/Swiss-Prot;Acc:O60888]</t>
  </si>
  <si>
    <t>GO:0010038 response to metal ion</t>
  </si>
  <si>
    <t>GO:0006541 glutamine metabolic process,GO:0008652 amino acid biosynthetic process,GO:0006529 asparagine biosynthetic process</t>
  </si>
  <si>
    <t>GO:0005515 protein binding,GO:0005085 guanyl-nucleotide exchange factor activity,GO:0005096 GTPase activator activity,GO:0005515 protein binding</t>
  </si>
  <si>
    <t>GO:0005737 cytoplasm,GO:0005769 early endosome,GO:0005764 lysosome</t>
  </si>
  <si>
    <t>GO:0005634 nucleus,GO:0005654 nucleoplasm,GO:0005958 DNA-dependent protein kinase complex</t>
  </si>
  <si>
    <t>H300005787</t>
  </si>
  <si>
    <t>NM_015465</t>
  </si>
  <si>
    <t>GEMIN5</t>
  </si>
  <si>
    <t>H300022397</t>
  </si>
  <si>
    <t>NM_001080394</t>
  </si>
  <si>
    <t>KIAA0146</t>
  </si>
  <si>
    <t>Uncharacterized protein KIAA0146  [Source:UniProtKB/Swiss-Prot;Acc:Q14159]</t>
  </si>
  <si>
    <t>H200015857</t>
  </si>
  <si>
    <t>NM_018266</t>
  </si>
  <si>
    <t>TMEM39A</t>
  </si>
  <si>
    <t>Transmembrane protein 39A  [Source:UniProtKB/Swiss-Prot;Acc:Q9NV64]</t>
  </si>
  <si>
    <t>H200013854</t>
  </si>
  <si>
    <t>NM_005681;NM_005681;NM_139352;NM_139352</t>
  </si>
  <si>
    <t>TAF1A</t>
  </si>
  <si>
    <t>TATA box-binding protein-associated factor RNA polymerase I subunit A (TATA box-binding protein-associated factor 1A)(TBP-associated factor 1A)(TBP-associated factor RNA polymerase I 48 kDa)(TAFI48)(Transcription factor SL1) [Source:UniProtKB/Swiss-Prot;Acc:Q15573]</t>
  </si>
  <si>
    <t>AHsV10000847</t>
  </si>
  <si>
    <t>NM_031206.3</t>
  </si>
  <si>
    <t>LAS1L</t>
  </si>
  <si>
    <t>LAS1-like protein  [Source:UniProtKB/Swiss-Prot;Acc:Q9Y4W2]</t>
  </si>
  <si>
    <t>GO:0016020 membrane,GO:0005622 intracellular,GO:0005794 Golgi apparatus,GO:0000139 Golgi membrane</t>
  </si>
  <si>
    <t>H200019065</t>
  </si>
  <si>
    <t>NM_007083;NM_007083</t>
  </si>
  <si>
    <t>NUDT6</t>
  </si>
  <si>
    <t>Nucleoside diphosphate-linked moiety X motif 6 (Nudix motif 6)(Protein GFG)(GFG-1)(Antisense basic fibroblast growth factor) [Source:UniProtKB/Swiss-Prot;Acc:P53370]</t>
  </si>
  <si>
    <t>AHsV10000822</t>
  </si>
  <si>
    <t>NM_001040059.1</t>
  </si>
  <si>
    <t>CD68</t>
  </si>
  <si>
    <t>Macrosialin Precursor (Gp110)(CD68 antigen) [Source:UniProtKB/Swiss-Prot;Acc:P34810]</t>
  </si>
  <si>
    <t>GO:0005624 membrane fraction,GO:0005765 lysosomal membrane,GO:0005768 endosome,GO:0005886 plasma membrane,GO:0016020 membrane,GO:0016021 integral to membrane</t>
  </si>
  <si>
    <t>H200011119</t>
  </si>
  <si>
    <t>NM_019048</t>
  </si>
  <si>
    <t>ASNSD1</t>
  </si>
  <si>
    <t>Asparagine synthetase domain-containing protein 1 (HCV NS3-transactivated protein 1) [Source:UniProtKB/Swiss-Prot;Acc:Q9NWL6]</t>
  </si>
  <si>
    <t>NM_003659</t>
  </si>
  <si>
    <t>AGPS</t>
  </si>
  <si>
    <t>GO:0006974 response to DNA damage stimulus,GO:0000723 telomere maintenance,GO:0007507 heart development,GO:0043065 positive regulation of apoptosis,GO:0006464 protein modification process,GO:0006310 DNA recombination,GO:0001756 somitogenesis,GO:0007420 brain development,GO:0010332 response to gamma radiation,GO:0018105 peptidyl-serine phosphorylation,GO:0031648 protein destabilization,GO:0033152 immunoglobulin V(D)J recombination,GO:0006303 double-strand break repair via nonhomologous end joining,GO:0002326 B cell lineage commitment,GO:0002360 T cell lineage commitment,GO:0033077 T cell differentiation in the thymus,GO:0002328 pro-B cell differentiation,GO:0033153 T cell receptor V(D)J recombination,GO:0030098 lymphocyte differentiation,GO:0035234 germ cell programmed cell death</t>
  </si>
  <si>
    <t>GO:0003677 DNA binding,GO:0016740 transferase activity,GO:0005515 protein binding,GO:0005488 binding,GO:0005524 ATP binding,GO:0016773 phosphotransferase activity, alcohol group as acceptor,GO:0004677 DNA-dependent protein kinase activity</t>
  </si>
  <si>
    <t>AHsV10003178</t>
  </si>
  <si>
    <t>NM_015950.3</t>
  </si>
  <si>
    <t>MRPL2</t>
  </si>
  <si>
    <t>39S ribosomal protein L2, mitochondrial Precursor (L2mt)(MRP-L2) [Source:UniProtKB/Swiss-Prot;Acc:Q5T653]</t>
  </si>
  <si>
    <t>GO:0005622 intracellular,GO:0005737 cytoplasm,GO:0005739 mitochondrion,GO:0005840 ribosome</t>
  </si>
  <si>
    <t>Gem-associated protein 5 (Gemin5) [Source:UniProtKB/Swiss-Prot;Acc:Q8TEQ6]</t>
  </si>
  <si>
    <t>GO:0000387 spliceosomal snRNP biogenesis,GO:0006461 protein complex assembly,GO:0008380 RNA splicing</t>
  </si>
  <si>
    <t>GO:0005515 protein binding,GO:0017069 snRNA binding</t>
  </si>
  <si>
    <t>GO:0005634 nucleus,GO:0005737 cytoplasm,GO:0005829 cytosol,GO:0005654 nucleoplasm,GO:0005681 spliceosome,GO:0016604 nuclear body</t>
  </si>
  <si>
    <t>AHsV10003180</t>
  </si>
  <si>
    <t>NM_015331.2</t>
  </si>
  <si>
    <t>NCSTN</t>
  </si>
  <si>
    <t>Nicastrin Precursor  [Source:UniProtKB/Swiss-Prot;Acc:Q92542]</t>
  </si>
  <si>
    <t>Ankyrin repeat domain-containing protein 27 (VPS9 domain-containing protein) [Source:UniProtKB/Swiss-Prot;Acc:Q96NW4]</t>
  </si>
  <si>
    <t>GO:0045022 early endosome to late endosome transport</t>
  </si>
  <si>
    <t>GO:0006508 proteolysis,GO:0006509 membrane protein ectodomain proteolysis,GO:0007220 Notch receptor processing,GO:0016485 protein processing,GO:0042987 amyloid precursor protein catabolic process,GO:0043085 positive regulation of catalytic activity</t>
  </si>
  <si>
    <t>H300019015</t>
  </si>
  <si>
    <t>PRKDC</t>
  </si>
  <si>
    <t>DNA-dependent protein kinase catalytic subunit (DNA-PK catalytic subunit)(DNA-PKcs)(EC 2.7.11.1)(DNPK1)(p460) [Source:UniProtKB/Swiss-Prot;Acc:P78527]</t>
  </si>
  <si>
    <t>GO:0006959 humoral immune response,GO:0007275 multicellular organismal development,GO:0008152 metabolic process</t>
  </si>
  <si>
    <t>GO:0003953 NAD+ nucleosidase activity,GO:0005488 binding,GO:0016787 hydrolase activity</t>
  </si>
  <si>
    <t>GO:0005886 plasma membrane,GO:0019898 extrinsic to membrane,GO:0031225 anchored to membrane</t>
  </si>
  <si>
    <t>H200005846</t>
  </si>
  <si>
    <t>NM_018256</t>
  </si>
  <si>
    <t>WDR12</t>
  </si>
  <si>
    <t>WD repeat-containing protein 12 (YTM1 homolog) [Source:UniProtKB/Swiss-Prot;Acc:Q9GZL7]</t>
  </si>
  <si>
    <t>GO:0007219 Notch signaling pathway</t>
  </si>
  <si>
    <t>H200013113</t>
  </si>
  <si>
    <t>NM_018248</t>
  </si>
  <si>
    <t>NEIL3</t>
  </si>
  <si>
    <t>Endonuclease VIII-like 3 (Nei-like 3)(DNA glycosylase FPG2) [Source:UniProtKB/Swiss-Prot;Acc:Q8TAT5]</t>
  </si>
  <si>
    <t>GO:0006289 nucleotide-excision repair,GO:0006974 response to DNA damage stimulus,GO:0006281 DNA repair,GO:0006284 base-excision repair</t>
  </si>
  <si>
    <t>GO:0003677 DNA binding,GO:0008270 zinc ion binding,GO:0046872 metal ion binding,GO:0003676 nucleic acid binding,GO:0003684 damaged DNA binding,GO:0003906 DNA-(apurinic or apyrimidinic site) lyase activity,GO:0016799 hydrolase activity, hydrolyzing N-glycosyl compounds</t>
  </si>
  <si>
    <t>GO:0005515 protein binding,GO:0008233 peptidase activity</t>
  </si>
  <si>
    <t>GO:0005783 endoplasmic reticulum,GO:0005794 Golgi apparatus,GO:0005887 integral to plasma membrane,GO:0016020 membrane,GO:0016021 integral to membrane,GO:0042470 melanosome,GO:0005765 lysosomal membrane</t>
  </si>
  <si>
    <t>AHsV10000055</t>
  </si>
  <si>
    <t>NM_004334.2</t>
  </si>
  <si>
    <t>BST1</t>
  </si>
  <si>
    <t>ADP-ribosyl cyclase 2 Precursor (EC 3.2.2.5)(Cyclic ADP-ribose hydrolase 2)(cADPr hydrolase 2)(Bone marrow stromal antigen 1)(BST-1)(CD157 antigen) [Source:UniProtKB/Swiss-Prot;Acc:Q10588]</t>
  </si>
  <si>
    <t>GO:0005515 protein binding,GO:0005488 binding,GO:0003824 catalytic activity,GO:0016491 oxidoreductase activity,GO:0016614 oxidoreductase activity, acting on CH-OH group of donors,GO:0050038 L-xylulose reductase activity,GO:0008667 2,3-dihydro-2,3-dihydroxybenzoate dehydrogenase activity</t>
  </si>
  <si>
    <t>GO:0016020 membrane,GO:0005902 microvillus,GO:0005903 brush border</t>
  </si>
  <si>
    <t>H300007383</t>
  </si>
  <si>
    <t>NM_003104</t>
  </si>
  <si>
    <t>SORD</t>
  </si>
  <si>
    <t>Sorbitol dehydrogenase (EC 1.1.1.14)(L-iditol 2-dehydrogenase) [Source:UniProtKB/Swiss-Prot;Acc:Q00796]</t>
  </si>
  <si>
    <t>GO:0006006 glucose metabolic process,GO:0055114 oxidation reduction,GO:0006281 DNA repair,GO:0030317 sperm motility,GO:0006062 sorbitol catabolic process,GO:0046370 fructose biosynthetic process,GO:0051160 L-xylitol catabolic process</t>
  </si>
  <si>
    <t>GO:0005488 binding,GO:0008270 zinc ion binding,GO:0005524 ATP binding,GO:0046872 metal ion binding,GO:0005529 sugar binding,GO:0016491 oxidoreductase activity,GO:0003684 damaged DNA binding,GO:0051287 NAD binding,GO:0003939 L-iditol 2-dehydrogenase activity</t>
  </si>
  <si>
    <t>GO:0005624 membrane fraction,GO:0005625 soluble fraction,GO:0005615 extracellular space</t>
  </si>
  <si>
    <t>H300019507</t>
  </si>
  <si>
    <t>NM_013388</t>
  </si>
  <si>
    <t>PREB</t>
  </si>
  <si>
    <t>Prolactin regulatory element-binding protein (Mammalian guanine nucleotide exchange factor mSec12) [Source:UniProtKB/Swiss-Prot;Acc:Q9HCU5]</t>
  </si>
  <si>
    <t>GO:0006350 transcription,GO:0006355 regulation of transcription, DNA-dependent,GO:0015031 protein transport,GO:0016192 vesicle-mediated transport,GO:0016044 membrane organization,GO:0006888 ER to Golgi vesicle-mediated transport</t>
  </si>
  <si>
    <t>GO:0016021 integral to membrane,GO:0016020 membrane,GO:0005634 nucleus,GO:0005783 endoplasmic reticulum,GO:0005789 endoplasmic reticulum membrane</t>
  </si>
  <si>
    <t>H200012110</t>
  </si>
  <si>
    <t>NM_001129</t>
  </si>
  <si>
    <t>AEBP1</t>
  </si>
  <si>
    <t>Adipocyte enhancer-binding protein 1 Precursor (AE-binding protein 1)(Aortic carboxypeptidase-like protein) [Source:UniProtKB/Swiss-Prot;Acc:Q8IUX7]</t>
  </si>
  <si>
    <t>GO:0006350 transcription,GO:0006355 regulation of transcription, DNA-dependent,GO:0007155 cell adhesion,GO:0006508 proteolysis</t>
  </si>
  <si>
    <t>L-xylulose reductase (XR)(EC 1.1.1.10)(Dicarbonyl/L-xylulose reductase)(Kidney dicarbonyl reductase)(kiDCR)(Carbonyl reductase II)(Sperm surface protein P34H) [Source:UniProtKB/Swiss-Prot;Acc:Q7Z4W1]</t>
  </si>
  <si>
    <t>GO:0005975 carbohydrate metabolic process,GO:0008152 metabolic process,GO:0006006 glucose metabolic process,GO:0055114 oxidation reduction,GO:0005997 xylulose metabolic process,GO:0006739 NADP metabolic process,GO:0042732 D-xylose metabolic process,GO:0009239 enterobactin biosynthetic process</t>
  </si>
  <si>
    <t>AHsV10000181</t>
  </si>
  <si>
    <t>NM_005742.2</t>
  </si>
  <si>
    <t>GO:0006457 protein folding,GO:0045454 cell redox homeostasis</t>
  </si>
  <si>
    <t>GO:0003756 protein disulfide isomerase activity,GO:0005515 protein binding,GO:0016853 isomerase activity</t>
  </si>
  <si>
    <t>Histone-binding protein RBBP4 (Retinoblastoma-binding protein 4)(RBBP-4)(Retinoblastoma-binding protein p48)(Chromatin assembly factor 1 subunit C)(CAF-1 subunit C)(Chromatin assembly factor I p48 subunit)(CAF-I 48 kDa subunit)(CAF-I p48)(Nucleosome-remodeling factor subunit RBAP48) [Source:UniProtKB/Swiss-Prot;Acc:Q09028]</t>
  </si>
  <si>
    <t>CHsGV10001696</t>
  </si>
  <si>
    <t>NM_020647.2</t>
  </si>
  <si>
    <t>JPH1</t>
  </si>
  <si>
    <t>Junctophilin-1 (Junctophilin type 1)(JP-1) [Source:UniProtKB/Swiss-Prot;Acc:Q9HDC5]</t>
  </si>
  <si>
    <t>GO:0007517 muscle organ development,GO:0060314 regulation of ryanodine-sensitive calcium-release channel activity,GO:0060402 calcium ion transport into cytosol,GO:0007517 muscle organ development</t>
  </si>
  <si>
    <t>GO:0008307 structural constituent of muscle,GO:0003674 molecular_function,GO:0008307 structural constituent of muscle</t>
  </si>
  <si>
    <t>GO:0016021 integral to membrane,GO:0005792 microsome,GO:0005886 plasma membrane,GO:0030018 Z disc,GO:0016529 sarcoplasmic reticulum,GO:0014701 junctional sarcoplasmic reticulum membrane,GO:0030314 junctional membrane complex,GO:0005792 microsome,GO:0030018 Z disc</t>
  </si>
  <si>
    <t>H200006814</t>
  </si>
  <si>
    <t>NM_024067;NM_024067</t>
  </si>
  <si>
    <t>C7orf26</t>
  </si>
  <si>
    <t>GCSH</t>
  </si>
  <si>
    <t>Glycine cleavage system H protein, mitochondrial Precursor  [Source:UniProtKB/Swiss-Prot;Acc:P23434]</t>
  </si>
  <si>
    <t>GO:0004047 aminomethyltransferase activity,GO:0031405 lipoic acid binding</t>
  </si>
  <si>
    <t>GO:0005739 mitochondrion,GO:0005960 glycine cleavage complex</t>
  </si>
  <si>
    <t>GO:0005783 endoplasmic reticulum,GO:0005788 endoplasmic reticulum lumen,GO:0005793 ER-Golgi intermediate compartment,GO:0042470 melanosome</t>
  </si>
  <si>
    <t>H200002525</t>
  </si>
  <si>
    <t>NM_005610</t>
  </si>
  <si>
    <t>RBBP4</t>
  </si>
  <si>
    <t>H200002789</t>
  </si>
  <si>
    <t>NM_001042471;NM_001042471;NM_001042471</t>
  </si>
  <si>
    <t>GSDMB</t>
  </si>
  <si>
    <t>Gasdermin-B (Gasdermin-like protein) [Source:UniProtKB/Swiss-Prot;Acc:Q8TAX9]</t>
  </si>
  <si>
    <t>H300008597</t>
  </si>
  <si>
    <t>NM_002084</t>
  </si>
  <si>
    <t>GPX3</t>
  </si>
  <si>
    <t>Glutathione peroxidase 3 Precursor (EC 1.11.1.9)(GSHPx-3)(GPx-3)(Extracellular glutathione peroxidase)(Plasma glutathione peroxidase)(GSHPx-P)(GPx-P) [Source:UniProtKB/Swiss-Prot;Acc:P22352]</t>
  </si>
  <si>
    <t>GO:0055114 oxidation reduction,GO:0006979 response to oxidative stress,GO:0006749 glutathione metabolic process,GO:0042744 hydrogen peroxide catabolic process,GO:0051289 protein homotetramerization,GO:0006982 response to lipid hydroperoxide,GO:0006749 glutathione metabolic process</t>
  </si>
  <si>
    <t>GO:0016491 oxidoreductase activity,GO:0008134 transcription factor binding,GO:0008430 selenium binding,GO:0004602 glutathione peroxidase activity,GO:0043295 glutathione binding,GO:0043295 glutathione binding</t>
  </si>
  <si>
    <t>GO:0005576 extracellular region,GO:0005625 soluble fraction,GO:0005615 extracellular space,GO:0005625 soluble fraction</t>
  </si>
  <si>
    <t>H300012874</t>
  </si>
  <si>
    <t>NM_152852</t>
  </si>
  <si>
    <t>MS4A6A</t>
  </si>
  <si>
    <t>Membrane-spanning 4-domains subfamily A member 6A (Four-span transmembrane protein 3)(CD20 antigen-like 3)(CD20 antigen) [Source:UniProtKB/Swiss-Prot;Acc:Q9H2W1]</t>
  </si>
  <si>
    <t>H200019692</t>
  </si>
  <si>
    <t>GO:0003677 DNA binding,GO:0008270 zinc ion binding,GO:0004181 metallocarboxypeptidase activity</t>
  </si>
  <si>
    <t>H200001845</t>
  </si>
  <si>
    <t>NM_016286</t>
  </si>
  <si>
    <t>DCXR</t>
  </si>
  <si>
    <t>E3 ubiquitin-protein ligase synoviolin Precursor (EC 6.3.2.-)(Synovial apoptosis inhibitor 1) [Source:UniProtKB/Swiss-Prot;Acc:Q86TM6]</t>
  </si>
  <si>
    <t>GO:0003677 DNA binding,GO:0005515 protein binding,GO:0008270 zinc ion binding,GO:0004879 ligand-dependent nuclear receptor activity,GO:0050825 ice binding</t>
  </si>
  <si>
    <t>GO:0008285 negative regulation of cell proliferation,GO:0006412 translation,GO:0043065 positive regulation of apoptosis,GO:0043517 positive regulation of DNA damage response, signal transduction by p53 class mediator</t>
  </si>
  <si>
    <t>H200019911</t>
  </si>
  <si>
    <t>NM_181472;NM_181472</t>
  </si>
  <si>
    <t>CMTM7</t>
  </si>
  <si>
    <t>CKLF-like MARVEL transmembrane domain-containing protein 7 (Chemokine-like factor superfamily member 7) [Source:UniProtKB/Swiss-Prot;Acc:Q96FZ5]</t>
  </si>
  <si>
    <t>H200000083</t>
  </si>
  <si>
    <t>NM_002703</t>
  </si>
  <si>
    <t>PPAT</t>
  </si>
  <si>
    <t>Amidophosphoribosyltransferase Precursor (ATase)(EC 2.4.2.14)(Glutamine phosphoribosylpyrophosphate amidotransferase)(GPAT) [Source:UniProtKB/Swiss-Prot;Acc:Q06203]</t>
  </si>
  <si>
    <t>GO:0008152 metabolic process,GO:0006164 purine nucleotide biosynthetic process,GO:0006541 glutamine metabolic process,GO:0009116 nucleoside metabolic process,GO:0009113 purine base biosynthetic process</t>
  </si>
  <si>
    <t>GO:0000287 magnesium ion binding,GO:0016757 transferase activity, transferring glycosyl groups,GO:0005506 iron ion binding,GO:0051539 4 iron, 4 sulfur cluster binding,GO:0004044 amidophosphoribosyltransferase activity</t>
  </si>
  <si>
    <t>AHsV10003090</t>
  </si>
  <si>
    <t>NM_006623.3</t>
  </si>
  <si>
    <t>PHGDH</t>
  </si>
  <si>
    <t>D-3-phosphoglycerate dehydrogenase (3-PGDH)(EC 1.1.1.95) [Source:UniProtKB/Swiss-Prot;Acc:O43175]</t>
  </si>
  <si>
    <t>GO:0006564 L-serine biosynthetic process,GO:0006810 transport,GO:0007420 brain development,GO:0008152 metabolic process,GO:0008652 amino acid biosynthetic process,GO:0055114 oxidation reduction</t>
  </si>
  <si>
    <t>Uncharacterized protein C7orf26  [Source:UniProtKB/Swiss-Prot;Acc:Q96N11]</t>
  </si>
  <si>
    <t>GO:0006355 regulation of transcription, DNA-dependent,GO:0007186 G-protein coupled receptor protein signaling pathway,GO:0042309 homoiothermy,GO:0050826 response to freezing</t>
  </si>
  <si>
    <t>H300020147</t>
  </si>
  <si>
    <t>NM_004483</t>
  </si>
  <si>
    <t>GO:0003824 catalytic activity,GO:0004617 phosphoglycerate dehydrogenase activity,GO:0005215 transporter activity,GO:0005488 binding,GO:0009055 electron carrier activity,GO:0016491 oxidoreductase activity,GO:0016616 oxidoreductase activity, acting on the C</t>
  </si>
  <si>
    <t>opHsV0400002908</t>
  </si>
  <si>
    <t>NM_001012968;NM_001012968</t>
  </si>
  <si>
    <t>SPIN4</t>
  </si>
  <si>
    <t>Spindlin-4  [Source:UniProtKB/Swiss-Prot;Acc:Q56A73]</t>
  </si>
  <si>
    <t>GO:0007276 gamete generation</t>
  </si>
  <si>
    <t>GO:0016740 transferase activity,GO:0005515 protein binding,GO:0005488 binding,GO:0008270 zinc ion binding,GO:0008168 methyltransferase activity,GO:0016829 lyase activity,GO:0003824 catalytic activity,GO:0016491 oxidoreductase activity,GO:0016788 hydrolase activity, acting on ester bonds,GO:0004314 [acyl-carrier-protein] S-malonyltransferase activity,GO:0048037 cofactor binding,GO:0004320 oleoyl-[acyl-carrier-protein] hydrolase activity,GO:0004315 3-oxoacyl-[acyl-carrier-protein] synthase activity,GO:0000036 acyl carrier activity,GO:0031177 phosphopantetheine binding,GO:0004313 [acyl-carrier-protein] S-acetyltransferase activity,GO:0004316 3-oxoacyl-[acyl-carrier-protein] reductase activity,GO:0004317 3-hydroxypalmitoyl-[acyl-carrier-protein] dehydratase activity,GO:0004319 enoyl-[acyl-carrier-protein] reductase (NADPH, B-specific) activity</t>
  </si>
  <si>
    <t>GO:0005737 cytoplasm,GO:0005794 Golgi apparatus,GO:0005829 cytosol,GO:0042470 melanosome,GO:0042587 glycogen granule</t>
  </si>
  <si>
    <t>H200009876</t>
  </si>
  <si>
    <t>NM_004280</t>
  </si>
  <si>
    <t>EEF1E1</t>
  </si>
  <si>
    <t>Eukaryotic translation elongation factor 1 epsilon-1 (Multisynthetase complex auxiliary component p18)(Elongation factor p18) [Source:UniProtKB/Swiss-Prot;Acc:O43324]</t>
  </si>
  <si>
    <t>GO:0007186 G-protein coupled receptor protein signaling pathway,GO:0007166 cell surface receptor linked signal transduction,GO:0006810 transport,GO:0042723 thiamin and derivative metabolic process,GO:0015888 thiamin transport,GO:0015888 thiamin transport</t>
  </si>
  <si>
    <t>NM_172230;NM_172230;NM_172230</t>
  </si>
  <si>
    <t>SYVN1</t>
  </si>
  <si>
    <t>GO:0005542 folic acid binding,GO:0008518 reduced folate carrier activity,GO:0004926 non-G-protein coupled 7TM receptor activity,GO:0008517 folic acid transporter activity,GO:0015234 thiamin transmembrane transporter activity,GO:0015234 thiamin transmembrane transporter activity</t>
  </si>
  <si>
    <t>GO:0005737 cytoplasm,GO:0016021 integral to membrane,GO:0005886 plasma membrane,GO:0016020 membrane,GO:0005886 plasma membrane</t>
  </si>
  <si>
    <t>H300017343</t>
  </si>
  <si>
    <t>NM_004104</t>
  </si>
  <si>
    <t>FASN</t>
  </si>
  <si>
    <t>Fatty acid synthase (EC 2.3.1.85) [Includes [Acyl-carrier-protein] S-acetyltransferase(EC 2.3.1.38);[Acyl-carrier-protein] S-malonyltransferase(EC 2.3.1.39);3-oxoacyl-[acyl-carrier-protein] synthase(EC 2.3.1.41);3-oxoacyl-[acyl-carrier-protein] reductase(EC 1.1.1.100);3-hydroxypalmitoyl-[acyl-carrier-protein] dehydratase(EC 4.2.1.61);Enoyl-[acyl-carrier-protein] reductase(EC 1.3.1.10);Oleoyl-[acyl-carrier-protein] hydrolase(EC 3.1.2.14)] [Source:UniProtKB/Swiss-Prot;Acc:P49327]</t>
  </si>
  <si>
    <t>GO:0008152 metabolic process,GO:0055114 oxidation reduction,GO:0006633 fatty acid biosynthetic process,GO:0009058 biosynthetic process</t>
  </si>
  <si>
    <t>Equilibrative nucleoside transporter 1 (Equilibrative nitrobenzylmercaptopurine riboside-sensitive nucleoside transporter)(Equilibrative NBMPR-sensitive nucleoside transporter)(Nucleoside transporter, es-type)(Solute carrier family 29 member 1) [Source:UniProtKB/Swiss-Prot;Acc:Q99808]</t>
  </si>
  <si>
    <t>GO:0006810 transport,GO:0006139 nucleobase, nucleoside, nucleotide and nucleic acid metabolic process,GO:0015858 nucleoside transport</t>
  </si>
  <si>
    <t>GO:0006812 cation transport,GO:0006826 iron ion transport</t>
  </si>
  <si>
    <t>GO:0005506 iron ion binding,GO:0008324 cation transmembrane transporter activity</t>
  </si>
  <si>
    <t>GO:0005739 mitochondrion,GO:0016020 membrane,GO:0016021 integral to membrane,GO:0031966 mitochondrial membrane</t>
  </si>
  <si>
    <t>H300006908</t>
  </si>
  <si>
    <t>NM_003757</t>
  </si>
  <si>
    <t>EIF3I</t>
  </si>
  <si>
    <t>Eukaryotic translation initiation factor 3 subunit I (eIF3i)(Eukaryotic translation initiation factor 3 subunit 2)(eIF-3-beta)(eIF3 p36)(TGF-beta receptor-interacting protein 1)(TRIP-1) [Source:UniProtKB/Swiss-Prot;Acc:Q13347]</t>
  </si>
  <si>
    <t>H200011105</t>
  </si>
  <si>
    <t>NM_021078</t>
  </si>
  <si>
    <t>KAT2A</t>
  </si>
  <si>
    <t>CHsGV10002281</t>
  </si>
  <si>
    <t>NM_006996.2</t>
  </si>
  <si>
    <t>SLC19A2</t>
  </si>
  <si>
    <t>Thiamine transporter 1 (ThTr-1)(ThTr1)(Thiamine carrier 1)(TC1)(Solute carrier family 19 member 2) [Source:UniProtKB/Swiss-Prot;Acc:O60779]</t>
  </si>
  <si>
    <t>GO:0008152 metabolic process,GO:0006350 transcription,GO:0006355 regulation of transcription, DNA-dependent,GO:0044419 interspecies interaction between organisms,GO:0006357 regulation of transcription from RNA polymerase II promoter,GO:0016573 histone acetylation,GO:0006338 chromatin remodeling,GO:0001756 somitogenesis</t>
  </si>
  <si>
    <t>GO:0016740 transferase activity,GO:0005515 protein binding,GO:0003713 transcription coactivator activity,GO:0042826 histone deacetylase binding,GO:0004402 histone acetyltransferase activity,GO:0008080 N-acetyltransferase activity</t>
  </si>
  <si>
    <t>GO:0005634 nucleus,GO:0000123 histone acetyltransferase complex</t>
  </si>
  <si>
    <t>H200018834</t>
  </si>
  <si>
    <t>NM_005804;NM_005804</t>
  </si>
  <si>
    <t>DDX39</t>
  </si>
  <si>
    <t>ATP-dependent RNA helicase DDX39 (EC 3.6.1.-)(DEAD box protein 39)(Nuclear RNA helicase URH49) [Source:UniProtKB/Swiss-Prot;Acc:O00148]</t>
  </si>
  <si>
    <t>GO:0008380 RNA splicing,GO:0000398 nuclear mRNA splicing, via spliceosome,GO:0006406 mRNA export from nucleus</t>
  </si>
  <si>
    <t>GO:0005515 protein binding,GO:0016787 hydrolase activity,GO:0000166 nucleotide binding,GO:0005524 ATP binding,GO:0003676 nucleic acid binding,GO:0004386 helicase activity,GO:0008026 ATP-dependent helicase activity</t>
  </si>
  <si>
    <t>H300018877</t>
  </si>
  <si>
    <t>NM_004955</t>
  </si>
  <si>
    <t>SLC29A1</t>
  </si>
  <si>
    <t>GO:0003677 DNA binding,GO:0005515 protein binding,GO:0008270 zinc ion binding,GO:0046872 metal ion binding,GO:0003700 transcription factor activity,GO:0003676 nucleic acid binding,GO:0003690 double-stranded DNA binding</t>
  </si>
  <si>
    <t>CHsGV10003433</t>
  </si>
  <si>
    <t>NM_001024649.1;NM_001746.3</t>
  </si>
  <si>
    <t>CANX</t>
  </si>
  <si>
    <t>Sideroflexin-4 (Breast cancer resistance marker 1) [Source:UniProtKB/Swiss-Prot;Acc:Q6P4A7]</t>
  </si>
  <si>
    <t>Calnexin Precursor (Major histocompatibility complex class I antigen-binding protein p88)(p90)(IP90) [Source:UniProtKB/Swiss-Prot;Acc:P27824]</t>
  </si>
  <si>
    <t>GO:0006457 protein folding,GO:0009306 protein secretion</t>
  </si>
  <si>
    <t>GO:0005529 sugar binding,GO:0051082 unfolded protein binding,GO:0005509 calcium ion binding</t>
  </si>
  <si>
    <t>GO:0016021 integral to membrane,GO:0005783 endoplasmic reticulum,GO:0016020 membrane,GO:0042470 melanosome</t>
  </si>
  <si>
    <t>H200000823</t>
  </si>
  <si>
    <t>MMP24</t>
  </si>
  <si>
    <t>Matrix metalloproteinase-24 Precursor (MMP-24)(EC 3.4.24.-)(Membrane-type matrix metalloproteinase 5)(MT-MMP 5)(Membrane-type-5 matrix metalloproteinase)(MT5-MMP) [Contains Processed matrix metalloproteinase-24] [Source:UniProtKB/Swiss-Prot;Acc:Q9Y5R2]</t>
  </si>
  <si>
    <t>GO:0005886 plasma membrane,GO:0005576 extracellular region,GO:0005578 proteinaceous extracellular matrix,GO:0005887 integral to plasma membrane</t>
  </si>
  <si>
    <t>General control of amino acid synthesis protein 5-like 2 (EC 2.3.1.48)(Histone acetyltransferase GCN5)(hsGCN5)(STAF97) [Source:UniProtKB/Swiss-Prot;Acc:Q92830]</t>
  </si>
  <si>
    <t>H200012450</t>
  </si>
  <si>
    <t>NM_006351</t>
  </si>
  <si>
    <t>TIMM44</t>
  </si>
  <si>
    <t>Mitochondrial import inner membrane translocase subunit TIM44 Precursor  [Source:UniProtKB/Swiss-Prot;Acc:O43615]</t>
  </si>
  <si>
    <t>GO:0065002 intracellular protein transmembrane transport,GO:0006886 intracellular protein transport,GO:0006626 protein targeting to mitochondrion</t>
  </si>
  <si>
    <t>GO:0005515 protein binding,GO:0000166 nucleotide binding,GO:0005524 ATP binding,GO:0015450 P-P-bond-hydrolysis-driven protein transmembrane transporter activity</t>
  </si>
  <si>
    <t>GO:0016020 membrane,GO:0005739 mitochondrion,GO:0005759 mitochondrial matrix,GO:0005744 mitochondrial inner membrane presequence translocase complex</t>
  </si>
  <si>
    <t>opHsV0400002393</t>
  </si>
  <si>
    <t>NM_024426;NM_024425;NM_024425</t>
  </si>
  <si>
    <t>WT1</t>
  </si>
  <si>
    <t>GO:0006350 transcription,GO:0006355 regulation of transcription, DNA-dependent,GO:0000122 negative regulation of transcription from RNA polymerase II promoter,GO:0045944 positive regulation of transcription from RNA polymerase II promoter,GO:0045786 negative regulation of cell cycle,GO:0009888 tissue development,GO:0007281 germ cell development,GO:0001570 vasculogenesis,GO:0007530 sex determination,GO:0001656 metanephros development,GO:0008584 male gonad development,GO:0030855 epithelial cell differentiation,GO:0043010 camera-type eye development,GO:0001823 mesonephros development</t>
  </si>
  <si>
    <t>ATPase family AAA domain-containing protein 1  [Source:UniProtKB/Swiss-Prot;Acc:Q8NBU5]</t>
  </si>
  <si>
    <t>GO:0000166 nucleotide binding,GO:0005524 ATP binding,GO:0017111 nucleoside-triphosphatase activity,GO:0019205 nucleobase, nucleoside, nucleotide kinase activity</t>
  </si>
  <si>
    <t>opHsV0400000209</t>
  </si>
  <si>
    <t>NM_016095</t>
  </si>
  <si>
    <t>GINS2</t>
  </si>
  <si>
    <t>DNA replication complex GINS protein PSF2 (GINS complex subunit 2) [Source:UniProtKB/Swiss-Prot;Acc:Q9Y248]</t>
  </si>
  <si>
    <t>GO:0006260 DNA replication</t>
  </si>
  <si>
    <t>DHsGV10004308</t>
  </si>
  <si>
    <t>NM_019007.3;NM_001009584.1</t>
  </si>
  <si>
    <t>ARMCX6</t>
  </si>
  <si>
    <t>Protein ARMCX6  [Source:UniProtKB/Swiss-Prot;Acc:Q7L4S7]</t>
  </si>
  <si>
    <t>AHsV10001742</t>
  </si>
  <si>
    <t>NM_005077.3</t>
  </si>
  <si>
    <t>TLE1</t>
  </si>
  <si>
    <t>GO:0006355 regulation of transcription, DNA-dependent,GO:0007165 signal transduction,GO:0007275 multicellular organismal development,GO:0009887 organ morphogenesis,GO:0016481 negative regulation of transcription,GO:0030178 negative regulation of Wnt recep</t>
  </si>
  <si>
    <t>GO:0008134 transcription factor binding</t>
  </si>
  <si>
    <t>CHsGV10003097</t>
  </si>
  <si>
    <t>NM_006810.2</t>
  </si>
  <si>
    <t>PDIA5</t>
  </si>
  <si>
    <t>Protein disulfide-isomerase A5 Precursor (EC 5.3.4.1)(Protein disulfide isomerase-related protein) [Source:UniProtKB/Swiss-Prot;Acc:Q14554]</t>
  </si>
  <si>
    <t>GO:0006457 protein folding,GO:0006950 response to stress,GO:0055114 oxidation reduction,GO:0045454 cell redox homeostasis,GO:0006950 response to stress</t>
  </si>
  <si>
    <t>GO:0005515 protein binding,GO:0005337 nucleoside transmembrane transporter activity</t>
  </si>
  <si>
    <t>AHsV10001314</t>
  </si>
  <si>
    <t>NM_213649.1</t>
  </si>
  <si>
    <t>SFXN4</t>
  </si>
  <si>
    <t>NM_005772.3</t>
  </si>
  <si>
    <t>RCL1</t>
  </si>
  <si>
    <t>RNA 3'-terminal phosphate cyclase-like protein  [Source:UniProtKB/Swiss-Prot;Acc:Q9Y2P8]</t>
  </si>
  <si>
    <t>GO:0042254 ribosome biogenesis,GO:0008150 biological_process</t>
  </si>
  <si>
    <t>GO:0003824 catalytic activity,GO:0003963 RNA-3'-phosphate cyclase activity</t>
  </si>
  <si>
    <t>GO:0005634 nucleus,GO:0005622 intracellular,GO:0005840 ribosome,GO:0005739 mitochondrion,GO:0031965 nuclear membrane</t>
  </si>
  <si>
    <t>H200011090</t>
  </si>
  <si>
    <t>NM_032810;NM_032810</t>
  </si>
  <si>
    <t>AFDC1</t>
  </si>
  <si>
    <t>GO:0042742 defense response to bacterium,GO:0006401 RNA catabolic process</t>
  </si>
  <si>
    <t>Transducin-like enhancer protein 1 (Enhancer of split groucho-like protein 1)(ESG1)(E(Sp1) homolog) [Source:UniProtKB/Swiss-Prot;Acc:Q04724]</t>
  </si>
  <si>
    <t>T-complex protein 1 subunit alpha (TCP-1-alpha)(CCT-alpha) [Source:UniProtKB/Swiss-Prot;Acc:P17987]</t>
  </si>
  <si>
    <t>GO:0006457 protein folding,GO:0044267 cellular protein metabolic process,GO:0007021 tubulin complex assembly</t>
  </si>
  <si>
    <t>GO:0005515 protein binding,GO:0000166 nucleotide binding,GO:0005524 ATP binding,GO:0051082 unfolded protein binding</t>
  </si>
  <si>
    <t>GO:0005737 cytoplasm,GO:0005829 cytosol,GO:0000242 pericentriolar material,GO:0005815 microtubule organizing center,GO:0005720 nuclear heterochromatin,GO:0005832 chaperonin-containing T-complex</t>
  </si>
  <si>
    <t>GO:0005634 nucleus,GO:0005819 spindle,GO:0030496 midbody,GO:0005694 chromosome,GO:0000775 chromosome, centromeric region,GO:0030496 midbody,GO:0005819 spindle</t>
  </si>
  <si>
    <t>H200001405</t>
  </si>
  <si>
    <t>NM_018149</t>
  </si>
  <si>
    <t>C17orf71</t>
  </si>
  <si>
    <t>H300006205</t>
  </si>
  <si>
    <t>NM_005980</t>
  </si>
  <si>
    <t>S100P</t>
  </si>
  <si>
    <t>Protein S100-P (S100 calcium-binding protein P) [Source:UniProtKB/Swiss-Prot;Acc:P25815]</t>
  </si>
  <si>
    <t>Wilms tumor protein (WT33) [Source:UniProtKB/Swiss-Prot;Acc:P19544]</t>
  </si>
  <si>
    <t>GO:0005509 calcium ion binding,GO:0005515 protein binding,GO:0005506 iron ion binding,GO:0020037 heme binding,GO:0016491 oxidoreductase activity,GO:0004601 peroxidase activity</t>
  </si>
  <si>
    <t>H200003408</t>
  </si>
  <si>
    <t>NM_147157;NM_147157;NM_147157;NM_147157</t>
  </si>
  <si>
    <t>OPRS1</t>
  </si>
  <si>
    <t>Sigma 1-type opioid receptor (Sigma1-receptor)(Sigma1R)(SIG-1R)(hSigmaR1)(SR31747-binding protein)(SR-BP)(Aging-associated gene 8 protein) [Source:UniProtKB/Swiss-Prot;Acc:Q99720]</t>
  </si>
  <si>
    <t>GO:0006696 ergosterol biosynthetic process</t>
  </si>
  <si>
    <t>GO:0000247 C-8 sterol isomerase activity</t>
  </si>
  <si>
    <t>AHsV10001459</t>
  </si>
  <si>
    <t>NM_006013.3</t>
  </si>
  <si>
    <t>RPL10</t>
  </si>
  <si>
    <t>GO:0005622 intracellular,GO:0005783 endoplasmic reticulum,GO:0005829 cytosol,GO:0005840 ribosome,GO:0022625 cytosolic large ribosomal subunit</t>
  </si>
  <si>
    <t>H200000875</t>
  </si>
  <si>
    <t>NM_001008897;NM_001008897</t>
  </si>
  <si>
    <t>TCP1</t>
  </si>
  <si>
    <t>H200008454</t>
  </si>
  <si>
    <t>NM_004217</t>
  </si>
  <si>
    <t>AURKB</t>
  </si>
  <si>
    <t>Serine/threonine-protein kinase 12 (EC 2.7.11.1)(Aurora-B)(Aurora- and Ipl1-like midbody-associated protein 1)(AIM-1)(Aurora/IPL1-related kinase 2)(Aurora-related kinase 2)(STK-1) [Source:UniProtKB/Swiss-Prot;Acc:Q96GD4]</t>
  </si>
  <si>
    <t>GO:0006468 protein amino acid phosphorylation,GO:0007049 cell cycle,GO:0007067 mitosis,GO:0032259 methylation,GO:0000910 cytokinesis,GO:0000910 cytokinesis</t>
  </si>
  <si>
    <t>GO:0016740 transferase activity,GO:0000287 magnesium ion binding,GO:0005515 protein binding,GO:0000166 nucleotide binding,GO:0005524 ATP binding,GO:0008168 methyltransferase activity,GO:0003676 nucleic acid binding,GO:0004674 protein serine/threonine kinase activity,GO:0004713 protein tyrosine kinase activity,GO:0004672 protein kinase activity</t>
  </si>
  <si>
    <t>GO:0016491 oxidoreductase activity,GO:0003756 protein disulfide isomerase activity,GO:0016853 isomerase activity</t>
  </si>
  <si>
    <t>H200005268</t>
  </si>
  <si>
    <t>NM_014777</t>
  </si>
  <si>
    <t>KIAA0133</t>
  </si>
  <si>
    <t>Uncharacterized protein KIAA0133  [Source:UniProtKB/Swiss-Prot;Acc:Q14146]</t>
  </si>
  <si>
    <t>H200006137</t>
  </si>
  <si>
    <t>NM_014763</t>
  </si>
  <si>
    <t>MRPL19</t>
  </si>
  <si>
    <t>39S ribosomal protein L19, mitochondrial Precursor (L19mt)(MRP-L19)(MRP-L15) [Source:UniProtKB/Swiss-Prot;Acc:P49406]</t>
  </si>
  <si>
    <t>CHsGV10003992</t>
  </si>
  <si>
    <t>Eosinophil peroxidase Precursor (EPO)(EC 1.11.1.7) [Contains Eosinophil peroxidase light chain;Eosinophil peroxidase heavy chain] [Source:UniProtKB/Swiss-Prot;Acc:P11678]</t>
  </si>
  <si>
    <t>GO:0007165 signal transduction,GO:0007186 G-protein coupled receptor protein signaling pathway,GO:0030168 platelet activation,GO:0000187 activation of MAPK activity,GO:0006935 chemotaxis,GO:0048015 phosphoinositide-mediated signaling,GO:0007156 homophilic cell adhesion,GO:0046854 phosphoinositide phosphorylation,GO:0001952 regulation of cell-matrix adhesion,GO:0006874 cellular calcium ion homeostasis,GO:0040016 embryonic cleavage</t>
  </si>
  <si>
    <t>GO:0016740 transferase activity,GO:0005488 binding,GO:0046934 phosphatidylinositol-4,5-bisphosphate 3-kinase activity,GO:0016773 phosphotransferase activity, alcohol group as acceptor,GO:0004428 inositol or phosphatidylinositol kinase activity,GO:0016303 1-phosphatidylinositol-3-kinase activity,GO:0043560 insulin receptor substrate binding</t>
  </si>
  <si>
    <t>GO:0005829 cytosol,GO:0005942 phosphoinositide 3-kinase complex</t>
  </si>
  <si>
    <t>H200017559</t>
  </si>
  <si>
    <t>NM_017510</t>
  </si>
  <si>
    <t>TMED9</t>
  </si>
  <si>
    <t>Transmembrane emp24 domain-containing protein 9 Precursor (Glycoprotein 25L2) [Source:UniProtKB/Swiss-Prot;Acc:Q9BVK6]</t>
  </si>
  <si>
    <t>GO:0016021 integral to membrane,GO:0016020 membrane,GO:0005783 endoplasmic reticulum,GO:0005789 endoplasmic reticulum membrane,GO:0005793 ER-Golgi intermediate compartment</t>
  </si>
  <si>
    <t>CHsGV10004067</t>
  </si>
  <si>
    <t>NM_023933.1</t>
  </si>
  <si>
    <t>FAM173A</t>
  </si>
  <si>
    <t>Protein FAM173A  [Source:UniProtKB/Swiss-Prot;Acc:Q9BQD7]</t>
  </si>
  <si>
    <t>H200019672</t>
  </si>
  <si>
    <t>GO:0043542 endothelial cell migration</t>
  </si>
  <si>
    <t>GO:0005634 nucleus,GO:0005730 nucleolus,GO:0005730 nucleolus</t>
  </si>
  <si>
    <t>H200005875</t>
  </si>
  <si>
    <t>NM_002935</t>
  </si>
  <si>
    <t>RNASE3</t>
  </si>
  <si>
    <t>Eosinophil cationic protein Precursor (ECP)(EC 3.1.27.-)(Ribonuclease 3)(RNase 3) [Source:UniProtKB/Swiss-Prot;Acc:P12724]</t>
  </si>
  <si>
    <t>GO:0055114 oxidation reduction,GO:0006979 response to oxidative stress,GO:0042744 hydrogen peroxide catabolic process</t>
  </si>
  <si>
    <t>GO:0016787 hydrolase activity,GO:0000166 nucleotide binding,GO:0005524 ATP binding,GO:0003676 nucleic acid binding,GO:0017111 nucleoside-triphosphatase activity,GO:0004386 helicase activity,GO:0008026 ATP-dependent helicase activity,GO:0003724 RNA helicase activity</t>
  </si>
  <si>
    <t>H200015687</t>
  </si>
  <si>
    <t>NM_006219</t>
  </si>
  <si>
    <t>PIK3CB</t>
  </si>
  <si>
    <t>H300021104</t>
  </si>
  <si>
    <t>NM_016390;NM_016390</t>
  </si>
  <si>
    <t>C9orf114</t>
  </si>
  <si>
    <t>opHsV0400000305</t>
  </si>
  <si>
    <t>NM_003332</t>
  </si>
  <si>
    <t>TYROBP</t>
  </si>
  <si>
    <t>TYRO protein tyrosine kinase-binding protein Precursor (DNAX-activation protein 12)(Killer-activating receptor-associated protein)(KAR-associated protein) [Source:UniProtKB/Swiss-Prot;Acc:O43914]</t>
  </si>
  <si>
    <t>GO:0007242 intracellular signaling cascade,GO:0006968 cellular defense response</t>
  </si>
  <si>
    <t>GO:0005515 protein binding,GO:0005057 receptor signaling protein activity</t>
  </si>
  <si>
    <t>H200000093</t>
  </si>
  <si>
    <t>NM_002564</t>
  </si>
  <si>
    <t>P2RY2</t>
  </si>
  <si>
    <t>P2Y purinoceptor 2 (P2Y2)(P2U purinoceptor 1)(P2U1)(ATP receptor)(Purinergic receptor) [Source:UniProtKB/Swiss-Prot;Acc:P41231]</t>
  </si>
  <si>
    <t>GO:0007165 signal transduction,GO:0007186 G-protein coupled receptor protein signaling pathway,GO:0007596 blood coagulation,GO:0007200 G-protein signaling, coupled to IP3 second messenger (phospholipase C activating),GO:0006873 cellular ion homeostasis</t>
  </si>
  <si>
    <t>GO:0004872 receptor activity,GO:0004930 G-protein coupled receptor activity,GO:0045028 purinergic nucleotide receptor activity, G-protein coupled,GO:0004945 angiotensin type II receptor activity,GO:0015057 thrombin receptor activity,GO:0016494 C-X-C chemokine receptor activity</t>
  </si>
  <si>
    <t>Phosphatidylinositol-4,5-bisphosphate 3-kinase catalytic subunit beta isoform (EC 2.7.1.153)(PI3-kinase p110 subunit beta)(PtdIns-3-kinase p110)(PI3Kbeta)(PI3K) [Source:UniProtKB/Swiss-Prot;Acc:P42338]</t>
  </si>
  <si>
    <t>UPF0487 protein C17orf71 (Amplified in breast cancer gene 2 protein) [Source:UniProtKB/Swiss-Prot;Acc:Q8ND04]</t>
  </si>
  <si>
    <t>GO:0000287 magnesium ion binding,GO:0005509 calcium ion binding,GO:0048306 calcium-dependent protein binding</t>
  </si>
  <si>
    <t>H200004758</t>
  </si>
  <si>
    <t>NM_000502</t>
  </si>
  <si>
    <t>EPX</t>
  </si>
  <si>
    <t>GO:0005886 plasma membrane,GO:0016021 integral to membrane,GO:0016020 membrane,GO:0005737 cytoplasm,GO:0005739 mitochondrion,GO:0043020 NADPH oxidase complex</t>
  </si>
  <si>
    <t>H200013799</t>
  </si>
  <si>
    <t>NM_018970</t>
  </si>
  <si>
    <t>GPR85</t>
  </si>
  <si>
    <t>Probable G-protein coupled receptor 85 (Super conserved receptor expressed in brain 2) [Source:UniProtKB/Swiss-Prot;Acc:P60893]</t>
  </si>
  <si>
    <t>H200001398</t>
  </si>
  <si>
    <t>NM_014319</t>
  </si>
  <si>
    <t>LEMD3</t>
  </si>
  <si>
    <t>Inner nuclear membrane protein Man1 (LEM domain-containing protein 3) [Source:UniProtKB/Swiss-Prot;Acc:Q9Y2U8]</t>
  </si>
  <si>
    <t>GO:0003677 DNA binding,GO:0000166 nucleotide binding,GO:0003676 nucleic acid binding</t>
  </si>
  <si>
    <t>GO:0016021 integral to membrane,GO:0016020 membrane,GO:0005634 nucleus,GO:0005624 membrane fraction,GO:0005635 nuclear envelope,GO:0005637 nuclear inner membrane,GO:0005639 integral to nuclear inner membrane</t>
  </si>
  <si>
    <t>Uncharacterized protein C9orf114  [Source:UniProtKB/Swiss-Prot;Acc:Q5T280]</t>
  </si>
  <si>
    <t>GO:0005515 protein binding,GO:0046872 metal ion binding,GO:0005506 iron ion binding,GO:0016491 oxidoreductase activity,GO:0016702 oxidoreductase activity, acting on single donors with incorporation of molecular oxygen, incorporation of two atoms of oxygen,GO:0031418 L-ascorbic acid binding,GO:0016706 oxidoreductase activity, acting on paired donors, with incorporation or reduction of molecular oxygen, 2-oxoglutarate as one donor, and incorporation of one atom each of oxygen into both donors,GO:0008475 procollagen-lysine 5-dioxygenase activity</t>
  </si>
  <si>
    <t>NM_001039672;NM_001039672;NM_001039672</t>
  </si>
  <si>
    <t>YIF1B</t>
  </si>
  <si>
    <t>Protein YIF1B (YIP1-interacting factor homolog B) [Source:UniProtKB/Swiss-Prot;Acc:Q5BJH7]</t>
  </si>
  <si>
    <t>60S ribosomal protein L10 (Protein QM)(Tumor suppressor QM)(Laminin receptor homolog) [Source:UniProtKB/Swiss-Prot;Acc:P27635]</t>
  </si>
  <si>
    <t>H200002183</t>
  </si>
  <si>
    <t>NM_003587</t>
  </si>
  <si>
    <t>DHX16</t>
  </si>
  <si>
    <t>Putative pre-mRNA-splicing factor ATP-dependent RNA helicase DHX16 (EC 3.6.1.-)(DEAH-box protein 16)(ATP-dependent RNA helicase #3) [Source:UniProtKB/Swiss-Prot;Acc:O60231]</t>
  </si>
  <si>
    <t>GO:0005789 endoplasmic reticulum membrane</t>
  </si>
  <si>
    <t>H200010299</t>
  </si>
  <si>
    <t>NM_000397</t>
  </si>
  <si>
    <t>CYBB</t>
  </si>
  <si>
    <t>Cytochrome b-245 heavy chain (EC 1.-.-.-)(p22 phagocyte B-cytochrome)(Neutrophil cytochrome b 91 kDa polypeptide)(Heme-binding membrane glycoprotein gp91phox)(CGD91-phox)(gp91-phox)(gp91-1)(Cytochrome b(558) subunit beta)(Cytochrome b558 subunit beta)(Superoxide-generating NADPH oxidase heavy chain subunit)(NADPH oxidase 2) [Source:UniProtKB/Swiss-Prot;Acc:P04839]</t>
  </si>
  <si>
    <t>UDP-N-acetylhexosamine pyrophosphorylase (Antigen X)(AGX)(Sperm-associated antigen 2) [Includes UDP-N-acetylgalactosamine pyrophosphorylase(EC 2.7.7.-)(AGX-1);UDP-N-acetylglucosamine pyrophosphorylase(EC 2.7.7.23)(AGX-2)] [Source:UniProtKB/Swiss-Prot;Acc:Q16222]</t>
  </si>
  <si>
    <t>GO:0016779 nucleotidyltransferase activity</t>
  </si>
  <si>
    <t>CHsGV10000169</t>
  </si>
  <si>
    <t>NM_015201.3</t>
  </si>
  <si>
    <t>BOP1</t>
  </si>
  <si>
    <t>Ribosome biogenesis protein BOP1 (Block of proliferation 1 protein) [Source:UniProtKB/Swiss-Prot;Acc:Q14137]</t>
  </si>
  <si>
    <t>GO:0051726 regulation of cell cycle,GO:0006364 rRNA processing,GO:0008283 cell proliferation</t>
  </si>
  <si>
    <t>GO:0005634 nucleus,GO:0005730 nucleolus,GO:0030529 ribonucleoprotein complex,GO:0005654 nucleoplasm,GO:0070545 PeBoW complex</t>
  </si>
  <si>
    <t>H200010701</t>
  </si>
  <si>
    <t>NM_000075</t>
  </si>
  <si>
    <t>GO:0005524 ATP binding,GO:0004672 protein kinase activity</t>
  </si>
  <si>
    <t>H200013869</t>
  </si>
  <si>
    <t>NM_001084</t>
  </si>
  <si>
    <t>PLOD3</t>
  </si>
  <si>
    <t>Procollagen-lysine,2-oxoglutarate 5-dioxygenase 3 Precursor (EC 1.14.11.4)(Lysyl hydroxylase 3)(LH3) [Source:UniProtKB/Swiss-Prot;Acc:O60568]</t>
  </si>
  <si>
    <t>GO:0006954 inflammatory response,GO:0045087 innate immune response,GO:0006811 ion transport,GO:0022900 electron transport chain,GO:0042554 superoxide release,GO:0045730 respiratory burst</t>
  </si>
  <si>
    <t>GO:0005515 protein binding,GO:0046872 metal ion binding,GO:0005506 iron ion binding,GO:0020037 heme binding,GO:0016491 oxidoreductase activity,GO:0005244 voltage-gated ion channel activity,GO:0009055 electron carrier activity,GO:0046982 protein heterodimerization activity,GO:0050660 FAD binding,GO:0016175 superoxide-generating NADPH oxidase activity</t>
  </si>
  <si>
    <t>GO:0006350 transcription,GO:0006355 regulation of transcription, DNA-dependent,GO:0031167 rRNA methylation,GO:0000154 rRNA modification,GO:0006390 transcription from mitochondrial promoter</t>
  </si>
  <si>
    <t>GO:0016740 transferase activity,GO:0003712 transcription cofactor activity,GO:0000179 rRNA (adenine-N6,N6-)-dimethyltransferase activity,GO:0008649 rRNA methyltransferase activity,GO:0043790 dimethyladenosine transferase activity</t>
  </si>
  <si>
    <t>H200004844</t>
  </si>
  <si>
    <t>NM_130398;NM_006027</t>
  </si>
  <si>
    <t>EXO1</t>
  </si>
  <si>
    <t>Exonuclease 1 (hExo1)(EC 3.1.-.-)(Exonuclease I)(hExoI) [Source:UniProtKB/Swiss-Prot;Acc:Q9UQ84]</t>
  </si>
  <si>
    <t>GO:0006955 immune response,GO:0007126 meiosis,GO:0006974 response to DNA damage stimulus,GO:0006281 DNA repair,GO:0006310 DNA recombination,GO:0006298 mismatch repair</t>
  </si>
  <si>
    <t>GO:0003677 DNA binding,GO:0005515 protein binding,GO:0016787 hydrolase activity,GO:0003824 catalytic activity,GO:0004518 nuclease activity,GO:0004519 endonuclease activity,GO:0004523 ribonuclease H activity,GO:0045145 single-stranded DNA specific 5'-3' exodeoxyribonuclease activity,GO:0048256 flap endonuclease activity,GO:0051908 double-stranded DNA specific 5'-3' exodeoxyribonuclease activity</t>
  </si>
  <si>
    <t>H300019796</t>
  </si>
  <si>
    <t>NM_003115;NM_003115</t>
  </si>
  <si>
    <t>UAP1</t>
  </si>
  <si>
    <t>JmjC domain-containing protein 8 (Jumonji domain-containing protein 8) [Source:UniProtKB/Swiss-Prot;Acc:Q96S16]</t>
  </si>
  <si>
    <t>GO:0006457 protein folding,GO:0006886 intracellular protein transport,GO:0009306 protein secretion</t>
  </si>
  <si>
    <t>GO:0003756 protein disulfide isomerase activity</t>
  </si>
  <si>
    <t>GO:0016020 membrane,GO:0005783 endoplasmic reticulum,GO:0030867 rough endoplasmic reticulum membrane</t>
  </si>
  <si>
    <t>H300007316</t>
  </si>
  <si>
    <t>NM_001007027;NM_001007027</t>
  </si>
  <si>
    <t>ALG8</t>
  </si>
  <si>
    <t>Probable dolichyl pyrophosphate Glc1Man9GlcNAc2 alpha-1,3-glucosyltransferase (EC 2.4.1.-)(Dolichyl-P-Glc:Glc1Man9GlcNAc2-PP-dolichyl glucosyltransferase)(Asparagine-linked glycosylation protein 8) [Source:UniProtKB/Swiss-Prot;Acc:Q9BVK2]</t>
  </si>
  <si>
    <t>GO:0016740 transferase activity,GO:0016758 transferase activity, transferring hexosyl groups</t>
  </si>
  <si>
    <t>GO:0005515 protein binding,GO:0000166 nucleotide binding,GO:0005524 ATP binding,GO:0016874 ligase activity,GO:0004871 signal transducer activity,GO:0000049 tRNA binding,GO:0004812 aminoacyl-tRNA ligase activity,GO:0004831 tyrosine-tRNA ligase activity,GO:0005153 interleukin-8 receptor binding</t>
  </si>
  <si>
    <t>GO:0005737 cytoplasm,GO:0005625 soluble fraction,GO:0005615 extracellular space</t>
  </si>
  <si>
    <t>opHsV0400003399</t>
  </si>
  <si>
    <t>NM_021075;NM_021075</t>
  </si>
  <si>
    <t>NDUFV3</t>
  </si>
  <si>
    <t>NADH dehydrogenase [ubiquinone] flavoprotein 3, mitochondrial Precursor (NADH-ubiquinone oxidoreductase 9 kDa subunit)(Complex I-9kD)(CI-9kD)(Renal carcinoma antigen NY-REN-4) [Source:UniProtKB/Swiss-Prot;Acc:P56181]</t>
  </si>
  <si>
    <t>H300009277</t>
  </si>
  <si>
    <t>JMJD8</t>
  </si>
  <si>
    <t>CHsGV10000136</t>
  </si>
  <si>
    <t>NM_006817.3;NM_001034025.1</t>
  </si>
  <si>
    <t>ERP29</t>
  </si>
  <si>
    <t>Endoplasmic reticulum protein ERp29 Precursor (ERp31)(ERp28) [Source:UniProtKB/Swiss-Prot;Acc:P30040]</t>
  </si>
  <si>
    <t>AHsV10002041</t>
  </si>
  <si>
    <t>NM_001005463.1</t>
  </si>
  <si>
    <t>EBF3</t>
  </si>
  <si>
    <t>Transcription factor COE3 (Early B-cell factor 3)(EBF-3)(Olf-1/EBF-like 2)(O/E-2)(OE-2) [Source:UniProtKB/Swiss-Prot;Acc:Q9H4W6]</t>
  </si>
  <si>
    <t>H200007110</t>
  </si>
  <si>
    <t>NM_152435</t>
  </si>
  <si>
    <t>AMDHD1</t>
  </si>
  <si>
    <t>Probable imidazolonepropionase (EC 3.5.2.7)(Amidohydrolase domain-containing protein 1) [Source:UniProtKB/Swiss-Prot;Acc:Q96NU7]</t>
  </si>
  <si>
    <t>GO:0006547 histidine metabolic process,GO:0019556 histidine catabolic process to glutamate and formamide</t>
  </si>
  <si>
    <t>GO:0055114 oxidation reduction,GO:0006464 protein modification process,GO:0019538 protein metabolic process</t>
  </si>
  <si>
    <t>Dimethyladenosine transferase 2, mitochondrial Precursor (EC 2.1.1.-)(S-adenosylmethionine-6-N', N'-adenosyl(rRNA) dimethyltransferase 2)(Mitochondrial 12S rRNA dimethylase 2)(Mitochondrial transcription factor B2)(mtTFB2)(h-mtTFB2)(h-mtTFB)(hTFB2M)(Hepatitis C virus NS5A-transactivated protein 5)(HCV NS5A-transactivated protein 5) [Source:UniProtKB/Swiss-Prot;Acc:Q9H5Q4]</t>
  </si>
  <si>
    <t>Cystatin-F Precursor (Leukocystatin)(Cystatin-7)(Cystatin-like metastasis-associated protein)(CMAP) [Source:UniProtKB/Swiss-Prot;Acc:O76096]</t>
  </si>
  <si>
    <t>Protein S100-A8 (S100 calcium-binding protein A8)(Calgranulin-A)(Migration inhibitory factor-related protein 8)(MRP-8)(Cystic fibrosis antigen)(CFAG)(P8)(Leukocyte L1 complex light chain)(Calprotectin L1L subunit)(Urinary stone protein band A) [Source:UniProtKB/Swiss-Prot;Acc:P05109]</t>
  </si>
  <si>
    <t>GO:0006954 inflammatory response</t>
  </si>
  <si>
    <t>opHsV0400000563</t>
  </si>
  <si>
    <t>NM_198155;NM_198155</t>
  </si>
  <si>
    <t>C21orf33</t>
  </si>
  <si>
    <t>ES1 protein homolog, mitochondrial Precursor (Protein KNP-I)(Protein GT335) [Source:UniProtKB/Swiss-Prot;Acc:P30042]</t>
  </si>
  <si>
    <t>opHsV0400005712</t>
  </si>
  <si>
    <t>AL080249.26</t>
  </si>
  <si>
    <t>Uncharacterized protein ENSP00000354148 Fragment  [Source:UniProtKB/TrEMBL;Acc:A6NNG0]</t>
  </si>
  <si>
    <t>DHsTV10000137</t>
  </si>
  <si>
    <t>H300008569</t>
  </si>
  <si>
    <t>RP11-223E19.1</t>
  </si>
  <si>
    <t>GO:0005829 cytosol,GO:0005783 endoplasmic reticulum,GO:0031410 cytoplasmic vesicle,GO:0001669 acrosome,GO:0012506 vesicle membrane,GO:0042598 vesicular fraction</t>
  </si>
  <si>
    <t>H200012853</t>
  </si>
  <si>
    <t>NM_005128</t>
  </si>
  <si>
    <t>DOPEY2</t>
  </si>
  <si>
    <t>Protein dopey-2  [Source:UniProtKB/Swiss-Prot;Acc:Q9Y3R5]</t>
  </si>
  <si>
    <t>GO:0015031 protein transport,GO:0007275 multicellular organismal development,GO:0006895 Golgi to endosome transport,GO:0007029 endoplasmic reticulum organization</t>
  </si>
  <si>
    <t>H300004091</t>
  </si>
  <si>
    <t>NM_012474</t>
  </si>
  <si>
    <t>UCK2</t>
  </si>
  <si>
    <t>GO:0005788 endoplasmic reticulum lumen,GO:0005783 endoplasmic reticulum,GO:0042470 melanosome</t>
  </si>
  <si>
    <t>H300009830</t>
  </si>
  <si>
    <t>NM_017816</t>
  </si>
  <si>
    <t>LYAR</t>
  </si>
  <si>
    <t>Cell growth-regulating nucleolar protein  [Source:UniProtKB/Swiss-Prot;Acc:Q9NX58]</t>
  </si>
  <si>
    <t>H200001430</t>
  </si>
  <si>
    <t>NM_022366</t>
  </si>
  <si>
    <t>TFB2M</t>
  </si>
  <si>
    <t>GO:0004869 cysteine protease inhibitor activity</t>
  </si>
  <si>
    <t>H200015654</t>
  </si>
  <si>
    <t>NM_003680</t>
  </si>
  <si>
    <t>YARS</t>
  </si>
  <si>
    <t>Tyrosyl-tRNA synthetase, cytoplasmic (EC 6.1.1.1)(Tyrosyl--tRNA ligase)(TyrRS) [Source:UniProtKB/Swiss-Prot;Acc:P54577]</t>
  </si>
  <si>
    <t>GO:0006412 translation,GO:0006915 apoptosis,GO:0006418 tRNA aminoacylation for protein translation,GO:0006437 tyrosyl-tRNA aminoacylation</t>
  </si>
  <si>
    <t>Homeobox protein aristaless-like 3 (Proline-rich transcription factor ALX3) [Source:UniProtKB/Swiss-Prot;Acc:O95076]</t>
  </si>
  <si>
    <t>GO:0006355 regulation of transcription, DNA-dependent,GO:0042981 regulation of apoptosis,GO:0007389 pattern specification process,GO:0048704 embryonic skeletal morphogenesis,GO:0035115 embryonic forelimb morphogenesis,GO:0035116 embryonic hindlimb morphogenesis</t>
  </si>
  <si>
    <t>H200011042</t>
  </si>
  <si>
    <t>S100A8</t>
  </si>
  <si>
    <t>H300008884</t>
  </si>
  <si>
    <t>NM_001637</t>
  </si>
  <si>
    <t>AOAH</t>
  </si>
  <si>
    <t>Acyloxyacyl hydrolase Precursor (EC 3.1.1.77) [Contains Acyloxyacyl hydrolase small subunit;Acyloxyacyl hydrolase large subunit] [Source:UniProtKB/Swiss-Prot;Acc:P28039]</t>
  </si>
  <si>
    <t>GO:0006629 lipid metabolic process,GO:0050728 negative regulation of inflammatory response,GO:0008653 lipopolysaccharide metabolic process</t>
  </si>
  <si>
    <t>GO:0016788 hydrolase activity, acting on ester bonds,GO:0004465 lipoprotein lipase activity,GO:0050528 acyloxyacyl hydrolase activity</t>
  </si>
  <si>
    <t>H200011236</t>
  </si>
  <si>
    <t>NM_001079673;NM_001079673</t>
  </si>
  <si>
    <t>FNDC3A</t>
  </si>
  <si>
    <t>Fibronectin type-III domain-containing protein 3a  [Source:UniProtKB/Swiss-Prot;Acc:Q9Y2H6]</t>
  </si>
  <si>
    <t>GO:0009566 fertilization,GO:0007286 spermatid development,GO:0016337 cell-cell adhesion,GO:0060009 Sertoli cell development</t>
  </si>
  <si>
    <t>H200000525</t>
  </si>
  <si>
    <t>NM_002852</t>
  </si>
  <si>
    <t>PTX3</t>
  </si>
  <si>
    <t>Pentraxin-related protein PTX3 Precursor (Pentaxin-related protein PTX3)(Tumor necrosis factor-inducible gene 14 protein)(TSG-14) [Source:UniProtKB/Swiss-Prot;Acc:P26022]</t>
  </si>
  <si>
    <t>GO:0016787 hydrolase activity,GO:0008270 zinc ion binding,GO:0046872 metal ion binding,GO:0005506 iron ion binding,GO:0050480 imidazolonepropionase activity,GO:0016812 hydrolase activity, acting on carbon-nitrogen (but not peptide) bonds, in cyclic amides</t>
  </si>
  <si>
    <t>H200002740</t>
  </si>
  <si>
    <t>NM_001107;NM_001107</t>
  </si>
  <si>
    <t>ACYP1</t>
  </si>
  <si>
    <t>Acylphosphatase-1 (EC 3.6.1.7)(Acylphosphate phosphohydrolase 1)(Acylphosphatase, organ-common type isozyme)(Acylphosphatase, erythrocyte isozyme) [Source:UniProtKB/Swiss-Prot;Acc:P07311]</t>
  </si>
  <si>
    <t>GO:0003998 acylphosphatase activity</t>
  </si>
  <si>
    <t>H300009152</t>
  </si>
  <si>
    <t>NM_003650</t>
  </si>
  <si>
    <t>CST7</t>
  </si>
  <si>
    <t>GO:0006954 inflammatory response,GO:0045429 positive regulation of nitric oxide biosynthetic process,GO:0050766 positive regulation of phagocytosis,GO:0008228 opsonization,GO:0001878 response to yeast</t>
  </si>
  <si>
    <t>GO:0001872 zymosan binding</t>
  </si>
  <si>
    <t>CHsGV10002465</t>
  </si>
  <si>
    <t>NM_017914</t>
  </si>
  <si>
    <t>C19orf24</t>
  </si>
  <si>
    <t>hypothetical protein LOC55009  [Source:RefSeq peptide;Acc:NP_060384]</t>
  </si>
  <si>
    <t>AHsV10001259</t>
  </si>
  <si>
    <t>NM_003761.3</t>
  </si>
  <si>
    <t>VAMP8</t>
  </si>
  <si>
    <t>Vesicle-associated membrane protein 8 (VAMP-8)(Endobrevin)(EDB) [Source:UniProtKB/Swiss-Prot;Acc:Q9BV40]</t>
  </si>
  <si>
    <t>GO:0005624 membrane fraction,GO:0005769 early endosome,GO:0016020 membrane,GO:0016021 integral to membrane</t>
  </si>
  <si>
    <t>H300021931</t>
  </si>
  <si>
    <t>AHI1</t>
  </si>
  <si>
    <t>Jouberin (Abelson helper integration site 1 protein homolog)(AHI-1) [Source:UniProtKB/Swiss-Prot;Acc:Q8N157]</t>
  </si>
  <si>
    <t>H200014271</t>
  </si>
  <si>
    <t>NM_016021</t>
  </si>
  <si>
    <t>NCUBE1</t>
  </si>
  <si>
    <t>Ubiquitin-conjugating enzyme E2 J1 (EC 6.3.2.19)(Non-canonical ubiquitin-conjugating enzyme 1)(NCUBE1)(Yeast ubiquitin-conjugating enzyme UBC6 homolog E)(HSUBC6e) [Source:UniProtKB/Swiss-Prot;Acc:Q9Y385]</t>
  </si>
  <si>
    <t>GO:0016874 ligase activity,GO:0004842 ubiquitin-protein ligase activity,GO:0019787 small conjugating protein ligase activity</t>
  </si>
  <si>
    <t>H200016989</t>
  </si>
  <si>
    <t>NM_014871;NM_014871</t>
  </si>
  <si>
    <t>PAN2</t>
  </si>
  <si>
    <t>PAB-dependent poly(A)-specific ribonuclease subunit 2 (hPan2)(EC 3.1.13.4)(Inactive ubiquitin carboxyl-terminal hydrolase 52) [Source:UniProtKB/Swiss-Prot;Acc:Q504Q3]</t>
  </si>
  <si>
    <t>GO:0003676 nucleic acid binding,GO:0004221 ubiquitin thiolesterase activity,GO:0004527 exonuclease activity</t>
  </si>
  <si>
    <t>Uridine-cytidine kinase 2 (UCK 2)(EC 2.7.1.48)(Uridine monophosphokinase 2)(Cytidine monophosphokinase 2) [Source:UniProtKB/Swiss-Prot;Acc:Q9BZX2]</t>
  </si>
  <si>
    <t>GO:0016740 transferase activity,GO:0000166 nucleotide binding,GO:0005524 ATP binding,GO:0016301 kinase activity,GO:0003674 molecular_function,GO:0016773 phosphotransferase activity, alcohol group as acceptor,GO:0004849 uridine kinase activity,GO:0008974 phosphoribulokinase activity</t>
  </si>
  <si>
    <t>opHsV0400000514</t>
  </si>
  <si>
    <t>NM_006492</t>
  </si>
  <si>
    <t>ALX3</t>
  </si>
  <si>
    <t>GO:0006355 regulation of transcription, DNA-dependent,GO:0042981 regulation of apoptosis,GO:0000122 negative regulation of transcription from RNA polymerase II promoter,GO:0006457 protein folding,GO:0008284 positive regulation of cell proliferation,GO:0048387 negative regulation of retinoic acid receptor signaling pathway,GO:0007050 cell cycle arrest,GO:0045740 positive regulation of DNA replication,GO:0006611 protein export from nucleus,GO:0045665 negative regulation of neuron differentiation,GO:0045787 positive regulation of cell cycle,GO:0050821 protein stabilization,GO:0050766 positive regulation of phagocytosis,GO:0010149 senescence,GO:0017148 negative regulation of translation,GO:0030866 cortical actin cytoskeleton organization,GO:0042921 glucocorticoid receptor signaling pathway,GO:0040020 regulation of meiosis,GO:0022417 protein maturation via protein folding,GO:0051208 sequestering of calcium ion,GO:0002502 peptide antigen assembly with MHC class I protein complex,GO:0033144 negative regulation of steroid hormone receptor signaling pathway</t>
  </si>
  <si>
    <t>GO:0003677 DNA binding,GO:0005509 calcium ion binding,GO:0008270 zinc ion binding,GO:0005529 sugar binding,GO:0051082 unfolded protein binding,GO:0051087 chaperone binding,GO:0005178 integrin binding,GO:0016564 transcription repressor activity,GO:0050681 androgen receptor binding,GO:0003729 mRNA binding,GO:0001849 complement component C1q binding</t>
  </si>
  <si>
    <t>GO:0005634 nucleus,GO:0005576 extracellular region,GO:0005737 cytoplasm,GO:0005792 microsome,GO:0005578 proteinaceous extracellular matrix,GO:0005829 cytosol,GO:0005783 endoplasmic reticulum,GO:0005788 endoplasmic reticulum lumen,GO:0005615 extracellular space,GO:0048471 perinuclear region of cytoplasm,GO:0009897 external side of plasma membrane,GO:0042824 MHC class I peptide loading complex,GO:0005844 polysome</t>
  </si>
  <si>
    <t>CHsGV10000960</t>
  </si>
  <si>
    <t>NM_022483.4</t>
  </si>
  <si>
    <t>C5orf28</t>
  </si>
  <si>
    <t>Transmembrane protein C5orf28  [Source:UniProtKB/Swiss-Prot;Acc:Q0VDI3]</t>
  </si>
  <si>
    <t>H300004750</t>
  </si>
  <si>
    <t>NM_004343</t>
  </si>
  <si>
    <t>CALR</t>
  </si>
  <si>
    <t>Calreticulin Precursor (CRP55)(Calregulin)(HACBP)(ERp60)(grp60) [Source:UniProtKB/Swiss-Prot;Acc:P27797]</t>
  </si>
  <si>
    <t>Vesicle-trafficking protein SEC22b (SEC22 vesicle-trafficking protein homolog B)(SEC22 vesicle-trafficking protein-like 1)(ERS24)(ERS-24) [Source:UniProtKB/Swiss-Prot;Acc:O75396]</t>
  </si>
  <si>
    <t>GO:0006810 transport,GO:0006888 ER to Golgi vesicle-mediated transport,GO:0015031 protein transport,GO:0016192 vesicle-mediated transport</t>
  </si>
  <si>
    <t>GO:0000139 Golgi membrane,GO:0005783 endoplasmic reticulum,GO:0005789 endoplasmic reticulum membrane,GO:0005794 Golgi apparatus,GO:0016020 membrane,GO:0016021 integral to membrane,GO:0033116 ER-Golgi intermediate compartment membrane,GO:0042470 melanosome</t>
  </si>
  <si>
    <t>opHsV0400005387</t>
  </si>
  <si>
    <t>NM_017727</t>
  </si>
  <si>
    <t>TMEM214</t>
  </si>
  <si>
    <t>Transmembrane protein 214  [Source:UniProtKB/Swiss-Prot;Acc:Q6NUQ4]</t>
  </si>
  <si>
    <t>H200010594</t>
  </si>
  <si>
    <t>NM_004911</t>
  </si>
  <si>
    <t>PDIA4</t>
  </si>
  <si>
    <t>Protein disulfide-isomerase A4 Precursor (EC 5.3.4.1)(Protein ERp-72)(ERp72) [Source:UniProtKB/Swiss-Prot;Acc:P13667]</t>
  </si>
  <si>
    <t>GO:0045454 cell redox homeostasis,GO:0009306 protein secretion</t>
  </si>
  <si>
    <t>GO:0005509 calcium ion binding,GO:0005515 protein binding,GO:0016853 isomerase activity,GO:0003756 protein disulfide isomerase activity</t>
  </si>
  <si>
    <t>GO:0005783 endoplasmic reticulum,GO:0005788 endoplasmic reticulum lumen,GO:0042470 melanosome</t>
  </si>
  <si>
    <t>H300000693</t>
  </si>
  <si>
    <t>NM_003384</t>
  </si>
  <si>
    <t>VRK1</t>
  </si>
  <si>
    <t>Serine/threonine-protein kinase VRK1 (EC 2.7.11.1)(Vaccinia-related kinase 1) [Source:UniProtKB/Swiss-Prot;Acc:Q99986]</t>
  </si>
  <si>
    <t>CHsGV10003747</t>
  </si>
  <si>
    <t>Dihydroorotate dehydrogenase, mitochondrial Precursor (DHOdehase)(EC 1.3.3.1)(Dihydroorotate oxidase) [Source:UniProtKB/Swiss-Prot;Acc:Q02127]</t>
  </si>
  <si>
    <t>GO:0055114 oxidation reduction,GO:0006221 pyrimidine nucleotide biosynthetic process,GO:0006207 'de novo' pyrimidine base biosynthetic process,GO:0006222 UMP biosynthetic process</t>
  </si>
  <si>
    <t>GO:0016491 oxidoreductase activity,GO:0004158 dihydroorotate oxidase activity,GO:0004152 dihydroorotate dehydrogenase activity</t>
  </si>
  <si>
    <t>GO:0005739 mitochondrion,GO:0005743 mitochondrial inner membrane,GO:0016020 membrane,GO:0005739 mitochondrion</t>
  </si>
  <si>
    <t>H300003340</t>
  </si>
  <si>
    <t>NM_012456</t>
  </si>
  <si>
    <t>TIMM10</t>
  </si>
  <si>
    <t>Mitochondrial import inner membrane translocase subunit Tim10  [Source:UniProtKB/Swiss-Prot;Acc:P62072]</t>
  </si>
  <si>
    <t>GO:0015031 protein transport,GO:0065002 intracellular protein transmembrane transport,GO:0007605 sensory perception of sound,GO:0006626 protein targeting to mitochondrion,GO:0045039 protein import into mitochondrial inner membrane</t>
  </si>
  <si>
    <t>GO:0016020 membrane,GO:0005739 mitochondrion,GO:0005744 mitochondrial inner membrane presequence translocase complex,GO:0042719 mitochondrial intermembrane space protein transporter complex</t>
  </si>
  <si>
    <t>NM_003373;NM_003373</t>
  </si>
  <si>
    <t>VCL</t>
  </si>
  <si>
    <t>Vinculin (Metavinculin) [Source:UniProtKB/Swiss-Prot;Acc:P18206]</t>
  </si>
  <si>
    <t>H200014046</t>
  </si>
  <si>
    <t>NM_006374;NM_006374;NM_006374;NM_006374</t>
  </si>
  <si>
    <t>STK25</t>
  </si>
  <si>
    <t>AHsV10002045</t>
  </si>
  <si>
    <t>NM_004892.4</t>
  </si>
  <si>
    <t>SEC22B</t>
  </si>
  <si>
    <t>Serine/threonine-protein kinase 25 (EC 2.7.11.1)(Sterile 20/oxidant stress-response kinase 1)(Ste20/oxidant stress response kinase 1)(SOK-1)(Ste20-like kinase) [Source:UniProtKB/Swiss-Prot;Acc:O00506]</t>
  </si>
  <si>
    <t>GO:0016740 transferase activity,GO:0000287 magnesium ion binding,GO:0000166 nucleotide binding,GO:0005524 ATP binding,GO:0042802 identical protein binding,GO:0004674 protein serine/threonine kinase activity,GO:0004713 protein tyrosine kinase activity,GO:0004672 protein kinase activity</t>
  </si>
  <si>
    <t>H300018478</t>
  </si>
  <si>
    <t>NM_016098</t>
  </si>
  <si>
    <t>BRP44L</t>
  </si>
  <si>
    <t>Brain protein 44-like protein  [Source:UniProtKB/Swiss-Prot;Acc:Q9Y5U8]</t>
  </si>
  <si>
    <t>GO:0005575 cellular_component,GO:0005739 mitochondrion,GO:0005743 mitochondrial inner membrane</t>
  </si>
  <si>
    <t>H200014314</t>
  </si>
  <si>
    <t>NM_005760</t>
  </si>
  <si>
    <t>CEBPZ</t>
  </si>
  <si>
    <t>CCAAT/enhancer-binding protein zeta (CCAAT-box-binding transcription factor)(CCAAT-binding factor)(CBF) [Source:UniProtKB/Swiss-Prot;Acc:Q03701]</t>
  </si>
  <si>
    <t>NM_001361.3</t>
  </si>
  <si>
    <t>DHODH</t>
  </si>
  <si>
    <t>Zinc finger protein 473 (Zinc finger protein 100 homolog)(Zfp-100) [Source:UniProtKB/Swiss-Prot;Acc:Q8WTR7]</t>
  </si>
  <si>
    <t>H300021186</t>
  </si>
  <si>
    <t>NM_012426</t>
  </si>
  <si>
    <t>Splicing factor 3B subunit 3 (Spliceosome-associated protein 130)(SAP 130)(Pre-mRNA-splicing factor SF3b 130 kDa subunit)(SF3b130)(STAF130) [Source:UniProtKB/Swiss-Prot;Acc:Q15393]</t>
  </si>
  <si>
    <t>GO:0006461 protein complex assembly,GO:0008380 RNA splicing,GO:0000398 nuclear mRNA splicing, via spliceosome</t>
  </si>
  <si>
    <t>GO:0005515 protein binding,GO:0003676 nucleic acid binding,GO:0031202 RNA splicing factor activity, transesterification mechanism</t>
  </si>
  <si>
    <t>GO:0005634 nucleus,GO:0005681 spliceosome,GO:0030532 small nuclear ribonucleoprotein complex</t>
  </si>
  <si>
    <t>H200006081</t>
  </si>
  <si>
    <t>GO:0007165 signal transduction,GO:0006468 protein amino acid phosphorylation,GO:0006979 response to oxidative stress</t>
  </si>
  <si>
    <t>H200005356</t>
  </si>
  <si>
    <t>NM_015428;NM_001006656</t>
  </si>
  <si>
    <t>ZNF473</t>
  </si>
  <si>
    <t>NM_014762</t>
  </si>
  <si>
    <t>DHCR24</t>
  </si>
  <si>
    <t>24-dehydrocholesterol reductase Precursor (EC 1.3.1.-)(3-beta-hydroxysterol delta-24-reductase)(Seladin-1)(Diminuto/dwarf1 homolog) [Source:UniProtKB/Swiss-Prot;Acc:Q15392]</t>
  </si>
  <si>
    <t>GO:0055114 oxidation reduction,GO:0008104 protein localization,GO:0006915 apoptosis,GO:0006916 anti-apoptosis,GO:0006979 response to oxidative stress,GO:0043588 skin development,GO:0007050 cell cycle arrest,GO:0016044 membrane organization,GO:0009888 tissue development,GO:0030539 male genitalia development,GO:0043154 negative regulation of caspase activity,GO:0042987 amyloid precursor protein catabolic process,GO:0043526 neuroprotection,GO:0006695 cholesterol biosynthetic process,GO:0031639 plasminogen activation</t>
  </si>
  <si>
    <t>GO:0003824 catalytic activity,GO:0016491 oxidoreductase activity,GO:0019899 enzyme binding,GO:0050660 FAD binding,GO:0042605 peptide antigen binding,GO:0050614 delta24-sterol reductase activity</t>
  </si>
  <si>
    <t>GO:0016021 integral to membrane,GO:0016020 membrane,GO:0005634 nucleus,GO:0005794 Golgi apparatus,GO:0000139 Golgi membrane,GO:0005783 endoplasmic reticulum,GO:0005789 endoplasmic reticulum membrane</t>
  </si>
  <si>
    <t>opHsV0400004278</t>
  </si>
  <si>
    <t>NM_033130</t>
  </si>
  <si>
    <t>SIGLEC10</t>
  </si>
  <si>
    <t>CHsGV10001330</t>
  </si>
  <si>
    <t>NM_012268.2;NM_001031696.2</t>
  </si>
  <si>
    <t>PLD3</t>
  </si>
  <si>
    <t>Phospholipase D3 (PLD 3)(EC 3.1.4.4)(Choline phosphatase 3)(Phosphatidylcholine-hydrolyzing phospholipase D3)(HindIII K4L homolog)(Hu-K4) [Source:UniProtKB/Swiss-Prot;Acc:Q8IV08]</t>
  </si>
  <si>
    <t>GO:0016042 lipid catabolic process,GO:0008152 metabolic process</t>
  </si>
  <si>
    <t>GO:0016787 hydrolase activity,GO:0003824 catalytic activity,GO:0004630 phospholipase D activity,GO:0070290 NAPE-specific phospholipase D activity</t>
  </si>
  <si>
    <t>AHsV10000440</t>
  </si>
  <si>
    <t>NM_006395.2</t>
  </si>
  <si>
    <t>ATG7</t>
  </si>
  <si>
    <t>Autophagy-related protein 7 (APG7-like)(Ubiquitin-activating enzyme E1-like protein)(hAGP7) [Source:UniProtKB/Swiss-Prot;Acc:O95352]</t>
  </si>
  <si>
    <t>GO:0006497 protein amino acid lipidation,GO:0006813 potassium ion transport,GO:0006914 autophagy,GO:0006944 membrane fusion,GO:0008152 metabolic process,GO:0015031 protein transport,GO:0019941 modification-dependent protein catabolic process,GO:0031401 po</t>
  </si>
  <si>
    <t>GO:0003824 catalytic activity,GO:0004839 ubiquitin activating enzyme activity,GO:0005515 protein binding,GO:0008324 cation transmembrane transporter activity,GO:0042803 protein homodimerization activity</t>
  </si>
  <si>
    <t>AHsV10000093</t>
  </si>
  <si>
    <t>NM_012293.1</t>
  </si>
  <si>
    <t>PXDN</t>
  </si>
  <si>
    <t>Peroxidasin homolog Precursor (EC 1.11.1.7)(Vascular peroxidase 1)(Melanoma-associated antigen MG50)(p53-responsive gene 2 protein) [Source:UniProtKB/Swiss-Prot;Acc:Q92626]</t>
  </si>
  <si>
    <t>GO:0006468 protein amino acid phosphorylation,GO:0006955 immune response,GO:0006979 response to oxidative stress,GO:0007155 cell adhesion,GO:0042744 hydrogen peroxide catabolic process,GO:0055114 oxidation reduction</t>
  </si>
  <si>
    <t>GO:0004601 peroxidase activity,GO:0005021 vascular endothelial growth factor receptor activity,GO:0005152 interleukin-1 receptor antagonist activity,GO:0005509 calcium ion binding,GO:0005515 protein binding,GO:0005524 ATP binding,GO:0016491 oxidoreductase</t>
  </si>
  <si>
    <t>SF3B3</t>
  </si>
  <si>
    <t>GO:0005576 extracellular region,GO:0016020 membrane</t>
  </si>
  <si>
    <t>H200008380</t>
  </si>
  <si>
    <t>NM_017817</t>
  </si>
  <si>
    <t>RAB20</t>
  </si>
  <si>
    <t>Ras-related protein Rab-20  [Source:UniProtKB/Swiss-Prot;Acc:Q9NX57]</t>
  </si>
  <si>
    <t>GO:0005622 intracellular,GO:0005794 Golgi apparatus</t>
  </si>
  <si>
    <t>H200011000</t>
  </si>
  <si>
    <t>NM_001462</t>
  </si>
  <si>
    <t>FPR2</t>
  </si>
  <si>
    <t>N-formyl peptide receptor 2 (FMLP-related receptor I)(FMLP-R-I)(Formyl peptide receptor-like 1)(Lipoxin A4 receptor)(LXA4 receptor)(RFP)(HM63) [Source:UniProtKB/Swiss-Prot;Acc:P25090]</t>
  </si>
  <si>
    <t>GO:0006954 inflammatory response,GO:0007165 signal transduction,GO:0007155 cell adhesion,GO:0007186 G-protein coupled receptor protein signaling pathway,GO:0006935 chemotaxis,GO:0006928 cell motion</t>
  </si>
  <si>
    <t>GO:0004872 receptor activity,GO:0004930 G-protein coupled receptor activity,GO:0045028 purinergic nucleotide receptor activity, G-protein coupled,GO:0004982 N-formyl peptide receptor activity,GO:0016493 C-C chemokine receptor activity,GO:0004947 bradykinin receptor activity,GO:0004943 C3a anaphylatoxin receptor activity,GO:0004942 anaphylatoxin receptor activity</t>
  </si>
  <si>
    <t>H200006845</t>
  </si>
  <si>
    <t>NM_002619</t>
  </si>
  <si>
    <t>PF4</t>
  </si>
  <si>
    <t>Platelet factor 4 Precursor (PF-4)(C-X-C motif chemokine 4)(Oncostatin-A)(Iroplact) [Contains Platelet factor 4, short form] [Source:UniProtKB/Swiss-Prot;Acc:P02776]</t>
  </si>
  <si>
    <t>GO:0006955 immune response,GO:0030168 platelet activation,GO:0006935 chemotaxis,GO:0019221 cytokine and chemokine mediated signaling pathway,GO:0016525 negative regulation of angiogenesis,GO:0030595 leukocyte chemotaxis,GO:0045653 negative regulation of megakaryocyte differentiation</t>
  </si>
  <si>
    <t>CHsGV10002811</t>
  </si>
  <si>
    <t>NM_015047.1</t>
  </si>
  <si>
    <t>KIAA0090</t>
  </si>
  <si>
    <t>Uncharacterized protein KIAA0090 Precursor  [Source:UniProtKB/Swiss-Prot;Acc:Q8N766]</t>
  </si>
  <si>
    <t>CHsGV10000800</t>
  </si>
  <si>
    <t>NM_032576.4</t>
  </si>
  <si>
    <t>CYorf15B</t>
  </si>
  <si>
    <t>Uncharacterized protein CYorf15B (Lipopolysaccaride-specific response 5-like protein) [Source:UniProtKB/Swiss-Prot;Acc:Q9BZA4]</t>
  </si>
  <si>
    <t>Sialic acid-binding Ig-like lectin 10 Precursor (Siglec-10)(Siglec-like protein 2) [Source:UniProtKB/Swiss-Prot;Acc:Q96LC7]</t>
  </si>
  <si>
    <t>H200006150</t>
  </si>
  <si>
    <t>GO:0005506 iron ion binding,GO:0016491 oxidoreductase activity,GO:0016702 oxidoreductase activity, acting on single donors with incorporation of molecular oxygen, incorporation of two atoms of oxygen,GO:0004656 procollagen-proline 4-dioxygenase activity,GO:0016706 oxidoreductase activity, acting on paired donors, with incorporation or reduction of molecular oxygen, 2-oxoglutarate as one donor, and incorporation of one atom each of oxygen into both donors</t>
  </si>
  <si>
    <t>AHsV10002447</t>
  </si>
  <si>
    <t>NM_033251.1</t>
  </si>
  <si>
    <t>RPL13</t>
  </si>
  <si>
    <t>60S ribosomal protein L13 (Breast basic conserved protein 1) [Source:UniProtKB/Swiss-Prot;Acc:P26373]</t>
  </si>
  <si>
    <t>GO:0005622 intracellular,GO:0005829 cytosol,GO:0005840 ribosome,GO:0022626 cytosolic ribosome</t>
  </si>
  <si>
    <t>H200002834</t>
  </si>
  <si>
    <t>FAM111A</t>
  </si>
  <si>
    <t>Protein FAM111A  [Source:UniProtKB/Swiss-Prot;Acc:Q96PZ2]</t>
  </si>
  <si>
    <t>CHsGV10003288</t>
  </si>
  <si>
    <t>NM_001114092.1;NM_015453.2</t>
  </si>
  <si>
    <t>THUMPD3</t>
  </si>
  <si>
    <t>THUMP domain-containing protein 3  [Source:UniProtKB/Swiss-Prot;Acc:Q9BV44]</t>
  </si>
  <si>
    <t>GO:0032259 methylation</t>
  </si>
  <si>
    <t>GO:0005515 protein binding,GO:0003723 RNA binding,GO:0016740 transferase activity,GO:0003676 nucleic acid binding,GO:0008168 methyltransferase activity</t>
  </si>
  <si>
    <t>H300013207</t>
  </si>
  <si>
    <t>NM_000431</t>
  </si>
  <si>
    <t>MVK</t>
  </si>
  <si>
    <t>Mevalonate kinase (MK)(EC 2.7.1.36) [Source:UniProtKB/Swiss-Prot;Acc:Q03426]</t>
  </si>
  <si>
    <t>GO:0008152 metabolic process,GO:0016310 phosphorylation,GO:0008299 isoprenoid biosynthetic process,GO:0006695 cholesterol biosynthetic process</t>
  </si>
  <si>
    <t>GO:0016740 transferase activity,GO:0000166 nucleotide binding,GO:0005524 ATP binding,GO:0016301 kinase activity,GO:0042802 identical protein binding,GO:0016773 phosphotransferase activity, alcohol group as acceptor,GO:0004496 mevalonate kinase activity</t>
  </si>
  <si>
    <t>GO:0005737 cytoplasm,GO:0005777 peroxisome</t>
  </si>
  <si>
    <t>H300019826</t>
  </si>
  <si>
    <t>NM_000917;NM_000917;NM_000917;NM_000917</t>
  </si>
  <si>
    <t>P4HA1</t>
  </si>
  <si>
    <t>Prolyl 4-hydroxylase subunit alpha-1 Precursor (EC 1.14.11.2)(4-PH alpha-1)(Procollagen-proline,2-oxoglutarate-4-dioxygenase subunit alpha-1) [Source:UniProtKB/Swiss-Prot;Acc:P13674]</t>
  </si>
  <si>
    <t>GO:0005886 plasma membrane,GO:0005901 caveola,GO:0016020 membrane,GO:0016021 integral to membrane</t>
  </si>
  <si>
    <t>H200002225</t>
  </si>
  <si>
    <t>NM_001040006;NM_001040006</t>
  </si>
  <si>
    <t>TCERG1</t>
  </si>
  <si>
    <t>Transcription elongation regulator 1 (TATA box-binding protein-associated factor 2S)(Transcription factor CA150) [Source:UniProtKB/Swiss-Prot;Acc:O14776]</t>
  </si>
  <si>
    <t>GO:0006366 transcription from RNA polymerase II promoter,GO:0006350 transcription,GO:0006355 regulation of transcription, DNA-dependent,GO:0007186 G-protein coupled receptor protein signaling pathway</t>
  </si>
  <si>
    <t>GO:0003677 DNA binding,GO:0005515 protein binding,GO:0003702 RNA polymerase II transcription factor activity,GO:0003713 transcription coactivator activity,GO:0004879 ligand-dependent nuclear receptor activity,GO:0005199 structural constituent of cell wall</t>
  </si>
  <si>
    <t>opHsV0400006680</t>
  </si>
  <si>
    <t>NM_174909</t>
  </si>
  <si>
    <t>TMEM167A</t>
  </si>
  <si>
    <t>Transmembrane protein 167A Precursor  [Source:UniProtKB/Swiss-Prot;Acc:Q8TBQ9]</t>
  </si>
  <si>
    <t>CHsGV10002472</t>
  </si>
  <si>
    <t>NM_144780.1;NM_003676.2</t>
  </si>
  <si>
    <t>DEGS1</t>
  </si>
  <si>
    <t>Sphingolipid delta(4)-desaturase DES1 (EC 1.14.-.-)(Degenerative spermatocyte homolog 1)(Membrane lipid desaturase)(Migration-inducing gene 15 protein) [Source:UniProtKB/Swiss-Prot;Acc:O15121]</t>
  </si>
  <si>
    <t>GO:0006629 lipid metabolic process,GO:0006633 fatty acid biosynthetic process,GO:0055114 oxidation reduction,GO:0006636 unsaturated fatty acid biosynthetic process</t>
  </si>
  <si>
    <t>GO:0005515 protein binding,GO:0016491 oxidoreductase activity,GO:0009055 electron carrier activity</t>
  </si>
  <si>
    <t>GO:0016021 integral to membrane,GO:0005887 integral to plasma membrane,GO:0005624 membrane fraction,GO:0005783 endoplasmic reticulum,GO:0016020 membrane</t>
  </si>
  <si>
    <t>opHsV0400003995</t>
  </si>
  <si>
    <t>NM_004925;NM_004925</t>
  </si>
  <si>
    <t>AQP3</t>
  </si>
  <si>
    <t>GO:0007155 cell adhesion,GO:0008203 cholesterol metabolic process,GO:0010595 positive regulation of endothelial cell migration,GO:0010886 positive regulation of cholesterol storage,GO:0015833 peptide transport,GO:0015920 lipopolysaccharide transport,GO:00</t>
  </si>
  <si>
    <t>GO:0006350 transcription,GO:0016568 chromatin modification,GO:0007049 cell cycle,GO:0007067 mitosis,GO:0051301 cell division,GO:0007283 spermatogenesis,GO:0006357 regulation of transcription from RNA polymerase II promoter,GO:0001558 regulation of cell growth,GO:0006310 DNA recombination</t>
  </si>
  <si>
    <t>GO:0005515 protein binding,GO:0016787 hydrolase activity,GO:0000166 nucleotide binding,GO:0005524 ATP binding,GO:0017111 nucleoside-triphosphatase activity,GO:0003678 DNA helicase activity</t>
  </si>
  <si>
    <t>GO:0016020 membrane,GO:0005634 nucleus,GO:0005737 cytoplasm,GO:0016363 nuclear matrix,GO:0035267 NuA4 histone acetyltransferase complex</t>
  </si>
  <si>
    <t>Annexin A3 (Annexin-3)(Annexin III)(Lipocortin III)(Placental anticoagulant protein III)(PAP-III)(35-alpha calcimedin)(Inositol 1,2-cyclic phosphate 2-phosphohydrolase) [Source:UniProtKB/Swiss-Prot;Acc:P12429]</t>
  </si>
  <si>
    <t>GO:0007165 signal transduction,GO:0050819 negative regulation of coagulation</t>
  </si>
  <si>
    <t>GO:0005509 calcium ion binding,GO:0005544 calcium-dependent phospholipid binding,GO:0004859 phospholipase inhibitor activity,GO:0019834 phospholipase A2 inhibitor activity</t>
  </si>
  <si>
    <t>H200000145</t>
  </si>
  <si>
    <t>NM_000507</t>
  </si>
  <si>
    <t>FBP1</t>
  </si>
  <si>
    <t>Fructose-1,6-bisphosphatase 1 (FBPase 1)(EC 3.1.3.11)(D-fructose-1,6-bisphosphate 1-phosphohydrolase 1) [Source:UniProtKB/Swiss-Prot;Acc:P09467]</t>
  </si>
  <si>
    <t>GO:0005975 carbohydrate metabolic process,GO:0006094 gluconeogenesis,GO:0006000 fructose metabolic process</t>
  </si>
  <si>
    <t>GO:0055114 oxidation reduction,GO:0019538 protein metabolic process</t>
  </si>
  <si>
    <t>GO:0001786 phosphatidylserine binding,GO:0001875 lipopolysaccharide receptor activity,GO:0004872 receptor activity,GO:0005215 transporter activity,GO:0005515 protein binding,GO:0005524 ATP binding,GO:0005545 phosphatidylinositol binding,GO:0008035 high-de</t>
  </si>
  <si>
    <t>GO:0016787 hydrolase activity,GO:0008270 zinc ion binding,GO:0042802 identical protein binding,GO:0042578 phosphoric ester hydrolase activity,GO:0004331 fructose-2,6-bisphosphate 2-phosphatase activity,GO:0042132 fructose 1,6-bisphosphate 1-phosphatase activity</t>
  </si>
  <si>
    <t>GO:0005829 cytosol,GO:0005739 mitochondrion</t>
  </si>
  <si>
    <t>H200019252</t>
  </si>
  <si>
    <t>NM_003707</t>
  </si>
  <si>
    <t>RUVBL1</t>
  </si>
  <si>
    <t>RuvB-like 1 (EC 3.6.1.-)(49 kDa TATA box-binding protein-interacting protein)(49 kDa TBP-interacting protein)(TIP49a)(Pontin 52)(Nuclear matrix protein 238)(NMP 238)(54 kDa erythrocyte cytosolic protein)(ECP-54)(TIP60-associated protein 54-alpha)(TAP54-alpha)(INO80 complex subunit H) [Source:UniProtKB/Swiss-Prot;Acc:Q9Y265]</t>
  </si>
  <si>
    <t>H200008352</t>
  </si>
  <si>
    <t>NM_007364</t>
  </si>
  <si>
    <t>TMED3</t>
  </si>
  <si>
    <t>Transmembrane emp24 domain-containing protein 3 Precursor (Membrane protein p24B) [Source:UniProtKB/Swiss-Prot;Acc:Q9Y3Q3]</t>
  </si>
  <si>
    <t>GO:0016021 integral to membrane,GO:0016020 membrane,GO:0005794 Golgi apparatus,GO:0033116 ER-Golgi intermediate compartment membrane</t>
  </si>
  <si>
    <t>H200000361</t>
  </si>
  <si>
    <t>NM_005139</t>
  </si>
  <si>
    <t>ANXA3</t>
  </si>
  <si>
    <t>H300004455</t>
  </si>
  <si>
    <t>NM_181806</t>
  </si>
  <si>
    <t>AASDH</t>
  </si>
  <si>
    <t>Acyl-CoA synthetase family member 4 (EC 6.2.1.-)(Protein NRPS998) [Source:UniProtKB/Swiss-Prot;Acc:Q4L235]</t>
  </si>
  <si>
    <t>GO:0000166 nucleotide binding,GO:0005524 ATP binding,GO:0016874 ligase activity,GO:0003824 catalytic activity,GO:0048037 cofactor binding,GO:0000036 acyl carrier activity,GO:0016878 acid-thiol ligase activity</t>
  </si>
  <si>
    <t>Aquaporin-3 (AQP-3) [Source:UniProtKB/Swiss-Prot;Acc:Q92482]</t>
  </si>
  <si>
    <t>AHsV10003319</t>
  </si>
  <si>
    <t>NM_001082959.1</t>
  </si>
  <si>
    <t>SCARB1</t>
  </si>
  <si>
    <t>Scavenger receptor class B member 1 (SRB1)(SR-BI)(CD36 antigen-like 1)(CD36 and LIMPII analogous 1)(CLA-1)(Collagen type I receptor, thrombospondin receptor-like 1)(CD36 antigen) [Source:UniProtKB/Swiss-Prot;Acc:Q8WTV0]</t>
  </si>
  <si>
    <t>GO:0000122 negative regulation of transcription from RNA polymerase II promoter,GO:0006916 anti-apoptosis,GO:0030511 positive regulation of transforming growth factor beta receptor signaling pathway,GO:0010552 positive regulation of specific transcription from RNA polymerase II promoter,GO:0007507 heart development,GO:0001666 response to hypoxia,GO:0030336 negative regulation of cell migration,GO:0007368 determination of left/right symmetry,GO:0022409 positive regulation of cell-cell adhesion,GO:0034405 response to fluid shear stress,GO:0001889 liver development,GO:0045787 positive regulation of cell cycle,GO:0045449 regulation of transcription,GO:0001568 blood vessel development,GO:0001889 liver development,GO:0007368 determination of left/right symmetry,GO:0001701 in utero embryonic development,GO:0006916 anti-apoptosis,GO:0006357 regulation of transcription from RNA polymerase II promoter,GO:0001570 vasculogenesis,GO:0001829 trophectodermal cell differentiation,GO:0030511 positive regulation of transforming growth factor beta receptor signaling pathway,GO:0001892 embryonic placenta development,GO:0060136 embryonic process involved in female pregnancy,GO:0007417 central nervous system development,GO:0010552 positive regulation of specific transcription from RNA polymerase II promoter,GO:0046697 decidualization,GO:0030325 adrenal gland development,GO:0022409 positive regulation of cell-cell adhesion,GO:0045787 positive regulation of cell cycle</t>
  </si>
  <si>
    <t>GO:0005515 protein binding,GO:0003700 transcription factor activity,GO:0003713 transcription coactivator activity,GO:0003714 transcription corepressor activity,GO:0030528 transcription regulator activity,GO:0003700 transcription factor activity,GO:0005515 protein binding,GO:0003713 transcription coactivator activity</t>
  </si>
  <si>
    <t>GO:0005634 nucleus,GO:0000790 nuclear chromatin,GO:0000790 nuclear chromatin</t>
  </si>
  <si>
    <t>Copper transport protein ATOX1 (Metal transport protein ATX1) [Source:UniProtKB/Swiss-Prot;Acc:O00244]</t>
  </si>
  <si>
    <t>Cbp/p300-interacting transactivator 2 (MSG-related protein 1)(MRG-1)(P35srj) [Source:UniProtKB/Swiss-Prot;Acc:Q99967]</t>
  </si>
  <si>
    <t>H200001922</t>
  </si>
  <si>
    <t>opHsV0400002995</t>
  </si>
  <si>
    <t>NM_004049;NM_004049</t>
  </si>
  <si>
    <t>BCL2A1</t>
  </si>
  <si>
    <t>Bcl-2-related protein A1 (Protein BFL-1)(Hemopoietic-specific early response protein)(Protein GRS) [Source:UniProtKB/Swiss-Prot;Acc:Q16548]</t>
  </si>
  <si>
    <t>GO:0042981 regulation of apoptosis,GO:0006916 anti-apoptosis</t>
  </si>
  <si>
    <t>H200011698</t>
  </si>
  <si>
    <t>NM_014918</t>
  </si>
  <si>
    <t>CHSY1</t>
  </si>
  <si>
    <t>AHsV10001371</t>
  </si>
  <si>
    <t>NM_182470.1</t>
  </si>
  <si>
    <t>PKM2</t>
  </si>
  <si>
    <t>Chondroitin sulfate synthase 1 (EC 2.4.1.175)(Glucuronosyl-N-acetylgalactosaminyl-proteoglycan 4-beta-N-acetylgalactosaminyltransferase 1)(N-acetylgalactosaminyl-proteoglycan 3-beta-glucuronosyltransferase 1)(EC 2.4.1.226)(Chondroitin glucuronyltransferase II)(N-acetylgalactosaminyltransferase II) [Source:UniProtKB/Swiss-Prot;Acc:Q86X52]</t>
  </si>
  <si>
    <t>NM_148172;NM_148172;NM_148172;NM_148172;NM_148172</t>
  </si>
  <si>
    <t>PEMT</t>
  </si>
  <si>
    <t>Phosphatidylethanolamine N-methyltransferase (PEAMT)(PEMT)(EC 2.1.1.17)(PEMT2) [Source:UniProtKB/Swiss-Prot;Acc:Q9UBM1]</t>
  </si>
  <si>
    <t>GO:0016740 transferase activity,GO:0008170 N-methyltransferase activity,GO:0004608 phosphatidylethanolamine N-methyltransferase activity</t>
  </si>
  <si>
    <t>GO:0016021 integral to membrane,GO:0016020 membrane,GO:0005783 endoplasmic reticulum,GO:0005789 endoplasmic reticulum membrane,GO:0005739 mitochondrion,GO:0031966 mitochondrial membrane</t>
  </si>
  <si>
    <t>Major facilitator superfamily domain-containing protein 1 (Smooth muscle cell-associated protein 4)(SMAP-4) [Source:UniProtKB/Swiss-Prot;Acc:Q9H3U5]</t>
  </si>
  <si>
    <t>H300008308</t>
  </si>
  <si>
    <t>NM_001105556;NM_004848;NM_004848;NM_004848</t>
  </si>
  <si>
    <t>C1orf38</t>
  </si>
  <si>
    <t>Induced by contact to basement membrane 1 protein (Protein ICB-1) [Source:UniProtKB/Swiss-Prot;Acc:Q5TEJ8]</t>
  </si>
  <si>
    <t>GO:0043123 positive regulation of I-kappaB kinase/NF-kappaB cascade,GO:0006457 protein folding,GO:0042110 T cell activation,GO:0050776 regulation of immune response,GO:0022417 protein maturation via protein folding,GO:0055010 ventricular cardiac muscle morphogenesis,GO:0042026 protein refolding,GO:0006458 'de novo' protein folding,GO:0032513 negative regulation of protein phosphatase type 2B activity,GO:0060314 regulation of ryanodine-sensitive calcium-release channel activity</t>
  </si>
  <si>
    <t>GO:0006811 ion transport,GO:0030001 metal ion transport,GO:0006979 response to oxidative stress,GO:0006825 copper ion transport,GO:0006878 cellular copper ion homeostasis,GO:0006979 response to oxidative stress</t>
  </si>
  <si>
    <t>GO:0046872 metal ion binding,GO:0016531 copper chaperone activity,GO:0032767 copper-dependent protein binding</t>
  </si>
  <si>
    <t>H200006562</t>
  </si>
  <si>
    <t>NM_003362;NM_003362</t>
  </si>
  <si>
    <t>UNG</t>
  </si>
  <si>
    <t>Uracil-DNA glycosylase (UDG)(EC 3.2.2.-) [Source:UniProtKB/Swiss-Prot;Acc:P13051]</t>
  </si>
  <si>
    <t>GO:0008152 metabolic process,GO:0006974 response to DNA damage stimulus,GO:0044419 interspecies interaction between organisms,GO:0006284 base-excision repair</t>
  </si>
  <si>
    <t>GO:0005515 protein binding,GO:0016798 hydrolase activity, acting on glycosyl bonds,GO:0004844 uracil DNA N-glycosylase activity</t>
  </si>
  <si>
    <t>CHsGV10001043</t>
  </si>
  <si>
    <t>NM_006079.3</t>
  </si>
  <si>
    <t>CITED2</t>
  </si>
  <si>
    <t>H200002458</t>
  </si>
  <si>
    <t>H300011972</t>
  </si>
  <si>
    <t>NM_022736</t>
  </si>
  <si>
    <t>MFSD1</t>
  </si>
  <si>
    <t>NM_000801</t>
  </si>
  <si>
    <t>FKBP1A</t>
  </si>
  <si>
    <t>Peptidyl-prolyl cis-trans isomerase FKBP1A (PPIase FKBP1A)(EC 5.2.1.8)(FK506-binding protein 1A)(FKBP-1A)(Rotamase)(Immunophilin FKBP12)(12 kDa FKBP)(FKBP-12) [Source:UniProtKB/Swiss-Prot;Acc:P62942]</t>
  </si>
  <si>
    <t>GO:0008415 acyltransferase activity,GO:0016740 transferase activity,GO:0008270 zinc ion binding,GO:0046872 metal ion binding</t>
  </si>
  <si>
    <t>Pyruvate dehydrogenase E1 component subunit beta, mitochondrial Precursor (PDHE1-B)(EC 1.2.4.1) [Source:UniProtKB/Swiss-Prot;Acc:P11177]</t>
  </si>
  <si>
    <t>GO:0003824 catalytic activity,GO:0016491 oxidoreductase activity,GO:0004739 pyruvate dehydrogenase (acetyl-transferring) activity</t>
  </si>
  <si>
    <t>AHsV10002860</t>
  </si>
  <si>
    <t>NM_018006.4</t>
  </si>
  <si>
    <t>TRMU</t>
  </si>
  <si>
    <t>Mitochondrial tRNA-specific 2-thiouridylase 1 (EC 2.8.1.-)(MTO2 homolog) [Source:UniProtKB/Swiss-Prot;Acc:O75648]</t>
  </si>
  <si>
    <t>GO:0000049 tRNA binding,GO:0000166 nucleotide binding,GO:0004808 tRNA (5-methylaminomethyl-2-thiouridylate)-methyltransferase activity,GO:0005524 ATP binding,GO:0016740 transferase activity</t>
  </si>
  <si>
    <t>H200000259</t>
  </si>
  <si>
    <t>NM_000925;NM_000925</t>
  </si>
  <si>
    <t>PDHB</t>
  </si>
  <si>
    <t>GO:0008152 metabolic process,GO:0055114 oxidation reduction,GO:0006096 glycolysis,GO:0006099 tricarboxylic acid cycle</t>
  </si>
  <si>
    <t>GO:0006629 lipid metabolic process,GO:0008654 phospholipid biosynthetic process,GO:0008283 cell proliferation,GO:0006644 phospholipid metabolic process,GO:0006656 phosphatidylcholine biosynthetic process</t>
  </si>
  <si>
    <t>GO:0016740 transferase activity,GO:0046872 metal ion binding,GO:0047238 glucuronosyl-N-acetylgalactosaminyl-proteoglycan 4-beta-N-acetylgalactosaminyltransferase activity,GO:0050510 N-acetylgalactosaminyl-proteoglycan 3-beta-glucuronosyltransferase activity</t>
  </si>
  <si>
    <t>H200002965</t>
  </si>
  <si>
    <t>NM_033388</t>
  </si>
  <si>
    <t>ATG16L2</t>
  </si>
  <si>
    <t>Autophagy-related protein 16-2 (APG16-like 2)(WD repeat-containing protein 80) [Source:UniProtKB/Swiss-Prot;Acc:Q8NAA4]</t>
  </si>
  <si>
    <t>GO:0015031 protein transport,GO:0006914 autophagy</t>
  </si>
  <si>
    <t>H200017545</t>
  </si>
  <si>
    <t>ATOX1</t>
  </si>
  <si>
    <t>GO:0005622 intracellular,GO:0005737 cytoplasm,GO:0005829 cytosol,GO:0043234 protein complex,GO:0005829 cytosol,GO:0043234 protein complex</t>
  </si>
  <si>
    <t>H300018872</t>
  </si>
  <si>
    <t>NM_078488;NM_078488;NM_078488</t>
  </si>
  <si>
    <t>VNN2</t>
  </si>
  <si>
    <t>Vascular non-inflammatory molecule 2 Precursor (Vanin-2)(Glycosylphosphatidyl inositol-anchored protein GPI-80)(Protein FOAP-4) [Source:UniProtKB/Swiss-Prot;Acc:O95498]</t>
  </si>
  <si>
    <t>GO:0006928 cell motion,GO:0006807 nitrogen compound metabolic process,GO:0015939 pantothenate metabolic process</t>
  </si>
  <si>
    <t>GO:0016810 hydrolase activity, acting on carbon-nitrogen (but not peptide) bonds,GO:0016811 hydrolase activity, acting on carbon-nitrogen (but not peptide) bonds, in linear amides,GO:0017159 pantetheine hydrolase activity</t>
  </si>
  <si>
    <t>H300005930</t>
  </si>
  <si>
    <t>NM_002337</t>
  </si>
  <si>
    <t>LRPAP1</t>
  </si>
  <si>
    <t>Alpha-2-macroglobulin receptor-associated protein Precursor (Alpha-2-MRAP)(Low density lipoprotein receptor-related protein-associated protein 1)(RAP) [Source:UniProtKB/Swiss-Prot;Acc:P30533]</t>
  </si>
  <si>
    <t>GO:0008283 cell proliferation,GO:0006457 protein folding,GO:0016192 vesicle-mediated transport</t>
  </si>
  <si>
    <t>GO:0005509 calcium ion binding,GO:0008201 heparin binding,GO:0050750 low-density lipoprotein receptor binding,GO:0051082 unfolded protein binding,GO:0008034 lipoprotein binding,GO:0004873 asialoglycoprotein receptor activity</t>
  </si>
  <si>
    <t>GO:0005515 protein binding,GO:0016853 isomerase activity,GO:0004872 receptor activity,GO:0003755 peptidyl-prolyl cis-trans isomerase activity,GO:0005024 transforming growth factor beta receptor activity,GO:0005219 ryanodine-sensitive calcium-release channel activity</t>
  </si>
  <si>
    <t>GO:0005737 cytoplasm,GO:0005829 cytosol,GO:0014802 terminal cisterna</t>
  </si>
  <si>
    <t>Pyruvate kinase isozymes M1/M2 (EC 2.7.1.40)(Pyruvate kinase muscle isozyme)(Pyruvate kinase 2/3)(Cytosolic thyroid hormone-binding protein)(CTHBP)(THBP1) [Source:UniProtKB/Swiss-Prot;Acc:P14618]</t>
  </si>
  <si>
    <t>GO:0006096 glycolysis</t>
  </si>
  <si>
    <t>GO:0000287 magnesium ion binding,GO:0003824 catalytic activity,GO:0004743 pyruvate kinase activity,GO:0030955 potassium ion binding</t>
  </si>
  <si>
    <t>GO:0016740 transferase activity,GO:0000166 nucleotide binding,GO:0005524 ATP binding,GO:0019205 nucleobase, nucleoside, nucleotide kinase activity,GO:0004017 adenylate kinase activity,GO:0019201 nucleotide kinase activity,GO:0019206 nucleoside kinase activity,GO:0016776 phosphotransferase activity, phosphate group as acceptor</t>
  </si>
  <si>
    <t>GO:0005739 mitochondrion,GO:0005758 mitochondrial intermembrane space</t>
  </si>
  <si>
    <t>H200010342</t>
  </si>
  <si>
    <t>NM_001725</t>
  </si>
  <si>
    <t>BPI</t>
  </si>
  <si>
    <t>Bactericidal permeability-increasing protein Precursor (BPI)(CAP 57) [Source:UniProtKB/Swiss-Prot;Acc:P17213]</t>
  </si>
  <si>
    <t>GO:0042742 defense response to bacterium,GO:0043031 negative regulation of macrophage activation,GO:0032715 negative regulation of interleukin-6 production,GO:0032720 negative regulation of tumor necrosis factor production,GO:0032717 negative regulation of interleukin-8 production</t>
  </si>
  <si>
    <t>GO:0008289 lipid binding,GO:0001530 lipopolysaccharide binding</t>
  </si>
  <si>
    <t>GO:0016020 membrane,GO:0005576 extracellular region,GO:0005737 cytoplasm,GO:0005887 integral to plasma membrane</t>
  </si>
  <si>
    <t>H200008026</t>
  </si>
  <si>
    <t>NM_052932;NM_052932</t>
  </si>
  <si>
    <t>TMEM123</t>
  </si>
  <si>
    <t>Porimin Precursor (Transmembrane protein 123)(Pro-oncosis receptor inducing membrane injury)(Keratinocytes-associated transmembrane protein 3)(KCT-3) [Source:UniProtKB/Swiss-Prot;Acc:Q8N131]</t>
  </si>
  <si>
    <t>H200000449</t>
  </si>
  <si>
    <t>NM_012089</t>
  </si>
  <si>
    <t>ABCB10</t>
  </si>
  <si>
    <t>GO:0006412 translation,GO:0006986 response to unfolded protein,GO:0007584 response to nutrient,GO:0006952 defense response,GO:0006414 translational elongation,GO:0006418 tRNA aminoacylation for protein translation,GO:0006438 valyl-tRNA aminoacylation,GO:0006952 defense response,GO:0006986 response to unfolded protein,GO:0007584 response to nutrient</t>
  </si>
  <si>
    <t>GO:0005515 protein binding,GO:0000166 nucleotide binding,GO:0005524 ATP binding,GO:0016874 ligase activity,GO:0051059 NF-kappaB binding,GO:0004812 aminoacyl-tRNA ligase activity,GO:0004832 valine-tRNA ligase activity,GO:0005515 protein binding,GO:0051059 NF-kappaB binding</t>
  </si>
  <si>
    <t>ATP-binding cassette sub-family B member 10, mitochondrial Precursor (ATP-binding cassette transporter 10)(ABC transporter 10 protein)(Mitochondrial ATP-binding cassette 2)(M-ABC2) [Source:UniProtKB/Swiss-Prot;Acc:Q9NRK6]</t>
  </si>
  <si>
    <t>GO:0000166 nucleotide binding,GO:0005524 ATP binding,GO:0017111 nucleoside-triphosphatase activity,GO:0016887 ATPase activity,GO:0042626 ATPase activity, coupled to transmembrane movement of substances</t>
  </si>
  <si>
    <t>GO:0016021 integral to membrane,GO:0016020 membrane,GO:0005739 mitochondrion,GO:0005743 mitochondrial inner membrane,GO:0043190 ATP-binding cassette (ABC) transporter complex</t>
  </si>
  <si>
    <t>H200000342</t>
  </si>
  <si>
    <t>NM_001765;NM_001765</t>
  </si>
  <si>
    <t>CD1C</t>
  </si>
  <si>
    <t>T-cell surface glycoprotein CD1c Precursor (CD1c antigen) [Source:UniProtKB/Swiss-Prot;Acc:P29017]</t>
  </si>
  <si>
    <t>H200005771</t>
  </si>
  <si>
    <t>NM_014278</t>
  </si>
  <si>
    <t>HSPA4L</t>
  </si>
  <si>
    <t>Heat shock 70 kDa protein 4L (Osmotic stress protein 94)(Heat shock 70-related protein APG-1) [Source:UniProtKB/Swiss-Prot;Acc:O95757]</t>
  </si>
  <si>
    <t>GO:0006950 response to stress,GO:0006457 protein folding,GO:0006986 response to unfolded protein</t>
  </si>
  <si>
    <t>H200014720</t>
  </si>
  <si>
    <t>NM_032869</t>
  </si>
  <si>
    <t>NUDCD1</t>
  </si>
  <si>
    <t>NudC domain-containing protein 1 (Chronic myelogenous leukemia tumor antigen 66)(Tumor antigen CML66) [Source:UniProtKB/Swiss-Prot;Acc:Q96RS6]</t>
  </si>
  <si>
    <t>GO:0005886 plasma membrane,GO:0016021 integral to membrane,GO:0005737 cytoplasm,GO:0005783 endoplasmic reticulum,GO:0009986 cell surface</t>
  </si>
  <si>
    <t>H300005989</t>
  </si>
  <si>
    <t>NM_006295</t>
  </si>
  <si>
    <t>VARS</t>
  </si>
  <si>
    <t>Valyl-tRNA synthetase (EC 6.1.1.9)(Valine--tRNA ligase)(ValRS)(Protein G7a) [Source:UniProtKB/Swiss-Prot;Acc:P26640]</t>
  </si>
  <si>
    <t>opHsV0400004427</t>
  </si>
  <si>
    <t>NM_001625;NM_001625</t>
  </si>
  <si>
    <t>AK2</t>
  </si>
  <si>
    <t>Adenylate kinase isoenzyme 2, mitochondrial (AK 2)(EC 2.7.4.3)(ATP-AMP transphosphorylase 2) [Source:UniProtKB/Swiss-Prot;Acc:P54819]</t>
  </si>
  <si>
    <t>GO:0048705 skeletal system morphogenesis,GO:0008284 positive regulation of cell proliferation,GO:0006006 glucose metabolic process,GO:0045944 positive regulation of transcription from RNA polymerase II promoter,GO:0007050 cell cycle arrest,GO:0006309 DNA fragmentation involved in apoptosis,GO:0001836 release of cytochrome c from mitochondria,GO:0042981 regulation of apoptosis,GO:0043085 positive regulation of catalytic activity,GO:0043473 pigmentation,GO:0006919 activation of caspase activity,GO:0006879 cellular iron ion homeostasis,GO:0016485 protein processing,GO:0009314 response to radiation,GO:0045449 regulation of transcription,GO:0032204 regulation of telomere maintenance,GO:0007346 regulation of mitotic cell cycle,GO:0042474 middle ear morphogenesis,GO:0008633 activation of pro-apoptotic gene products,GO:0043279 response to alkaloid,GO:0050910 detection of mechanical stimulus involved in sensory perception of sound,GO:0008634 negative regulation of survival gene product expression,GO:0008629 induction of apoptosis by intracellular signals,GO:0002904 positive regulation of B cell apoptosis,GO:0006352 transcription initiation</t>
  </si>
  <si>
    <t>GO:0005515 protein binding,GO:0043565 sequence-specific DNA binding,GO:0003700 transcription factor activity,GO:0030528 transcription regulator activity,GO:0003690 double-stranded DNA binding,GO:0005515 protein binding</t>
  </si>
  <si>
    <t>GO:0005737 cytoplasm,GO:0005634 nucleus,GO:0016604 nuclear body,GO:0005819 spindle,GO:0005819 spindle</t>
  </si>
  <si>
    <t>GO:0005886 plasma membrane,GO:0005624 membrane fraction,GO:0031225 anchored to membrane,GO:0045121 membrane raft,GO:0009897 external side of plasma membrane,GO:0031362 anchored to external side of plasma membrane,GO:0060170 cilium membrane,GO:0031528 microvillus membrane,GO:0009897 external side of plasma membrane</t>
  </si>
  <si>
    <t>H200003840</t>
  </si>
  <si>
    <t>NM_018141</t>
  </si>
  <si>
    <t>MRPS10</t>
  </si>
  <si>
    <t>28S ribosomal protein S10, mitochondrial (S10mt)(MRP-S10) [Source:UniProtKB/Swiss-Prot;Acc:P82664]</t>
  </si>
  <si>
    <t>GO:0006412 translation,GO:0008150 biological_process</t>
  </si>
  <si>
    <t>opHsV0400006504</t>
  </si>
  <si>
    <t>NM_001623;NM_001623</t>
  </si>
  <si>
    <t>AIF1</t>
  </si>
  <si>
    <t>Allograft inflammatory factor 1 (AIF-1)(Ionized calcium-binding adapter molecule 1)(Protein G1) [Source:UniProtKB/Swiss-Prot;Acc:P55008]</t>
  </si>
  <si>
    <t>GO:0006950 response to stress,GO:0008285 negative regulation of cell proliferation,GO:0006954 inflammatory response,GO:0051017 actin filament bundle formation,GO:0007050 cell cycle arrest</t>
  </si>
  <si>
    <t>GO:0005634 nucleus,GO:0005737 cytoplasm,GO:0001726 ruffle,GO:0005884 actin filament,GO:0001891 phagocytic cup</t>
  </si>
  <si>
    <t>opHsV0400000087</t>
  </si>
  <si>
    <t>NM_002983</t>
  </si>
  <si>
    <t>CCL3</t>
  </si>
  <si>
    <t>C-C motif chemokine 3 Precursor (Small-inducible cytokine A3)(Macrophage inflammatory protein 1-alpha)(MIP-1-alpha)(Tonsillar lymphocyte LD78 alpha protein)(G0/G1 switch regulatory protein 19-1)(G0S19-1 protein)(SIS-beta)(PAT 464.1) [Contains MIP-1-alpha(4-69)(LD78-alpha(4-69))] [Source:UniProtKB/Swiss-Prot;Acc:P10147]</t>
  </si>
  <si>
    <t>GO:0006954 inflammatory response,GO:0007165 signal transduction,GO:0007186 G-protein coupled receptor protein signaling pathway,GO:0006955 immune response,GO:0006935 chemotaxis,GO:0007267 cell-cell signaling,GO:0006887 exocytosis,GO:0007010 cytoskeleton organization,GO:0006928 cell motion,GO:0006874 cellular calcium ion homeostasis,GO:0045069 regulation of viral genome replication</t>
  </si>
  <si>
    <t>GO:0004871 signal transducer activity,GO:0008009 chemokine activity,GO:0042056 chemoattractant activity</t>
  </si>
  <si>
    <t>CHsGV10002033</t>
  </si>
  <si>
    <t>NM_002467.4</t>
  </si>
  <si>
    <t>MYC</t>
  </si>
  <si>
    <t>Myc proto-oncogene protein (c-Myc)(Transcription factor p64) [Source:UniProtKB/Swiss-Prot;Acc:P01106]</t>
  </si>
  <si>
    <t>GO:0005515 protein binding,GO:0019901 protein kinase binding,GO:0004871 signal transducer activity,GO:0030296 protein tyrosine kinase activator activity,GO:0030246 carbohydrate binding</t>
  </si>
  <si>
    <t>GO:0016477 cell migration,GO:0050850 positive regulation of calcium-mediated signaling,GO:0016055 Wnt receptor signaling pathway,GO:0001775 cell activation,GO:0007157 heterophilic cell adhesion,GO:0042632 cholesterol homeostasis,GO:0045665 negative regulation of neuron differentiation,GO:0008624 induction of apoptosis by extracellular signals,GO:0031175 neurite development,GO:0042325 regulation of phosphorylation,GO:0043627 response to estrogen stimulus,GO:0030856 regulation of epithelial cell differentiation,GO:0008637 apoptotic mitochondrial changes,GO:0030889 negative regulation of B cell proliferation,GO:0001666 response to hypoxia,GO:0006800 oxygen and reactive oxygen species metabolic process,GO:0008629 induction of apoptosis by intracellular signals,GO:0048488 synaptic vesicle endocytosis,GO:0030262 apoptotic nuclear changes,GO:0007204 elevation of cytosolic calcium ion concentration,GO:0031295 T cell costimulation,GO:0045577 regulation of B cell differentiation,GO:0007274 neuromuscular synaptic transmission,GO:0050731 positive regulation of peptidyl-tyrosine phosphorylation,GO:0007159 leukocyte adhesion,GO:0002329 pre-B cell differentiation,GO:0042104 positive regulation of activated T cell proliferation,GO:0045730 respiratory burst,GO:0043408 regulation of MAPKKK cascade,GO:0007406 negative regulation of neuroblast proliferation,GO:0002863 positive regulation of inflammatory response to antigenic stimulus,GO:0046641 positive regulation of alpha-beta T cell proliferation,GO:0002237 response to molecule of bacterial origin,GO:0043406 positive regulation of MAP kinase activity,GO:0034109 homotypic cell-cell adhesion,GO:0002523 leukocyte migration during inflammatory response,GO:0002842 positive regulation of T cell mediated immune response to tumor cell,GO:0001959 regulation of cytokine and chemokine mediated signaling pathway,GO:0002768 immune response-regulating cell surface receptor signaling pathway,GO:0002904 positive regulation of B cell apoptosis,GO:0032597 B cell receptor transport into membrane raft,GO:0032600 chemokine receptor transport out of membrane raft,GO:0032913 negative regulation of transforming growth factor-beta3 production,GO:0033625 positive regulation of integrin activation,GO:0033634 positive regulation of cell-cell adhesion mediated by integrin,GO:0034107 negative regulation of erythrocyte clearance,GO:0034119 negative regulation of erythrocyte aggregation,GO:0042103 positive regulation of T cell homeostatic proliferation,GO:0046014 negative regulation of T cell homeostatic proliferation</t>
  </si>
  <si>
    <t>Signal transducer CD24 Precursor (Small cell lung carcinoma cluster 4 antigen)(CD24 antigen) [Source:UniProtKB/Swiss-Prot;Acc:P25063]</t>
  </si>
  <si>
    <t>H300020721</t>
  </si>
  <si>
    <t>NM_198440;NM_198440;NM_001002862;NM_001002862</t>
  </si>
  <si>
    <t>DERL3</t>
  </si>
  <si>
    <t>Derlin-3 (Der1-like protein 3)(Degradation in endoplasmic reticulum protein 3)(DERtrin-3) [Source:UniProtKB/Swiss-Prot;Acc:Q96Q80]</t>
  </si>
  <si>
    <t>H300020082</t>
  </si>
  <si>
    <t>NM_003095</t>
  </si>
  <si>
    <t>SNRPF</t>
  </si>
  <si>
    <t>Small nuclear ribonucleoprotein F (snRNP-F)(Sm protein F)(Sm-F)(SmF) [Source:UniProtKB/Swiss-Prot;Acc:P62306]</t>
  </si>
  <si>
    <t>GO:0005634 nucleus,GO:0005829 cytosol,GO:0005654 nucleoplasm,GO:0005681 spliceosome,GO:0030532 small nuclear ribonucleoprotein complex</t>
  </si>
  <si>
    <t>GO:0006350 transcription,GO:0006355 regulation of transcription, DNA-dependent,GO:0016032 viral reproduction,GO:0042472 inner ear morphogenesis,GO:0045165 cell fate commitment,GO:0007638 mechanosensory behavior,GO:0000083 regulation of transcription of G1/S-phase of mitotic cell cycle,GO:0009996 negative regulation of cell fate specification,GO:0042491 auditory receptor cell differentiation,GO:0042660 positive regulation of cell fate specification</t>
  </si>
  <si>
    <t>CHsGV10003727</t>
  </si>
  <si>
    <t>NM_017515.4</t>
  </si>
  <si>
    <t>SLC35F2</t>
  </si>
  <si>
    <t>Solute carrier family 35 member F2  [Source:UniProtKB/Swiss-Prot;Acc:Q8IXU6]</t>
  </si>
  <si>
    <t>GO:0008150 biological_process,GO:0006810 transport</t>
  </si>
  <si>
    <t>H300009440</t>
  </si>
  <si>
    <t>NM_005742</t>
  </si>
  <si>
    <t>PDIA6</t>
  </si>
  <si>
    <t>Protein disulfide-isomerase A6 Precursor (EC 5.3.4.1)(Protein disulfide isomerase P5)(Thioredoxin domain-containing protein 7) [Source:UniProtKB/Swiss-Prot;Acc:Q15084]</t>
  </si>
  <si>
    <t>GO:0016853 isomerase activity</t>
  </si>
  <si>
    <t>Glucose-fructose oxidoreductase domain-containing protein 1 Precursor (EC 1.-.-.-) [Source:UniProtKB/Swiss-Prot;Acc:Q9NXC2]</t>
  </si>
  <si>
    <t>H200001046</t>
  </si>
  <si>
    <t>NM_015534</t>
  </si>
  <si>
    <t>H200005842</t>
  </si>
  <si>
    <t>NM_005263</t>
  </si>
  <si>
    <t>GFI1</t>
  </si>
  <si>
    <t>Zinc finger protein Gfi-1 (Growth factor independent protein 1)(Zinc finger protein 163) [Source:UniProtKB/Swiss-Prot;Acc:Q99684]</t>
  </si>
  <si>
    <t>H300013759</t>
  </si>
  <si>
    <t>GO:0006096 glycolysis,GO:0001666 response to hypoxia</t>
  </si>
  <si>
    <t>GO:0005515 protein binding,GO:0000166 nucleotide binding,GO:0005524 ATP binding,GO:0004396 hexokinase activity</t>
  </si>
  <si>
    <t>H200001892</t>
  </si>
  <si>
    <t>NM_001627</t>
  </si>
  <si>
    <t>GO:0008045 motor axon guidance</t>
  </si>
  <si>
    <t>GO:0016021 integral to membrane,GO:0016020 membrane,GO:0005634 nucleus,GO:0005643 nuclear pore,GO:0005783 endoplasmic reticulum,GO:0005789 endoplasmic reticulum membrane,GO:0031965 nuclear membrane</t>
  </si>
  <si>
    <t>NM_001065</t>
  </si>
  <si>
    <t>TNFRSF1A</t>
  </si>
  <si>
    <t>GO:0006693 prostaglandin metabolic process,GO:0007165 signal transduction,GO:0044419 interspecies interaction between organisms,GO:0006915 apoptosis,GO:0045944 positive regulation of transcription from RNA polymerase II promoter,GO:0043123 positive regulation of I-kappaB kinase/NF-kappaB cascade,GO:0019221 cytokine and chemokine mediated signaling pathway,GO:0050729 positive regulation of inflammatory response</t>
  </si>
  <si>
    <t>GO:0005515 protein binding,GO:0004872 receptor activity,GO:0005031 tumor necrosis factor receptor activity</t>
  </si>
  <si>
    <t>H200005438</t>
  </si>
  <si>
    <t>NM_018988;NM_018988</t>
  </si>
  <si>
    <t>GFOD1</t>
  </si>
  <si>
    <t>GO:0043025 cell soma,GO:0030424 axon,GO:0009897 external side of plasma membrane</t>
  </si>
  <si>
    <t>H300010964</t>
  </si>
  <si>
    <t>NM_024923</t>
  </si>
  <si>
    <t>NUP210</t>
  </si>
  <si>
    <t>Nuclear pore membrane glycoprotein 210 Precursor (POM210)(Nuclear pore protein gp210) [Source:UniProtKB/Swiss-Prot;Acc:Q8TEM1]</t>
  </si>
  <si>
    <t>GO:0031145 anaphase-promoting complex-dependent proteasomal ubiquitin-dependent protein catabolic process,GO:0051436 negative regulation of ubiquitin-protein ligase activity during mitotic cell cycle,GO:0051437 positive regulation of ubiquitin-protein ligase activity during mitotic cell cycle</t>
  </si>
  <si>
    <t>GO:0042802 identical protein binding,GO:0008538 proteasome activator activity</t>
  </si>
  <si>
    <t>GO:0005829 cytosol,GO:0000502 proteasome complex,GO:0008537 proteasome activator complex</t>
  </si>
  <si>
    <t>H200000045</t>
  </si>
  <si>
    <t>GO:0000387 spliceosomal snRNP biogenesis,GO:0008380 RNA splicing</t>
  </si>
  <si>
    <t>opHsV0400006259</t>
  </si>
  <si>
    <t>CD24L4</t>
  </si>
  <si>
    <t>Mannose-6-phosphate isomerase (EC 5.3.1.8)(Phosphomannose isomerase)(PMI)(Phosphohexomutase) [Source:UniProtKB/Swiss-Prot;Acc:P34949]</t>
  </si>
  <si>
    <t>GO:0016853 isomerase activity,GO:0008270 zinc ion binding,GO:0046872 metal ion binding,GO:0004476 mannose-6-phosphate isomerase activity</t>
  </si>
  <si>
    <t>Tumor necrosis factor receptor superfamily member 1A Precursor (p60)(TNF-R1)(TNF-RI)(TNFR-I)(p55)(CD120a antigen) [Contains Tumor necrosis factor receptor superfamily member 1A, membrane form;Tumor necrosis factor-binding protein 1(TBPI)] [Source:UniProtKB/Swiss-Prot;Acc:P19438]</t>
  </si>
  <si>
    <t>H300018729</t>
  </si>
  <si>
    <t>NM_017827</t>
  </si>
  <si>
    <t>SARS2</t>
  </si>
  <si>
    <t>Seryl-tRNA synthetase, mitochondrial Precursor (EC 6.1.1.11)(Seryl-tRNA(Ser/Sec) synthetase)(Serine--tRNA ligase)(SerRSmt) [Source:UniProtKB/Swiss-Prot;Acc:Q9NP81]</t>
  </si>
  <si>
    <t>GO:0006412 translation,GO:0006434 seryl-tRNA aminoacylation,GO:0006418 tRNA aminoacylation for protein translation</t>
  </si>
  <si>
    <t>GO:0005515 protein binding,GO:0000166 nucleotide binding,GO:0005524 ATP binding,GO:0016874 ligase activity,GO:0004812 aminoacyl-tRNA ligase activity,GO:0004828 serine-tRNA ligase activity</t>
  </si>
  <si>
    <t>H200005136</t>
  </si>
  <si>
    <t>NM_016505;NM_016505</t>
  </si>
  <si>
    <t>ZCCHC17</t>
  </si>
  <si>
    <t>GO:0005886 plasma membrane,GO:0005576 extracellular region,GO:0005887 integral to plasma membrane,GO:0045121 membrane raft</t>
  </si>
  <si>
    <t>Nucleolar protein of 40 kDa (pNO40)(Zinc finger CCHC domain-containing protein 17)(Putative S1 RNA-binding domain protein)(PS1D protein)(Pnn-interacting nucleolar protein) [Source:UniProtKB/Swiss-Prot;Acc:Q9NP64]</t>
  </si>
  <si>
    <t>GO:0005634 nucleus,GO:0000786 nucleosome,GO:0030529 ribonucleoprotein complex</t>
  </si>
  <si>
    <t>GO:0016787 hydrolase activity,GO:0003676 nucleic acid binding,GO:0004519 endonuclease activity,GO:0004540 ribonuclease activity,GO:0004522 pancreatic ribonuclease activity</t>
  </si>
  <si>
    <t>GO:0009653 anatomical structure morphogenesis</t>
  </si>
  <si>
    <t>H300010886</t>
  </si>
  <si>
    <t>NM_176863</t>
  </si>
  <si>
    <t>PSME3</t>
  </si>
  <si>
    <t>NM_006389;NM_006389</t>
  </si>
  <si>
    <t>HYOU1</t>
  </si>
  <si>
    <t>Hypoxia up-regulated protein 1 Precursor (150 kDa oxygen-regulated protein)(Orp150) [Source:UniProtKB/Swiss-Prot;Acc:Q9Y4L1]</t>
  </si>
  <si>
    <t>Proteasome activator complex subunit 3 (Proteasome activator 28 subunit gamma)(PA28gamma)(PA28g)(Activator of multicatalytic protease subunit 3)(11S regulator complex subunit gamma)(REG-gamma)(Ki nuclear autoantigen) [Source:UniProtKB/Swiss-Prot;Acc:P61289]</t>
  </si>
  <si>
    <t>H200006174</t>
  </si>
  <si>
    <t>NM_002435;NM_002435</t>
  </si>
  <si>
    <t>MPI</t>
  </si>
  <si>
    <t>AHsV10002172</t>
  </si>
  <si>
    <t>NM_033087.3</t>
  </si>
  <si>
    <t>ALG2</t>
  </si>
  <si>
    <t>GO:0006488 dolichol-linked oligosaccharide biosynthetic process,GO:0008104 protein localization,GO:0009058 biosynthetic process,GO:0033577 protein amino acid glycosylation in endoplasmic reticulum,GO:0051592 response to calcium ion</t>
  </si>
  <si>
    <t>GO:0000033 alpha-1,3-mannosyltransferase activity,GO:0016757 transferase activity, transferring glycosyl groups,GO:0043495 protein anchor,GO:0046982 protein heterodimerization activity,GO:0047485 protein N-terminus binding,GO:0048306 calcium-dependent pro</t>
  </si>
  <si>
    <t>GO:0005624 membrane fraction,GO:0005634 nucleus,GO:0005737 cytoplasm,GO:0016020 membrane,GO:0016021 integral to membrane,GO:0048471 perinuclear region of cytoplasm</t>
  </si>
  <si>
    <t>H300004131</t>
  </si>
  <si>
    <t>NM_002934</t>
  </si>
  <si>
    <t>RNASE2</t>
  </si>
  <si>
    <t>Non-secretory ribonuclease Precursor (EC 3.1.27.5)(Ribonuclease US)(Eosinophil-derived neurotoxin)(RNase UpI-2)(Ribonuclease 2)(RNase 2) [Source:UniProtKB/Swiss-Prot;Acc:P10153]</t>
  </si>
  <si>
    <t>GO:0006935 chemotaxis,GO:0006401 RNA catabolic process</t>
  </si>
  <si>
    <t>CHsGV10002226</t>
  </si>
  <si>
    <t>NM_005932.2</t>
  </si>
  <si>
    <t>MIPEP</t>
  </si>
  <si>
    <t>Mitochondrial intermediate peptidase Precursor (MIP)(EC 3.4.24.59) [Source:UniProtKB/Swiss-Prot;Acc:Q99797]</t>
  </si>
  <si>
    <t>GO:0006508 proteolysis,GO:0006627 mitochondrial protein processing during import</t>
  </si>
  <si>
    <t>GO:0009103 lipopolysaccharide biosynthetic process</t>
  </si>
  <si>
    <t>Alpha-1,3-mannosyltransferase ALG2 (EC 2.4.1.-)(GDP-Man:Man(1)GlcNAc(2)-PP-dolichol mannosyltransferase)(Asparagine-linked glycosylation protein 2) [Source:UniProtKB/Swiss-Prot;Acc:Q9H553]</t>
  </si>
  <si>
    <t>GO:0006464 protein modification process,GO:0018279 protein amino acid N-linked glycosylation via asparagine</t>
  </si>
  <si>
    <t>GO:0016021 integral to membrane,GO:0016020 membrane,GO:0005783 endoplasmic reticulum,GO:0005789 endoplasmic reticulum membrane,GO:0008250 oligosaccharyltransferase complex</t>
  </si>
  <si>
    <t>AHsV10000577</t>
  </si>
  <si>
    <t>NM_016108.2</t>
  </si>
  <si>
    <t>AIG1</t>
  </si>
  <si>
    <t>Androgen-induced protein 1 (AIG-1) [Source:UniProtKB/Swiss-Prot;Acc:Q9NVV5]</t>
  </si>
  <si>
    <t>GO:0016740 transferase activity,GO:0008146 sulfotransferase activity,GO:0047756 chondroitin 4-sulfotransferase activity,GO:0001537 N-acetylgalactosamine 4-O-sulfotransferase activity</t>
  </si>
  <si>
    <t>H300021851</t>
  </si>
  <si>
    <t>NM_022572;NM_022572</t>
  </si>
  <si>
    <t>PNKD</t>
  </si>
  <si>
    <t>Probable hydrolase PNKD (EC 3.-.-.-)(Paroxysmal nonkinesiogenic dyskinesia protein)(Myofibrillogenesis regulator 1)(MR-1)(Trans-activated by hepatitis C virus core protein 2) [Source:UniProtKB/Swiss-Prot;Acc:Q8N490]</t>
  </si>
  <si>
    <t>GO:0016020 membrane,GO:0005634 nucleus,GO:0005737 cytoplasm,GO:0005739 mitochondrion</t>
  </si>
  <si>
    <t>CHsGV10002501</t>
  </si>
  <si>
    <t>NM_152889.1</t>
  </si>
  <si>
    <t>CHST13</t>
  </si>
  <si>
    <t>Uncharacterized protein C22orf9  [Source:UniProtKB/Swiss-Prot;Acc:Q6ICG6]</t>
  </si>
  <si>
    <t>H300016780</t>
  </si>
  <si>
    <t>NM_002951</t>
  </si>
  <si>
    <t>RPN2</t>
  </si>
  <si>
    <t>Dolichyl-diphosphooligosaccharide--protein glycosyltransferase subunit 2 Precursor (EC 2.4.1.119)(Dolichyl-diphosphooligosaccharide--protein glycosyltransferase 63 kDa subunit)(Ribophorin-2)(Ribophorin II)(RPN-II)(RIBIIR) [Source:UniProtKB/Swiss-Prot;Acc:P04844]</t>
  </si>
  <si>
    <t>GO:0000287 magnesium ion binding,GO:0008270 zinc ion binding,GO:0005509 calcium ion binding,GO:0050897 cobalt ion binding,GO:0008237 metallopeptidase activity,GO:0008233 peptidase activity,GO:0005506 iron ion binding,GO:0030145 manganese ion binding,GO:0004222 metalloendopeptidase activity</t>
  </si>
  <si>
    <t>GO:0005739 mitochondrion,GO:0005759 mitochondrial matrix,GO:0005739 mitochondrion</t>
  </si>
  <si>
    <t>Carbohydrate sulfotransferase 13 (EC 2.8.2.5)(Chondroitin 4-O-sulfotransferase 3)(Chondroitin 4-sulfotransferase 3)(C4ST3)(C4ST-3) [Source:UniProtKB/Swiss-Prot;Acc:Q8NET6]</t>
  </si>
  <si>
    <t>CCAAT/enhancer-binding protein epsilon (C/EBP epsilon) [Source:UniProtKB/Swiss-Prot;Acc:Q15744]</t>
  </si>
  <si>
    <t>GO:0006350 transcription,GO:0006355 regulation of transcription, DNA-dependent,GO:0006909 phagocytosis,GO:0042742 defense response to bacterium,GO:0030225 macrophage differentiation,GO:0042089 cytokine biosynthetic process</t>
  </si>
  <si>
    <t>CHsGV10003708</t>
  </si>
  <si>
    <t>NM_004813.2;NM_057174.2</t>
  </si>
  <si>
    <t>PEX16</t>
  </si>
  <si>
    <t>Peroxisomal membrane protein PEX16 (Peroxin-16)(Peroxisomal biogenesis factor 16) [Source:UniProtKB/Swiss-Prot;Acc:Q9Y5Y5]</t>
  </si>
  <si>
    <t>GO:0005778 peroxisomal membrane</t>
  </si>
  <si>
    <t>H300005400</t>
  </si>
  <si>
    <t>NM_001009880;NM_001009880;NM_001009880</t>
  </si>
  <si>
    <t>C22orf9</t>
  </si>
  <si>
    <t>AHsV10002410</t>
  </si>
  <si>
    <t>NM_003549.2</t>
  </si>
  <si>
    <t>HYAL3</t>
  </si>
  <si>
    <t>Hyaluronidase-3 Precursor (Hyal-3)(EC 3.2.1.35)(Hyaluronoglucosaminidase-3)(LUCA-3) [Source:UniProtKB/Swiss-Prot;Acc:O43820]</t>
  </si>
  <si>
    <t>GO:0005975 carbohydrate metabolic process,GO:0008152 metabolic process</t>
  </si>
  <si>
    <t>GO:0004415 hyalurononglucosaminidase activity,GO:0016798 hydrolase activity, acting on glycosyl bonds</t>
  </si>
  <si>
    <t>DHsGV10003173</t>
  </si>
  <si>
    <t>H200007337</t>
  </si>
  <si>
    <t>NM_001805</t>
  </si>
  <si>
    <t>CEBPE</t>
  </si>
  <si>
    <t>GO:0005634 nucleus,GO:0005730 nucleolus,GO:0005737 cytoplasm,GO:0005794 Golgi apparatus,GO:0016020 membrane,GO:0016021 integral to membrane</t>
  </si>
  <si>
    <t>H300017119</t>
  </si>
  <si>
    <t>NM_017633;NM_017633</t>
  </si>
  <si>
    <t>FAM46A</t>
  </si>
  <si>
    <t>Protein FAM46A (HBV X-transactivated gene 11 protein) [Source:UniProtKB/Swiss-Prot;Acc:Q96IP4]</t>
  </si>
  <si>
    <t>Steroidogenic acute regulatory protein, mitochondrial Precursor (StAR)(StARD1) [Source:UniProtKB/Swiss-Prot;Acc:P49675]</t>
  </si>
  <si>
    <t>GO:0006694 steroid biosynthetic process</t>
  </si>
  <si>
    <t>GO:0015485 cholesterol binding,GO:0017127 cholesterol transporter activity</t>
  </si>
  <si>
    <t>CHsGV10003982</t>
  </si>
  <si>
    <t>NC_012920</t>
  </si>
  <si>
    <t>AF347015.15</t>
  </si>
  <si>
    <t>NADH-ubiquinone oxidoreductase chain 4 (EC 1.6.5.3)(NADH dehydrogenase subunit 4) [Source:UniProtKB/Swiss-Prot;Acc:P03905]</t>
  </si>
  <si>
    <t>GO:0016740 transferase activity,GO:0005515 protein binding,GO:0004579 dolichyl-diphosphooligosaccharide-protein glycotransferase activity</t>
  </si>
  <si>
    <t>GO:0055114 oxidation reduction,GO:0006810 transport,GO:0042773 ATP synthesis coupled electron transport,GO:0022900 electron transport chain</t>
  </si>
  <si>
    <t>GO:0016491 oxidoreductase activity,GO:0008137 NADH dehydrogenase (ubiquinone) activity</t>
  </si>
  <si>
    <t>GO:0016021 integral to membrane,GO:0005739 mitochondrion,GO:0016020 membrane,GO:0070469 respiratory chain,GO:0005747 mitochondrial respiratory chain complex I</t>
  </si>
  <si>
    <t>AHsV10002252</t>
  </si>
  <si>
    <t>NM_018142.2</t>
  </si>
  <si>
    <t>INTS10</t>
  </si>
  <si>
    <t>Integrator complex subunit 10 (Int10) [Source:UniProtKB/Swiss-Prot;Acc:Q9NVR2]</t>
  </si>
  <si>
    <t>GO:0005634 nucleus,GO:0032039 integrator complex</t>
  </si>
  <si>
    <t>H200000986</t>
  </si>
  <si>
    <t>NM_001304</t>
  </si>
  <si>
    <t>CPD</t>
  </si>
  <si>
    <t>Carboxypeptidase D Precursor (EC 3.4.17.22)(Metallocarboxypeptidase D)(gp180) [Source:UniProtKB/Swiss-Prot;Acc:O75976]</t>
  </si>
  <si>
    <t>GO:0008270 zinc ion binding,GO:0046872 metal ion binding,GO:0008233 peptidase activity,GO:0008237 metallopeptidase activity,GO:0004181 metallocarboxypeptidase activity,GO:0004185 serine-type carboxypeptidase activity</t>
  </si>
  <si>
    <t>GO:0016021 integral to membrane,GO:0016020 membrane,GO:0005634 nucleus,GO:0005624 membrane fraction,GO:0005634 nucleus</t>
  </si>
  <si>
    <t>AHsV10000996</t>
  </si>
  <si>
    <t>NM_018375.3</t>
  </si>
  <si>
    <t>SLC39A9</t>
  </si>
  <si>
    <t>Zinc transporter ZIP9 (Zrt- and Irt-like protein 9)(ZIP-9)(Solute carrier family 39 member 9) [Source:UniProtKB/Swiss-Prot;Acc:Q9NUM3]</t>
  </si>
  <si>
    <t>GO:0006811 ion transport,GO:0006829 zinc ion transport,GO:0006835 dicarboxylic acid transport,GO:0030001 metal ion transport</t>
  </si>
  <si>
    <t>GO:0008270 zinc ion binding,GO:0017153 sodium:dicarboxylate symporter activity,GO:0046873 metal ion transmembrane transporter activity</t>
  </si>
  <si>
    <t>GO:0008535 respiratory chain complex IV assembly,GO:0051204 protein insertion into mitochondrial membrane,GO:0051205 protein insertion into membrane</t>
  </si>
  <si>
    <t>GO:0008565 protein transporter activity</t>
  </si>
  <si>
    <t>H200000746</t>
  </si>
  <si>
    <t>NM_000349;NM_000349</t>
  </si>
  <si>
    <t>STAR</t>
  </si>
  <si>
    <t>AHsV10003062</t>
  </si>
  <si>
    <t>NM_033125.2</t>
  </si>
  <si>
    <t>GO:0016051 carbohydrate biosynthetic process,GO:0030206 chondroitin sulfate biosynthetic process</t>
  </si>
  <si>
    <t>GO:0006810 transport,GO:0006811 ion transport,GO:0007275 multicellular organismal development,GO:0007283 spermatogenesis,GO:0015695 organic cation transport,GO:0015879 carnitine transport,GO:0030154 cell differentiation</t>
  </si>
  <si>
    <t>GO:0005215 transporter activity,GO:0015226 carnitine transporter activity</t>
  </si>
  <si>
    <t>H300007918</t>
  </si>
  <si>
    <t>NM_205852;NM_205852;NM_205852</t>
  </si>
  <si>
    <t>CLEC12B</t>
  </si>
  <si>
    <t>C-type lectin domain family 12 member B (Macrophage antigen H) [Source:UniProtKB/Swiss-Prot;Acc:Q2HXU8]</t>
  </si>
  <si>
    <t>H300004459</t>
  </si>
  <si>
    <t>NM_172037</t>
  </si>
  <si>
    <t>RDH10</t>
  </si>
  <si>
    <t>Retinol dehydrogenase 10 (EC 1.1.1.n2) [Source:UniProtKB/Swiss-Prot;Acc:Q8IZV5]</t>
  </si>
  <si>
    <t>GO:0008152 metabolic process,GO:0007601 visual perception,GO:0055114 oxidation reduction</t>
  </si>
  <si>
    <t>GO:0005488 binding,GO:0003824 catalytic activity,GO:0016491 oxidoreductase activity,GO:0004745 retinol dehydrogenase activity,GO:0004022 alcohol dehydrogenase activity</t>
  </si>
  <si>
    <t>AHsV10001837</t>
  </si>
  <si>
    <t>NM_031372.2</t>
  </si>
  <si>
    <t>HNRPDL</t>
  </si>
  <si>
    <t>Heterogeneous nuclear ribonucleoprotein D-like (hnRPD-like protein)(hnHNRP-DL)(JKT41-binding protein)(AU-rich element RNA-binding factor)(Protein laAUF1) [Source:UniProtKB/Swiss-Prot;Acc:O14979]</t>
  </si>
  <si>
    <t>GO:0006350 transcription,GO:0006355 regulation of transcription, DNA-dependent,GO:0006396 RNA processing</t>
  </si>
  <si>
    <t>GO:0000166 nucleotide binding,GO:0003676 nucleic acid binding,GO:0003677 DNA binding,GO:0003690 double-stranded DNA binding,GO:0003697 single-stranded DNA binding,GO:0003723 RNA binding,GO:0005515 protein binding,GO:0008143 poly(A) binding</t>
  </si>
  <si>
    <t>GO:0005634 nucleus,GO:0005737 cytoplasm,GO:0030530 heterogeneous nuclear ribonucleoprotein complex</t>
  </si>
  <si>
    <t>H300002200</t>
  </si>
  <si>
    <t>NM_173827</t>
  </si>
  <si>
    <t>COX18</t>
  </si>
  <si>
    <t>Mitochondrial inner membrane protein COX18 Precursor (Cytochrome c oxidase assembly protein 18)(COX18Hs) [Source:UniProtKB/Swiss-Prot;Acc:Q8N8Q8]</t>
  </si>
  <si>
    <t>Proteoglycan 3 Precursor (Eosinophil major basic protein homolog)(Prepro-major basic protein homolog)(Prepro-MBPH) [Source:UniProtKB/Swiss-Prot;Acc:Q9Y2Y8]</t>
  </si>
  <si>
    <t>GO:0006955 immune response,GO:0019370 leukotriene biosynthetic process,GO:0042119 neutrophil activation,GO:0017148 negative regulation of translation,GO:0042554 superoxide release,GO:0045416 positive regulation of interleukin-8 biosynthetic process,GO:0001694 histamine biosynthetic process,GO:0045575 basophil activation</t>
  </si>
  <si>
    <t>CHsGV10000741</t>
  </si>
  <si>
    <t>NM_033220.1;NM_033221.1;NM_014788.2;NM_033219.1</t>
  </si>
  <si>
    <t>TRIM14</t>
  </si>
  <si>
    <t>Tripartite motif-containing protein 14  [Source:UniProtKB/Swiss-Prot;Acc:Q14142]</t>
  </si>
  <si>
    <t>GO:0003674 molecular_function,GO:0008270 zinc ion binding,GO:0046872 metal ion binding</t>
  </si>
  <si>
    <t>GO:0003677 DNA binding,GO:0008270 zinc ion binding,GO:0046872 metal ion binding,GO:0003676 nucleic acid binding,GO:0003723 RNA binding</t>
  </si>
  <si>
    <t>opHsV0400006173</t>
  </si>
  <si>
    <t>FFAR3</t>
  </si>
  <si>
    <t>Free fatty acid receptor 3 (G-protein coupled receptor 41) [Source:UniProtKB/Swiss-Prot;Acc:O14843]</t>
  </si>
  <si>
    <t>GO:0004872 receptor activity,GO:0004930 G-protein coupled receptor activity,GO:0008289 lipid binding,GO:0045028 purinergic nucleotide receptor activity, G-protein coupled,GO:0004983 neuropeptide Y receptor activity</t>
  </si>
  <si>
    <t>H200016286</t>
  </si>
  <si>
    <t>NM_006093</t>
  </si>
  <si>
    <t>PRG3</t>
  </si>
  <si>
    <t>H300022018</t>
  </si>
  <si>
    <t>NM_014287</t>
  </si>
  <si>
    <t>NOMO1</t>
  </si>
  <si>
    <t>Nodal modulator 1 Precursor (pM5) [Source:UniProtKB/Swiss-Prot;Acc:Q15155]</t>
  </si>
  <si>
    <t>GO:0005515 protein binding,GO:0003674 molecular_function,GO:0030246 carbohydrate binding</t>
  </si>
  <si>
    <t>H200000597</t>
  </si>
  <si>
    <t>NM_020546;NM_020546</t>
  </si>
  <si>
    <t>ADCY2</t>
  </si>
  <si>
    <t>Adenylate cyclase type 2 (EC 4.6.1.1)(Adenylate cyclase type II)(ATP pyrophosphate-lyase 2)(Adenylyl cyclase 2) [Source:UniProtKB/Swiss-Prot;Acc:Q08462]</t>
  </si>
  <si>
    <t>GO:0007242 intracellular signaling cascade,GO:0006171 cAMP biosynthetic process,GO:0009190 cyclic nucleotide biosynthetic process</t>
  </si>
  <si>
    <t>GO:0000287 magnesium ion binding,GO:0004016 adenylate cyclase activity,GO:0016849 phosphorus-oxygen lyase activity</t>
  </si>
  <si>
    <t>GO:0005886 plasma membrane,GO:0016021 integral to membrane,GO:0016324 apical plasma membrane,GO:0030054 cell junction,GO:0005923 tight junction</t>
  </si>
  <si>
    <t>H300011018</t>
  </si>
  <si>
    <t>NM_006302</t>
  </si>
  <si>
    <t>GCS1</t>
  </si>
  <si>
    <t>Mannosyl-oligosaccharide glucosidase (EC 3.2.1.106)(Processing A-glucosidase I) [Source:UniProtKB/Swiss-Prot;Acc:Q13724]</t>
  </si>
  <si>
    <t>GO:0008152 metabolic process,GO:0006487 protein amino acid N-linked glycosylation,GO:0009311 oligosaccharide metabolic process</t>
  </si>
  <si>
    <t>GO:0003824 catalytic activity,GO:0016798 hydrolase activity, acting on glycosyl bonds,GO:0004573 mannosyl-oligosaccharide glucosidase activity</t>
  </si>
  <si>
    <t>H200013695</t>
  </si>
  <si>
    <t>NM_174881;NM_174881</t>
  </si>
  <si>
    <t>Platelet basic protein Precursor (PBP)(C-X-C motif chemokine 7)(Small-inducible cytokine B7)(Leukocyte-derived growth factor)(LDGF)(Macrophage-derived growth factor)(MDGF) [Contains Connective tissue-activating peptide III(CTAP-III)(Low-affinity platelet factor IV)(LA-PF4);TC-2;Connective tissue-activating peptide III(1-81)(CTAP-III(1-81));Beta-thromboglobulin(Beta-TG);Neutrophil-activating peptide 2(74)(NAP-2(74));Neutrophil-activating peptide 2(73)(NAP-2(73));Neutrophil-activating peptide 2(NAP-2);TC-1;Neutrophil-activating peptide 2(1-66)(NAP-2(1-66));Neutrophil-activating peptide 2(1-63)(NAP-2(1-63))] [Source:UniProtKB/Swiss-Prot;Acc:P02775]</t>
  </si>
  <si>
    <t>GO:0006955 immune response,GO:0008283 cell proliferation,GO:0006935 chemotaxis,GO:0042742 defense response to bacterium,GO:0015758 glucose transport</t>
  </si>
  <si>
    <t>GO:0008083 growth factor activity,GO:0005125 cytokine activity,GO:0008009 chemokine activity,GO:0005355 glucose transmembrane transporter activity</t>
  </si>
  <si>
    <t>GO:0005576 extracellular region,GO:0005615 extracellular space,GO:0031093 platelet alpha granule lumen</t>
  </si>
  <si>
    <t>H200005596</t>
  </si>
  <si>
    <t>NM_001775</t>
  </si>
  <si>
    <t>CD38</t>
  </si>
  <si>
    <t>GO:0016021 integral to membrane,GO:0016020 membrane,GO:0005739 mitochondrion,GO:0005743 mitochondrial inner membrane,GO:0031305 integral to mitochondrial inner membrane</t>
  </si>
  <si>
    <t>GO:0008152 metabolic process,GO:0007165 signal transduction,GO:0008624 induction of apoptosis by extracellular signals,GO:0030890 positive regulation of B cell proliferation</t>
  </si>
  <si>
    <t>GO:0005488 binding,GO:0004872 receptor activity,GO:0016798 hydrolase activity, acting on glycosyl bonds,GO:0003953 NAD+ nucleosidase activity,GO:0016849 phosphorus-oxygen lyase activity</t>
  </si>
  <si>
    <t>GO:0005886 plasma membrane,GO:0016021 integral to membrane,GO:0005624 membrane fraction</t>
  </si>
  <si>
    <t>H200000549</t>
  </si>
  <si>
    <t>NM_002704</t>
  </si>
  <si>
    <t>PPBP</t>
  </si>
  <si>
    <t>H200017640</t>
  </si>
  <si>
    <t>NM_018643</t>
  </si>
  <si>
    <t>TREM1</t>
  </si>
  <si>
    <t>Triggering receptor expressed on myeloid cells 1 Precursor (Triggering receptor expressed on monocytes 1)(TREM-1) [Source:UniProtKB/Swiss-Prot;Acc:Q9NP99]</t>
  </si>
  <si>
    <t>GO:0007242 intracellular signaling cascade,GO:0006959 humoral immune response</t>
  </si>
  <si>
    <t>GO:0006511 ubiquitin-dependent protein catabolic process,GO:0043687 post-translational protein modification,GO:0051246 regulation of protein metabolic process</t>
  </si>
  <si>
    <t>GO:0016787 hydrolase activity,GO:0008270 zinc ion binding,GO:0046872 metal ion binding</t>
  </si>
  <si>
    <t>GO:0006954 inflammatory response,GO:0008152 metabolic process,GO:0016998 cell wall catabolic process,GO:0019835 cytolysis,GO:0042742 defense response to bacterium,GO:0005989 lactose biosynthetic process</t>
  </si>
  <si>
    <t>GO:0005509 calcium ion binding,GO:0005515 protein binding,GO:0003796 lysozyme activity,GO:0016798 hydrolase activity, acting on glycosyl bonds,GO:0004461 lactose synthase activity</t>
  </si>
  <si>
    <t>GO:0020037 heme binding,GO:0004872 receptor activity,GO:0005507 copper ion binding,GO:0004129 cytochrome-c oxidase activity,GO:0046923 ER retention sequence binding</t>
  </si>
  <si>
    <t>H300006943</t>
  </si>
  <si>
    <t>NM_130469</t>
  </si>
  <si>
    <t>JDP2</t>
  </si>
  <si>
    <t>Jun dimerization protein 2  [Source:UniProtKB/Swiss-Prot;Acc:Q8WYK2]</t>
  </si>
  <si>
    <t>GO:0016021 integral to membrane,GO:0016020 membrane,GO:0030425 dendrite</t>
  </si>
  <si>
    <t>CRB3</t>
  </si>
  <si>
    <t>Crumbs protein homolog 3 Precursor  [Source:UniProtKB/Swiss-Prot;Acc:Q9BUF7]</t>
  </si>
  <si>
    <t>GO:0003677 DNA binding,GO:0003700 transcription factor activity,GO:0043565 sequence-specific DNA binding,GO:0046983 protein dimerization activity,GO:0016564 transcription repressor activity</t>
  </si>
  <si>
    <t>H200015514</t>
  </si>
  <si>
    <t>NM_000239</t>
  </si>
  <si>
    <t>LYZ</t>
  </si>
  <si>
    <t>Lysozyme C Precursor (EC 3.2.1.17)(1,4-beta-N-acetylmuramidase C) [Source:UniProtKB/Swiss-Prot;Acc:P61626]</t>
  </si>
  <si>
    <t>GO:0005737 cytoplasm,GO:0005856 cytoskeleton</t>
  </si>
  <si>
    <t>opHsV0400006317</t>
  </si>
  <si>
    <t>NM_006855;NM_006855</t>
  </si>
  <si>
    <t>KDELR3</t>
  </si>
  <si>
    <t>ER lumen protein retaining receptor 3 (KDEL endoplasmic reticulum protein retention receptor 3)(KDEL receptor 3) [Source:UniProtKB/Swiss-Prot;Acc:O43731]</t>
  </si>
  <si>
    <t>GO:0015031 protein transport,GO:0016192 vesicle-mediated transport,GO:0006621 protein retention in ER lumen,GO:0022904 respiratory electron transport chain</t>
  </si>
  <si>
    <t>H200017717</t>
  </si>
  <si>
    <t>SDR39U1</t>
  </si>
  <si>
    <t>UPF0105 protein C14orf124  [Source:UniProtKB/Swiss-Prot;Acc:Q9NRG7]</t>
  </si>
  <si>
    <t>GO:0005488 binding,GO:0003824 catalytic activity</t>
  </si>
  <si>
    <t>H300004081</t>
  </si>
  <si>
    <t>NM_019107</t>
  </si>
  <si>
    <t>C19orf10</t>
  </si>
  <si>
    <t>UPF0556 protein C19orf10 Precursor (Stromal cell-derived growth factor SF20)(Interleukin-25)(IL-25) [Source:UniProtKB/Swiss-Prot;Acc:Q969H8]</t>
  </si>
  <si>
    <t>GO:0008284 positive regulation of cell proliferation</t>
  </si>
  <si>
    <t>GO:0005576 extracellular region,GO:0005793 ER-Golgi intermediate compartment</t>
  </si>
  <si>
    <t>CHsGV10001735</t>
  </si>
  <si>
    <t>NM_007115.2</t>
  </si>
  <si>
    <t>TNFAIP6</t>
  </si>
  <si>
    <t>Tumor necrosis factor-inducible gene 6 protein Precursor (TNF-stimulated gene 6 protein)(TSG-6)(Tumor necrosis factor, alpha-induced protein 6)(Hyaluronate-binding protein) [Source:UniProtKB/Swiss-Prot;Acc:P98066]</t>
  </si>
  <si>
    <t>GO:0006954 inflammatory response,GO:0007267 cell-cell signaling,GO:0007165 signal transduction,GO:0007155 cell adhesion</t>
  </si>
  <si>
    <t>GO:0005515 protein binding,GO:0005540 hyaluronic acid binding,GO:0005488 binding</t>
  </si>
  <si>
    <t>H200007072</t>
  </si>
  <si>
    <t>NM_001025389;NM_001025389</t>
  </si>
  <si>
    <t>AMPD3</t>
  </si>
  <si>
    <t>ADP-ribosyl cyclase 1 (EC 3.2.2.5)(Cyclic ADP-ribose hydrolase 1)(cADPr hydrolase 1)(T10)(CD38 antigen) [Source:UniProtKB/Swiss-Prot;Acc:P28907]</t>
  </si>
  <si>
    <t>GO:0016787 hydrolase activity,GO:0019239 deaminase activity,GO:0003876 AMP deaminase activity</t>
  </si>
  <si>
    <t>H200005772</t>
  </si>
  <si>
    <t>NM_006799</t>
  </si>
  <si>
    <t>PRSS21</t>
  </si>
  <si>
    <t>Testisin Precursor (EC 3.4.21.-)(Serine protease 21)(Eosinophil serine protease 1)(ESP-1) [Source:UniProtKB/Swiss-Prot;Acc:Q9Y6M0]</t>
  </si>
  <si>
    <t>GO:0005886 plasma membrane,GO:0005624 membrane fraction,GO:0005737 cytoplasm,GO:0031225 anchored to membrane</t>
  </si>
  <si>
    <t>CHsGV10000398</t>
  </si>
  <si>
    <t>NM_020070.2;NM_152855.1</t>
  </si>
  <si>
    <t>IGLL1</t>
  </si>
  <si>
    <t>Immunoglobulin lambda-like polypeptide 1 Precursor (Immunoglobulin-related protein 14.1)(Immunoglobulin omega polypeptide)(Ig lambda-5)(CD179 antigen-like family member B)(CD179b antigen) [Source:UniProtKB/Swiss-Prot;Acc:P15814]</t>
  </si>
  <si>
    <t>H200014494</t>
  </si>
  <si>
    <t>NM_033125;NM_033125</t>
  </si>
  <si>
    <t>SLC22A16</t>
  </si>
  <si>
    <t>Solute carrier family 22 member 16 (Carnitine transporter 2)(CT2)(Organic cation/carnitine transporter 6)(Organic cation transporter OKB1)(Fly-like putative transporter 2)(Flipt 2)(FLIPT2) [Source:UniProtKB/Swiss-Prot;Acc:Q86VW1]</t>
  </si>
  <si>
    <t>opHsV0400004570</t>
  </si>
  <si>
    <t>GO:0006810 transport,GO:0046677 response to antibiotic,GO:0015904 tetracycline transport</t>
  </si>
  <si>
    <t>GO:0005215 transporter activity,GO:0015520 tetracycline:hydrogen antiporter activity</t>
  </si>
  <si>
    <t>H200008530</t>
  </si>
  <si>
    <t>NM_005622</t>
  </si>
  <si>
    <t>ACSM3</t>
  </si>
  <si>
    <t>Acyl-coenzyme A synthetase ACSM3, mitochondrial Precursor (EC 6.2.1.2)(Acyl-CoA synthetase medium-chain family member 3)(Middle-chain acyl-CoA synthetase 3)(Butyryl coenzyme A synthetase 3)(Butyrate--CoA ligase 3)(Protein SA homolog) [Source:UniProtKB/Swiss-Prot;Acc:Q53FZ2]</t>
  </si>
  <si>
    <t>GO:0008152 metabolic process,GO:0006629 lipid metabolic process,GO:0006633 fatty acid biosynthetic process,GO:0008217 regulation of blood pressure</t>
  </si>
  <si>
    <t>H200011223</t>
  </si>
  <si>
    <t>NM_004198</t>
  </si>
  <si>
    <t>CHRNA6</t>
  </si>
  <si>
    <t>GO:0006350 transcription,GO:0006355 regulation of transcription, DNA-dependent,GO:0000122 negative regulation of transcription from RNA polymerase II promoter,GO:0045449 regulation of transcription</t>
  </si>
  <si>
    <t>GO:0005509 calcium ion binding,GO:0008270 zinc ion binding,GO:0042803 protein homodimerization activity,GO:0048154 S100 beta binding,GO:0048156 tau protein binding,GO:0048306 calcium-dependent protein binding</t>
  </si>
  <si>
    <t>GO:0001726 ruffle,GO:0005634 nucleus,GO:0005737 cytoplasm</t>
  </si>
  <si>
    <t>GO:0007409 axonogenesis,GO:0007417 central nervous system development,GO:0007611 learning or memory,GO:0008283 cell proliferation</t>
  </si>
  <si>
    <t>Golgi phosphoprotein 3 (Coat protein GPP34) [Source:UniProtKB/Swiss-Prot;Acc:Q9H4A6]</t>
  </si>
  <si>
    <t>GO:0016020 membrane,GO:0005737 cytoplasm,GO:0005794 Golgi apparatus</t>
  </si>
  <si>
    <t>GO:0000287 magnesium ion binding,GO:0000166 nucleotide binding,GO:0005524 ATP binding,GO:0016874 ligase activity,GO:0003824 catalytic activity,GO:0047760 butyrate-CoA ligase activity,GO:0015645 fatty-acid ligase activity</t>
  </si>
  <si>
    <t>GO:0005575 cellular_component,GO:0005739 mitochondrion,GO:0005759 mitochondrial matrix</t>
  </si>
  <si>
    <t>AHsV10002557</t>
  </si>
  <si>
    <t>NM_006272.2</t>
  </si>
  <si>
    <t>S100B</t>
  </si>
  <si>
    <t>Protein S100-B (S100 calcium-binding protein B)(S-100 protein subunit beta)(S-100 protein beta chain) [Source:UniProtKB/Swiss-Prot;Acc:P04271]</t>
  </si>
  <si>
    <t>H200002717</t>
  </si>
  <si>
    <t>NM_022130</t>
  </si>
  <si>
    <t>GOLPH3</t>
  </si>
  <si>
    <t>H200010154</t>
  </si>
  <si>
    <t>Transcription cofactor HES-6 (Hairy and enhancer of split 6)(C-HAIRY1) [Source:UniProtKB/Swiss-Prot;Acc:Q96HZ4]</t>
  </si>
  <si>
    <t>H300007085</t>
  </si>
  <si>
    <t>C16orf42</t>
  </si>
  <si>
    <t>UPF0293 protein C16orf42  [Source:UniProtKB/Swiss-Prot;Acc:Q9UJK0]</t>
  </si>
  <si>
    <t>opHsV0400000853</t>
  </si>
  <si>
    <t>NUDT18</t>
  </si>
  <si>
    <t>Nucleoside diphosphate-linked moiety X motif 18 (Nudix motif 18)(EC 3.6.1.-) [Source:UniProtKB/Swiss-Prot;Acc:Q6ZVK8]</t>
  </si>
  <si>
    <t>GO:0000287 magnesium ion binding,GO:0016787 hydrolase activity,GO:0030145 manganese ion binding</t>
  </si>
  <si>
    <t>CHsGV10003016</t>
  </si>
  <si>
    <t>NM_001101311.1;NM_014020.3;NM_001101312.1;NM_001101313.1;NM_001101314.1</t>
  </si>
  <si>
    <t>TMEM176B</t>
  </si>
  <si>
    <t>AMP deaminase 3 (EC 3.5.4.6)(AMP deaminase isoform E)(Erythrocyte AMP deaminase) [Source:UniProtKB/Swiss-Prot;Acc:Q01432]</t>
  </si>
  <si>
    <t>GO:0009117 nucleotide metabolic process,GO:0009168 purine ribonucleoside monophosphate biosynthetic process,GO:0006196 AMP catabolic process</t>
  </si>
  <si>
    <t>Neuropilin and tolloid-like protein 2 Precursor (Brain-specific transmembrane protein containing 2 CUB and 1 LDL-receptor class A domains protein 2) [Source:UniProtKB/Swiss-Prot;Acc:Q8NC67]</t>
  </si>
  <si>
    <t>NM_182538</t>
  </si>
  <si>
    <t>SPNS3</t>
  </si>
  <si>
    <t>Protein spinster homolog 3  [Source:UniProtKB/Swiss-Prot;Acc:Q6ZMD2]</t>
  </si>
  <si>
    <t>opHsV0400004571</t>
  </si>
  <si>
    <t>H200019509</t>
  </si>
  <si>
    <t>NM_018476</t>
  </si>
  <si>
    <t>BEX1</t>
  </si>
  <si>
    <t>Protein BEX1 (Brain-expressed X-linked protein 1) [Source:UniProtKB/Swiss-Prot;Acc:Q9HBH7]</t>
  </si>
  <si>
    <t>H200001946</t>
  </si>
  <si>
    <t>NM_133491;NM_133491;NM_133491</t>
  </si>
  <si>
    <t>SAT2</t>
  </si>
  <si>
    <t>Diamine acetyltransferase 2 (EC 2.3.1.57)(Spermidine/spermine N(1)-acetyltransferase 2)(Polyamine N-acetyltransferase 2)(Thialysine N-epsilon-acetyltransferase) [Source:UniProtKB/Swiss-Prot;Acc:Q96F10]</t>
  </si>
  <si>
    <t>GO:0008080 N-acetyltransferase activity</t>
  </si>
  <si>
    <t>H300001218</t>
  </si>
  <si>
    <t>RP11-179H18.5</t>
  </si>
  <si>
    <t>H300002866</t>
  </si>
  <si>
    <t>AL355922.4</t>
  </si>
  <si>
    <t>Eosinophil cationic-related protein Fragment  [Source:UniProtKB/TrEMBL;Acc:Q12762]</t>
  </si>
  <si>
    <t>GO:0003676 nucleic acid binding,GO:0004522 pancreatic ribonuclease activity</t>
  </si>
  <si>
    <t>H300012125</t>
  </si>
  <si>
    <t>NM_021821</t>
  </si>
  <si>
    <t>MRPS35</t>
  </si>
  <si>
    <t>28S ribosomal protein S35, mitochondrial Precursor (S35mt)(MRP-S35)(Mitochondrial ribosomal protein S28)(MRP-S28) [Source:UniProtKB/Swiss-Prot;Acc:P82673]</t>
  </si>
  <si>
    <t>GO:0043043 peptide biosynthetic process,GO:0042769 DNA damage response, detection of DNA damage</t>
  </si>
  <si>
    <t>GO:0005840 ribosome,GO:0005739 mitochondrion,GO:0005763 mitochondrial small ribosomal subunit</t>
  </si>
  <si>
    <t>H300018431</t>
  </si>
  <si>
    <t>NM_001001486</t>
  </si>
  <si>
    <t>ATP2C1</t>
  </si>
  <si>
    <t>Calcium-transporting ATPase type 2C member 1 (ATPase 2C1)(EC 3.6.3.8)(ATP-dependent Ca(2+) pump PMR1) [Source:UniProtKB/Swiss-Prot;Acc:P98194]</t>
  </si>
  <si>
    <t>Neuronal acetylcholine receptor subunit alpha-6 Precursor  [Source:UniProtKB/Swiss-Prot;Acc:Q15825]</t>
  </si>
  <si>
    <t>GO:0007165 signal transduction,GO:0006811 ion transport,GO:0006810 transport,GO:0007268 synaptic transmission</t>
  </si>
  <si>
    <t>GO:0005524 ATP binding,GO:0003824 catalytic activity,GO:0005388 calcium-transporting ATPase activity,GO:0016820 hydrolase activity, acting on acid anhydrides, catalyzing transmembrane movement of substances,GO:0015662 ATPase activity, coupled to transmembrane movement of ions, phosphorylative mechanism,GO:0004983 neuropeptide Y receptor activity</t>
  </si>
  <si>
    <t>Uncharacterized protein C22orf13 (Protein LLN4) [Source:UniProtKB/Swiss-Prot;Acc:Q96NT3]</t>
  </si>
  <si>
    <t>AHsV10000121</t>
  </si>
  <si>
    <t>NM_016459.3</t>
  </si>
  <si>
    <t>AC135457.2-1</t>
  </si>
  <si>
    <t>Proapoptotic caspase adapter protein Precursor (PACAP) [Source:UniProtKB/Swiss-Prot;Acc:Q8WU39]</t>
  </si>
  <si>
    <t>GO:0005576 extracellular region,GO:0005737 cytoplasm,GO:0005783 endoplasmic reticulum</t>
  </si>
  <si>
    <t>AHsV10001486</t>
  </si>
  <si>
    <t>NM_004930.2</t>
  </si>
  <si>
    <t>CAPZB</t>
  </si>
  <si>
    <t>F-actin-capping protein subunit beta (CapZ beta) [Source:UniProtKB/Swiss-Prot;Acc:P47756]</t>
  </si>
  <si>
    <t>GO:0030036 actin cytoskeleton organization</t>
  </si>
  <si>
    <t>GO:0005737 cytoplasm,GO:0008290 F-actin capping protein complex</t>
  </si>
  <si>
    <t>AHsV10003358</t>
  </si>
  <si>
    <t>NM_005143.3</t>
  </si>
  <si>
    <t>HP</t>
  </si>
  <si>
    <t>Haptoglobin Precursor [Contains Haptoglobin alpha chain;Haptoglobin beta chain] [Source:UniProtKB/Swiss-Prot;Acc:P00738]</t>
  </si>
  <si>
    <t>GO:0006508 proteolysis,GO:0006879 cellular iron ion homeostasis,GO:0006952 defense response</t>
  </si>
  <si>
    <t>GO:0003824 catalytic activity,GO:0004252 serine-type endopeptidase activity,GO:0030492 hemoglobin binding</t>
  </si>
  <si>
    <t>AHsV10000052</t>
  </si>
  <si>
    <t>NM_031444.2</t>
  </si>
  <si>
    <t>C22orf13</t>
  </si>
  <si>
    <t>GO:0005215 transporter activity,GO:0005488 binding</t>
  </si>
  <si>
    <t>GO:0005739 mitochondrion,GO:0005743 mitochondrial inner membrane,GO:0016020 membrane,GO:0016021 integral to membrane</t>
  </si>
  <si>
    <t>H300022156</t>
  </si>
  <si>
    <t>NM_017871</t>
  </si>
  <si>
    <t>CPSF3L</t>
  </si>
  <si>
    <t>Transmembrane protein 176B (Protein LR8) [Source:UniProtKB/Swiss-Prot;Acc:Q3YBM2]</t>
  </si>
  <si>
    <t>GO:0009887 organ morphogenesis,GO:0030154 cell differentiation</t>
  </si>
  <si>
    <t>GO:0005634 nucleus,GO:0016021 integral to membrane,GO:0016020 membrane</t>
  </si>
  <si>
    <t>NM_018645</t>
  </si>
  <si>
    <t>HES6</t>
  </si>
  <si>
    <t>NM_001001410</t>
  </si>
  <si>
    <t>H200001310</t>
  </si>
  <si>
    <t>NM_018092</t>
  </si>
  <si>
    <t>NETO2</t>
  </si>
  <si>
    <t>GO:0008201 heparin binding,GO:0005125 cytokine activity,GO:0008009 chemokine activity</t>
  </si>
  <si>
    <t>H300006447</t>
  </si>
  <si>
    <t>NM_005950;NM_005950</t>
  </si>
  <si>
    <t>MT1G</t>
  </si>
  <si>
    <t>Metallothionein-1G (MT-1G)(Metallothionein-IG)(MT-IG)(Metallothionein-1K)(MT-1K) [Source:UniProtKB/Swiss-Prot;Acc:P13640]</t>
  </si>
  <si>
    <t>GO:0005515 protein binding,GO:0008270 zinc ion binding,GO:0046872 metal ion binding,GO:0005507 copper ion binding,GO:0046870 cadmium ion binding</t>
  </si>
  <si>
    <t>H300019008</t>
  </si>
  <si>
    <t>NM_006644;NM_006644;NM_006644</t>
  </si>
  <si>
    <t>HSPH1</t>
  </si>
  <si>
    <t>Heat shock protein 105 kDa (Heat shock 110 kDa protein)(Antigen NY-CO-25) [Source:UniProtKB/Swiss-Prot;Acc:Q92598]</t>
  </si>
  <si>
    <t>ratio</t>
    <phoneticPr fontId="1"/>
  </si>
  <si>
    <t>GO:0006941 striated muscle contraction</t>
  </si>
  <si>
    <t>YPEL5</t>
  </si>
  <si>
    <t>Protein yippee-like 5  [Source:UniProtKB/Swiss-Prot;Acc:P62699]</t>
  </si>
  <si>
    <t>AHsV10000945</t>
  </si>
  <si>
    <t>NM_001130702.1</t>
  </si>
  <si>
    <t>BSCL2</t>
  </si>
  <si>
    <t>Seipin (Bernardinelli-Seip congenital lipodystrophy type 2 protein) [Source:UniProtKB/Swiss-Prot;Acc:Q96G97]</t>
  </si>
  <si>
    <t>AHsV10003084</t>
  </si>
  <si>
    <t>NM_018434.4</t>
  </si>
  <si>
    <t>RNF130</t>
  </si>
  <si>
    <t>Goliath homolog Precursor (RING finger protein 130) [Source:UniProtKB/Swiss-Prot;Acc:Q86XS8]</t>
  </si>
  <si>
    <t>GO:0003674 molecular_function,GO:0005515 protein binding,GO:0008270 zinc ion binding,GO:0046872 metal ion binding</t>
  </si>
  <si>
    <t>H200017249</t>
  </si>
  <si>
    <t>NM_012467</t>
  </si>
  <si>
    <t>TPSG1</t>
  </si>
  <si>
    <t>Tryptase gamma Precursor (EC 3.4.21.-)(Transmembrane tryptase)(Serine protease 31) [Contains Tryptase gamma light chain;Tryptase gamma heavy chain] [Source:UniProtKB/Swiss-Prot;Acc:Q9NRR2]</t>
  </si>
  <si>
    <t>opHsV0400000972</t>
  </si>
  <si>
    <t>AC020907.6</t>
  </si>
  <si>
    <t>Uncharacterized protein ENSP00000325519 Fragment  [Source:UniProtKB/TrEMBL;Acc:A8MPZ1]</t>
  </si>
  <si>
    <t>opHsV0400005960</t>
  </si>
  <si>
    <t>NM_001001870;NM_001001870</t>
  </si>
  <si>
    <t>C17orf91</t>
  </si>
  <si>
    <t>GO:0008152 metabolic process,GO:0007186 G-protein coupled receptor protein signaling pathway,GO:0006812 cation transport,GO:0006816 calcium ion transport,GO:0006754 ATP biosynthetic process</t>
  </si>
  <si>
    <t>Polypyrimidine tract-binding protein 2 (Neurally-enriched homolog of PTB)(Neural polypyrimidine tract-binding protein)(PTB-like protein) [Source:UniProtKB/Swiss-Prot;Acc:Q9UKA9]</t>
  </si>
  <si>
    <t>GO:0006397 mRNA processing,GO:0042309 homoiothermy,GO:0050826 response to freezing</t>
  </si>
  <si>
    <t>GO:0003676 nucleic acid binding,GO:0003723 RNA binding,GO:0050825 ice binding</t>
  </si>
  <si>
    <t>DHsGV10001034</t>
  </si>
  <si>
    <t>H300002995</t>
  </si>
  <si>
    <t>NM_001004465</t>
  </si>
  <si>
    <t>OR10H4</t>
  </si>
  <si>
    <t>Olfactory receptor 10H4 (Olfactory receptor OR19-28) [Source:UniProtKB/Swiss-Prot;Acc:Q8NGA5]</t>
  </si>
  <si>
    <t>GO:0004872 receptor activity,GO:0004984 olfactory receptor activity,GO:0004949 cannabinoid receptor activity,GO:0004977 melanocortin receptor activity,GO:0004932 mating-type factor pheromone receptor activity</t>
  </si>
  <si>
    <t>H200007769</t>
  </si>
  <si>
    <t>NM_002541</t>
  </si>
  <si>
    <t>OGDH</t>
  </si>
  <si>
    <t>2-oxoglutarate dehydrogenase E1 component, mitochondrial Precursor (EC 1.2.4.2)(Alpha-ketoglutarate dehydrogenase) [Source:UniProtKB/Swiss-Prot;Acc:Q02218]</t>
  </si>
  <si>
    <t>GO:0016491 oxidoreductase activity,GO:0004591 oxoglutarate dehydrogenase (succinyl-transferring) activity,GO:0030976 thiamin pyrophosphate binding,GO:0016624 oxidoreductase activity, acting on the aldehyde or oxo group of donors, disulfide as acceptor,GO:0050164 oxoglutarate dehydrogenase (NADP+) activity</t>
  </si>
  <si>
    <t>GO:0005739 mitochondrion,GO:0005759 mitochondrial matrix,GO:0031966 mitochondrial membrane</t>
  </si>
  <si>
    <t>DHsGV10002498</t>
  </si>
  <si>
    <t>opHsV0400002471</t>
  </si>
  <si>
    <t>NM_021805</t>
  </si>
  <si>
    <t>SIGIRR</t>
  </si>
  <si>
    <t>Single Ig IL-1-related receptor (Single Ig IL-1R-related molecule)(Single immunoglobulin domain-containing IL1R-related protein)(Toll/interleukin-1 receptor 8)(TIR8) [Source:UniProtKB/Swiss-Prot;Acc:Q6IA17]</t>
  </si>
  <si>
    <t>Integrator complex subunit 11 (Int11)(EC 3.1.27.-)(Cleavage and polyadenylation-specific factor 3-like protein)(CPSF3-like protein)(Protein related to CPSF subunits of 68 kDa)(RC-68) [Source:UniProtKB/Swiss-Prot;Acc:Q5TA45]</t>
  </si>
  <si>
    <t>GO:0016180 snRNA processing</t>
  </si>
  <si>
    <t>GO:0005515 protein binding,GO:0016787 hydrolase activity</t>
  </si>
  <si>
    <t>GO:0032039 integrator complex</t>
  </si>
  <si>
    <t>GO:0045087 innate immune response,GO:0007165 signal transduction,GO:0007186 G-protein coupled receptor protein signaling pathway,GO:0006953 acute-phase response,GO:0043433 negative regulation of transcription factor activity,GO:0031665 negative regulation of lipopolysaccharide-mediated signaling pathway,GO:0045079 negative regulation of chemokine biosynthetic process,GO:0001960 negative regulation of cytokine and chemokine mediated signaling pathway</t>
  </si>
  <si>
    <t>GO:0005515 protein binding,GO:0004888 transmembrane receptor activity</t>
  </si>
  <si>
    <t>GO:0016021 integral to membrane,GO:0016020 membrane,GO:0031224 intrinsic to membrane</t>
  </si>
  <si>
    <t>NM_002172;NM_002172</t>
  </si>
  <si>
    <t>IFNA14</t>
  </si>
  <si>
    <t>Interferon alpha-14 Precursor (Interferon alpha-H)(LeIF H)(Interferon lambda-2-H) [Source:UniProtKB/Swiss-Prot;Acc:P01570]</t>
  </si>
  <si>
    <t>H200004482</t>
  </si>
  <si>
    <t>H300021788</t>
  </si>
  <si>
    <t>NM_021190;NM_021190;NM_021190;NM_021190</t>
  </si>
  <si>
    <t>PTBP2</t>
  </si>
  <si>
    <t>AHsV10001430</t>
  </si>
  <si>
    <t>NM_016135.2</t>
  </si>
  <si>
    <t>ETV7</t>
  </si>
  <si>
    <t>Transcription factor ETV7 (Transcription factor Tel-2)(ETS-related protein Tel2)(Tel-related Ets factor) [Source:UniProtKB/Swiss-Prot;Acc:Q9Y603]</t>
  </si>
  <si>
    <t>GO:0006350 transcription,GO:0006355 regulation of transcription, DNA-dependent,GO:0006366 transcription from RNA polymerase II promoter,GO:0009887 organ morphogenesis</t>
  </si>
  <si>
    <t>GO:0003700 transcription factor activity,GO:0003704 specific RNA polymerase II transcription factor activity,GO:0043565 sequence-specific DNA binding</t>
  </si>
  <si>
    <t>Late cornified envelope protein 1D (Late envelope protein 4) [Source:UniProtKB/Swiss-Prot;Acc:Q5T752]</t>
  </si>
  <si>
    <t>GO:0008152 metabolic process,GO:0055114 oxidation reduction,GO:0006096 glycolysis</t>
  </si>
  <si>
    <t>opHsV0400006150</t>
  </si>
  <si>
    <t>NM_004451;NM_004451</t>
  </si>
  <si>
    <t>ESRRA</t>
  </si>
  <si>
    <t>Steroid hormone receptor ERR1 (Estrogen-related receptor, alpha)(ERR-alpha)(Estrogen receptor-like 1)(Nuclear receptor subfamily 3 group B member 1) [Source:UniProtKB/Swiss-Prot;Acc:P11474]</t>
  </si>
  <si>
    <t>Putative uncharacterized protein C17orf91  [Source:UniProtKB/Swiss-Prot;Acc:Q0VDD5]</t>
  </si>
  <si>
    <t>H300004384</t>
  </si>
  <si>
    <t>NM_016061;NM_016061</t>
  </si>
  <si>
    <t>GO:0003677 DNA binding,GO:0008270 zinc ion binding,GO:0046872 metal ion binding,GO:0003700 transcription factor activity,GO:0043565 sequence-specific DNA binding,GO:0019904 protein domain specific binding,GO:0005496 steroid binding,GO:0003707 steroid hormone receptor activity,GO:0004887 thyroid hormone receptor activity,GO:0004879 ligand-dependent nuclear receptor activity</t>
  </si>
  <si>
    <t>opHsV0400004817</t>
  </si>
  <si>
    <t>NM_206894</t>
  </si>
  <si>
    <t>ZNF790</t>
  </si>
  <si>
    <t>Zinc finger protein 790  [Source:UniProtKB/Swiss-Prot;Acc:Q6PG37]</t>
  </si>
  <si>
    <t>H200003613</t>
  </si>
  <si>
    <t>NM_020795</t>
  </si>
  <si>
    <t>NLGN2</t>
  </si>
  <si>
    <t>Neuroligin-2 Precursor  [Source:UniProtKB/Swiss-Prot;Acc:Q8NFZ4]</t>
  </si>
  <si>
    <t>GO:0007155 cell adhesion,GO:0050804 regulation of synaptic transmission,GO:0016337 cell-cell adhesion,GO:0007416 synaptogenesis,GO:0002087 neurological control of breathing,GO:0045217 cell-cell junction maintenance</t>
  </si>
  <si>
    <t>GO:0042043 neurexin binding,GO:0004104 cholinesterase activity</t>
  </si>
  <si>
    <t>GO:0016021 integral to membrane,GO:0016020 membrane,GO:0045202 synapse,GO:0045211 postsynaptic membrane</t>
  </si>
  <si>
    <t>H300009696</t>
  </si>
  <si>
    <t>TBC domain-containing protein kinase-like protein  [Source:UniProtKB/Swiss-Prot;Acc:Q8TEA7]</t>
  </si>
  <si>
    <t>NM_138632;NM_138632;NM_138632;NM_007032</t>
  </si>
  <si>
    <t>TRIOBP</t>
  </si>
  <si>
    <t>TRIO and F-actin-binding protein (Protein Tara)(Trio-associated repeat on actin) [Source:UniProtKB/Swiss-Prot;Acc:Q9H2D6]</t>
  </si>
  <si>
    <t>GO:0006468 protein amino acid phosphorylation,GO:0032313 regulation of Rab GTPase activity</t>
  </si>
  <si>
    <t>GO:0005524 ATP binding,GO:0004674 protein serine/threonine kinase activity,GO:0004713 protein tyrosine kinase activity,GO:0005097 Rab GTPase activator activity,GO:0004672 protein kinase activity</t>
  </si>
  <si>
    <t>H300018584</t>
  </si>
  <si>
    <t>NM_012201</t>
  </si>
  <si>
    <t>GLG1</t>
  </si>
  <si>
    <t>Golgi apparatus protein 1 Precursor (Golgi sialoglycoprotein MG-160)(E-selectin ligand 1)(ESL-1)(Cysteine-rich fibroblast growth factor receptor)(CFR-1) [Source:UniProtKB/Swiss-Prot;Acc:Q92896]</t>
  </si>
  <si>
    <t>AHsV10000145</t>
  </si>
  <si>
    <t>NM_018281.2</t>
  </si>
  <si>
    <t>ECHDC2</t>
  </si>
  <si>
    <t>Thymosin beta-4-like protein 3  [Source:UniProtKB/Swiss-Prot;Acc:A8MW06]</t>
  </si>
  <si>
    <t>GO:0030036 actin cytoskeleton organization,GO:0007010 cytoskeleton organization,GO:0042989 sequestering of actin monomers</t>
  </si>
  <si>
    <t>AHsV10002736</t>
  </si>
  <si>
    <t>NM_002669.2</t>
  </si>
  <si>
    <t>PLRG1</t>
  </si>
  <si>
    <t>Pleiotropic regulator 1  [Source:UniProtKB/Swiss-Prot;Acc:O43660]</t>
  </si>
  <si>
    <t>GO:0003714 transcription corepressor activity,GO:0004871 signal transducer activity,GO:0005515 protein binding</t>
  </si>
  <si>
    <t>GO:0005634 nucleus,GO:0005681 spliceosome,GO:0016607 nuclear speck</t>
  </si>
  <si>
    <t>opHsV0400001366</t>
  </si>
  <si>
    <t>NM_178352</t>
  </si>
  <si>
    <t>LCE1D</t>
  </si>
  <si>
    <t>Golgi reassembly-stacking protein 2 (GRS2)(Golgi reassembly-stacking protein of 55 kDa)(GRASP55)(p59)(Golgi phosphoprotein 6)(GOLPH6) [Source:UniProtKB/Swiss-Prot;Acc:Q9H8Y8]</t>
  </si>
  <si>
    <t>GO:0007030 Golgi organization,GO:0007030 Golgi organization</t>
  </si>
  <si>
    <t>GO:0016020 membrane,GO:0005794 Golgi apparatus,GO:0000139 Golgi membrane,GO:0005797 Golgi medial cisterna,GO:0005794 Golgi apparatus,GO:0005797 Golgi medial cisterna</t>
  </si>
  <si>
    <t>CHsGV10002737</t>
  </si>
  <si>
    <t>NM_152834.2</t>
  </si>
  <si>
    <t>TMEM18</t>
  </si>
  <si>
    <t>Transmembrane protein 18  [Source:UniProtKB/Swiss-Prot;Acc:Q96B42]</t>
  </si>
  <si>
    <t>H300003346</t>
  </si>
  <si>
    <t>NCRNA00087</t>
  </si>
  <si>
    <t>Uncharacterized protein MGC39606  [Source:UniProtKB/Swiss-Prot;Acc:Q86V52]</t>
  </si>
  <si>
    <t>AHsV10001880</t>
  </si>
  <si>
    <t>NM_012212.2</t>
  </si>
  <si>
    <t>PTGR1</t>
  </si>
  <si>
    <t>Prostaglandin reductase 1 (PRG-1)(EC 1.3.1.-)(NADP-dependent leukotriene B4 12-hydroxydehydrogenase)(EC 1.3.1.74)(15-oxoprostaglandin 13-reductase)(EC 1.3.1.48) [Source:UniProtKB/Swiss-Prot;Acc:Q14914]</t>
  </si>
  <si>
    <t>GO:0006691 leukotriene metabolic process,GO:0008152 metabolic process,GO:0055114 oxidation reduction</t>
  </si>
  <si>
    <t>GO:0003824 catalytic activity,GO:0004022 alcohol dehydrogenase activity,GO:0005488 binding,GO:0008270 zinc ion binding,GO:0016491 oxidoreductase activity,GO:0032440 2-alkenal reductase activity,GO:0047522 15-oxoprostaglandin 13-oxidase activity</t>
  </si>
  <si>
    <t>H200001596</t>
  </si>
  <si>
    <t>Protein asteroid homolog 1  [Source:UniProtKB/Swiss-Prot;Acc:Q2TB18]</t>
  </si>
  <si>
    <t>GO:0006281 DNA repair</t>
  </si>
  <si>
    <t>GO:0004518 nuclease activity</t>
  </si>
  <si>
    <t>H300020329</t>
  </si>
  <si>
    <t>NM_001010844</t>
  </si>
  <si>
    <t>IRAK1BP1</t>
  </si>
  <si>
    <t>Interleukin-1 receptor-associated kinase 1-binding protein 1  [Source:UniProtKB/Swiss-Prot;Acc:Q5VVH5]</t>
  </si>
  <si>
    <t>GO:0006350 transcription,GO:0006355 regulation of transcription, DNA-dependent,GO:0007249 I-kappaB kinase/NF-kappaB cascade</t>
  </si>
  <si>
    <t>H300006734</t>
  </si>
  <si>
    <t>NM_003666;NM_003666;NM_003666</t>
  </si>
  <si>
    <t>BLZF1</t>
  </si>
  <si>
    <t>Golgin-45 (Basic leucine zipper nuclear factor 1)(JEM-1)(p45 basic leucine-zipper nuclear factor) [Source:UniProtKB/Swiss-Prot;Acc:Q9H2G9]</t>
  </si>
  <si>
    <t>H300006138</t>
  </si>
  <si>
    <t>NM_012416</t>
  </si>
  <si>
    <t>RANBP6</t>
  </si>
  <si>
    <t>Ran-binding protein 6 (RanBP6) [Source:UniProtKB/Swiss-Prot;Acc:O60518]</t>
  </si>
  <si>
    <t>H200010658</t>
  </si>
  <si>
    <t>NM_032036</t>
  </si>
  <si>
    <t>IFI27L2</t>
  </si>
  <si>
    <t>Protein FAM14A Precursor (Interferon-stimulated gene 12b protein)(ISG12(b))(Protein TLH29)(pIFI27-like protein) [Source:UniProtKB/Swiss-Prot;Acc:Q9H2X8]</t>
  </si>
  <si>
    <t>H200001324</t>
  </si>
  <si>
    <t>NM_015530</t>
  </si>
  <si>
    <t>GORASP2</t>
  </si>
  <si>
    <t>Arsenical pump-driving ATPase (EC 3.6.3.16)(Arsenite-translocating ATPase)(Arsenical resistance ATPase)(Arsenite-transporting ATPase) [Source:UniProtKB/Swiss-Prot;Acc:O43681]</t>
  </si>
  <si>
    <t>GO:0006810 transport,GO:0006875 cellular metal ion homeostasis,GO:0046685 response to arsenic</t>
  </si>
  <si>
    <t>GO:0016787 hydrolase activity,GO:0000166 nucleotide binding,GO:0005524 ATP binding,GO:0016491 oxidoreductase activity,GO:0005215 transporter activity,GO:0015105 arsenite transmembrane transporter activity,GO:0015446 arsenite transmembrane-transporting ATPase activity</t>
  </si>
  <si>
    <t>GO:0005737 cytoplasm,GO:0005625 soluble fraction,GO:0005730 nucleolus</t>
  </si>
  <si>
    <t>opHsV0400004164</t>
  </si>
  <si>
    <t>NM_145037</t>
  </si>
  <si>
    <t>FAM55C</t>
  </si>
  <si>
    <t>Protein FAM55C Precursor  [Source:UniProtKB/Swiss-Prot;Acc:Q969Y0]</t>
  </si>
  <si>
    <t>H200017424</t>
  </si>
  <si>
    <t>ASTE1</t>
  </si>
  <si>
    <t>Enoyl-CoA hydratase domain-containing protein 2, mitochondrial Precursor  [Source:UniProtKB/Swiss-Prot;Acc:Q86YB7]</t>
  </si>
  <si>
    <t>opHsV0400003511</t>
  </si>
  <si>
    <t>NM_183049</t>
  </si>
  <si>
    <t>TMSL3</t>
  </si>
  <si>
    <t>GO:0008285 negative regulation of cell proliferation,GO:0007049 cell cycle,GO:0030308 negative regulation of cell growth,GO:0006917 induction of apoptosis,GO:0000079 regulation of cyclin-dependent protein kinase activity,GO:0007050 cell cycle arrest,GO:0000082 G1/S transition of mitotic cell cycle,GO:0048709 oligodendrocyte differentiation,GO:0042326 negative regulation of phosphorylation</t>
  </si>
  <si>
    <t>H300009187</t>
  </si>
  <si>
    <t>NM_002800;NM_002800</t>
  </si>
  <si>
    <t>PSMB9</t>
  </si>
  <si>
    <t>Proteasome subunit beta type-9 Precursor (EC 3.4.25.1)(Proteasome subunit beta-1i)(Proteasome chain 7)(Macropain chain 7)(Multicatalytic endopeptidase complex chain 7)(RING12 protein)(Low molecular mass protein 2) [Source:UniProtKB/Swiss-Prot;Acc:P28065]</t>
  </si>
  <si>
    <t>GO:0006511 ubiquitin-dependent protein catabolic process,GO:0006955 immune response,GO:0031145 anaphase-promoting complex-dependent proteasomal ubiquitin-dependent protein catabolic process,GO:0051436 negative regulation of ubiquitin-protein ligase activity during mitotic cell cycle,GO:0051437 positive regulation of ubiquitin-protein ligase activity during mitotic cell cycle</t>
  </si>
  <si>
    <t>GO:0008233 peptidase activity,GO:0004298 threonine-type endopeptidase activity,GO:0004175 endopeptidase activity</t>
  </si>
  <si>
    <t>GO:0005634 nucleus,GO:0005737 cytoplasm,GO:0005829 cytosol,GO:0005839 proteasome core complex</t>
  </si>
  <si>
    <t>H200007620</t>
  </si>
  <si>
    <t>NM_004317</t>
  </si>
  <si>
    <t>ASNA1</t>
  </si>
  <si>
    <t>H300022863</t>
  </si>
  <si>
    <t>NM_006139</t>
  </si>
  <si>
    <t>CD28</t>
  </si>
  <si>
    <t>T-cell-specific surface glycoprotein CD28 Precursor (TP44)(CD28 antigen) [Source:UniProtKB/Swiss-Prot;Acc:P10747]</t>
  </si>
  <si>
    <t>GO:0006955 immune response,GO:0008624 induction of apoptosis by extracellular signals,GO:0045060 negative thymic T cell selection,GO:0045086 positive regulation of interleukin-2 biosynthetic process,GO:0031295 T cell costimulation,GO:0048304 positive regulation of isotype switching to IgG isotypes,GO:0002863 positive regulation of inflammatory response to antigenic stimulus,GO:0046641 positive regulation of alpha-beta T cell proliferation</t>
  </si>
  <si>
    <t>NM_033115</t>
  </si>
  <si>
    <t>AC004053.1</t>
  </si>
  <si>
    <t>GO:0016020 membrane,GO:0009897 external side of plasma membrane</t>
  </si>
  <si>
    <t>H200000936</t>
  </si>
  <si>
    <t>NM_001262;NM_001262</t>
  </si>
  <si>
    <t>CDKN2C</t>
  </si>
  <si>
    <t>NM_014065</t>
  </si>
  <si>
    <t>Cyclin-dependent kinase 4 inhibitor C (p18-INK4c)(Cyclin-dependent kinase 6 inhibitor)(p18-INK6) [Source:UniProtKB/Swiss-Prot;Acc:P42773]</t>
  </si>
  <si>
    <t>opHsV0400005449</t>
  </si>
  <si>
    <t>NM_017580</t>
  </si>
  <si>
    <t>ZRANB1</t>
  </si>
  <si>
    <t>Zinc finger Ran-binding domain-containing protein 1 (Protein TRABID) [Source:UniProtKB/Swiss-Prot;Acc:Q9UGI0]</t>
  </si>
  <si>
    <t>DHsGV10000069</t>
  </si>
  <si>
    <t>GO:0004252 serine-type endopeptidase activity</t>
  </si>
  <si>
    <t>H200015031</t>
  </si>
  <si>
    <t>VWA5B1</t>
  </si>
  <si>
    <t>von Willebrand factor A domain-containing protein 5B1 Precursor  [Source:UniProtKB/Swiss-Prot;Acc:Q5TIE3]</t>
  </si>
  <si>
    <t>H300011863</t>
  </si>
  <si>
    <t>NM_014399</t>
  </si>
  <si>
    <t>TSPAN13</t>
  </si>
  <si>
    <t>Tetraspanin-13 (Tspan-13)(Transmembrane 4 superfamily member 13)(Tetraspan NET-6) [Source:UniProtKB/Swiss-Prot;Acc:O95857]</t>
  </si>
  <si>
    <t>AHsV10002571</t>
  </si>
  <si>
    <t>NM_001040001.1</t>
  </si>
  <si>
    <t>GO:0005913 cell-cell adherens junction</t>
  </si>
  <si>
    <t>NM_014678;NM_014678;NM_014678</t>
  </si>
  <si>
    <t>SAPS2</t>
  </si>
  <si>
    <t>Serine/threonine-protein phosphatase 6 regulatory subunit 2 (SAPS domain family member 2) [Source:UniProtKB/Swiss-Prot;Acc:O75170]</t>
  </si>
  <si>
    <t>CHsGV10002271</t>
  </si>
  <si>
    <t>NM_005538.2</t>
  </si>
  <si>
    <t>INHBC</t>
  </si>
  <si>
    <t>Inhibin beta C chain Precursor (Activin beta-C chain) [Source:UniProtKB/Swiss-Prot;Acc:P55103]</t>
  </si>
  <si>
    <t>GO:0008083 growth factor activity,GO:0005179 hormone activity,GO:0005160 transforming growth factor beta receptor binding</t>
  </si>
  <si>
    <t>H200002979</t>
  </si>
  <si>
    <t>NM_021167</t>
  </si>
  <si>
    <t>GATAD1</t>
  </si>
  <si>
    <t>GATA zinc finger domain-containing protein 1 (Ocular development-associated gene protein) [Source:UniProtKB/Swiss-Prot;Acc:Q8WUU5]</t>
  </si>
  <si>
    <t>H300002837</t>
  </si>
  <si>
    <t>NM_031948</t>
  </si>
  <si>
    <t>PRSS27</t>
  </si>
  <si>
    <t>Serine protease 27 Precursor (EC 3.4.21.-)(Marapsin)(Pancreasin)(Channel-activating protease 2)(CAPH2) [Source:UniProtKB/Swiss-Prot;Acc:Q9BQR3]</t>
  </si>
  <si>
    <t>CHsGV10003263</t>
  </si>
  <si>
    <t>NM_001039617.1</t>
  </si>
  <si>
    <t>ZDHHC19</t>
  </si>
  <si>
    <t>Probable palmitoyltransferase ZDHHC19 (EC 2.3.1.-)(Zinc finger DHHC domain-containing protein 19)(DHHC-19) [Source:UniProtKB/Swiss-Prot;Acc:Q8WVZ1]</t>
  </si>
  <si>
    <t>GO:0008270 zinc ion binding,GO:0016740 transferase activity,GO:0046872 metal ion binding,GO:0008415 acyltransferase activity</t>
  </si>
  <si>
    <t>AHsV10000046</t>
  </si>
  <si>
    <t>NM_001085372.1</t>
  </si>
  <si>
    <t>C11orf83</t>
  </si>
  <si>
    <t>Uncharacterized protein C11orf83 Precursor  [Source:UniProtKB/Swiss-Prot;Acc:Q6UW78]</t>
  </si>
  <si>
    <t>GO:0006350 transcription,GO:0007049 cell cycle,GO:0006357 regulation of transcription from RNA polymerase II promoter,GO:0000122 negative regulation of transcription from RNA polymerase II promoter,GO:0045944 positive regulation of transcription from RNA polymerase II promoter,GO:0006338 chromatin remodeling,GO:0010033 response to organic substance,GO:0045090 retroviral genome replication,GO:0032968 positive regulation of RNA elongation from RNA polymerase II promoter</t>
  </si>
  <si>
    <t>GO:0019899 enzyme binding,GO:0046982 protein heterodimerization activity,GO:0003711 transcription elongation regulator activity,GO:0008159 positive transcription elongation factor activity,GO:0008148 negative transcription elongation factor activity</t>
  </si>
  <si>
    <t>H300022613</t>
  </si>
  <si>
    <t>KIAA0913</t>
  </si>
  <si>
    <t>Zinc finger SWIM domain-containing protein KIAA0913  [Source:UniProtKB/Swiss-Prot;Acc:A7E2V4]</t>
  </si>
  <si>
    <t>opHsV0400006765</t>
  </si>
  <si>
    <t>NM_182565</t>
  </si>
  <si>
    <t>FAM100B</t>
  </si>
  <si>
    <t>Protein FAM100B  [Source:UniProtKB/Swiss-Prot;Acc:Q8IYN6]</t>
  </si>
  <si>
    <t>H200016604</t>
  </si>
  <si>
    <t>NM_007114</t>
  </si>
  <si>
    <t>TMF1</t>
  </si>
  <si>
    <t>TATA element modulatory factor (TMF) [Source:UniProtKB/Swiss-Prot;Acc:P82094]</t>
  </si>
  <si>
    <t>H300004684</t>
  </si>
  <si>
    <t>AC074397.7</t>
  </si>
  <si>
    <t>POM121-like protein DKFZp564N2472  [Source:UniProtKB/Swiss-Prot;Acc:Q8N7R1]</t>
  </si>
  <si>
    <t>H300007986</t>
  </si>
  <si>
    <t>AC002524.1</t>
  </si>
  <si>
    <t>H200014352</t>
  </si>
  <si>
    <t>NM_001014380;NM_001014380</t>
  </si>
  <si>
    <t>KATNAL1</t>
  </si>
  <si>
    <t>Katanin p60 ATPase-containing subunit A-like 1 (Katanin p60 subunit A-like 1)(EC 3.6.4.3)(p60 katanin-like 1) [Source:UniProtKB/Swiss-Prot;Acc:Q9BW62]</t>
  </si>
  <si>
    <t>GO:0016787 hydrolase activity,GO:0000166 nucleotide binding,GO:0005524 ATP binding,GO:0017111 nucleoside-triphosphatase activity,GO:0008568 microtubule-severing ATPase activity</t>
  </si>
  <si>
    <t>GO:0005874 microtubule</t>
  </si>
  <si>
    <t>H300005574</t>
  </si>
  <si>
    <t>NM_003169;NM_003169;NM_003169</t>
  </si>
  <si>
    <t>Transcription elongation factor SPT5 (hSPT5)(DRB sensitivity-inducing factor large subunit)(DSIF large subunit)(DSIF p160)(Tat-cotransactivator 1 protein)(Tat-CT1 protein) [Source:UniProtKB/Swiss-Prot;Acc:O00267]</t>
  </si>
  <si>
    <t>H300019975</t>
  </si>
  <si>
    <t>NM_001001550;NM_001001550;NM_005311;NM_005311</t>
  </si>
  <si>
    <t>GRB10</t>
  </si>
  <si>
    <t>Growth factor receptor-bound protein 10 (GRB10 adapter protein)(Insulin receptor-binding protein Grb-IR) [Source:UniProtKB/Swiss-Prot;Acc:Q13322]</t>
  </si>
  <si>
    <t>GO:0007165 signal transduction,GO:0048009 insulin-like growth factor receptor signaling pathway</t>
  </si>
  <si>
    <t>opHsV0400000230</t>
  </si>
  <si>
    <t>NM_000283</t>
  </si>
  <si>
    <t>PDE6B</t>
  </si>
  <si>
    <t>Rod cGMP-specific 3',5'-cyclic phosphodiesterase subunit beta Precursor (GMP-PDE beta)(EC 3.1.4.35) [Source:UniProtKB/Swiss-Prot;Acc:P35913]</t>
  </si>
  <si>
    <t>GO:0007165 signal transduction,GO:0007601 visual perception,GO:0050896 response to stimulus,GO:0007603 phototransduction, visible light,GO:0009583 detection of light stimulus</t>
  </si>
  <si>
    <t>H200005712</t>
  </si>
  <si>
    <t>H300008087</t>
  </si>
  <si>
    <t>NM_004531;NM_004531</t>
  </si>
  <si>
    <t>MOCS2</t>
  </si>
  <si>
    <t>Molybdenum cofactor synthesis protein 2 large subunit (MPT synthase large subunit)(Molybdopterin synthase large subunit)(MOCS2B)(MOCO1-B) [Source:UniProtKB/Swiss-Prot;Acc:O96007]</t>
  </si>
  <si>
    <t>GO:0006777 Mo-molybdopterin cofactor biosynthetic process</t>
  </si>
  <si>
    <t>H200015703</t>
  </si>
  <si>
    <t>NM_004823</t>
  </si>
  <si>
    <t>KCNK6</t>
  </si>
  <si>
    <t>Potassium channel subfamily K member 6 (Inward rectifying potassium channel protein TWIK-2)(TWIK-originated similarity sequence) [Source:UniProtKB/Swiss-Prot;Acc:Q9Y257]</t>
  </si>
  <si>
    <t>GO:0005249 voltage-gated potassium channel activity,GO:0005244 voltage-gated ion channel activity,GO:0005267 potassium channel activity,GO:0030955 potassium ion binding,GO:0005242 inward rectifier potassium channel activity</t>
  </si>
  <si>
    <t>H200011537</t>
  </si>
  <si>
    <t>NM_172027;NM_172027</t>
  </si>
  <si>
    <t>ABTB1</t>
  </si>
  <si>
    <t>Ankyrin repeat and BTB/POZ domain-containing protein 1 (Elongation factor 1A-binding protein) [Source:UniProtKB/Swiss-Prot;Acc:Q969K4]</t>
  </si>
  <si>
    <t>GO:0005515 protein binding,GO:0003746 translation elongation factor activity</t>
  </si>
  <si>
    <t>H200012272</t>
  </si>
  <si>
    <t>NM_004226</t>
  </si>
  <si>
    <t>GO:0006468 protein amino acid phosphorylation,GO:0007243 protein kinase cascade,GO:0006917 induction of apoptosis,GO:0006915 apoptosis,GO:0006468 protein amino acid phosphorylation,GO:0006917 induction of apoptosis,GO:0007243 protein kinase cascade</t>
  </si>
  <si>
    <t>GO:0016740 transferase activity,GO:0005515 protein binding,GO:0000166 nucleotide binding,GO:0005524 ATP binding,GO:0004674 protein serine/threonine kinase activity,GO:0004713 protein tyrosine kinase activity,GO:0004672 protein kinase activity,GO:0005524 ATP binding,GO:0005515 protein binding,GO:0004674 protein serine/threonine kinase activity</t>
  </si>
  <si>
    <t>GO:0005634 nucleus,GO:0015629 actin cytoskeleton,GO:0005634 nucleus,GO:0015629 actin cytoskeleton</t>
  </si>
  <si>
    <t>H300014531</t>
  </si>
  <si>
    <t>NM_022473</t>
  </si>
  <si>
    <t>ZFP106</t>
  </si>
  <si>
    <t>Zinc finger protein 106 homolog (Zfp-106)(Zinc finger protein 474) [Source:UniProtKB/Swiss-Prot;Acc:Q9H2Y7]</t>
  </si>
  <si>
    <t>GO:0008286 insulin receptor signaling pathway</t>
  </si>
  <si>
    <t>GO:0008270 zinc ion binding,GO:0046872 metal ion binding,GO:0017124 SH3 domain binding,GO:0001515 opioid peptide activity</t>
  </si>
  <si>
    <t>GO:0005634 nucleus,GO:0005622 intracellular,GO:0005624 membrane fraction,GO:0005829 cytosol</t>
  </si>
  <si>
    <t>H200001970</t>
  </si>
  <si>
    <t>NM_024327</t>
  </si>
  <si>
    <t>ZNF576</t>
  </si>
  <si>
    <t>Zinc finger protein 576  [Source:UniProtKB/Swiss-Prot;Acc:Q9H609]</t>
  </si>
  <si>
    <t>opHsV0400003066</t>
  </si>
  <si>
    <t>NM_018702</t>
  </si>
  <si>
    <t>ADARB2</t>
  </si>
  <si>
    <t>Double-stranded RNA-specific editase B2 (EC 3.5.-.-)(dsRNA adenosine deaminase B2)(RNA-dependent adenosine deaminase 3)(RNA-editing deaminase 2)(RNA-editing enzyme 2) [Source:UniProtKB/Swiss-Prot;Acc:Q9NS39]</t>
  </si>
  <si>
    <t>GO:0006397 mRNA processing,GO:0006396 RNA processing</t>
  </si>
  <si>
    <t>GO:0016787 hydrolase activity,GO:0008270 zinc ion binding,GO:0046872 metal ion binding,GO:0003723 RNA binding,GO:0003725 double-stranded RNA binding,GO:0004000 adenosine deaminase activity,GO:0003727 single-stranded RNA binding</t>
  </si>
  <si>
    <t>H200005248</t>
  </si>
  <si>
    <t>NM_019556;NM_019556</t>
  </si>
  <si>
    <t>SUPT5H</t>
  </si>
  <si>
    <t>Peptidyl-prolyl cis-trans isomerase G (Peptidyl-prolyl isomerase G)(PPIase G)(Rotamase G)(EC 5.2.1.8)(Cyclophilin G)(Clk-associating RS-cyclophilin)(CARS-cyclophilin)(CARS-Cyp)(SR-cyclophilin)(SR-cyp)(SRcyp)(CASP10) [Source:UniProtKB/Swiss-Prot;Acc:Q13427]</t>
  </si>
  <si>
    <t>GO:0006457 protein folding,GO:0008380 RNA splicing</t>
  </si>
  <si>
    <t>GO:0016853 isomerase activity,GO:0003755 peptidyl-prolyl cis-trans isomerase activity,GO:0016018 cyclosporin A binding</t>
  </si>
  <si>
    <t>GO:0005634 nucleus,GO:0016607 nuclear speck,GO:0005654 nucleoplasm,GO:0016363 nuclear matrix</t>
  </si>
  <si>
    <t>DHsGV10003689</t>
  </si>
  <si>
    <t>H300018488</t>
  </si>
  <si>
    <t>Very long-chain specific acyl-CoA dehydrogenase, mitochondrial Precursor (VLCAD)(EC 1.3.99.-) [Source:UniProtKB/Swiss-Prot;Acc:P49748]</t>
  </si>
  <si>
    <t>GO:0008152 metabolic process,GO:0006629 lipid metabolic process,GO:0006631 fatty acid metabolic process,GO:0055114 oxidation reduction,GO:0006635 fatty acid beta-oxidation,GO:0015980 energy derivation by oxidation of organic compounds</t>
  </si>
  <si>
    <t>GO:0009055 electron carrier activity,GO:0003995 acyl-CoA dehydrogenase activity,GO:0050660 FAD binding,GO:0016627 oxidoreductase activity, acting on the CH-CH group of donors,GO:0004466 long-chain-acyl-CoA dehydrogenase activity</t>
  </si>
  <si>
    <t>CHsGV10002063</t>
  </si>
  <si>
    <t>NM_003201.1</t>
  </si>
  <si>
    <t>TFAM</t>
  </si>
  <si>
    <t>Transcription factor A, mitochondrial Precursor (mtTFA)(Mitochondrial transcription factor 1)(MtTF1)(Transcription factor 6-like 2) [Source:UniProtKB/Swiss-Prot;Acc:Q00059]</t>
  </si>
  <si>
    <t>GO:0045449 regulation of transcription,GO:0006356 regulation of transcription from RNA polymerase I promoter,GO:0006390 transcription from mitochondrial promoter,GO:0006261 DNA-dependent DNA replication,GO:0006390 transcription from mitochondrial promoter,GO:0033108 mitochondrial respiratory chain complex assembly</t>
  </si>
  <si>
    <t>GO:0003677 DNA binding,GO:0003700 transcription factor activity</t>
  </si>
  <si>
    <t>STK17B</t>
  </si>
  <si>
    <t>Serine/threonine-protein kinase 17B (EC 2.7.11.1)(DAP kinase-related apoptosis-inducing protein kinase 2) [Source:UniProtKB/Swiss-Prot;Acc:O94768]</t>
  </si>
  <si>
    <t>Histone H3-like centromeric protein A (Centromere protein A)(CENP-A)(Centromere autoantigen A) [Source:UniProtKB/Swiss-Prot;Acc:P49450]</t>
  </si>
  <si>
    <t>GO:0044419 interspecies interaction between organisms,GO:0006334 nucleosome assembly,GO:0006352 transcription initiation</t>
  </si>
  <si>
    <t>GO:0005634 nucleus,GO:0005694 chromosome,GO:0000775 chromosome, centromeric region,GO:0000786 nucleosome,GO:0000939 inner kinetochore of condensed chromosome</t>
  </si>
  <si>
    <t>NM_001033859;NM_001033859;NM_001033859</t>
  </si>
  <si>
    <t>ACADVL</t>
  </si>
  <si>
    <t>NM_003029</t>
  </si>
  <si>
    <t>RP4-710L4.1</t>
  </si>
  <si>
    <t>H200015001</t>
  </si>
  <si>
    <t>NM_020956</t>
  </si>
  <si>
    <t>PRX</t>
  </si>
  <si>
    <t>Periaxin  [Source:UniProtKB/Swiss-Prot;Acc:Q9BXM0]</t>
  </si>
  <si>
    <t>GO:0007638 mechanosensory behavior,GO:0008366 axon ensheathment</t>
  </si>
  <si>
    <t>GO:0005886 plasma membrane,GO:0005634 nucleus,GO:0005737 cytoplasm,GO:0005575 cellular_component,GO:0005794 Golgi apparatus</t>
  </si>
  <si>
    <t>DHsGV10003951</t>
  </si>
  <si>
    <t>NM_001144950.1</t>
  </si>
  <si>
    <t>AC008735.3</t>
  </si>
  <si>
    <t>Scavenger receptor cysteine-rich domain-containing protein LOC284297 Precursor  [Source:UniProtKB/Swiss-Prot;Acc:A1L4H1]</t>
  </si>
  <si>
    <t>H200002542</t>
  </si>
  <si>
    <t>NM_005990</t>
  </si>
  <si>
    <t>STK10</t>
  </si>
  <si>
    <t>Serine/threonine-protein kinase 10 (EC 2.7.11.1)(Lymphocyte-oriented kinase) [Source:UniProtKB/Swiss-Prot;Acc:O94804]</t>
  </si>
  <si>
    <t>H300021781</t>
  </si>
  <si>
    <t>NM_001042426;NM_001042426</t>
  </si>
  <si>
    <t>CENPA</t>
  </si>
  <si>
    <t>GO:0005515 protein binding,GO:0046872 metal ion binding,GO:0005506 iron ion binding,GO:0016491 oxidoreductase activity,GO:0009055 electron carrier activity,GO:0051539 4 iron, 4 sulfur cluster binding,GO:0051536 iron-sulfur cluster binding,GO:0008137 NADH dehydrogenase (ubiquinone) activity,GO:0051537 2 iron, 2 sulfur cluster binding,GO:0016651 oxidoreductase activity, acting on NADH or NADPH,GO:0003954 NADH dehydrogenase activity</t>
  </si>
  <si>
    <t>GO:0003677 DNA binding,GO:0005515 protein binding,GO:0003682 chromatin binding,GO:0016986 transcription initiation factor activity</t>
  </si>
  <si>
    <t>CHsGV10002210</t>
  </si>
  <si>
    <t>NM_032164.2</t>
  </si>
  <si>
    <t>ZNF394</t>
  </si>
  <si>
    <t>MOSPD1</t>
  </si>
  <si>
    <t>Motile sperm domain-containing protein 1  [Source:UniProtKB/Swiss-Prot;Acc:Q9UJG1]</t>
  </si>
  <si>
    <t>opHsV0400004952</t>
  </si>
  <si>
    <t>NM_004792</t>
  </si>
  <si>
    <t>PPIG</t>
  </si>
  <si>
    <t>Zinc finger protein 394 (Zinc finger protein with KRAB and SCAN domains 14) [Source:UniProtKB/Swiss-Prot;Acc:Q53GI3]</t>
  </si>
  <si>
    <t>GO:0007165 signal transduction,GO:0007186 G-protein coupled receptor protein signaling pathway,GO:0007200 activation of phospholipase C activity by G-protein coupled receptor protein signaling pathway coupled to IP3 second messenger,GO:0007596 blood coagu</t>
  </si>
  <si>
    <t>GO:0004872 receptor activity,GO:0004930 G-protein coupled receptor activity,GO:0015057 thrombin receptor activity,GO:0045028 purinergic nucleotide receptor activity, G-protein coupled</t>
  </si>
  <si>
    <t>opHsV0400005594</t>
  </si>
  <si>
    <t>NM_014975</t>
  </si>
  <si>
    <t>MAST1</t>
  </si>
  <si>
    <t>Microtubule-associated serine/threonine-protein kinase 1 (EC 2.7.11.1)(Syntrophin-associated serine/threonine-protein kinase) [Source:UniProtKB/Swiss-Prot;Acc:Q9Y2H9]</t>
  </si>
  <si>
    <t>GO:0006468 protein amino acid phosphorylation,GO:0007243 protein kinase cascade,GO:0007010 cytoskeleton organization</t>
  </si>
  <si>
    <t>GO:0005886 plasma membrane,GO:0005856 cytoskeleton,GO:0005737 cytoplasm</t>
  </si>
  <si>
    <t>opHsV0400003358</t>
  </si>
  <si>
    <t>NM_002160;NM_002160;NM_002160</t>
  </si>
  <si>
    <t>TNC</t>
  </si>
  <si>
    <t>Tenascin Precursor (TN)(Tenascin-C)(TN-C)(Hexabrachion)(Cytotactin)(Neuronectin)(GMEM)(JI)(Myotendinous antigen)(Glioma-associated-extracellular matrix antigen)(GP 150-225) [Source:UniProtKB/Swiss-Prot;Acc:P24821]</t>
  </si>
  <si>
    <t>H300017423</t>
  </si>
  <si>
    <t>NM_005006</t>
  </si>
  <si>
    <t>NDUFS1</t>
  </si>
  <si>
    <t>NADH-ubiquinone oxidoreductase 75 kDa subunit, mitochondrial Precursor (EC 1.6.5.3)(EC 1.6.99.3)(Complex I-75kD)(CI-75kD) [Source:UniProtKB/Swiss-Prot;Acc:P28331]</t>
  </si>
  <si>
    <t>GO:0006810 transport,GO:0046034 ATP metabolic process,GO:0006915 apoptosis,GO:0022900 electron transport chain,GO:0045333 cellular respiration,GO:0006120 mitochondrial electron transport, NADH to ubiquinone,GO:0006800 oxygen and reactive oxygen species metabolic process,GO:0042773 ATP synthesis coupled electron transport,GO:0051881 regulation of mitochondrial membrane potential</t>
  </si>
  <si>
    <t>GO:0005634 nucleus,GO:0042645 mitochondrial nucleoid,GO:0005739 mitochondrion,GO:0005739 mitochondrion</t>
  </si>
  <si>
    <t>GO:0016020 membrane,GO:0005739 mitochondrion,GO:0005758 mitochondrial intermembrane space,GO:0005747 mitochondrial respiratory chain complex I</t>
  </si>
  <si>
    <t>H200007945</t>
  </si>
  <si>
    <t>NM_052952</t>
  </si>
  <si>
    <t>DIRC1</t>
  </si>
  <si>
    <t>Disrupted in renal carcinoma protein 1 (Disrupted in renal cancer protein) [Source:UniProtKB/Swiss-Prot;Acc:Q969H9]</t>
  </si>
  <si>
    <t>AHsV10002188</t>
  </si>
  <si>
    <t>NM_004440.3</t>
  </si>
  <si>
    <t>EPHA7</t>
  </si>
  <si>
    <t>Ephrin type-A receptor 7 Precursor (EC 2.7.10.1)(Tyrosine-protein kinase receptor EHK-3)(EPH homology kinase 3)(Receptor protein-tyrosine kinase HEK11) [Source:UniProtKB/Swiss-Prot;Acc:Q15375]</t>
  </si>
  <si>
    <t>GO:0000166 nucleotide binding,GO:0004672 protein kinase activity,GO:0004674 protein serine/threonine kinase activity,GO:0004713 protein tyrosine kinase activity,GO:0004872 receptor activity,GO:0005003 ephrin receptor activity,GO:0005515 protein binding,GO</t>
  </si>
  <si>
    <t>H200002546</t>
  </si>
  <si>
    <t>NM_024575</t>
  </si>
  <si>
    <t>TNFAIP8L2</t>
  </si>
  <si>
    <t>Tumor necrosis factor, alpha-induced protein 8-like protein 2 (TIPE2)(Inflammation factor 20) [Source:UniProtKB/Swiss-Prot;Acc:Q6P589]</t>
  </si>
  <si>
    <t>AHsV10002670</t>
  </si>
  <si>
    <t>NM_003950.2</t>
  </si>
  <si>
    <t>F2RL3</t>
  </si>
  <si>
    <t>Proteinase-activated receptor 4 Precursor (PAR-4)(Thrombin receptor-like 3)(Coagulation factor II receptor-like 3) [Source:UniProtKB/Swiss-Prot;Acc:Q96RI0]</t>
  </si>
  <si>
    <t>opHsV0400007545</t>
  </si>
  <si>
    <t>NM_018202</t>
  </si>
  <si>
    <t>TMEM57</t>
  </si>
  <si>
    <t>Macoilin (Transmembrane protein 57) [Source:UniProtKB/Swiss-Prot;Acc:Q8N5G2]</t>
  </si>
  <si>
    <t>GO:0016021 integral to membrane,GO:0016020 membrane,GO:0005634 nucleus</t>
  </si>
  <si>
    <t>DHsGV10002278</t>
  </si>
  <si>
    <t>H200017355</t>
  </si>
  <si>
    <t>NM_021980;NM_021980;NM_021980;NM_021980;NM_021980</t>
  </si>
  <si>
    <t>OPTN</t>
  </si>
  <si>
    <t>Optineurin (Optic neuropathy-inducing protein)(E3-14.7K-interacting protein)(FIP-2)(Huntingtin-interacting protein L)(Huntingtin yeast partner L)(NEMO-related protein)(Transcription factor IIIA-interacting protein)(TFIIIA-IntP) [Source:UniProtKB/Swiss-Prot;Acc:Q96CV9]</t>
  </si>
  <si>
    <t>H200015386</t>
  </si>
  <si>
    <t>GO:0007165 signal transduction,GO:0000042 protein targeting to Golgi,GO:0008219 cell death,GO:0007030 Golgi organization,GO:0043001 Golgi to plasma membrane protein transport</t>
  </si>
  <si>
    <t>Ankyrin repeat and LEM domain-containing protein 2  [Source:UniProtKB/Swiss-Prot;Acc:Q86XL3]</t>
  </si>
  <si>
    <t>GO:0016021 integral to membrane,GO:0005635 nuclear envelope,GO:0016020 membrane</t>
  </si>
  <si>
    <t>Ras GTPase-activating protein 1 (RasGAP)(GTPase-activating protein)(GAP)(Ras p21 protein activator)(p120GAP) [Source:UniProtKB/Swiss-Prot;Acc:P20936]</t>
  </si>
  <si>
    <t>GO:0006355 regulation of transcription, DNA-dependent,GO:0007186 G-protein coupled receptor protein signaling pathway,GO:0007275 multicellular organismal development,GO:0008283 cell proliferation,GO:0000122 negative regulation of transcription from RNA polymerase II promoter,GO:0009952 anterior/posterior pattern formation,GO:0048704 embryonic skeletal morphogenesis,GO:0048103 somatic stem cell division,GO:0048536 spleen development,GO:0048539 bone marrow development,GO:0060216 definitive hemopoiesis,GO:0002011 morphogenesis of an epithelial sheet</t>
  </si>
  <si>
    <t>GO:0003677 DNA binding,GO:0003700 transcription factor activity,GO:0043565 sequence-specific DNA binding,GO:0016564 transcription repressor activity</t>
  </si>
  <si>
    <t>DHsGV10000472</t>
  </si>
  <si>
    <t>CHsGV10001284</t>
  </si>
  <si>
    <t>NM_001008215.1</t>
  </si>
  <si>
    <t>Transient receptor potential cation channel subfamily M member 5 (Long transient receptor potential channel 5)(LTrpC5)(MLSN1- and TRP-related gene 1 protein) [Source:UniProtKB/Swiss-Prot;Acc:Q9NZQ8]</t>
  </si>
  <si>
    <t>GO:0004872 receptor activity,GO:0005244 voltage-gated ion channel activity,GO:0005216 ion channel activity,GO:0005262 calcium channel activity</t>
  </si>
  <si>
    <t>AHsV10001401</t>
  </si>
  <si>
    <t>NM_005219.4</t>
  </si>
  <si>
    <t>DIAPH1</t>
  </si>
  <si>
    <t>Protein diaphanous homolog 1 (Diaphanous-related formin-1)(DRF1) [Source:UniProtKB/Swiss-Prot;Acc:O60610]</t>
  </si>
  <si>
    <t>GO:0007605 sensory perception of sound,GO:0016043 cellular component organization,GO:0030036 actin cytoskeleton organization</t>
  </si>
  <si>
    <t>H200014327</t>
  </si>
  <si>
    <t>NM_005279</t>
  </si>
  <si>
    <t>GPR1</t>
  </si>
  <si>
    <t>Probable G-protein coupled receptor 1  [Source:UniProtKB/Swiss-Prot;Acc:P46091]</t>
  </si>
  <si>
    <t>GO:0007165 signal transduction,GO:0007186 G-protein coupled receptor protein signaling pathway,GO:0006935 chemotaxis</t>
  </si>
  <si>
    <t>H200012623</t>
  </si>
  <si>
    <t>NM_024015</t>
  </si>
  <si>
    <t>HOXB4</t>
  </si>
  <si>
    <t>GO:0004872 receptor activity,GO:0004930 G-protein coupled receptor activity,GO:0045028 purinergic nucleotide receptor activity, G-protein coupled,GO:0004982 N-formyl peptide receptor activity,GO:0004945 angiotensin type II receptor activity,GO:0004966 galanin receptor activity,GO:0004942 anaphylatoxin receptor activity</t>
  </si>
  <si>
    <t>GO:0005886 plasma membrane,GO:0016021 integral to membrane,GO:0005737 cytoplasm,GO:0005887 integral to plasma membrane</t>
  </si>
  <si>
    <t>H200000192</t>
  </si>
  <si>
    <t>NM_002890</t>
  </si>
  <si>
    <t>RASA1</t>
  </si>
  <si>
    <t>C2orf64</t>
  </si>
  <si>
    <t>Uncharacterized protein C2orf64  [Source:UniProtKB/Swiss-Prot;Acc:Q86WW8]</t>
  </si>
  <si>
    <t>DHsGV10002373</t>
  </si>
  <si>
    <t>H300019986</t>
  </si>
  <si>
    <t>NM_014790;NM_014790</t>
  </si>
  <si>
    <t>JAKMIP2</t>
  </si>
  <si>
    <t>Janus kinase and microtubule-interacting protein 2 (Neuroendocrine long coiled-coil protein 1)(CTCL tumor antigen HD-CL-04) [Source:UniProtKB/Swiss-Prot;Acc:Q96AA8]</t>
  </si>
  <si>
    <t>Inactive ubiquitin carboxyl-terminal hydrolase 53 (Inactive ubiquitin-specific peptidase 53) [Source:UniProtKB/Swiss-Prot;Acc:Q70EK8]</t>
  </si>
  <si>
    <t>GO:0006511 ubiquitin-dependent protein catabolic process,GO:0008150 biological_process</t>
  </si>
  <si>
    <t>GO:0004221 ubiquitin thiolesterase activity</t>
  </si>
  <si>
    <t>H300000132</t>
  </si>
  <si>
    <t>ZC3H11B</t>
  </si>
  <si>
    <t>H300008489</t>
  </si>
  <si>
    <t>NM_017628;NM_017628</t>
  </si>
  <si>
    <t>TET2</t>
  </si>
  <si>
    <t>Protein TET2  [Source:UniProtKB/Swiss-Prot;Acc:Q6N021]</t>
  </si>
  <si>
    <t>opHsV0400000012</t>
  </si>
  <si>
    <t>NM_014555</t>
  </si>
  <si>
    <t>TRPM5</t>
  </si>
  <si>
    <t>DHsGV10001510</t>
  </si>
  <si>
    <t>H300011264</t>
  </si>
  <si>
    <t>NM_033402;NM_033402</t>
  </si>
  <si>
    <t>LRRCC1</t>
  </si>
  <si>
    <t>Leucine-rich repeat and coiled-coil domain-containing protein 1  [Source:UniProtKB/Swiss-Prot;Acc:Q9C099]</t>
  </si>
  <si>
    <t>H200015049</t>
  </si>
  <si>
    <t>GO:0003779 actin binding,GO:0005102 receptor binding,GO:0017048 Rho GTPase binding,GO:0005199 structural constituent of cell wall</t>
  </si>
  <si>
    <t>GO:0005737 cytoplasm,GO:0005856 cytoskeleton,GO:0005886 plasma membrane,GO:0042995 cell projection</t>
  </si>
  <si>
    <t>GO:0008022 protein C-terminus binding</t>
  </si>
  <si>
    <t>CHsGV10001372</t>
  </si>
  <si>
    <t>NM_015114.1</t>
  </si>
  <si>
    <t>ANKLE2</t>
  </si>
  <si>
    <t>GO:0005515 protein binding,GO:0004872 receptor activity,GO:0016798 hydrolase activity, acting on glycosyl bonds,GO:0004415 hyalurononglucosaminidase activity,GO:0005515 protein binding</t>
  </si>
  <si>
    <t>GO:0005886 plasma membrane,GO:0031225 anchored to membrane,GO:0005764 lysosome</t>
  </si>
  <si>
    <t>H300022378</t>
  </si>
  <si>
    <t>NM_020242</t>
  </si>
  <si>
    <t>KIF15</t>
  </si>
  <si>
    <t>Homeobox protein Hox-B4 (Hox-2F)(Hox-2.6) [Source:UniProtKB/Swiss-Prot;Acc:P17483]</t>
  </si>
  <si>
    <t>GO:0005634 nucleus,GO:0005737 cytoplasm,GO:0031410 cytoplasmic vesicle</t>
  </si>
  <si>
    <t>H300009567</t>
  </si>
  <si>
    <t>NM_019050</t>
  </si>
  <si>
    <t>USP53</t>
  </si>
  <si>
    <t>2',3'-cyclic-nucleotide 3'-phosphodiesterase (CNPase)(CNP)(EC 3.1.4.37) [Source:UniProtKB/Swiss-Prot;Acc:P09543]</t>
  </si>
  <si>
    <t>GO:0000226 microtubule cytoskeleton organization,GO:0007268 synaptic transmission,GO:0007409 axonogenesis,GO:0008344 adult locomotory behavior,GO:0009214 cyclic nucleotide catabolic process,GO:0016070 RNA metabolic process,GO:0000226 microtubule cytoskele</t>
  </si>
  <si>
    <t>H300018731</t>
  </si>
  <si>
    <t>RELB</t>
  </si>
  <si>
    <t>Transcription factor RelB (I-Rel) [Source:UniProtKB/Swiss-Prot;Acc:Q01201]</t>
  </si>
  <si>
    <t>GO:0005515 protein binding,GO:0003700 transcription factor activity,GO:0003714 transcription corepressor activity</t>
  </si>
  <si>
    <t>GO:0006139 nucleobase, nucleoside, nucleotide and nucleic acid metabolic process,GO:0007050 cell cycle arrest,GO:0046034 ATP metabolic process</t>
  </si>
  <si>
    <t>Kinesin-like protein KIF15 (Kinesin-like protein 2)(hKLP2)(Kinesin-like protein 7)(Serologically defined breast cancer antigen NY-BR-62) [Source:UniProtKB/Swiss-Prot;Acc:Q9NS87]</t>
  </si>
  <si>
    <t>GO:0003777 microtubule motor activity,GO:0005524 ATP binding,GO:0008083 growth factor activity,GO:0005096 GTPase activator activity</t>
  </si>
  <si>
    <t>H300020161</t>
  </si>
  <si>
    <t>NM_017957</t>
  </si>
  <si>
    <t>EPN3</t>
  </si>
  <si>
    <t>Epsin-3 (EPS-15-interacting protein 3) [Source:UniProtKB/Swiss-Prot;Acc:Q9H201]</t>
  </si>
  <si>
    <t>GO:0008289 lipid binding</t>
  </si>
  <si>
    <t>GO:0005125 cytokine activity,GO:0005126 hematopoietin/interferon-class (D200-domain) cytokine receptor binding</t>
  </si>
  <si>
    <t>opHsV0400008864</t>
  </si>
  <si>
    <t>NM_032341;NM_032341</t>
  </si>
  <si>
    <t>DDI2</t>
  </si>
  <si>
    <t>Protein DDI1 homolog 2  [Source:UniProtKB/Swiss-Prot;Acc:Q5TDH0]</t>
  </si>
  <si>
    <t>E3 ubiquitin-protein ligase Topors (EC 6.3.2.-)(SUMO1-protein E3 ligase Topors)(Topoisomerase I-binding RING finger protein)(Topoisomerase I-binding arginine/serine-rich protein)(Tumor suppressor p53-binding protein 3)(p53-binding protein 3)(p53BP3) [Sour</t>
  </si>
  <si>
    <t>GO:0000166 nucleotide binding,GO:0003824 catalytic activity,GO:0004113 2',3'-cyclic-nucleotide 3'-phosphodiesterase activity,GO:0016787 hydrolase activity,GO:0017111 nucleoside-triphosphatase activity</t>
  </si>
  <si>
    <t>GO:0005615 extracellular space,GO:0005622 intracellular,GO:0005624 membrane fraction,GO:0005737 cytoplasm,GO:0016020 membrane,GO:0031224 intrinsic to membrane,GO:0042470 melanosome,GO:0031224 intrinsic to membrane</t>
  </si>
  <si>
    <t>AHsV10003374</t>
  </si>
  <si>
    <t>NM_000476.2</t>
  </si>
  <si>
    <t>AK1</t>
  </si>
  <si>
    <t>Adenylate kinase isoenzyme 1 (AK 1)(EC 2.7.4.3)(ATP-AMP transphosphorylase 1)(Myokinase) [Source:UniProtKB/Swiss-Prot;Acc:P00568]</t>
  </si>
  <si>
    <t>Microsomal glutathione S-transferase 3 (Microsomal GST-3)(EC 2.5.1.18)(Microsomal GST-III) [Source:UniProtKB/Swiss-Prot;Acc:O14880]</t>
  </si>
  <si>
    <t>GO:0007165 signal transduction,GO:0006629 lipid metabolic process</t>
  </si>
  <si>
    <t>GO:0016740 transferase activity,GO:0004364 glutathione transferase activity,GO:0004601 peroxidase activity</t>
  </si>
  <si>
    <t>GO:0000166 nucleotide binding,GO:0004017 adenylate kinase activity,GO:0004765 shikimate kinase activity,GO:0005515 protein binding,GO:0005524 ATP binding,GO:0016740 transferase activity,GO:0019205 nucleobase, nucleoside, nucleotide kinase activity,GO:0019</t>
  </si>
  <si>
    <t>GO:0005634 nucleus,GO:0005737 cytoplasm,GO:0005739 mitochondrion,GO:0005829 cytosol,GO:0005886 plasma membrane</t>
  </si>
  <si>
    <t>H200006333</t>
  </si>
  <si>
    <t>NM_003773</t>
  </si>
  <si>
    <t>HYAL2</t>
  </si>
  <si>
    <t>Hyaluronidase-2 Precursor (Hyal-2)(EC 3.2.1.35)(Hyaluronoglucosaminidase-2)(LUCA-2) [Source:UniProtKB/Swiss-Prot;Acc:Q12891]</t>
  </si>
  <si>
    <t>GO:0005975 carbohydrate metabolic process,GO:0008152 metabolic process,GO:0030214 hyaluronan catabolic process,GO:0030214 hyaluronan catabolic process</t>
  </si>
  <si>
    <t>GO:0016020 membrane,GO:0005737 cytoplasm,GO:0005794 Golgi apparatus,GO:0000139 Golgi membrane,GO:0005829 cytosol,GO:0031410 cytoplasmic vesicle,GO:0030117 membrane coat,GO:0005798 Golgi-associated vesicle,GO:0030126 COPI vesicle coat</t>
  </si>
  <si>
    <t>CHsGV10002990</t>
  </si>
  <si>
    <t>NM_016219.3</t>
  </si>
  <si>
    <t>MAN1B1</t>
  </si>
  <si>
    <t>H200014128</t>
  </si>
  <si>
    <t>NM_020414</t>
  </si>
  <si>
    <t>DDX24</t>
  </si>
  <si>
    <t>ATP-dependent RNA helicase DDX24 (EC 3.6.1.-)(DEAD box protein 24) [Source:UniProtKB/Swiss-Prot;Acc:Q9GZR7]</t>
  </si>
  <si>
    <t>GO:0016070 RNA metabolic process</t>
  </si>
  <si>
    <t>GO:0016787 hydrolase activity,GO:0000166 nucleotide binding,GO:0005524 ATP binding,GO:0003676 nucleic acid binding,GO:0003723 RNA binding,GO:0004386 helicase activity,GO:0008026 ATP-dependent helicase activity,GO:0004004 ATP-dependent RNA helicase activity</t>
  </si>
  <si>
    <t>GO:0005737 cytoplasm,GO:0005575 cellular_component,GO:0005730 nucleolus</t>
  </si>
  <si>
    <t>AHsV10001864</t>
  </si>
  <si>
    <t>NM_033133.4</t>
  </si>
  <si>
    <t>CNP</t>
  </si>
  <si>
    <t>GO:0016021 integral to membrane,GO:0005624 membrane fraction,GO:0005783 endoplasmic reticulum,GO:0016020 membrane</t>
  </si>
  <si>
    <t>GO:0006950 response to stress</t>
  </si>
  <si>
    <t>GO:0006915 apoptosis,GO:0006974 response to DNA damage stimulus,GO:0007601 visual perception,GO:0019941 modification-dependent protein catabolic process,GO:0042127 regulation of cell proliferation,GO:0045941 positive regulation of transcription,GO:0050896</t>
  </si>
  <si>
    <t>GO:0003677 DNA binding,GO:0003823 antigen binding,GO:0005515 protein binding,GO:0008270 zinc ion binding,GO:0016874 ligase activity,GO:0017033 DNA topoisomerase I binding,GO:0046872 metal ion binding</t>
  </si>
  <si>
    <t>DHsGV10004537</t>
  </si>
  <si>
    <t>AC139792.1</t>
  </si>
  <si>
    <t>H300014466</t>
  </si>
  <si>
    <t>NM_004528;NM_004528;NM_004528;NM_004528</t>
  </si>
  <si>
    <t>MGST3</t>
  </si>
  <si>
    <t>opHsV0400000686</t>
  </si>
  <si>
    <t>NM_030808;NM_030808</t>
  </si>
  <si>
    <t>NDEL1</t>
  </si>
  <si>
    <t>Nuclear distribution protein nudE-like 1 (Protein Nudel)(Mitosin-associated protein 1) [Source:UniProtKB/Swiss-Prot;Acc:Q9GZM8]</t>
  </si>
  <si>
    <t>GO:0006508 proteolysis,GO:0006464 protein modification process</t>
  </si>
  <si>
    <t>AHsV10001076</t>
  </si>
  <si>
    <t>NM_005802.2</t>
  </si>
  <si>
    <t>TOPORS</t>
  </si>
  <si>
    <t>H300000891</t>
  </si>
  <si>
    <t>NM_016128</t>
  </si>
  <si>
    <t>COPG</t>
  </si>
  <si>
    <t>Coatomer subunit gamma (Gamma-coat protein)(Gamma-COP) [Source:UniProtKB/Swiss-Prot;Acc:Q9Y678]</t>
  </si>
  <si>
    <t>GO:0006886 intracellular protein transport,GO:0016192 vesicle-mediated transport,GO:0016044 membrane organization,GO:0006890 retrograde vesicle-mediated transport, Golgi to ER,GO:0048205 COPI coating of Golgi vesicle</t>
  </si>
  <si>
    <t>GO:0005515 protein binding,GO:0005488 binding,GO:0005198 structural molecule activity</t>
  </si>
  <si>
    <t>Endoplasmic reticulum mannosyl-oligosaccharide 1,2-alpha-mannosidase (EC 3.2.1.113)(ER alpha-1,2-mannosidase)(Mannosidase alpha class 1B member 1)(Man9GlcNAc2-specific-processing alpha-mannosidase) [Source:UniProtKB/Swiss-Prot;Acc:Q9UKM7]</t>
  </si>
  <si>
    <t>GO:0006487 protein amino acid N-linked glycosylation,GO:0008152 metabolic process,GO:0009311 oligosaccharide metabolic process</t>
  </si>
  <si>
    <t>CHsGV10003968</t>
  </si>
  <si>
    <t>NM_000853.2</t>
  </si>
  <si>
    <t>GSTT1</t>
  </si>
  <si>
    <t>Glutathione S-transferase theta-1 (EC 2.5.1.18)(GST class-theta-1)(Glutathione transferase T1-1) [Source:UniProtKB/Swiss-Prot;Acc:P30711]</t>
  </si>
  <si>
    <t>GO:0016740 transferase activity,GO:0004364 glutathione transferase activity</t>
  </si>
  <si>
    <t>GO:0005874 microtubule,GO:0005856 cytoskeleton,GO:0005737 cytoplasm,GO:0005819 spindle,GO:0005813 centrosome</t>
  </si>
  <si>
    <t>H200019326</t>
  </si>
  <si>
    <t>NM_032320</t>
  </si>
  <si>
    <t>BTBD10</t>
  </si>
  <si>
    <t>BTB/POZ domain-containing protein 10  [Source:UniProtKB/Swiss-Prot;Acc:Q9BSF8]</t>
  </si>
  <si>
    <t>GO:0016020 membrane,GO:0005634 nucleus,GO:0008076 voltage-gated potassium channel complex</t>
  </si>
  <si>
    <t>GO:0005515 protein binding,GO:0016491 oxidoreductase activity</t>
  </si>
  <si>
    <t>DHsGV10005499</t>
  </si>
  <si>
    <t>LOC100287782</t>
  </si>
  <si>
    <t>opHsV0400005319</t>
  </si>
  <si>
    <t>GO:0005634 nucleus,GO:0005578 proteinaceous extracellular matrix</t>
  </si>
  <si>
    <t>AHsV10002832</t>
  </si>
  <si>
    <t>NM_001005735.1</t>
  </si>
  <si>
    <t>CHEK2</t>
  </si>
  <si>
    <t>Serine/threonine-protein kinase Chk2 (EC 2.7.11.1)(Cds1) [Source:UniProtKB/Swiss-Prot;Acc:O96017]</t>
  </si>
  <si>
    <t>GO:0005515 protein binding,GO:0008270 zinc ion binding,GO:0046872 metal ion binding,GO:0003700 transcription factor activity</t>
  </si>
  <si>
    <t>H200016884</t>
  </si>
  <si>
    <t>NM_014589</t>
  </si>
  <si>
    <t>PLA2G2E</t>
  </si>
  <si>
    <t>Group IIE secretory phospholipase A2 Precursor (GIIE sPLA2)(EC 3.1.1.4)(Phosphatidylcholine 2-acylhydrolase GIIE)(sPLA(2)-IIE) [Source:UniProtKB/Swiss-Prot;Acc:Q9NZK7]</t>
  </si>
  <si>
    <t>GO:0006954 inflammatory response,GO:0016042 lipid catabolic process,GO:0006644 phospholipid metabolic process</t>
  </si>
  <si>
    <t>H300004999</t>
  </si>
  <si>
    <t>NM_198889;NM_198889</t>
  </si>
  <si>
    <t>ANKRD17</t>
  </si>
  <si>
    <t>Ankyrin repeat domain-containing protein 17 (Gene trap ankyrin repeat protein)(Serologically defined breast cancer antigen NY-BR-16) [Source:UniProtKB/Swiss-Prot;Acc:O75179]</t>
  </si>
  <si>
    <t>GO:0006298 mismatch repair</t>
  </si>
  <si>
    <t>GO:0005524 ATP binding,GO:0030983 mismatched DNA binding</t>
  </si>
  <si>
    <t>EMILIN-2 Precursor (Elastin microfibril interface-located protein 2)(Elastin microfibril interfacer 2)(Protein FOAP-10) [Source:UniProtKB/Swiss-Prot;Acc:Q9BXX0]</t>
  </si>
  <si>
    <t>GO:0007155 cell adhesion,GO:0007186 G-protein coupled receptor protein signaling pathway</t>
  </si>
  <si>
    <t>GO:0016021 integral to membrane,GO:0015629 actin cytoskeleton</t>
  </si>
  <si>
    <t>H300020032</t>
  </si>
  <si>
    <t>NM_012175</t>
  </si>
  <si>
    <t>FBXO3</t>
  </si>
  <si>
    <t>F-box only protein 3  [Source:UniProtKB/Swiss-Prot;Acc:Q9UK99]</t>
  </si>
  <si>
    <t>DHsGV10002016</t>
  </si>
  <si>
    <t>H200009985</t>
  </si>
  <si>
    <t>NM_004641</t>
  </si>
  <si>
    <t>MLLT10</t>
  </si>
  <si>
    <t>Protein AF-10  [Source:UniProtKB/Swiss-Prot;Acc:P55197]</t>
  </si>
  <si>
    <t>GO:0006355 regulation of transcription, DNA-dependent,GO:0045449 regulation of transcription,GO:0006352 transcription initiation</t>
  </si>
  <si>
    <t>DHsGV10000411</t>
  </si>
  <si>
    <t>H200021148</t>
  </si>
  <si>
    <t>NM_152341;NM_152341</t>
  </si>
  <si>
    <t>PAQR4</t>
  </si>
  <si>
    <t>GO:0006810 transport,GO:0007275 multicellular organismal development,GO:0007399 nervous system development,GO:0030154 cell differentiation</t>
  </si>
  <si>
    <t>H300002495</t>
  </si>
  <si>
    <t>NM_153448</t>
  </si>
  <si>
    <t>ESX1</t>
  </si>
  <si>
    <t>Homeobox protein ESX1 (Extraembryonic, spermatogenesis, homeobox 1) [Source:UniProtKB/Swiss-Prot;Acc:Q8N693]</t>
  </si>
  <si>
    <t>GO:0003700 transcription factor activity,GO:0043565 sequence-specific DNA binding,GO:0005199 structural constituent of cell wall</t>
  </si>
  <si>
    <t>GO:0007049 cell cycle,GO:0007067 mitosis,GO:0051301 cell division</t>
  </si>
  <si>
    <t>GO:0005516 calmodulin binding</t>
  </si>
  <si>
    <t>H200001253</t>
  </si>
  <si>
    <t>NM_003567</t>
  </si>
  <si>
    <t>BCAR3</t>
  </si>
  <si>
    <t>Breast cancer anti-estrogen resistance protein 3 (SH2 domain-containing protein 3B)(Novel SH2-containing protein 2) [Source:UniProtKB/Swiss-Prot;Acc:O75815]</t>
  </si>
  <si>
    <t>GO:0016021 integral to membrane,GO:0016020 membrane,GO:0030054 cell junction,GO:0045202 synapse,GO:0019717 synaptosome</t>
  </si>
  <si>
    <t>H200016697</t>
  </si>
  <si>
    <t>NM_032048</t>
  </si>
  <si>
    <t>EMILIN2</t>
  </si>
  <si>
    <t>GO:0006511 ubiquitin-dependent protein catabolic process,GO:0006508 proteolysis</t>
  </si>
  <si>
    <t>GO:0004842 ubiquitin-protein ligase activity</t>
  </si>
  <si>
    <t>H200010474</t>
  </si>
  <si>
    <t>NM_016457</t>
  </si>
  <si>
    <t>PRKD2</t>
  </si>
  <si>
    <t>Serine/threonine-protein kinase D2 (EC 2.7.11.13)(nPKC-D2) [Source:UniProtKB/Swiss-Prot;Acc:Q9BZL6]</t>
  </si>
  <si>
    <t>BRF2</t>
  </si>
  <si>
    <t>Transcription factor IIIB 50 kDa subunit (TFIIIB50)(hTFIIIB50)(B-related factor 2)(BRF-2)(hBRFU) [Source:UniProtKB/Swiss-Prot;Acc:Q9HAW0]</t>
  </si>
  <si>
    <t>GO:0005515 protein binding,GO:0008270 zinc ion binding,GO:0046872 metal ion binding,GO:0030528 transcription regulator activity</t>
  </si>
  <si>
    <t>opHsV0400000009</t>
  </si>
  <si>
    <t>NM_004781</t>
  </si>
  <si>
    <t>VAMP3</t>
  </si>
  <si>
    <t>NM_018136;NM_018136</t>
  </si>
  <si>
    <t>ASPM</t>
  </si>
  <si>
    <t>Abnormal spindle-like microcephaly-associated protein (Abnormal spindle protein homolog)(Asp homolog) [Source:UniProtKB/Swiss-Prot;Acc:Q8IZT6]</t>
  </si>
  <si>
    <t>GO:0003835 beta-galactoside alpha-2,6-sialyltransferase activity,GO:0008373 sialyltransferase activity</t>
  </si>
  <si>
    <t>GO:0005576 extracellular region,GO:0005794 Golgi apparatus,GO:0016020 membrane,GO:0016021 integral to membrane,GO:0030173 integral to Golgi membrane</t>
  </si>
  <si>
    <t>NM_018847</t>
  </si>
  <si>
    <t>KLHL9</t>
  </si>
  <si>
    <t>Kelch-like protein 9  [Source:UniProtKB/Swiss-Prot;Acc:Q9P2J3]</t>
  </si>
  <si>
    <t>H200005141</t>
  </si>
  <si>
    <t>NM_022772</t>
  </si>
  <si>
    <t>EPS8L2</t>
  </si>
  <si>
    <t>Epidermal growth factor receptor kinase substrate 8-like protein 2 (Epidermal growth factor receptor pathway substrate 8-related protein 2)(EPS8-like protein 2) [Source:UniProtKB/Swiss-Prot;Acc:Q9H6S3]</t>
  </si>
  <si>
    <t>H300019067</t>
  </si>
  <si>
    <t>NM_000285;NM_000285</t>
  </si>
  <si>
    <t>PEPD</t>
  </si>
  <si>
    <t>Xaa-Pro dipeptidase (X-Pro dipeptidase)(EC 3.4.13.9)(Proline dipeptidase)(Prolidase)(Imidodipeptidase)(Peptidase D) [Source:UniProtKB/Swiss-Prot;Acc:P12955]</t>
  </si>
  <si>
    <t>GO:0030145 manganese ion binding,GO:0004177 aminopeptidase activity,GO:0008235 metalloexopeptidase activity</t>
  </si>
  <si>
    <t>H200017006</t>
  </si>
  <si>
    <t>NM_018310</t>
  </si>
  <si>
    <t>AHsV10000390</t>
  </si>
  <si>
    <t>NM_007106.3</t>
  </si>
  <si>
    <t>UBL3</t>
  </si>
  <si>
    <t>H300010283</t>
  </si>
  <si>
    <t>NM_002777</t>
  </si>
  <si>
    <t>PRTN3</t>
  </si>
  <si>
    <t>Myeloblastin Precursor (EC 3.4.21.76)(Leukocyte proteinase 3)(PR-3)(PR3)(AGP7)(Wegener autoantigen)(P29)(C-ANCA antigen)(Neutrophil proteinase 4)(NP-4) [Source:UniProtKB/Swiss-Prot;Acc:P24158]</t>
  </si>
  <si>
    <t>GO:0006508 proteolysis,GO:0008284 positive regulation of cell proliferation,GO:0030574 collagen catabolic process</t>
  </si>
  <si>
    <t>GO:0005576 extracellular region,GO:0005625 soluble fraction,GO:0005615 extracellular space</t>
  </si>
  <si>
    <t>H300022362</t>
  </si>
  <si>
    <t>GO:0016740 transferase activity,GO:0000287 magnesium ion binding,GO:0000166 nucleotide binding,GO:0005524 ATP binding,GO:0030145 manganese ion binding,GO:0004872 receptor activity,GO:0004674 protein serine/threonine kinase activity,GO:0004713 protein tyrosine kinase activity,GO:0004672 protein kinase activity,GO:0005024 transforming growth factor beta receptor activity,GO:0046332 SMAD binding,GO:0016361 activin receptor activity, type I,GO:0048185 activin binding,GO:0019838 growth factor binding,GO:0004702 receptor signaling protein serine/threonine kinase activity,GO:0004675 transmembrane receptor protein serine/threonine kinase activity</t>
  </si>
  <si>
    <t>Progestin and adipoQ receptor family member 4 (Progestin and adipoQ receptor family member IV) [Source:UniProtKB/Swiss-Prot;Acc:Q8N4S7]</t>
  </si>
  <si>
    <t>Vesicle-associated membrane protein 3 (VAMP-3)(Synaptobrevin-3)(Cellubrevin)(CEB) [Source:UniProtKB/Swiss-Prot;Acc:Q15836]</t>
  </si>
  <si>
    <t>GO:0006904 vesicle docking during exocytosis,GO:0006461 protein complex assembly,GO:0016192 vesicle-mediated transport,GO:0006944 membrane fusion</t>
  </si>
  <si>
    <t>Signal peptide peptidase-like 3 (SPP-like 3 protein)(EC 3.4.23.-)(Intramembrane protease 2)(IMP2)(Presenilin-like protein 4) [Source:UniProtKB/Swiss-Prot;Acc:Q8TCT6]</t>
  </si>
  <si>
    <t>GO:0004190 aspartic-type endopeptidase activity,GO:0008233 peptidase activity</t>
  </si>
  <si>
    <t>opHsV0400006370</t>
  </si>
  <si>
    <t>Ubiquitin-like protein 3 Precursor (Membrane-anchored ubiquitin-fold protein)(MUB)(HsMUB)(Protein HCG-1) [Source:UniProtKB/Swiss-Prot;Acc:O95164]</t>
  </si>
  <si>
    <t>AHsV10001750</t>
  </si>
  <si>
    <t>NM_003032.2</t>
  </si>
  <si>
    <t>GO:0006486 protein amino acid glycosylation,GO:0006959 humoral immune response,GO:0009311 oligosaccharide metabolic process</t>
  </si>
  <si>
    <t>Polypeptide N-acetylgalactosaminyltransferase 11 (EC 2.4.1.41)(Polypeptide GalNAc transferase 11)(pp-GaNTase 11)(GalNAc-T11)(Protein-UDP acetylgalactosaminyltransferase 11)(UDP-GalNAc:polypeptide N-acetylgalactosaminyltransferase 11) [Source:UniProtKB/Swiss-Prot;Acc:Q8NCW6]</t>
  </si>
  <si>
    <t>GO:0005509 calcium ion binding,GO:0004653 polypeptide N-acetylgalactosaminyltransferase activity,GO:0005529 sugar binding,GO:0016757 transferase activity, transferring glycosyl groups,GO:0030145 manganese ion binding</t>
  </si>
  <si>
    <t>H200017431</t>
  </si>
  <si>
    <t>NM_014160</t>
  </si>
  <si>
    <t>MKRN2</t>
  </si>
  <si>
    <t>Makorin-2 (RING finger protein 62) [Source:UniProtKB/Swiss-Prot;Acc:Q9H000]</t>
  </si>
  <si>
    <t>GO:0005515 protein binding,GO:0008270 zinc ion binding,GO:0046872 metal ion binding,GO:0003676 nucleic acid binding,GO:0003674 molecular_function</t>
  </si>
  <si>
    <t>AHsV10001251</t>
  </si>
  <si>
    <t>NM_019884.2</t>
  </si>
  <si>
    <t>GSK3A</t>
  </si>
  <si>
    <t>GO:0016020 membrane,GO:0005887 integral to plasma membrane,GO:0009986 cell surface</t>
  </si>
  <si>
    <t>H300020204</t>
  </si>
  <si>
    <t>NM_024874;NM_024874;NM_182686;NM_182686</t>
  </si>
  <si>
    <t>KIAA0319L</t>
  </si>
  <si>
    <t>GO:0007165 signal transduction,GO:0007264 small GTPase mediated signal transduction,GO:0042493 response to drug</t>
  </si>
  <si>
    <t>GO:0005515 protein binding,GO:0005085 guanyl-nucleotide exchange factor activity</t>
  </si>
  <si>
    <t>H200010215</t>
  </si>
  <si>
    <t>NM_030925;NM_030925;NM_030925</t>
  </si>
  <si>
    <t>CAB39L</t>
  </si>
  <si>
    <t>Calcium-binding protein 39-like (Mo25-like protein)(Antigen MLAA-34) [Source:UniProtKB/Swiss-Prot;Acc:Q9H9S4]</t>
  </si>
  <si>
    <t>H300005707</t>
  </si>
  <si>
    <t>AC092474.3</t>
  </si>
  <si>
    <t>Uncharacterized protein KIAA0319-like  [Source:UniProtKB/Swiss-Prot;Acc:Q8IZA0]</t>
  </si>
  <si>
    <t>H200017598</t>
  </si>
  <si>
    <t>NM_052967</t>
  </si>
  <si>
    <t>MAS1L</t>
  </si>
  <si>
    <t>Mas-related G-protein coupled receptor MRG (MAS-R)(MAS1-like) [Source:UniProtKB/Swiss-Prot;Acc:P35410]</t>
  </si>
  <si>
    <t>CHsGV10003977</t>
  </si>
  <si>
    <t>NM_015110.3</t>
  </si>
  <si>
    <t>SMC5</t>
  </si>
  <si>
    <t>GO:0043627 response to estrogen stimulus,GO:0042246 tissue regeneration,GO:0007601 visual perception,GO:0014070 response to organic cyclic substance,GO:0051045 negative regulation of membrane protein ectodomain proteolysis,GO:0050896 response to stimulus,GO:0007568 aging,GO:0014070 response to organic cyclic substance,GO:0043200 response to amino acid stimulus,GO:0043627 response to estrogen stimulus,GO:0009612 response to mechanical stimulus,GO:0007417 central nervous system development,GO:0045861 negative regulation of proteolysis,GO:0042246 tissue regeneration,GO:0009725 response to hormone stimulus,GO:0051593 response to folic acid</t>
  </si>
  <si>
    <t>GO:0005515 protein binding,GO:0004857 enzyme inhibitor activity,GO:0008191 metalloendopeptidase inhibitor activity</t>
  </si>
  <si>
    <t>GO:0005604 basement membrane,GO:0005578 proteinaceous extracellular matrix,GO:0005576 extracellular region,GO:0005737 cytoplasm,GO:0005604 basement membrane</t>
  </si>
  <si>
    <t>CHsGV10000657</t>
  </si>
  <si>
    <t>NM_001013406.1;NM_194454.1;NM_004912.3;NM_194456.1;NM_194455.1</t>
  </si>
  <si>
    <t>KRIT1</t>
  </si>
  <si>
    <t>NM_004302</t>
  </si>
  <si>
    <t>ACVR1B</t>
  </si>
  <si>
    <t>Activin receptor type-1B Precursor (EC 2.7.11.30)(ACTR-IB)(Serine/threonine-protein kinase receptor R2)(SKR2)(Activin receptor-like kinase 4)(ALK-4) [Source:UniProtKB/Swiss-Prot;Acc:P36896]</t>
  </si>
  <si>
    <t>Structural maintenance of chromosomes protein 5 (hSMC5) [Source:UniProtKB/Swiss-Prot;Acc:Q8IY18]</t>
  </si>
  <si>
    <t>GO:0006281 DNA repair,GO:0006974 response to DNA damage stimulus,GO:0006310 DNA recombination</t>
  </si>
  <si>
    <t>GO:0005524 ATP binding,GO:0017111 nucleoside-triphosphatase activity,GO:0000166 nucleotide binding</t>
  </si>
  <si>
    <t>AHsV10001340</t>
  </si>
  <si>
    <t>NM_139015.3</t>
  </si>
  <si>
    <t>AC069234.35</t>
  </si>
  <si>
    <t>GO:0007165 signal transduction,GO:0006468 protein amino acid phosphorylation,GO:0001701 in utero embryonic development,GO:0030308 negative regulation of cell growth,GO:0006917 induction of apoptosis,GO:0009790 embryonic development,GO:0046777 protein amino acid autophosphorylation,GO:0000082 G1/S transition of mitotic cell cycle,GO:0045449 regulation of transcription,GO:0007178 transmembrane receptor protein serine/threonine kinase signaling pathway,GO:0045648 positive regulation of erythrocyte differentiation,GO:0001942 hair follicle development,GO:0018107 peptidyl-threonine phosphorylation,GO:0032927 positive regulation of activin receptor signaling pathway</t>
  </si>
  <si>
    <t>H300007103</t>
  </si>
  <si>
    <t>NM_022087</t>
  </si>
  <si>
    <t>GALNT11</t>
  </si>
  <si>
    <t>DHsGV10000907</t>
  </si>
  <si>
    <t>CHsGV10002293</t>
  </si>
  <si>
    <t>NM_001311.4</t>
  </si>
  <si>
    <t>CRIP1</t>
  </si>
  <si>
    <t>Cysteine-rich protein 1 (Cysteine-rich intestinal protein)(CRIP)(Cysteine-rich heart protein)(hCRHP) [Source:UniProtKB/Swiss-Prot;Acc:P50238]</t>
  </si>
  <si>
    <t>Glycogen synthase kinase-3 alpha (GSK-3 alpha)(EC 2.7.11.26) [Source:UniProtKB/Swiss-Prot;Acc:P49840]</t>
  </si>
  <si>
    <t>Transmembrane protein C9orf46  [Source:UniProtKB/Swiss-Prot;Acc:Q9HBL7]</t>
  </si>
  <si>
    <t>GO:0016021 integral to membrane,GO:0016020 membrane,GO:0005739 mitochondrion</t>
  </si>
  <si>
    <t>H300021548</t>
  </si>
  <si>
    <t>NM_001029999</t>
  </si>
  <si>
    <t>AP001004.5</t>
  </si>
  <si>
    <t>Putative ankyrin repeat domain-containing protein 20A-like protein MGC26718  [Source:UniProtKB/Swiss-Prot;Acc:A0PJZ0]</t>
  </si>
  <si>
    <t>Krev interaction trapped protein 1 (Krev interaction trapped 1)(Cerebral cavernous malformations 1 protein) [Source:UniProtKB/Swiss-Prot;Acc:O00522]</t>
  </si>
  <si>
    <t>GO:0016021 integral to membrane,GO:0016020 membrane,GO:0005768 endosome,GO:0005887 integral to plasma membrane,GO:0005783 endoplasmic reticulum,GO:0048471 perinuclear region of cytoplasm,GO:0005765 lysosomal membrane,GO:0031902 late endosome membrane,GO:0005635 nuclear envelope</t>
  </si>
  <si>
    <t>DHsGV10003533</t>
  </si>
  <si>
    <t>H300021899</t>
  </si>
  <si>
    <t>NM_017971</t>
  </si>
  <si>
    <t>MRPL20</t>
  </si>
  <si>
    <t>39S ribosomal protein L20, mitochondrial Precursor (L20mt)(MRP-L20) [Source:UniProtKB/Swiss-Prot;Acc:Q9BYC9]</t>
  </si>
  <si>
    <t>GO:0006468 protein amino acid phosphorylation,GO:0010677 negative regulation of cellular carbohydrate metabolic process,GO:0046325 negative regulation of glucose import,GO:0046627 negative regulation of insulin receptor signaling pathway,GO:0051260 protei</t>
  </si>
  <si>
    <t>GO:0000166 nucleotide binding,GO:0004672 protein kinase activity,GO:0004674 protein serine/threonine kinase activity,GO:0004696 glycogen synthase kinase 3 activity,GO:0004713 protein tyrosine kinase activity,GO:0005515 protein binding,GO:0005524 ATP bindi</t>
  </si>
  <si>
    <t>GO:0005829 cytosol,GO:0016020 membrane</t>
  </si>
  <si>
    <t>GO:0007264 small GTPase mediated signal transduction</t>
  </si>
  <si>
    <t>GO:0005515 protein binding,GO:0005083 small GTPase regulator activity</t>
  </si>
  <si>
    <t>GO:0005856 cytoskeleton,GO:0016020 membrane</t>
  </si>
  <si>
    <t>H300006382</t>
  </si>
  <si>
    <t>AC138356.3</t>
  </si>
  <si>
    <t>Ganglioside-induced differentiation-associated protein 2  [Source:UniProtKB/Swiss-Prot;Acc:Q9NXN4]</t>
  </si>
  <si>
    <t>CHsGV10000509</t>
  </si>
  <si>
    <t>NM_006770.3</t>
  </si>
  <si>
    <t>MARCO</t>
  </si>
  <si>
    <t>Macrophage receptor MARCO (Macrophage receptor with collagenous structure)(Scavenger receptor class A member 2) [Source:UniProtKB/Swiss-Prot;Acc:Q9UEW3]</t>
  </si>
  <si>
    <t>CHsGV10003623</t>
  </si>
  <si>
    <t>NM_000362.4</t>
  </si>
  <si>
    <t>TIMP3</t>
  </si>
  <si>
    <t>Metalloproteinase inhibitor 3 Precursor (Tissue inhibitor of metalloproteinases 3)(TIMP-3)(Protein MIG-5) [Source:UniProtKB/Swiss-Prot;Acc:P35625]</t>
  </si>
  <si>
    <t>Zinc finger protein 551 (Zinc finger protein KOX23) [Source:UniProtKB/Swiss-Prot;Acc:Q7Z340]</t>
  </si>
  <si>
    <t>CHsGV10003200</t>
  </si>
  <si>
    <t>NM_003335.2</t>
  </si>
  <si>
    <t>UBA7</t>
  </si>
  <si>
    <t>Ubiquitin-like modifier-activating enzyme 7 (Ubiquitin-activating enzyme 7)(Ubiquitin-activating enzyme E1 homolog)(D8) [Source:UniProtKB/Swiss-Prot;Acc:P41226]</t>
  </si>
  <si>
    <t>GO:0006464 protein modification process,GO:0032020 ISG15-protein conjugation,GO:0008152 metabolic process,GO:0019941 modification-dependent protein catabolic process,GO:0019941 modification-dependent protein catabolic process,GO:0032020 ISG15-protein conjugation</t>
  </si>
  <si>
    <t>GO:0005524 ATP binding,GO:0000166 nucleotide binding,GO:0003824 catalytic activity,GO:0016874 ligase activity,GO:0008641 small protein activating enzyme activity,GO:0019782 ISG15 activating enzyme activity,GO:0019782 ISG15 activating enzyme activity</t>
  </si>
  <si>
    <t>H200006343</t>
  </si>
  <si>
    <t>NM_000271</t>
  </si>
  <si>
    <t>NPC1</t>
  </si>
  <si>
    <t>H200007612</t>
  </si>
  <si>
    <t>NM_205846;NM_182960;NM_182960</t>
  </si>
  <si>
    <t>PRELID2</t>
  </si>
  <si>
    <t>PRELI domain-containing protein 2  [Source:UniProtKB/Swiss-Prot;Acc:Q8N945]</t>
  </si>
  <si>
    <t>H200003962</t>
  </si>
  <si>
    <t>NM_032322;NM_032322</t>
  </si>
  <si>
    <t>RNF135</t>
  </si>
  <si>
    <t>RING finger protein 135  [Source:UniProtKB/Swiss-Prot;Acc:Q8IUD6]</t>
  </si>
  <si>
    <t>GO:0005488 binding,GO:0003824 catalytic activity,GO:0016491 oxidoreductase activity,GO:0009055 electron carrier activity</t>
  </si>
  <si>
    <t>CHsGV10001084</t>
  </si>
  <si>
    <t>NM_017686.3;NM_001135589.1</t>
  </si>
  <si>
    <t>GDAP2</t>
  </si>
  <si>
    <t>GO:0001558 regulation of cell growth</t>
  </si>
  <si>
    <t>H300007395</t>
  </si>
  <si>
    <t>NM_018465</t>
  </si>
  <si>
    <t>C9orf46</t>
  </si>
  <si>
    <t>opHsV0400005485</t>
  </si>
  <si>
    <t>NM_138347;NM_138347;NM_138347</t>
  </si>
  <si>
    <t>ZNF551</t>
  </si>
  <si>
    <t>Afadin (Protein AF-6) [Source:UniProtKB/Swiss-Prot;Acc:P55196]</t>
  </si>
  <si>
    <t>H300013231</t>
  </si>
  <si>
    <t>AC120498.2</t>
  </si>
  <si>
    <t>Tryptase alpha-1 Precursor (Tryptase-1)(EC 3.4.21.59) [Source:UniProtKB/Swiss-Prot;Acc:P15157]</t>
  </si>
  <si>
    <t>GO:0006508 proteolysis,GO:0006952 defense response</t>
  </si>
  <si>
    <t>GO:0005515 protein binding,GO:0003824 catalytic activity,GO:0004252 serine-type endopeptidase activity,GO:0008233 peptidase activity</t>
  </si>
  <si>
    <t>H300003456</t>
  </si>
  <si>
    <t>AC010878.3</t>
  </si>
  <si>
    <t>H200008558</t>
  </si>
  <si>
    <t>AC021558.10</t>
  </si>
  <si>
    <t>Niemann-Pick C1 protein Precursor  [Source:UniProtKB/Swiss-Prot;Acc:O15118]</t>
  </si>
  <si>
    <t>GO:0006897 endocytosis,GO:0007041 lysosomal transport,GO:0008206 bile acid metabolic process,GO:0016242 negative regulation of macroautophagy,GO:0033344 cholesterol efflux,GO:0042632 cholesterol homeostasis,GO:0046686 response to cadmium ion,GO:0030301 cholesterol transport,GO:0046686 response to cadmium ion</t>
  </si>
  <si>
    <t>GO:0005515 protein binding,GO:0008158 hedgehog receptor activity,GO:0015248 sterol transporter activity</t>
  </si>
  <si>
    <t>GO:0005525 GTP binding,GO:0003924 GTPase activity</t>
  </si>
  <si>
    <t>H300000344</t>
  </si>
  <si>
    <t>FAM87B</t>
  </si>
  <si>
    <t>GO:0016021 integral to membrane,GO:0016020 membrane,GO:0005615 extracellular space</t>
  </si>
  <si>
    <t>H300018550</t>
  </si>
  <si>
    <t>NM_001042412;NM_001042355</t>
  </si>
  <si>
    <t>CYLD</t>
  </si>
  <si>
    <t>Probable ubiquitin carboxyl-terminal hydrolase CYLD (EC 3.1.2.15)(Ubiquitin thioesterase CYLD)(Ubiquitin-specific-processing protease CYLD)(Deubiquitinating enzyme CYLD) [Source:UniProtKB/Swiss-Prot;Acc:Q9NQC7]</t>
  </si>
  <si>
    <t>GO:0006412 translation,GO:0006511 ubiquitin-dependent protein catabolic process,GO:0045786 negative regulation of cell cycle</t>
  </si>
  <si>
    <t>GO:0003735 structural constituent of ribosome,GO:0008233 peptidase activity,GO:0004221 ubiquitin thiolesterase activity,GO:0008234 cysteine-type peptidase activity</t>
  </si>
  <si>
    <t>GO:0005044 scavenger receptor activity,GO:0008329 pattern recognition receptor activity</t>
  </si>
  <si>
    <t>CHsGV10001536</t>
  </si>
  <si>
    <t>NM_024319.2</t>
  </si>
  <si>
    <t>C1orf35</t>
  </si>
  <si>
    <t>Multiple myeloma tumor-associated protein 2 (hMMTAG2) [Source:UniProtKB/Swiss-Prot;Acc:Q9BU76]</t>
  </si>
  <si>
    <t>MLLT4</t>
  </si>
  <si>
    <t>opHsV0400000734</t>
  </si>
  <si>
    <t>AL034549.19</t>
  </si>
  <si>
    <t>CHsGV10002656</t>
  </si>
  <si>
    <t>NM_006274.2</t>
  </si>
  <si>
    <t>CCL19</t>
  </si>
  <si>
    <t>C-C motif chemokine 19 Precursor (Small-inducible cytokine A19)(Macrophage inflammatory protein 3 beta)(MIP-3-beta)(EBI1-ligand chemokine)(ELC)(Beta chemokine exodus-3)(CK beta-11) [Source:UniProtKB/Swiss-Prot;Acc:Q99731]</t>
  </si>
  <si>
    <t>GO:0006874 cellular calcium ion homeostasis,GO:0006954 inflammatory response,GO:0009615 response to virus,GO:0006955 immune response,GO:0007165 signal transduction,GO:0006935 chemotaxis</t>
  </si>
  <si>
    <t>GO:0005125 cytokine activity,GO:0008009 chemokine activity</t>
  </si>
  <si>
    <t>H200016091</t>
  </si>
  <si>
    <t>NM_005383</t>
  </si>
  <si>
    <t>NEU2</t>
  </si>
  <si>
    <t>Sialidase-2 (EC 3.2.1.18)(Cytosolic sialidase)(N-acetyl-alpha-neuraminidase 2) [Source:UniProtKB/Swiss-Prot;Acc:Q9Y3R4]</t>
  </si>
  <si>
    <t>GO:0016798 hydrolase activity, acting on glycosyl bonds,GO:0004308 exo-alpha-sialidase activity</t>
  </si>
  <si>
    <t>H200019789</t>
  </si>
  <si>
    <t>NM_001069</t>
  </si>
  <si>
    <t>TUBB2A</t>
  </si>
  <si>
    <t>Tubulin beta-2A chain  [Source:UniProtKB/Swiss-Prot;Acc:Q13885]</t>
  </si>
  <si>
    <t>Atlastin-1 (Guanine nucleotide-binding protein 3)(GTP-binding protein 3)(GBP-3)(Brain-specific GTP-binding protein) [Source:UniProtKB/Swiss-Prot;Acc:Q8WXF7]</t>
  </si>
  <si>
    <t>Vitamin K-dependent protein S Precursor  [Source:UniProtKB/Swiss-Prot;Acc:P07225]</t>
  </si>
  <si>
    <t>H300018027</t>
  </si>
  <si>
    <t>NM_001033517;NM_001033517</t>
  </si>
  <si>
    <t>SERINC4</t>
  </si>
  <si>
    <t>Serine incorporator 4  [Source:UniProtKB/Swiss-Prot;Acc:A6NH21]</t>
  </si>
  <si>
    <t>H200003952</t>
  </si>
  <si>
    <t>NM_012232</t>
  </si>
  <si>
    <t>PTRF</t>
  </si>
  <si>
    <t>Polymerase I and transcript release factor  [Source:UniProtKB/Swiss-Prot;Acc:Q6NZI2]</t>
  </si>
  <si>
    <t>GO:0006350 transcription,GO:0006355 regulation of transcription, DNA-dependent,GO:0006353 transcription termination,GO:0006361 transcription initiation from RNA polymerase I promoter</t>
  </si>
  <si>
    <t>GO:0005515 protein binding,GO:0003716 RNA polymerase I transcription termination factor activity,GO:0042134 rRNA primary transcript binding</t>
  </si>
  <si>
    <t>GO:0005856 cytoskeleton,GO:0005622 intracellular,GO:0005840 ribosome,GO:0005737 cytoplasm</t>
  </si>
  <si>
    <t>GO:0016021 integral to membrane,GO:0016020 membrane,GO:0005634 nucleus,GO:0005768 endosome,GO:0005794 Golgi apparatus,GO:0005796 Golgi lumen,GO:0010008 endosome membrane,GO:0030139 endocytic vesicle,GO:0005801 cis-Golgi network</t>
  </si>
  <si>
    <t>CHsGV10000567</t>
  </si>
  <si>
    <t>NM_021033.6</t>
  </si>
  <si>
    <t>RAP2A</t>
  </si>
  <si>
    <t>Ras-related protein Rap-2a Precursor (RbBP-30) [Source:UniProtKB/Swiss-Prot;Acc:P10114]</t>
  </si>
  <si>
    <t>GO:0006886 intracellular protein transport,GO:0007165 signal transduction,GO:0007264 small GTPase mediated signal transduction,GO:0015031 protein transport,GO:0006913 nucleocytoplasmic transport</t>
  </si>
  <si>
    <t>DHsGV10004619</t>
  </si>
  <si>
    <t>H300019391</t>
  </si>
  <si>
    <t>NM_016281</t>
  </si>
  <si>
    <t>TAOK3</t>
  </si>
  <si>
    <t>H200018942</t>
  </si>
  <si>
    <t>NM_052865;NM_052865</t>
  </si>
  <si>
    <t>C20orf72</t>
  </si>
  <si>
    <t>Uncharacterized protein C20orf72  [Source:UniProtKB/Swiss-Prot;Acc:Q9BQP7]</t>
  </si>
  <si>
    <t>opHsV0400006739</t>
  </si>
  <si>
    <t>NM_181598;NM_181598;NM_181598</t>
  </si>
  <si>
    <t>SPG3A</t>
  </si>
  <si>
    <t>CKLF-like MARVEL transmembrane domain-containing protein 3 (Chemokine-like factor superfamily member 3) [Source:UniProtKB/Swiss-Prot;Acc:Q96MX0]</t>
  </si>
  <si>
    <t>Phosphatidylinositol N-acetylglucosaminyltransferase subunit Q (EC 2.4.1.198)(Phosphatidylinositol-glycan biosynthesis class Q protein)(PIG-Q)(N-acetylglucosamyl transferase component GPI1) [Source:UniProtKB/Swiss-Prot;Acc:Q9BRB3]</t>
  </si>
  <si>
    <t>GO:0017176 phosphatidylinositol N-acetylglucosaminyltransferase activity</t>
  </si>
  <si>
    <t>opHsV0400002486</t>
  </si>
  <si>
    <t>NM_001048251;NM_001048251;NM_144601</t>
  </si>
  <si>
    <t>CMTM3</t>
  </si>
  <si>
    <t>AHsV10002175</t>
  </si>
  <si>
    <t>NM_000313.3</t>
  </si>
  <si>
    <t>PROS1</t>
  </si>
  <si>
    <t>V-type proton ATPase 16 kDa proteolipid subunit (V-ATPase 16 kDa proteolipid subunit)(Vacuolar proton pump 16 kDa proteolipid subunit) [Source:UniProtKB/Swiss-Prot;Acc:P27449]</t>
  </si>
  <si>
    <t>GO:0006811 ion transport,GO:0044419 interspecies interaction between organisms,GO:0015992 proton transport,GO:0015986 ATP synthesis coupled proton transport</t>
  </si>
  <si>
    <t>GO:0005515 protein binding,GO:0015078 hydrogen ion transmembrane transporter activity,GO:0046961 hydrogen ion transporting ATPase activity, rotational mechanism,GO:0046933 hydrogen ion transporting ATP synthase activity, rotational mechanism</t>
  </si>
  <si>
    <t>GO:0016021 integral to membrane,GO:0016020 membrane,GO:0005774 vacuolar membrane,GO:0033179 proton-transporting V-type ATPase, V0 domain,GO:0033177 proton-transporting two-sector ATPase complex, proton-transporting domain,GO:0005773 vacuole</t>
  </si>
  <si>
    <t>H300006326</t>
  </si>
  <si>
    <t>NM_176811</t>
  </si>
  <si>
    <t>NLRP8</t>
  </si>
  <si>
    <t>NACHT, LRR and PYD domains-containing protein 8 (Nucleotide-binding oligomerization domain protein 16)(PYRIN and NACHT-containing protein 4) [Source:UniProtKB/Swiss-Prot;Acc:Q86W28]</t>
  </si>
  <si>
    <t>GO:0005515 protein binding,GO:0000166 nucleotide binding,GO:0005524 ATP binding,GO:0017111 nucleoside-triphosphatase activity</t>
  </si>
  <si>
    <t>Golgi integral membrane protein 4 (Golgi phosphoprotein 4)(Golgi integral membrane protein, cis)(GIMPc)(Golgi-localized phosphoprotein of 130 kDa)(Golgi phosphoprotein of 130 kDa) [Source:UniProtKB/Swiss-Prot;Acc:O00461]</t>
  </si>
  <si>
    <t>H300022356</t>
  </si>
  <si>
    <t>NM_020780</t>
  </si>
  <si>
    <t>PTCHD2</t>
  </si>
  <si>
    <t>Patched domain-containing protein 2 (Protein dispatched homolog 3) [Source:UniProtKB/Swiss-Prot;Acc:Q9P2K9]</t>
  </si>
  <si>
    <t>DNA dC-&gt;dU-editing enzyme APOBEC-3G (EC 3.5.4.-)(APOBEC-related cytidine deaminase)(ARCD)(APOBEC-related protein)(ARP-9)(CEM-15)(CEM15) [Source:UniProtKB/Swiss-Prot;Acc:Q9HC16]</t>
  </si>
  <si>
    <t>GO:0045087 innate immune response,GO:0044419 interspecies interaction between organisms,GO:0009615 response to virus,GO:0002230 positive regulation of defense response to virus by host,GO:0006410 transcription, RNA-dependent,GO:0016553 base conversion or substitution editing,GO:0045869 negative regulation of retroviral genome replication,GO:0048525 negative regulation of viral reproduction</t>
  </si>
  <si>
    <t>GO:0005515 protein binding,GO:0000166 nucleotide binding,GO:0005525 GTP binding,GO:0003924 GTPase activity,GO:0005198 structural molecule activity</t>
  </si>
  <si>
    <t>CHsGV10000078</t>
  </si>
  <si>
    <t>NM_148920.1;NM_176677.1;NM_004204.2</t>
  </si>
  <si>
    <t>PIGQ</t>
  </si>
  <si>
    <t>Serine/threonine-protein kinase TAO3 (EC 2.7.11.1)(Thousand and one amino acid protein 3)(Jun kinase-inhibitory kinase)(JNK/SAPK-inhibitory kinase)(Dendritic cell-derived protein kinase)(Cutaneous T-cell lymphoma tumor antigen HD-CL-09)(CTCL tumor antigen HD-CL-09)(Kinase from chicken homolog A)(hKFC-A) [Source:UniProtKB/Swiss-Prot;Acc:Q9H2K8]</t>
  </si>
  <si>
    <t>H300006105</t>
  </si>
  <si>
    <t>NM_001694</t>
  </si>
  <si>
    <t>ATP6V0C</t>
  </si>
  <si>
    <t>H300011130</t>
  </si>
  <si>
    <t>AC100756.4</t>
  </si>
  <si>
    <t>Golgin subfamily A member 6-like protein 2  [Source:UniProtKB/Swiss-Prot;Acc:Q8N9W4]</t>
  </si>
  <si>
    <t>H200003813</t>
  </si>
  <si>
    <t>NM_003755</t>
  </si>
  <si>
    <t>EIF3G</t>
  </si>
  <si>
    <t>GO:0005886 plasma membrane,GO:0005634 nucleus,GO:0005737 cytoplasm,GO:0005792 microsome,GO:0005783 endoplasmic reticulum,GO:0005739 mitochondrion,GO:0005654 nucleoplasm,GO:0005901 caveola</t>
  </si>
  <si>
    <t>H200011806</t>
  </si>
  <si>
    <t>NM_024725</t>
  </si>
  <si>
    <t>CCDC82</t>
  </si>
  <si>
    <t>Coiled-coil domain-containing protein 82  [Source:UniProtKB/Swiss-Prot;Acc:Q8N4S0]</t>
  </si>
  <si>
    <t>GO:0005515 protein binding,GO:0008270 zinc ion binding,GO:0046872 metal ion binding,GO:0016491 oxidoreductase activity,GO:0046914 transition metal ion binding</t>
  </si>
  <si>
    <t>H200016225</t>
  </si>
  <si>
    <t>NM_021822;NM_021822</t>
  </si>
  <si>
    <t>APOBEC3G</t>
  </si>
  <si>
    <t>GO:0002726 positive regulation of T cell cytokine production,GO:0042981 regulation of apoptosis,GO:0050870 positive regulation of T cell activation,GO:0007165 signal transduction,GO:0008633 activation of pro-apoptotic gene products,GO:0006461 protein complex assembly,GO:0032743 positive regulation of interleukin-2 production,GO:0007250 activation of NF-kappaB-inducing kinase activity</t>
  </si>
  <si>
    <t>GO:0005515 protein binding,GO:0004871 signal transducer activity,GO:0008270 zinc ion binding,GO:0046872 metal ion binding</t>
  </si>
  <si>
    <t>GO:0005515 protein binding,GO:0016787 hydrolase activity,GO:0008270 zinc ion binding,GO:0046872 metal ion binding,GO:0003824 catalytic activity,GO:0003723 RNA binding,GO:0042803 protein homodimerization activity,GO:0004126 cytidine deaminase activity,GO:0016814 hydrolase activity, acting on carbon-nitrogen (but not peptide) bonds, in cyclic amidines</t>
  </si>
  <si>
    <t>GO:0005634 nucleus,GO:0005737 cytoplasm,GO:0005829 cytosol,GO:0005739 mitochondrion,GO:0030895 apolipoprotein B mRNA editing enzyme complex</t>
  </si>
  <si>
    <t>CAST</t>
  </si>
  <si>
    <t>Calpastatin (Calpain inhibitor)(Sperm BS-17 component) [Source:UniProtKB/Swiss-Prot;Acc:P20810]</t>
  </si>
  <si>
    <t>GO:0030161 calpain inhibitor activity</t>
  </si>
  <si>
    <t>Sphingosine-1-phosphate phosphatase 1 (SPPase1)(Spp1)(Sphingosine-1-phosphatase 1)(hSPPase1)(EC 3.1.3.-) [Source:UniProtKB/Swiss-Prot;Acc:Q9BX95]</t>
  </si>
  <si>
    <t>GO:0006915 apoptosis,GO:0006665 sphingolipid metabolic process,GO:0006668 sphinganine-1-phosphate metabolic process,GO:0006670 sphingosine metabolic process</t>
  </si>
  <si>
    <t>GO:0016787 hydrolase activity,GO:0003824 catalytic activity,GO:0042392 sphingosine-1-phosphate phosphatase activity</t>
  </si>
  <si>
    <t>H300002365</t>
  </si>
  <si>
    <t>NM_032177</t>
  </si>
  <si>
    <t>RNUXA</t>
  </si>
  <si>
    <t>Eukaryotic translation initiation factor 3 subunit G (eIF3g)(Eukaryotic translation initiation factor 3 subunit 4)(eIF-3-delta)(eIF-3 RNA-binding subunit)(eIF3 p44)(eIF3 p42) [Source:UniProtKB/Swiss-Prot;Acc:O75821]</t>
  </si>
  <si>
    <t>H200013408</t>
  </si>
  <si>
    <t>NM_014498</t>
  </si>
  <si>
    <t>GOLIM4</t>
  </si>
  <si>
    <t>GO:0005515 protein binding,GO:0000166 nucleotide binding,GO:0003676 nucleic acid binding,GO:0003723 RNA binding,GO:0003743 translation initiation factor activity</t>
  </si>
  <si>
    <t>H200004047</t>
  </si>
  <si>
    <t>NM_014647</t>
  </si>
  <si>
    <t>KIAA0430</t>
  </si>
  <si>
    <t>Limkain-b1  [Source:UniProtKB/Swiss-Prot;Acc:Q9Y4F3]</t>
  </si>
  <si>
    <t>opHsV0400003886</t>
  </si>
  <si>
    <t>AC108039.4</t>
  </si>
  <si>
    <t>Zinc finger MYM-type protein 2 (Zinc finger protein 198)(Fused in myeloproliferative disorders protein)(Rearranged in atypical myeloproliferative disorder protein) [Source:UniProtKB/Swiss-Prot;Acc:Q9UBW7]</t>
  </si>
  <si>
    <t>Transmembrane protein 106C (Endoplasmic reticulum membrane protein overexpressed in cancer) [Source:UniProtKB/Swiss-Prot;Acc:Q9BVX2]</t>
  </si>
  <si>
    <t>CHsGV10001471</t>
  </si>
  <si>
    <t>NM_021138.3</t>
  </si>
  <si>
    <t>TRAF2</t>
  </si>
  <si>
    <t>TNF receptor-associated factor 2 (Tumor necrosis factor type 2 receptor-associated protein 3) [Source:UniProtKB/Swiss-Prot;Acc:Q12933]</t>
  </si>
  <si>
    <t>GO:0003735 structural constituent of ribosome,GO:0003674 molecular_function</t>
  </si>
  <si>
    <t>GO:0005622 intracellular,GO:0005840 ribosome,GO:0005575 cellular_component,GO:0005739 mitochondrion</t>
  </si>
  <si>
    <t>H200002879</t>
  </si>
  <si>
    <t>NM_017593</t>
  </si>
  <si>
    <t>BMP2K</t>
  </si>
  <si>
    <t>BMP-2-inducible protein kinase (BIKe)(EC 2.7.11.1) [Source:UniProtKB/Swiss-Prot;Acc:Q9NSY1]</t>
  </si>
  <si>
    <t>AHsV10001659</t>
  </si>
  <si>
    <t>NM_031904.3</t>
  </si>
  <si>
    <t>FRMD8</t>
  </si>
  <si>
    <t>FERM domain-containing protein 8  [Source:UniProtKB/Swiss-Prot;Acc:Q9BZ67]</t>
  </si>
  <si>
    <t>GO:0005634 nucleus,GO:0005737 cytoplasm,GO:0005813 centrosome,GO:0005856 cytoskeleton</t>
  </si>
  <si>
    <t>H200012169</t>
  </si>
  <si>
    <t>NM_003902;NM_003902;NM_003902</t>
  </si>
  <si>
    <t>FUBP1</t>
  </si>
  <si>
    <t>Far upstream element-binding protein 1 (FUSE-binding protein 1)(FBP)(DNA helicase V)(HDH V) [Source:UniProtKB/Swiss-Prot;Acc:Q96AE4]</t>
  </si>
  <si>
    <t>H200017453</t>
  </si>
  <si>
    <t>NM_173060;NM_173060;NM_173060;NM_173060;NM_173061;NM_173061;NM_173061;NM_173061;NM_173061;NM_173061</t>
  </si>
  <si>
    <t>GO:0016829 lyase activity,GO:0004492 methylmalonyl-CoA decarboxylase activity,GO:0050080 malonyl-CoA decarboxylase activity</t>
  </si>
  <si>
    <t>GO:0005737 cytoplasm,GO:0005829 cytosol,GO:0005739 mitochondrion,GO:0005777 peroxisome,GO:0005829 cytosol</t>
  </si>
  <si>
    <t>H200003428</t>
  </si>
  <si>
    <t>NM_030791</t>
  </si>
  <si>
    <t>SGPP1</t>
  </si>
  <si>
    <t>GO:0005515 protein binding,GO:0003677 DNA binding,GO:0005085 guanyl-nucleotide exchange factor activity,GO:0005089 Rho guanyl-nucleotide exchange factor activity,GO:0005515 protein binding,GO:0005085 guanyl-nucleotide exchange factor activity,GO:0005088 Ras guanyl-nucleotide exchange factor activity</t>
  </si>
  <si>
    <t>GO:0005634 nucleus,GO:0005575 cellular_component,GO:0005622 intracellular,GO:0000786 nucleosome</t>
  </si>
  <si>
    <t>RNA U small nuclear RNA export adapter protein (Phosphorylated adapter RNA export protein) [Source:UniProtKB/Swiss-Prot;Acc:Q9H814]</t>
  </si>
  <si>
    <t>GO:0015031 protein transport,GO:0000387 spliceosomal snRNP biogenesis,GO:0006408 snRNA export from nucleus</t>
  </si>
  <si>
    <t>GO:0005515 protein binding,GO:0003723 RNA binding,GO:0005515 protein binding</t>
  </si>
  <si>
    <t>GO:0005634 nucleus,GO:0005737 cytoplasm,GO:0005829 cytosol,GO:0005654 nucleoplasm</t>
  </si>
  <si>
    <t>H300008647</t>
  </si>
  <si>
    <t>NM_174898</t>
  </si>
  <si>
    <t>LYG1</t>
  </si>
  <si>
    <t>Lysozyme g-like protein 1 Precursor (EC 3.2.1.-) [Source:UniProtKB/Swiss-Prot;Acc:Q8N1E2]</t>
  </si>
  <si>
    <t>GO:0008152 metabolic process,GO:0016998 cell wall catabolic process,GO:0009253 peptidoglycan catabolic process</t>
  </si>
  <si>
    <t>GO:0003796 lysozyme activity,GO:0016798 hydrolase activity, acting on glycosyl bonds</t>
  </si>
  <si>
    <t>opHsV0400000283</t>
  </si>
  <si>
    <t>ZMYM2</t>
  </si>
  <si>
    <t>H200011265</t>
  </si>
  <si>
    <t>NM_024056</t>
  </si>
  <si>
    <t>TMEM106C</t>
  </si>
  <si>
    <t>H300008326</t>
  </si>
  <si>
    <t>NM_001009993;NM_001009993</t>
  </si>
  <si>
    <t>FAM168B</t>
  </si>
  <si>
    <t>UPF0541 protein FAM168B (p20) [Source:UniProtKB/Swiss-Prot;Acc:A1KXE4]</t>
  </si>
  <si>
    <t>H200006217</t>
  </si>
  <si>
    <t>NM_004927</t>
  </si>
  <si>
    <t>MRPL49</t>
  </si>
  <si>
    <t>39S ribosomal protein L49, mitochondrial (L49mt)(MRP-L49)(Protein NOF1)(Neighbor of FAU)(NOF) [Source:UniProtKB/Swiss-Prot;Acc:Q13405]</t>
  </si>
  <si>
    <t>H300006569</t>
  </si>
  <si>
    <t>NM_003946</t>
  </si>
  <si>
    <t>NOL3</t>
  </si>
  <si>
    <t>nucleolar protein 3  [Source:RefSeq peptide;Acc:NP_003937]</t>
  </si>
  <si>
    <t>GO:0042981 regulation of apoptosis,GO:0001666 response to hypoxia</t>
  </si>
  <si>
    <t>CHsGV10001452</t>
  </si>
  <si>
    <t>NM_022047.3</t>
  </si>
  <si>
    <t>DEF6</t>
  </si>
  <si>
    <t>Differentially expressed in FDCP 6 homolog (DEF-6)(IRF4-binding protein) [Source:UniProtKB/Swiss-Prot;Acc:Q9H4E7]</t>
  </si>
  <si>
    <t>GO:0006637 acyl-CoA metabolic process,GO:0006633 fatty acid biosynthetic process,GO:0006085 acetyl-CoA biosynthetic process,GO:0031998 regulation of fatty acid beta-oxidation,GO:0006085 acetyl-CoA biosynthetic process,GO:0031998 regulation of fatty acid beta-oxidation</t>
  </si>
  <si>
    <t>GO:0007264 small GTPase mediated signal transduction,GO:0006334 nucleosome assembly,GO:0051056 regulation of small GTPase mediated signal transduction,GO:0035023 regulation of Rho protein signal transduction,GO:0007264 small GTPase mediated signal transduction</t>
  </si>
  <si>
    <t>H300018627</t>
  </si>
  <si>
    <t>NM_138957;NM_002745</t>
  </si>
  <si>
    <t>MAPK1</t>
  </si>
  <si>
    <t>Mitogen-activated protein kinase 1 (EC 2.7.11.24)(Extracellular signal-regulated kinase 2)(ERK-2)(Mitogen-activated protein kinase 2)(MAP kinase 2)(MAPK 2)(p42-MAPK)(ERT1) [Source:UniProtKB/Swiss-Prot;Acc:P28482]</t>
  </si>
  <si>
    <t>H300003191</t>
  </si>
  <si>
    <t>COX6C</t>
  </si>
  <si>
    <t>Cytochrome c oxidase polypeptide VIc Precursor  [Source:UniProtKB/Swiss-Prot;Acc:P09669]</t>
  </si>
  <si>
    <t>H200018962</t>
  </si>
  <si>
    <t>NM_016530</t>
  </si>
  <si>
    <t>RAB8B</t>
  </si>
  <si>
    <t>Ras-related protein Rab-8B  [Source:UniProtKB/Swiss-Prot;Acc:Q92930]</t>
  </si>
  <si>
    <t>BX322799.22</t>
  </si>
  <si>
    <t>Probable exonuclease mut-7 homolog (EC 3.1.-.-) [Source:UniProtKB/Swiss-Prot;Acc:Q8N9H8]</t>
  </si>
  <si>
    <t>GO:0016787 hydrolase activity,GO:0003676 nucleic acid binding,GO:0008408 3'-5' exonuclease activity</t>
  </si>
  <si>
    <t>AHsV10003515</t>
  </si>
  <si>
    <t>NM_001100419.1</t>
  </si>
  <si>
    <t>C19orf60</t>
  </si>
  <si>
    <t>Uncharacterized protein C19orf60  [Source:UniProtKB/Swiss-Prot;Acc:Q96EN9]</t>
  </si>
  <si>
    <t>opHsV0400002693</t>
  </si>
  <si>
    <t>RP11-261P13.3</t>
  </si>
  <si>
    <t>AHsV10001230</t>
  </si>
  <si>
    <t>NM_017733.3</t>
  </si>
  <si>
    <t>PIGG</t>
  </si>
  <si>
    <t>GPI ethanolamine phosphate transferase 2 (EC 2.-.-.-)(Phosphatidylinositol-glycan biosynthesis class G protein)(PIG-G)(GPI7 homolog)(hGPI7) [Source:UniProtKB/Swiss-Prot;Acc:Q5H8A4]</t>
  </si>
  <si>
    <t>GO:0006952 defense response,GO:0008152 metabolic process</t>
  </si>
  <si>
    <t>opHsV0400002116</t>
  </si>
  <si>
    <t>NM_152372;NM_152372</t>
  </si>
  <si>
    <t>MYOM3</t>
  </si>
  <si>
    <t>GO:0006468 protein amino acid phosphorylation,GO:0007049 cell cycle,GO:0006917 induction of apoptosis,GO:0006974 response to DNA damage stimulus,GO:0044419 interspecies interaction between organisms,GO:0007268 synaptic transmission,GO:0006935 chemotaxis,GO:0009887 organ morphogenesis,GO:0007265 Ras protein signal transduction,GO:0031663 lipopolysaccharide-mediated signaling pathway,GO:0032496 response to lipopolysaccharide,GO:0043330 response to exogenous dsRNA,GO:0000165 MAPKKK cascade,GO:0045596 negative regulation of cell differentiation,GO:0050852 T cell receptor signaling pathway,GO:0050853 B cell receptor signaling pathway,GO:0019858 cytosine metabolic process</t>
  </si>
  <si>
    <t>GO:0016740 transferase activity,GO:0005515 protein binding,GO:0000166 nucleotide binding,GO:0005524 ATP binding,GO:0004674 protein serine/threonine kinase activity,GO:0004713 protein tyrosine kinase activity,GO:0004672 protein kinase activity,GO:0004707 MAP kinase activity,GO:0001784 phosphotyrosine binding,GO:0016908 MAP kinase 2 activity</t>
  </si>
  <si>
    <t>GO:0005886 plasma membrane,GO:0005622 intracellular,GO:0005575 cellular_component</t>
  </si>
  <si>
    <t>opHsV0400003699</t>
  </si>
  <si>
    <t>GO:0000287 magnesium ion binding,GO:0016787 hydrolase activity,GO:0030145 manganese ion binding,GO:0003824 catalytic activity,GO:0004722 protein serine/threonine phosphatase activity</t>
  </si>
  <si>
    <t>H300000374</t>
  </si>
  <si>
    <t>NM_024969</t>
  </si>
  <si>
    <t>FAM130A2</t>
  </si>
  <si>
    <t>Cysteine/serine-rich nuclear protein 3 (CSRNP-3)(TGF-beta-induced apoptosis protein 2)(TAIP-2)(Protein FAM130A2) [Source:UniProtKB/Swiss-Prot;Acc:Q8WYN3]</t>
  </si>
  <si>
    <t>GO:0005515 protein binding,GO:0003677 DNA binding,GO:0005200 structural constituent of cytoskeleton,GO:0005515 protein binding</t>
  </si>
  <si>
    <t>GO:0005737 cytoplasm,GO:0005634 nucleus,GO:0005886 plasma membrane</t>
  </si>
  <si>
    <t>H200013717</t>
  </si>
  <si>
    <t>NM_012213</t>
  </si>
  <si>
    <t>MLYCD</t>
  </si>
  <si>
    <t>Josephin-2 (Josephin domain-containing protein 2) [Source:UniProtKB/Swiss-Prot;Acc:Q8TAC2]</t>
  </si>
  <si>
    <t>CHsGV10003560</t>
  </si>
  <si>
    <t>NM_006939.2</t>
  </si>
  <si>
    <t>SOS2</t>
  </si>
  <si>
    <t>GO:0005737 cytoplasm,GO:0005794 Golgi apparatus</t>
  </si>
  <si>
    <t>Myomesin-3 (Myomesin family member 3) [Source:UniProtKB/Swiss-Prot;Acc:Q5VTT5]</t>
  </si>
  <si>
    <t>H300011266</t>
  </si>
  <si>
    <t>NM_152542</t>
  </si>
  <si>
    <t>PPM1K</t>
  </si>
  <si>
    <t>Protein phosphatase 1K, mitochondrial Precursor (EC 3.1.3.16)(Protein phosphatase 2C isoform kappa)(PP2C-kappa)(PP2C domain-containing protein phosphatase 1K)(PP2C-like mitochondrial protein)(PP2C-type mitochondrial phosphoprotein phosphatase)(PTMP) [Source:UniProtKB/Swiss-Prot;Acc:Q8N3J5]</t>
  </si>
  <si>
    <t>GO:0005634 nucleus,GO:0005856 cytoskeleton,GO:0005737 cytoplasm,GO:0005829 cytosol,GO:0005654 nucleoplasm</t>
  </si>
  <si>
    <t>GO:0005515 protein binding,GO:0008270 zinc ion binding,GO:0046872 metal ion binding,GO:0016874 ligase activity,GO:0004842 ubiquitin-protein ligase activity</t>
  </si>
  <si>
    <t>H200000717</t>
  </si>
  <si>
    <t>NM_003112</t>
  </si>
  <si>
    <t>SP4</t>
  </si>
  <si>
    <t>Transcription factor Sp4 (SPR-1) [Source:UniProtKB/Swiss-Prot;Acc:Q02446]</t>
  </si>
  <si>
    <t>GO:0006350 transcription,GO:0006357 regulation of transcription from RNA polymerase II promoter,GO:0008016 regulation of heart contraction</t>
  </si>
  <si>
    <t>GO:0003677 DNA binding,GO:0008270 zinc ion binding,GO:0046872 metal ion binding,GO:0003676 nucleic acid binding,GO:0003702 RNA polymerase II transcription factor activity,GO:0003713 transcription coactivator activity</t>
  </si>
  <si>
    <t>GO:0005794 Golgi apparatus</t>
  </si>
  <si>
    <t>H200008429</t>
  </si>
  <si>
    <t>NM_024833</t>
  </si>
  <si>
    <t>ZNF671</t>
  </si>
  <si>
    <t>Zinc finger protein 671  [Source:UniProtKB/Swiss-Prot;Acc:Q8TAW3]</t>
  </si>
  <si>
    <t>H300022567</t>
  </si>
  <si>
    <t>NM_013253</t>
  </si>
  <si>
    <t>DKK3</t>
  </si>
  <si>
    <t>Dickkopf-related protein 3 Precursor (Dickkopf-3)(Dkk-3)(hDkk-3) [Source:UniProtKB/Swiss-Prot;Acc:Q9UBP4]</t>
  </si>
  <si>
    <t>Malonyl-CoA decarboxylase, mitochondrial Precursor (MCD)(EC 4.1.1.9) [Source:UniProtKB/Swiss-Prot;Acc:O95822]</t>
  </si>
  <si>
    <t>Son of sevenless homolog 2 (SOS-2) [Source:UniProtKB/Swiss-Prot;Acc:Q07890]</t>
  </si>
  <si>
    <t>opHsV0400000814</t>
  </si>
  <si>
    <t>AC008132.35</t>
  </si>
  <si>
    <t>Uncharacterized protein ENSP00000302107  [Source:UniProtKB/TrEMBL;Acc:A6NK65]</t>
  </si>
  <si>
    <t>GO:0004890 GABA-A receptor activity,GO:0004866 endopeptidase inhibitor activity</t>
  </si>
  <si>
    <t>H200005375</t>
  </si>
  <si>
    <t>FCHSD1</t>
  </si>
  <si>
    <t>FCH and double SH3 domains protein 1  [Source:UniProtKB/Swiss-Prot;Acc:Q86WN1]</t>
  </si>
  <si>
    <t>CHsGV10002727</t>
  </si>
  <si>
    <t>NM_003329.2</t>
  </si>
  <si>
    <t>TXN</t>
  </si>
  <si>
    <t>Thioredoxin (Trx)(ATL-derived factor)(ADF)(Surface-associated sulphydryl protein)(SASP) [Source:UniProtKB/Swiss-Prot;Acc:P10599]</t>
  </si>
  <si>
    <t>GO:0007267 cell-cell signaling,GO:0008283 cell proliferation,GO:0006928 cell motion,GO:0007165 signal transduction,GO:0045454 cell redox homeostasis,GO:0006810 transport,GO:0022900 electron transport chain</t>
  </si>
  <si>
    <t>H200016956</t>
  </si>
  <si>
    <t>NM_017831</t>
  </si>
  <si>
    <t>AHsV10000987</t>
  </si>
  <si>
    <t>NM_001015072.3</t>
  </si>
  <si>
    <t>UFSP1</t>
  </si>
  <si>
    <t>Inactive Ufm1-specific protease 1 (UfSP1) [Source:UniProtKB/Swiss-Prot;Acc:Q6NVU6]</t>
  </si>
  <si>
    <t>GO:0003674 molecular_function,GO:0016790 thiolester hydrolase activity</t>
  </si>
  <si>
    <t>Tumor necrosis factor ligand superfamily member 14 (Herpesvirus entry mediator-ligand)(HVEM-L)(CD258 antigen) [Contains Tumor necrosis factor ligand superfamily member 14, membrane form;Tumor necrosis factor ligand superfamily member 14, soluble form] [Source:UniProtKB/Swiss-Prot;Acc:O43557]</t>
  </si>
  <si>
    <t>GO:0006915 apoptosis,GO:0006917 induction of apoptosis,GO:0043029 T cell homeostasis,GO:0006955 immune response,GO:0042098 T cell proliferation,GO:0031295 T cell costimulation,GO:0007165 signal transduction,GO:0008588 release of cytoplasmic sequestered NF-kappaB,GO:0031295 T cell costimulation</t>
  </si>
  <si>
    <t>GO:0005125 cytokine activity,GO:0043027 caspase inhibitor activity,GO:0005164 tumor necrosis factor receptor binding</t>
  </si>
  <si>
    <t>GO:0005737 cytoplasm,GO:0005615 extracellular space,GO:0016021 integral to membrane,GO:0005886 plasma membrane,GO:0016020 membrane,GO:0005576 extracellular region</t>
  </si>
  <si>
    <t>RNF125</t>
  </si>
  <si>
    <t>GO:0006350 transcription,GO:0006355 regulation of transcription, DNA-dependent,GO:0045944 positive regulation of transcription from RNA polymerase II promoter,GO:0043065 positive regulation of apoptosis</t>
  </si>
  <si>
    <t>H300004947</t>
  </si>
  <si>
    <t>NM_138334;NM_138334</t>
  </si>
  <si>
    <t>JOSD2</t>
  </si>
  <si>
    <t>GO:0006511 ubiquitin-dependent protein catabolic process,GO:0006955 immune response,GO:0016567 protein ubiquitination</t>
  </si>
  <si>
    <t>H200005374</t>
  </si>
  <si>
    <t>NM_006355;NM_006355</t>
  </si>
  <si>
    <t>TRIM38</t>
  </si>
  <si>
    <t>Tripartite motif-containing protein 38 (RING finger protein 15)(Zinc finger protein RoRet) [Source:UniProtKB/Swiss-Prot;Acc:O00635]</t>
  </si>
  <si>
    <t>GO:0016567 protein ubiquitination,GO:0043123 positive regulation of I-kappaB kinase/NF-kappaB cascade</t>
  </si>
  <si>
    <t>GO:0005515 protein binding,GO:0008270 zinc ion binding,GO:0046872 metal ion binding,GO:0004842 ubiquitin-protein ligase activity,GO:0004871 signal transducer activity</t>
  </si>
  <si>
    <t>GO:0005622 intracellular,GO:0005575 cellular_component,GO:0000151 ubiquitin ligase complex</t>
  </si>
  <si>
    <t>H200013176</t>
  </si>
  <si>
    <t>ZNF714</t>
  </si>
  <si>
    <t>Zinc finger protein 714  [Source:UniProtKB/Swiss-Prot;Acc:Q96N38]</t>
  </si>
  <si>
    <t>CHsGV10003247</t>
  </si>
  <si>
    <t>NM_138349.2</t>
  </si>
  <si>
    <t>TP53I13</t>
  </si>
  <si>
    <t>Tumor protein p53-inducible protein 13 Precursor (Damage-stimulated cytoplasmic protein 1) [Source:UniProtKB/Swiss-Prot;Acc:Q8NBR0]</t>
  </si>
  <si>
    <t>GO:0005737 cytoplasm,GO:0016021 integral to membrane,GO:0005886 plasma membrane</t>
  </si>
  <si>
    <t>H300018657</t>
  </si>
  <si>
    <t>NM_021944;NM_021944;NM_021944;NM_021944;NM_021944</t>
  </si>
  <si>
    <t>C14orf93</t>
  </si>
  <si>
    <t>Uncharacterized protein C14orf93 Precursor  [Source:UniProtKB/Swiss-Prot;Acc:Q9H972]</t>
  </si>
  <si>
    <t>AHsV10001510</t>
  </si>
  <si>
    <t>NM_002740.5</t>
  </si>
  <si>
    <t>RP3-514P16.1</t>
  </si>
  <si>
    <t>GO:0001664 G-protein-coupled receptor binding,GO:0003924 GTPase activity,GO:0004871 signal transducer activity,GO:0031702 type 1 angiotensin receptor binding,GO:0001664 G-protein-coupled receptor binding,GO:0031702 type 1 angiotensin receptor binding</t>
  </si>
  <si>
    <t>GO:0001750 photoreceptor outer segment,GO:0005834 heterotrimeric G-protein complex</t>
  </si>
  <si>
    <t>H300013659</t>
  </si>
  <si>
    <t>C11orf20</t>
  </si>
  <si>
    <t>Uncharacterized protein DKFZp566E164  [Source:UniProtKB/Swiss-Prot;Acc:Q9NTU4]</t>
  </si>
  <si>
    <t>H300019355</t>
  </si>
  <si>
    <t>NM_012411;NM_012411;NM_012411</t>
  </si>
  <si>
    <t>PTPN22</t>
  </si>
  <si>
    <t>GO:0006811 ion transport,GO:0007275 multicellular organismal development,GO:0030178 negative regulation of Wnt receptor signaling pathway,GO:0009653 anatomical structure morphogenesis</t>
  </si>
  <si>
    <t>Tyrosine-protein phosphatase non-receptor type 22 (EC 3.1.3.48)(Hematopoietic cell protein-tyrosine phosphatase 70Z-PEP)(Lymphoid phosphatase)(LyP) [Source:UniProtKB/Swiss-Prot;Acc:Q9Y2R2]</t>
  </si>
  <si>
    <t>GO:0004872 receptor activity,GO:0004725 protein tyrosine phosphatase activity</t>
  </si>
  <si>
    <t>H200017080</t>
  </si>
  <si>
    <t>NM_005346</t>
  </si>
  <si>
    <t>HSPA1B</t>
  </si>
  <si>
    <t>GO:0005634 nucleus,GO:0005737 cytoplasm,GO:0005783 endoplasmic reticulum,GO:0005739 mitochondrion</t>
  </si>
  <si>
    <t>CHsGV10003107</t>
  </si>
  <si>
    <t>NM_006315.4</t>
  </si>
  <si>
    <t>PCGF3</t>
  </si>
  <si>
    <t>Polycomb group RING finger protein 3 (RING finger protein 3A) [Source:UniProtKB/Swiss-Prot;Acc:Q3KNV8]</t>
  </si>
  <si>
    <t>GO:0008270 zinc ion binding,GO:0042802 identical protein binding,GO:0005515 protein binding</t>
  </si>
  <si>
    <t>GO:0006397 mRNA processing,GO:0008380 RNA splicing,GO:0000398 nuclear mRNA splicing, via spliceosome</t>
  </si>
  <si>
    <t>opHsV0400004395</t>
  </si>
  <si>
    <t>AB019440.1</t>
  </si>
  <si>
    <t>AHsV10002991</t>
  </si>
  <si>
    <t>NM_015845.3</t>
  </si>
  <si>
    <t>MBD1</t>
  </si>
  <si>
    <t>Methyl-CpG-binding domain protein 1 (Methyl-CpG-binding protein MBD1)(Protein containing methyl-CpG-binding domain 1)(CXXC-type zinc finger protein 3) [Source:UniProtKB/Swiss-Prot;Acc:Q9UIS9]</t>
  </si>
  <si>
    <t>AHsV10000241</t>
  </si>
  <si>
    <t>NM_002074.2</t>
  </si>
  <si>
    <t>GNB1</t>
  </si>
  <si>
    <t>protein kinase C, iota (PRKCI), mRNA [Source:RefSeq DNA;Acc:NM_002740]</t>
  </si>
  <si>
    <t>CHsGV10001001</t>
  </si>
  <si>
    <t>NM_172014.1;NM_003807.2</t>
  </si>
  <si>
    <t>TNFSF14</t>
  </si>
  <si>
    <t>GO:0007165 signal transduction,GO:0007200 activation of phospholipase C activity by G-protein coupled receptor protein signaling pathway coupled to IP3 second messenger,GO:0007204 elevation of cytosolic calcium ion concentration,GO:0007213 muscarinic acet</t>
  </si>
  <si>
    <t>H300019183</t>
  </si>
  <si>
    <t>NM_018453</t>
  </si>
  <si>
    <t>EAPP</t>
  </si>
  <si>
    <t>E2F-associated phosphoprotein (EAPP) [Source:UniProtKB/Swiss-Prot;Acc:Q56P03]</t>
  </si>
  <si>
    <t>opHsV0400004523</t>
  </si>
  <si>
    <t>NM_006001</t>
  </si>
  <si>
    <t>TUBA3C</t>
  </si>
  <si>
    <t>H300014548</t>
  </si>
  <si>
    <t>NM_032752</t>
  </si>
  <si>
    <t>ZNF496</t>
  </si>
  <si>
    <t>E3 ubiquitin-protein ligase RNF125 (EC 6.3.2.-)(RING finger protein 125)(T-cell RING activation protein 1)(TRAC-1) [Source:UniProtKB/Swiss-Prot;Acc:Q96EQ8]</t>
  </si>
  <si>
    <t>GO:0006355 regulation of transcription, DNA-dependent,GO:0000122 negative regulation of transcription from RNA polymerase II promoter</t>
  </si>
  <si>
    <t>GO:0003677 DNA binding,GO:0005515 protein binding,GO:0008270 zinc ion binding,GO:0046872 metal ion binding,GO:0003700 transcription factor activity,GO:0003676 nucleic acid binding</t>
  </si>
  <si>
    <t>H300019908</t>
  </si>
  <si>
    <t>NM_001617;NM_017488;NM_017488</t>
  </si>
  <si>
    <t>ADD2</t>
  </si>
  <si>
    <t>Beta-adducin (Erythrocyte adducin subunit beta) [Source:UniProtKB/Swiss-Prot;Acc:P35612]</t>
  </si>
  <si>
    <t>GO:0006950 response to stress,GO:0006916 anti-apoptosis,GO:0006986 response to unfolded protein,GO:0006402 mRNA catabolic process</t>
  </si>
  <si>
    <t>opHsV0400002940</t>
  </si>
  <si>
    <t>BAGE2</t>
  </si>
  <si>
    <t>B melanoma antigen 3 Precursor (Cancer/testis antigen 2.3)(CT2.3) [Source:UniProtKB/Swiss-Prot;Acc:Q86Y29]</t>
  </si>
  <si>
    <t>H200001057</t>
  </si>
  <si>
    <t>NM_006024;NM_006024</t>
  </si>
  <si>
    <t>TAX1BP1</t>
  </si>
  <si>
    <t>Tax1-binding protein 1 (TRAF6-binding protein) [Source:UniProtKB/Swiss-Prot;Acc:Q86VP1]</t>
  </si>
  <si>
    <t>GO:0006915 apoptosis,GO:0006916 anti-apoptosis,GO:0006916 anti-apoptosis</t>
  </si>
  <si>
    <t>H300019867</t>
  </si>
  <si>
    <t>NM_012433</t>
  </si>
  <si>
    <t>SF3B1</t>
  </si>
  <si>
    <t>Splicing factor 3B subunit 1 (Pre-mRNA-splicing factor SF3b 155 kDa subunit)(SF3b155)(Spliceosome-associated protein 155)(SAP 155) [Source:UniProtKB/Swiss-Prot;Acc:O75533]</t>
  </si>
  <si>
    <t>H300003604</t>
  </si>
  <si>
    <t>AC006483.5</t>
  </si>
  <si>
    <t>H200001469</t>
  </si>
  <si>
    <t>NM_007279</t>
  </si>
  <si>
    <t>U2AF2</t>
  </si>
  <si>
    <t>Splicing factor U2AF 65 kDa subunit (U2 auxiliary factor 65 kDa subunit)(hU2AF65)(hU2AF(65))(U2 snRNP auxiliary factor large subunit) [Source:UniProtKB/Swiss-Prot;Acc:P26368]</t>
  </si>
  <si>
    <t>Immunoglobulin heavy chain V gene segment [Source:IMGT/GENE-DB;Acc:IGHV3-15]</t>
  </si>
  <si>
    <t>Guanine nucleotide-binding protein G(I)/G(S)/G(T) subunit beta-1 (Transducin beta chain 1) [Source:UniProtKB/Swiss-Prot;Acc:P62873]</t>
  </si>
  <si>
    <t>Tubulin alpha-3C/D chain (Alpha-tubulin 3C/D)(Tubulin alpha-2 chain)(Alpha-tubulin 2) [Source:UniProtKB/Swiss-Prot;Acc:Q13748]</t>
  </si>
  <si>
    <t>GO:0005525 GTP binding,GO:0003924 GTPase activity,GO:0005198 structural molecule activity</t>
  </si>
  <si>
    <t>GO:0005515 protein binding,GO:0000166 nucleotide binding,GO:0005524 ATP binding,GO:0042277 peptide binding,GO:0042288 MHC class I protein binding,GO:0000166 nucleotide binding,GO:0005524 ATP binding,GO:0042277 peptide binding,GO:0042288 MHC class I protein binding</t>
  </si>
  <si>
    <t>GO:0005886 plasma membrane,GO:0016021 integral to membrane,GO:0016020 membrane,GO:0005622 intracellular,GO:0010008 endosome membrane,GO:0005765 lysosomal membrane,GO:0031902 late endosome membrane,GO:0005771 multivesicular body,GO:0042613 MHC class II protein complex,GO:0042825 TAP complex,GO:0042825 TAP complex</t>
  </si>
  <si>
    <t>CHsGV10004010</t>
  </si>
  <si>
    <t>NM_006176.2;NM_001126181.1</t>
  </si>
  <si>
    <t>NRGN</t>
  </si>
  <si>
    <t>Neurogranin (Ng)(RC3) [Contains NEUG(55-78)] [Source:UniProtKB/Swiss-Prot;Acc:Q92686]</t>
  </si>
  <si>
    <t>GO:0007186 G-protein coupled receptor protein signaling pathway,GO:0007165 signal transduction,GO:0007399 nervous system development</t>
  </si>
  <si>
    <t>GO:0005516 calmodulin binding,GO:0004930 G-protein coupled receptor activity</t>
  </si>
  <si>
    <t>H300005300</t>
  </si>
  <si>
    <t>ZNF654</t>
  </si>
  <si>
    <t>Zinc finger protein 654 (Melanoma-associated antigen) [Source:UniProtKB/Swiss-Prot;Acc:Q8IZM8]</t>
  </si>
  <si>
    <t>H200017198</t>
  </si>
  <si>
    <t>NM_014624;NM_014624</t>
  </si>
  <si>
    <t>S100A6</t>
  </si>
  <si>
    <t>Protein S100-A6 (S100 calcium-binding protein A6)(Calcyclin)(Prolactin receptor-associated protein)(PRA)(Growth factor-inducible protein 2A9)(MLN 4) [Source:UniProtKB/Swiss-Prot;Acc:P06703]</t>
  </si>
  <si>
    <t>GO:0007165 signal transduction,GO:0007049 cell cycle,GO:0008283 cell proliferation,GO:0048146 positive regulation of fibroblast proliferation,GO:0007409 axonogenesis</t>
  </si>
  <si>
    <t>GO:0005509 calcium ion binding,GO:0008270 zinc ion binding,GO:0008083 growth factor activity,GO:0042803 protein homodimerization activity,GO:0048306 calcium-dependent protein binding,GO:0048154 S100 beta binding</t>
  </si>
  <si>
    <t>GO:0005634 nucleus,GO:0005737 cytoplasm,GO:0001726 ruffle,GO:0005635 nuclear envelope</t>
  </si>
  <si>
    <t>H200006413</t>
  </si>
  <si>
    <t>NM_006120;NM_006120;NM_006120</t>
  </si>
  <si>
    <t>HLA-DMA</t>
  </si>
  <si>
    <t>Zinc finger protein 496 (Zinc finger protein with KRAB and SCAN domains 17) [Source:UniProtKB/Swiss-Prot;Acc:Q96IT1]</t>
  </si>
  <si>
    <t>GO:0015031 protein transport,GO:0006955 immune response,GO:0006461 protein complex assembly,GO:0050778 positive regulation of immune response,GO:0051085 chaperone cofactor-dependent protein folding,GO:0019882 antigen processing and presentation,GO:0045582 positive regulation of T cell differentiation,GO:0016064 immunoglobulin mediated immune response,GO:0019886 antigen processing and presentation of exogenous peptide antigen via MHC class II,GO:0002504 antigen processing and presentation of peptide or polysaccharide antigen via MHC class II,GO:0045059 positive thymic T cell selection</t>
  </si>
  <si>
    <t>H200016614</t>
  </si>
  <si>
    <t>NM_017672</t>
  </si>
  <si>
    <t>TRPM7</t>
  </si>
  <si>
    <t>Transient receptor potential cation channel subfamily M member 7 (EC 2.7.11.1)(Long transient receptor potential channel 7)(LTrpC7)(Channel-kinase 1) [Source:UniProtKB/Swiss-Prot;Acc:Q96QT4]</t>
  </si>
  <si>
    <t>GO:0006811 ion transport,GO:0006468 protein amino acid phosphorylation,GO:0046777 protein amino acid autophosphorylation,GO:0006816 calcium ion transport,GO:0016340 calcium-dependent cell-matrix adhesion,GO:0031032 actomyosin structure organization</t>
  </si>
  <si>
    <t>GO:0016740 transferase activity,GO:0005509 calcium ion binding,GO:0005515 protein binding,GO:0003779 actin binding,GO:0008270 zinc ion binding,GO:0000166 nucleotide binding,GO:0005524 ATP binding,GO:0016301 kinase activity,GO:0004674 protein serine/threonine kinase activity,GO:0005216 ion channel activity,GO:0017022 myosin binding,GO:0005262 calcium channel activity</t>
  </si>
  <si>
    <t>GO:0005886 plasma membrane,GO:0016021 integral to membrane,GO:0016020 membrane,GO:0001726 ruffle</t>
  </si>
  <si>
    <t>CHsGV10001532</t>
  </si>
  <si>
    <t>Transcription elongation factor A protein-like 4 (TCEA-like protein 4)(Transcription elongation factor S-II protein-like 4) [Source:UniProtKB/Swiss-Prot;Acc:Q96EI5]</t>
  </si>
  <si>
    <t>DHsGV10001558</t>
  </si>
  <si>
    <t>LOC100291224</t>
  </si>
  <si>
    <t>NM_024863.4;NM_001006937.1;NM_001006936.1;NM_001006935.1</t>
  </si>
  <si>
    <t>TCEAL4</t>
  </si>
  <si>
    <t>GO:0000187 activation of MAPK activity,GO:0007601 visual perception,GO:0045742 positive regulation of epidermal growth factor receptor signaling pathway,GO:0050896 response to stimulus,GO:0045745 positive regulation of G-protein coupled receptor protein signaling pathway,GO:0000187 activation of MAPK activity,GO:0045745 positive regulation of G-protein coupled receptor protein signaling pathway,GO:0045742 positive regulation of epidermal growth factor receptor signaling pathway</t>
  </si>
  <si>
    <t>GO:0005515 protein binding,GO:0004857 enzyme inhibitor activity,GO:0016787 hydrolase activity,GO:0030553 cGMP binding,GO:0005515 protein binding</t>
  </si>
  <si>
    <t>NM_003260.4;NM_001144761.1;NM_001144762.1</t>
  </si>
  <si>
    <t>TLE2</t>
  </si>
  <si>
    <t>Transducin-like enhancer protein 2 (ESG2) [Source:UniProtKB/Swiss-Prot;Acc:Q04725]</t>
  </si>
  <si>
    <t>GO:0009887 organ morphogenesis,GO:0007165 signal transduction,GO:0045449 regulation of transcription,GO:0016055 Wnt receptor signaling pathway</t>
  </si>
  <si>
    <t>GO:0005515 protein binding,GO:0003677 DNA binding,GO:0004879 ligand-dependent nuclear receptor activity</t>
  </si>
  <si>
    <t>opHsV0400002461</t>
  </si>
  <si>
    <t>NM_001002858;NM_001002858</t>
  </si>
  <si>
    <t>ANXA2</t>
  </si>
  <si>
    <t>Annexin A2 (Annexin-2)(Annexin II)(Lipocortin II)(Calpactin I heavy chain)(Chromobindin-8)(p36)(Protein I)(Placental anticoagulant protein IV)(PAP-IV) [Source:UniProtKB/Swiss-Prot;Acc:P07355]</t>
  </si>
  <si>
    <t>CHsGV10000227</t>
  </si>
  <si>
    <t>NM_001628.2</t>
  </si>
  <si>
    <t>AKR1B1</t>
  </si>
  <si>
    <t>Aldose reductase (AR)(EC 1.1.1.21)(Aldehyde reductase) [Source:UniProtKB/Swiss-Prot;Acc:P15121]</t>
  </si>
  <si>
    <t>GO:0006950 response to stress,GO:0005975 carbohydrate metabolic process,GO:0055114 oxidation reduction</t>
  </si>
  <si>
    <t>HLA class II histocompatibility antigen, DM alpha chain Precursor (MHC class II antigen DMA) [Source:UniProtKB/Swiss-Prot;Acc:P28067]</t>
  </si>
  <si>
    <t>GO:0005515 protein binding,GO:0004032 aldehyde reductase activity,GO:0016491 oxidoreductase activity,GO:0009055 electron carrier activity,GO:0004032 aldehyde reductase activity</t>
  </si>
  <si>
    <t>GO:0005737 cytoplasm,GO:0005615 extracellular space,GO:0005829 cytosol</t>
  </si>
  <si>
    <t>H300011149</t>
  </si>
  <si>
    <t>NM_000823</t>
  </si>
  <si>
    <t>GHRHR</t>
  </si>
  <si>
    <t>Growth hormone-releasing hormone receptor Precursor (GHRH receptor)(GRF receptor)(GRFR) [Source:UniProtKB/Swiss-Prot;Acc:Q02643]</t>
  </si>
  <si>
    <t>GO:0001501 skeletal development,GO:0050819 negative regulation of coagulation</t>
  </si>
  <si>
    <t>GO:0005509 calcium ion binding,GO:0008092 cytoskeletal protein binding,GO:0005544 calcium-dependent phospholipid binding,GO:0004859 phospholipase inhibitor activity</t>
  </si>
  <si>
    <t>GO:0004930 G-protein coupled receptor activity,GO:0019838 growth factor binding,GO:0016520 growth hormone-releasing hormone receptor activity,GO:0017046 peptide hormone binding,GO:0004999 vasoactive intestinal polypeptide receptor activity</t>
  </si>
  <si>
    <t>GO:0005886 plasma membrane,GO:0016021 integral to membrane,GO:0016020 membrane,GO:0005737 cytoplasm,GO:0009986 cell surface,GO:0005640 nuclear outer membrane,GO:0016363 nuclear matrix,GO:0030141 secretory granule,GO:0005637 nuclear inner membrane</t>
  </si>
  <si>
    <t>CHsGV10003372</t>
  </si>
  <si>
    <t>GO:0005886 plasma membrane,GO:0005576 extracellular region,GO:0005625 soluble fraction,GO:0042470 melanosome,GO:0005604 basement membrane</t>
  </si>
  <si>
    <t>CHsGV10002470</t>
  </si>
  <si>
    <t>NM_002602.3</t>
  </si>
  <si>
    <t>PDE6G</t>
  </si>
  <si>
    <t>Retinal rod rhodopsin-sensitive cGMP 3',5'-cyclic phosphodiesterase subunit gamma (GMP-PDE gamma)(EC 3.1.4.17) [Source:UniProtKB/Swiss-Prot;Acc:P18545]</t>
  </si>
  <si>
    <t>GO:0007186 G-protein coupled receptor protein signaling pathway,GO:0008284 positive regulation of cell proliferation,GO:0051246 regulation of protein metabolic process,GO:0048469 cell maturation,GO:0007595 lactation,GO:0030879 mammary gland development,GO:0043627 response to estrogen stimulus,GO:0051384 response to glucocorticoid stimulus,GO:0032869 cellular response to insulin stimulus,GO:0019933 cAMP-mediated signaling,GO:0030104 water homeostasis,GO:0007189 G-protein signaling, adenylate cyclase activating pathway,GO:0040018 positive regulation of multicellular organism growth,GO:0043568 positive regulation of insulin-like growth factor receptor signaling pathway,GO:0042445 hormone metabolic process,GO:0021984 adenohypophysis development,GO:0008340 determination of adult life span,GO:0060124 positive regulation of growth hormone secretion,GO:0030819 positive regulation of cAMP biosynthetic process,GO:0010580 activation of adenylate cyclase activity involved in G-protein signaling,GO:0033143 regulation of steroid hormone receptor signaling pathway,GO:0060133 somatotropin secreting cell development</t>
  </si>
  <si>
    <t>Midkine Precursor (MK)(Neurite outgrowth-promoting protein)(Midgestation and kidney protein)(Amphiregulin-associated protein)(ARAP)(Neurite outgrowth-promoting factor 2) [Source:UniProtKB/Swiss-Prot;Acc:P21741]</t>
  </si>
  <si>
    <t>GO:0007165 signal transduction,GO:0007275 multicellular organismal development,GO:0007399 nervous system development,GO:0030154 cell differentiation,GO:0008283 cell proliferation,GO:0009611 response to wounding,GO:0030325 adrenal gland development</t>
  </si>
  <si>
    <t>GO:0008201 heparin binding,GO:0008083 growth factor activity</t>
  </si>
  <si>
    <t>H200019562</t>
  </si>
  <si>
    <t>NM_032898;NM_032898</t>
  </si>
  <si>
    <t>Uncharacterized protein C3orf34  [Source:UniProtKB/Swiss-Prot;Acc:Q96LK0]</t>
  </si>
  <si>
    <t>H300004456</t>
  </si>
  <si>
    <t>NM_001100429;NM_001100429</t>
  </si>
  <si>
    <t>RAP1GDS1</t>
  </si>
  <si>
    <t>GO:0016021 integral to membrane,GO:0016020 membrane,GO:0005624 membrane fraction,GO:0005887 integral to plasma membrane</t>
  </si>
  <si>
    <t>SLC39A6</t>
  </si>
  <si>
    <t>H300005416</t>
  </si>
  <si>
    <t>AL450063.14</t>
  </si>
  <si>
    <t>H200004291</t>
  </si>
  <si>
    <t>NM_020899</t>
  </si>
  <si>
    <t>ZBTB4</t>
  </si>
  <si>
    <t>Zinc finger and BTB domain-containing protein 4 (KAISO-like zinc finger protein 1)(KAISO-L1) [Source:UniProtKB/Swiss-Prot;Acc:Q9P1Z0]</t>
  </si>
  <si>
    <t>Zinc transporter ZIP6 Precursor (Zrt- and Irt-like protein 6)(ZIP-6)(Solute carrier family 39 member 6)(Estrogen-regulated protein LIV-1) [Source:UniProtKB/Swiss-Prot;Acc:Q13433]</t>
  </si>
  <si>
    <t>GO:0005886 plasma membrane,GO:0016021 integral to membrane,GO:0016020 membrane,GO:0005783 endoplasmic reticulum</t>
  </si>
  <si>
    <t>H200006880</t>
  </si>
  <si>
    <t>NM_002391;NM_002391;NM_002391;NM_002391;NM_002391</t>
  </si>
  <si>
    <t>MDK</t>
  </si>
  <si>
    <t>GO:0005634 nucleus,GO:0005737 cytoplasm,GO:0005886 plasma membrane,GO:0005925 focal adhesion,GO:0030054 cell junction</t>
  </si>
  <si>
    <t>opHsV0400006261</t>
  </si>
  <si>
    <t>NM_013256</t>
  </si>
  <si>
    <t>ZNF180</t>
  </si>
  <si>
    <t>Zinc finger protein 180 (HHZ168) [Source:UniProtKB/Swiss-Prot;Acc:Q9UJW8]</t>
  </si>
  <si>
    <t>H200002122</t>
  </si>
  <si>
    <t>Rap1 GTPase-GDP dissociation stimulator 1 (SMG GDS protein)(SMG P21 stimulatory GDP/GTP exchange protein)(Exchange factor smgGDS) [Source:UniProtKB/Swiss-Prot;Acc:P52306]</t>
  </si>
  <si>
    <t>GO:0003735 structural constituent of ribosome,GO:0004842 ubiquitin-protein ligase activity,GO:0005515 protein binding,GO:0008270 zinc ion binding,GO:0016874 ligase activity,GO:0046872 metal ion binding</t>
  </si>
  <si>
    <t>GO:0000151 ubiquitin ligase complex,GO:0000502 proteasome complex,GO:0005622 intracellular,GO:0005737 cytoplasm,GO:0005840 ribosome</t>
  </si>
  <si>
    <t>H300004375</t>
  </si>
  <si>
    <t>NM_001005285</t>
  </si>
  <si>
    <t>OR2AT4</t>
  </si>
  <si>
    <t>Olfactory receptor 2AT4 (Olfactory receptor OR11-265) [Source:UniProtKB/Swiss-Prot;Acc:A6NND4]</t>
  </si>
  <si>
    <t>H300021260</t>
  </si>
  <si>
    <t>NM_170724;NM_170724</t>
  </si>
  <si>
    <t>H200006636</t>
  </si>
  <si>
    <t>NM_012319</t>
  </si>
  <si>
    <t>Toll-interacting protein  [Source:UniProtKB/Swiss-Prot;Acc:Q9H0E2]</t>
  </si>
  <si>
    <t>GO:0006954 inflammatory response,GO:0006955 immune response,GO:0007242 intracellular signaling cascade,GO:0007267 cell-cell signaling,GO:0016310 phosphorylation,GO:0045321 leukocyte activation</t>
  </si>
  <si>
    <t>GO:0004871 signal transducer activity,GO:0005121 Toll binding,GO:0005515 protein binding</t>
  </si>
  <si>
    <t>GO:0005737 cytoplasm,GO:0045092 interleukin-18 receptor complex,GO:0045323 interleukin-1 receptor complex</t>
  </si>
  <si>
    <t>opHsV0400004743</t>
  </si>
  <si>
    <t>NM_032120</t>
  </si>
  <si>
    <t>C7orf64</t>
  </si>
  <si>
    <t>Uncharacterized protein C7orf64  [Source:UniProtKB/Swiss-Prot;Acc:Q5RL73]</t>
  </si>
  <si>
    <t>GO:0003677 DNA binding,GO:0005515 protein binding,GO:0008270 zinc ion binding,GO:0046872 metal ion binding</t>
  </si>
  <si>
    <t>H200014023</t>
  </si>
  <si>
    <t>NM_018354</t>
  </si>
  <si>
    <t>C20orf46</t>
  </si>
  <si>
    <t>Transmembrane protein C20orf46  [Source:UniProtKB/Swiss-Prot;Acc:Q9NUR3]</t>
  </si>
  <si>
    <t>H300018608</t>
  </si>
  <si>
    <t>NM_015695</t>
  </si>
  <si>
    <t>BRPF3</t>
  </si>
  <si>
    <t>Bromodomain and PHD finger-containing protein 3  [Source:UniProtKB/Swiss-Prot;Acc:Q9ULD4]</t>
  </si>
  <si>
    <t>GO:0008284 positive regulation of cell proliferation,GO:0016311 dephosphorylation,GO:0016477 cell migration,GO:0048286 alveolus development</t>
  </si>
  <si>
    <t>GO:0005515 protein binding,GO:0016791 phosphatase activity</t>
  </si>
  <si>
    <t>NM_144669</t>
  </si>
  <si>
    <t>GLT1D1</t>
  </si>
  <si>
    <t>glycosyltransferase 1 domain containing 1  [Source:RefSeq peptide;Acc:NP_653270]</t>
  </si>
  <si>
    <t>GO:0009058 biosynthetic process</t>
  </si>
  <si>
    <t>H300006768</t>
  </si>
  <si>
    <t>FAM10A5</t>
  </si>
  <si>
    <t>Protein FAM10A5  [Source:UniProtKB/Swiss-Prot;Acc:Q8NFI4]</t>
  </si>
  <si>
    <t>AHsV10001974</t>
  </si>
  <si>
    <t>NM_174916.2</t>
  </si>
  <si>
    <t>GO:0006412 translation,GO:0006511 ubiquitin-dependent protein catabolic process,GO:0030163 protein catabolic process</t>
  </si>
  <si>
    <t>DHsGV10004752</t>
  </si>
  <si>
    <t>LOC100129500</t>
  </si>
  <si>
    <t>H300005089</t>
  </si>
  <si>
    <t>NM_152719</t>
  </si>
  <si>
    <t>SPERT</t>
  </si>
  <si>
    <t>Spermatid-associated protein (Protein chibby homolog 2) [Source:UniProtKB/Swiss-Prot;Acc:Q8NA61]</t>
  </si>
  <si>
    <t>AHsV10000368</t>
  </si>
  <si>
    <t>NM_019009.2</t>
  </si>
  <si>
    <t>TOLLIP</t>
  </si>
  <si>
    <t>COQ10B</t>
  </si>
  <si>
    <t>Protein COQ10 B, mitochondrial Precursor  [Source:UniProtKB/Swiss-Prot;Acc:Q9H8M1]</t>
  </si>
  <si>
    <t>GO:0004872 receptor activity,GO:0004888 transmembrane receptor activity</t>
  </si>
  <si>
    <t>H300000386</t>
  </si>
  <si>
    <t>NM_181842</t>
  </si>
  <si>
    <t>ZBTB12</t>
  </si>
  <si>
    <t>Zinc finger and BTB domain-containing protein 12 (Protein G10) [Source:UniProtKB/Swiss-Prot;Acc:Q9Y330]</t>
  </si>
  <si>
    <t>GO:0003677 DNA binding,GO:0005515 protein binding,GO:0008270 zinc ion binding,GO:0046872 metal ion binding,GO:0003676 nucleic acid binding</t>
  </si>
  <si>
    <t>DHsGV10000564</t>
  </si>
  <si>
    <t>LOC100287464</t>
  </si>
  <si>
    <t>AHsV10002821</t>
  </si>
  <si>
    <t>Tensin-3 (Tumor endothelial marker 6)(Tensin-like SH2 domain-containing protein 1) [Source:UniProtKB/Swiss-Prot;Acc:Q68CZ2]</t>
  </si>
  <si>
    <t>GO:0007165 signal transduction,GO:0007186 G-protein coupled receptor protein signaling pathway,GO:0006955 immune response,GO:0006935 chemotaxis,GO:0019722 calcium-mediated signaling,GO:0007193 G-protein signaling, adenylate cyclase inhibiting pathway,GO:0045745 positive regulation of G-protein coupled receptor protein signaling pathway</t>
  </si>
  <si>
    <t>GO:0004872 receptor activity,GO:0004930 G-protein coupled receptor activity,GO:0045028 purinergic nucleotide receptor activity, G-protein coupled,GO:0004982 N-formyl peptide receptor activity,GO:0004944 C5a anaphylatoxin receptor activity,GO:0001785 prostaglandin J receptor activity,GO:0004956 prostaglandin D receptor activity,GO:0004958 prostaglandin F receptor activity,GO:0004942 anaphylatoxin receptor activity</t>
  </si>
  <si>
    <t>CHsGV10000949</t>
  </si>
  <si>
    <t>NM_014069.2</t>
  </si>
  <si>
    <t>PSORS1C2</t>
  </si>
  <si>
    <t>SPR1 protein  [Source:RefSeq peptide;Acc:NP_054788]</t>
  </si>
  <si>
    <t>opHsV0400000397</t>
  </si>
  <si>
    <t>SRP9</t>
  </si>
  <si>
    <t>opHsV0400004821</t>
  </si>
  <si>
    <t>NM_001042473;NM_145698</t>
  </si>
  <si>
    <t>ACBD5</t>
  </si>
  <si>
    <t>Acyl-CoA-binding domain-containing protein 5  [Source:UniProtKB/Swiss-Prot;Acc:Q5T8D3]</t>
  </si>
  <si>
    <t>GO:0000062 acyl-CoA binding</t>
  </si>
  <si>
    <t>GO:0008415 acyltransferase activity,GO:0016740 transferase activity,GO:0008080 N-acetyltransferase activity</t>
  </si>
  <si>
    <t>CHsGV10003931</t>
  </si>
  <si>
    <t>NM_025147.3</t>
  </si>
  <si>
    <t>opHsV0400007916</t>
  </si>
  <si>
    <t>AC092118.3</t>
  </si>
  <si>
    <t>GO:0006350 transcription,GO:0006355 regulation of transcription, DNA-dependent,GO:0006260 DNA replication,GO:0006261 DNA-dependent DNA replication,GO:0007004 telomere maintenance via telomerase,GO:0006297 nucleotide-excision repair, DNA gap filling</t>
  </si>
  <si>
    <t>GO:0003677 DNA binding,GO:0005515 protein binding,GO:0008270 zinc ion binding,GO:0000166 nucleotide binding,GO:0005524 ATP binding,GO:0046872 metal ion binding,GO:0017111 nucleoside-triphosphatase activity,GO:0008047 enzyme activator activity,GO:0003689 DNA clamp loader activity</t>
  </si>
  <si>
    <t>GO:0005634 nucleus,GO:0005622 intracellular,GO:0005654 nucleoplasm,GO:0005663 DNA replication factor C complex</t>
  </si>
  <si>
    <t>Putative G-protein coupled receptor 44 (Chemoattractant receptor-homologous molecule expressed on Th2 cells)(CD294 antigen) [Source:UniProtKB/Swiss-Prot;Acc:Q9Y5Y4]</t>
  </si>
  <si>
    <t>Signal recognition particle 9 kDa protein (SRP9) [Source:UniProtKB/Swiss-Prot;Acc:P49458]</t>
  </si>
  <si>
    <t>GO:0006614 SRP-dependent cotranslational protein targeting to membrane,GO:0045900 negative regulation of translational elongation</t>
  </si>
  <si>
    <t>GO:0005515 protein binding,GO:0008312 7S RNA binding</t>
  </si>
  <si>
    <t>GO:0048500 signal recognition particle</t>
  </si>
  <si>
    <t>H300003740</t>
  </si>
  <si>
    <t>C1orf152</t>
  </si>
  <si>
    <t>Chromosome 1-amplified sequence 3 (COAS-3) [Source:UniProtKB/Swiss-Prot;Acc:Q8TDN8]</t>
  </si>
  <si>
    <t>H300002229</t>
  </si>
  <si>
    <t>NM_000118</t>
  </si>
  <si>
    <t>ENG</t>
  </si>
  <si>
    <t>Endoglin Precursor (CD105 antigen) [Source:UniProtKB/Swiss-Prot;Acc:P17813]</t>
  </si>
  <si>
    <t>Putative uncharacterized protein  [Source:UniProtKB/TrEMBL;Acc:Q86VG7]</t>
  </si>
  <si>
    <t>Replication factor C subunit 1 (Activator 1 subunit 1)(Replication factor C large subunit)(RF-C 140 kDa subunit)(Activator 1 140 kDa subunit)(A1 140 kDa subunit)(Activator 1 large subunit)(DNA-binding protein PO-GA) [Source:UniProtKB/Swiss-Prot;Acc:P35251]</t>
  </si>
  <si>
    <t>opHsV0400005109</t>
  </si>
  <si>
    <t>NM_152556</t>
  </si>
  <si>
    <t>C7orf60</t>
  </si>
  <si>
    <t>UPF0532 protein C7orf60  [Source:UniProtKB/Swiss-Prot;Acc:Q1RMZ1]</t>
  </si>
  <si>
    <t>H200009893</t>
  </si>
  <si>
    <t>NM_004778</t>
  </si>
  <si>
    <t>GPR44</t>
  </si>
  <si>
    <t>Pleckstrin homology-like domain family A member 1 (T-cell death-associated gene 51 protein)(Apoptosis-associated nuclear protein)(Proline- and histidine-rich protein)(Proline- and glutamine-rich protein)(PQ-rich protein) [Source:UniProtKB/Swiss-Prot;Acc:Q8WV24]</t>
  </si>
  <si>
    <t>GO:0006915 apoptosis,GO:0045210 FasL biosynthetic process</t>
  </si>
  <si>
    <t>GO:0016020 membrane,GO:0005634 nucleus,GO:0005737 cytoplasm,GO:0031410 cytoplasmic vesicle,GO:0030659 cytoplasmic vesicle membrane</t>
  </si>
  <si>
    <t>H200002223</t>
  </si>
  <si>
    <t>TXNRD1</t>
  </si>
  <si>
    <t>NM_022748.10</t>
  </si>
  <si>
    <t>TNS3</t>
  </si>
  <si>
    <t>Thioredoxin reductase 1, cytoplasmic (TR)(EC 1.8.1.9)(Thioredoxin reductase TR1)(KM-102-derived reductase-like factor)(Gene associated with retinoid-IFN-induced mortality 12 protein)(GRIM-12) [Source:UniProtKB/Swiss-Prot;Acc:Q16881]</t>
  </si>
  <si>
    <t>AHsV10001471</t>
  </si>
  <si>
    <t>NM_013275.4</t>
  </si>
  <si>
    <t>ANKRD11</t>
  </si>
  <si>
    <t>Ankyrin repeat domain-containing protein 11 (Ankyrin repeat-containing cofactor 1) [Source:UniProtKB/Swiss-Prot;Acc:Q6UB99]</t>
  </si>
  <si>
    <t>H200007693</t>
  </si>
  <si>
    <t>NM_002913;NM_002913</t>
  </si>
  <si>
    <t>RFC1</t>
  </si>
  <si>
    <t>Smad nuclear-interacting protein 1  [Source:UniProtKB/Swiss-Prot;Acc:Q8TAD8]</t>
  </si>
  <si>
    <t>GO:0006355 regulation of transcription, DNA-dependent,GO:0007249 I-kappaB kinase/NF-kappaB cascade</t>
  </si>
  <si>
    <t>H300013266</t>
  </si>
  <si>
    <t>NM_144732;NM_144732</t>
  </si>
  <si>
    <t>HNRNPUL1</t>
  </si>
  <si>
    <t>Heterogeneous nuclear ribonucleoprotein U-like protein 1 (Adenovirus early region 1B-associated protein 5)(E1B-55 kDa-associated protein 5)(E1B-AP5) [Source:UniProtKB/Swiss-Prot;Acc:Q9BUJ2]</t>
  </si>
  <si>
    <t>GO:0006350 transcription,GO:0006355 regulation of transcription, DNA-dependent,GO:0000398 nuclear mRNA splicing, via spliceosome,GO:0009615 response to virus,GO:0006396 RNA processing</t>
  </si>
  <si>
    <t>GO:0005515 protein binding,GO:0003676 nucleic acid binding,GO:0003723 RNA binding</t>
  </si>
  <si>
    <t>DHsGV10001739</t>
  </si>
  <si>
    <t>IGLV3-27</t>
  </si>
  <si>
    <t>V2-19 protein Fragment  [Source:UniProtKB/TrEMBL;Acc:Q5NV91]</t>
  </si>
  <si>
    <t>H300002231</t>
  </si>
  <si>
    <t>NM_007350</t>
  </si>
  <si>
    <t>PHLDA1</t>
  </si>
  <si>
    <t>DNA nucleotidylexotransferase (EC 2.7.7.31)(Terminal addition enzyme)(Terminal deoxynucleotidyltransferase)(Terminal transferase) [Source:UniProtKB/Swiss-Prot;Acc:P04053]</t>
  </si>
  <si>
    <t>GO:0006260 DNA replication,GO:0006281 DNA repair,GO:0006304 DNA modification</t>
  </si>
  <si>
    <t>GO:0003677 DNA binding,GO:0016740 transferase activity,GO:0000287 magnesium ion binding,GO:0003824 catalytic activity,GO:0016779 nucleotidyltransferase activity,GO:0003887 DNA-directed DNA polymerase activity,GO:0003912 DNA nucleotidylexotransferase activity</t>
  </si>
  <si>
    <t>GO:0045454 cell redox homeostasis,GO:0006979 response to oxidative stress,GO:0042744 hydrogen peroxide catabolic process</t>
  </si>
  <si>
    <t>GO:0016491 oxidoreductase activity,GO:0050660 FAD binding,GO:0016654 oxidoreductase activity, acting on NADH or NADPH, disulfide as acceptor,GO:0050661 NADP binding,GO:0004791 thioredoxin-disulfide reductase activity</t>
  </si>
  <si>
    <t>GO:0051056 regulation of small GTPase mediated signal transduction</t>
  </si>
  <si>
    <t>GO:0006397 mRNA processing,GO:0008380 RNA splicing,GO:0006396 RNA processing</t>
  </si>
  <si>
    <t>H300019081</t>
  </si>
  <si>
    <t>NM_018986;NM_018986</t>
  </si>
  <si>
    <t>SH3TC1</t>
  </si>
  <si>
    <t>H200010979</t>
  </si>
  <si>
    <t>NM_024700</t>
  </si>
  <si>
    <t>SNIP1</t>
  </si>
  <si>
    <t>GO:0005634 nucleus,GO:0030530 heterogeneous nuclear ribonucleoprotein complex</t>
  </si>
  <si>
    <t>DHsGV10004171</t>
  </si>
  <si>
    <t>CHsGV10001580</t>
  </si>
  <si>
    <t>NM_006925.3;NM_001039465.1</t>
  </si>
  <si>
    <t>SFRS5</t>
  </si>
  <si>
    <t>Splicing factor, arginine/serine-rich 5 (Pre-mRNA-splicing factor SRP40)(Delayed-early protein HRS) [Source:UniProtKB/Swiss-Prot;Acc:Q13243]</t>
  </si>
  <si>
    <t>GO:0008380 RNA splicing,GO:0006376 mRNA splice site selection,GO:0051726 regulation of cell cycle</t>
  </si>
  <si>
    <t>GO:0005515 protein binding,GO:0003723 RNA binding,GO:0000166 nucleotide binding,GO:0050733 RS domain binding,GO:0003676 nucleic acid binding,GO:0050733 RS domain binding</t>
  </si>
  <si>
    <t>ALPPL2</t>
  </si>
  <si>
    <t>Alkaline phosphatase, placental-like Precursor (EC 3.1.3.1)(Alkaline phosphatase Nagao isozyme)(Germ cell alkaline phosphatase)(GCAP)(PLAP-like)(ALP-1) [Source:UniProtKB/Swiss-Prot;Acc:P10696]</t>
  </si>
  <si>
    <t>H200016932</t>
  </si>
  <si>
    <t>NM_004088</t>
  </si>
  <si>
    <t>DNTT</t>
  </si>
  <si>
    <t>H200019327</t>
  </si>
  <si>
    <t>EIF2A</t>
  </si>
  <si>
    <t>Eukaryotic translation initiation factor 2A (eIF-2A)(65 kDa eukaryotic translation initiation factor 2A) [Source:UniProtKB/Swiss-Prot;Acc:Q9BY44]</t>
  </si>
  <si>
    <t>H300015559</t>
  </si>
  <si>
    <t>NM_000309</t>
  </si>
  <si>
    <t>PPOX</t>
  </si>
  <si>
    <t>DHsGV10003658</t>
  </si>
  <si>
    <t>SH3 domain and tetratricopeptide repeats-containing protein 1  [Source:UniProtKB/Swiss-Prot;Acc:Q8TE82]</t>
  </si>
  <si>
    <t>NM_005590;NM_005590;NM_005590</t>
  </si>
  <si>
    <t>MRE11A</t>
  </si>
  <si>
    <t>Double-strand break repair protein MRE11A (MRE11 meiotic recombination 11 homolog A)(MRE11 homolog 1) [Source:UniProtKB/Swiss-Prot;Acc:P49959]</t>
  </si>
  <si>
    <t>GO:0006302 double-strand break repair,GO:0006259 DNA metabolic process</t>
  </si>
  <si>
    <t>NM_031313</t>
  </si>
  <si>
    <t>Protoporphyrinogen oxidase (PPO)(EC 1.3.3.4) [Source:UniProtKB/Swiss-Prot;Acc:P50336]</t>
  </si>
  <si>
    <t>GO:0055114 oxidation reduction,GO:0006779 porphyrin biosynthetic process,GO:0006783 heme biosynthetic process</t>
  </si>
  <si>
    <t>GO:0016491 oxidoreductase activity,GO:0009055 electron carrier activity,GO:0050660 FAD binding,GO:0004729 protoporphyrinogen oxidase activity</t>
  </si>
  <si>
    <t>GO:0016020 membrane,GO:0005739 mitochondrion,GO:0005758 mitochondrial intermembrane space,GO:0031304 intrinsic to mitochondrial inner membrane</t>
  </si>
  <si>
    <t>CHsGV10002603</t>
  </si>
  <si>
    <t>NM_015562.1</t>
  </si>
  <si>
    <t>UBXN7</t>
  </si>
  <si>
    <t>UBX domain-containing protein 7  [Source:UniProtKB/Swiss-Prot;Acc:O94888]</t>
  </si>
  <si>
    <t>H300021217</t>
  </si>
  <si>
    <t>NM_014884;NM_014884;NM_014884</t>
  </si>
  <si>
    <t>SFRS14</t>
  </si>
  <si>
    <t>Putative splicing factor, arginine/serine-rich 14 (Arginine/serine-rich-splicing factor 14) [Source:UniProtKB/Swiss-Prot;Acc:Q8IX01]</t>
  </si>
  <si>
    <t>DHsGV10003289</t>
  </si>
  <si>
    <t>H200003370</t>
  </si>
  <si>
    <t>NM_018191</t>
  </si>
  <si>
    <t>RCBTB1</t>
  </si>
  <si>
    <t>RCC1 and BTB domain-containing protein 1 (Regulator of chromosome condensation and BTB domain-containing protein 1)(Chronic lymphocytic leukemia deletion region gene 7 protein)(CLL deletion region gene 7 protein) [Source:UniProtKB/Swiss-Prot;Acc:Q8NDN9]</t>
  </si>
  <si>
    <t>GO:0006350 transcription,GO:0006355 regulation of transcription, DNA-dependent,GO:0016568 chromatin modification,GO:0007049 cell cycle</t>
  </si>
  <si>
    <t>H200002912</t>
  </si>
  <si>
    <t>H300018135</t>
  </si>
  <si>
    <t>NM_080861</t>
  </si>
  <si>
    <t>SPSB3</t>
  </si>
  <si>
    <t>SPRY domain-containing SOCS box protein 3 (SSB-3) [Source:UniProtKB/Swiss-Prot;Acc:Q6PJ21]</t>
  </si>
  <si>
    <t>H200018200</t>
  </si>
  <si>
    <t>NM_018158</t>
  </si>
  <si>
    <t>SLC4A1AP</t>
  </si>
  <si>
    <t>Kanadaptin (Kidney anion exchanger adapter protein)(Solute carrier family 4 anion exchanger member 1 adapter protein)(Human lung cancer oncogene 3 protein)(HLC-3) [Source:UniProtKB/Swiss-Prot;Acc:Q9BWU0]</t>
  </si>
  <si>
    <t>GO:0005515 protein binding,GO:0003725 double-stranded RNA binding</t>
  </si>
  <si>
    <t>H200003244</t>
  </si>
  <si>
    <t>NM_005550</t>
  </si>
  <si>
    <t>KIFC3</t>
  </si>
  <si>
    <t>GO:0003677 DNA binding,GO:0003700 transcription factor activity,GO:0004867 serine-type endopeptidase inhibitor activity,GO:0043565 sequence-specific DNA binding,GO:0046983 protein dimerization activity</t>
  </si>
  <si>
    <t>H300019579</t>
  </si>
  <si>
    <t>NM_152904;NM_001033553;NM_001033555;NM_001033555;NM_001033555</t>
  </si>
  <si>
    <t>CYTSB</t>
  </si>
  <si>
    <t>Sperm antigen with calponin homology and coiled-coil domains 1 (Nuclear structure protein 5)(NSP5)(Sperm antigen HCMOGT-1) [Source:UniProtKB/Swiss-Prot;Acc:Q5M775]</t>
  </si>
  <si>
    <t>GO:0005515 protein binding,GO:0005524 ATP binding,GO:0005021 vascular endothelial growth factor receptor activity,GO:0042802 identical protein binding,GO:0005515 protein binding,GO:0005178 integrin binding,GO:0033691 sialic acid binding</t>
  </si>
  <si>
    <t>GO:0016021 integral to membrane,GO:0005886 plasma membrane,GO:0009986 cell surface,GO:0005624 membrane fraction,GO:0042734 presynaptic membrane,GO:0009897 external side of plasma membrane,GO:0043195 terminal button</t>
  </si>
  <si>
    <t>E3 ubiquitin-protein ligase RNF25 (EC 6.3.2.-)(RING finger protein 25) [Source:UniProtKB/Swiss-Prot;Acc:Q96BH1]</t>
  </si>
  <si>
    <t>AHsV10002028</t>
  </si>
  <si>
    <t>NM_012145.2</t>
  </si>
  <si>
    <t>DTYMK</t>
  </si>
  <si>
    <t>Thymidylate kinase (EC 2.7.4.9)(dTMP kinase) [Source:UniProtKB/Swiss-Prot;Acc:P23919]</t>
  </si>
  <si>
    <t>GO:0006233 dTDP biosynthetic process,GO:0007049 cell cycle,GO:0008283 cell proliferation,GO:0009165 nucleotide biosynthetic process</t>
  </si>
  <si>
    <t>GO:0000166 nucleotide binding,GO:0004798 thymidylate kinase activity,GO:0005524 ATP binding,GO:0016301 kinase activity,GO:0016740 transferase activity,GO:0019206 nucleoside kinase activity</t>
  </si>
  <si>
    <t>Nicotinamide phosphoribosyltransferase (NAmPRTase)(Nampt)(EC 2.4.2.12)(Pre-B-cell colony-enhancing factor 1)(Pre-B cell-enhancing factor)(Visfatin) [Source:UniProtKB/Swiss-Prot;Acc:P43490]</t>
  </si>
  <si>
    <t>GO:0007165 signal transduction,GO:0007267 cell-cell signaling,GO:0008284 positive regulation of cell proliferation,GO:0009435 NAD biosynthetic process</t>
  </si>
  <si>
    <t>GO:0016787 hydrolase activity,GO:0030145 manganese ion binding,GO:0004519 endonuclease activity,GO:0004527 exonuclease activity</t>
  </si>
  <si>
    <t>H200019478</t>
  </si>
  <si>
    <t>GO:0007018 microtubule-based movement,GO:0007601 visual perception,GO:0007030 Golgi organization</t>
  </si>
  <si>
    <t>GO:0005871 kinesin complex,GO:0005874 microtubule,GO:0005794 Golgi apparatus,GO:0005875 microtubule associated complex</t>
  </si>
  <si>
    <t>AHsV10001004</t>
  </si>
  <si>
    <t>NM_001145412.1</t>
  </si>
  <si>
    <t>NFE2L2</t>
  </si>
  <si>
    <t>Nuclear factor erythroid 2-related factor 2 (NF-E2-related factor 2)(NFE2-related factor 2)(Nuclear factor, erythroid derived 2, like 2)(HEBP1) [Source:UniProtKB/Swiss-Prot;Acc:Q16236]</t>
  </si>
  <si>
    <t>CHsGV10003390</t>
  </si>
  <si>
    <t>NM_024003.2;NM_001143963.1;NM_000425.3</t>
  </si>
  <si>
    <t>L1CAM</t>
  </si>
  <si>
    <t>Olfactory receptor 6C2 (HSA3) [Source:UniProtKB/Swiss-Prot;Acc:Q9NZP2]</t>
  </si>
  <si>
    <t>GO:0007275 multicellular organismal development,GO:0008219 cell death,GO:0030154 cell differentiation,GO:0006468 protein amino acid phosphorylation,GO:0007399 nervous system development,GO:0007155 cell adhesion,GO:0007411 axon guidance,GO:0007156 homophilic cell adhesion,GO:0007157 heterophilic cell adhesion,GO:0007166 cell surface receptor linked signal transduction,GO:0031175 neuron projection development,GO:0050850 positive regulation of calcium-mediated signaling,GO:0007159 leukocyte adhesion,GO:0022409 positive regulation of cell-cell adhesion,GO:0033631 cell-cell adhesion mediated by integrin,GO:0034109 homotypic cell-cell adhesion</t>
  </si>
  <si>
    <t>Uncharacterized protein C19orf68  [Source:UniProtKB/Swiss-Prot;Acc:Q86XI8]</t>
  </si>
  <si>
    <t>H200010778</t>
  </si>
  <si>
    <t>NM_022453</t>
  </si>
  <si>
    <t>RNF25</t>
  </si>
  <si>
    <t>GO:0006091 generation of precursor metabolites and energy</t>
  </si>
  <si>
    <t>opHsV0400006782</t>
  </si>
  <si>
    <t>NM_005746</t>
  </si>
  <si>
    <t>PBEF1</t>
  </si>
  <si>
    <t>GO:0016021 integral to membrane,GO:0016020 membrane,GO:0016324 apical plasma membrane,GO:0016324 apical plasma membrane</t>
  </si>
  <si>
    <t>opHsV0400002438</t>
  </si>
  <si>
    <t>AL139288.15</t>
  </si>
  <si>
    <t>Uncharacterized protein ENSP00000383732  [Source:UniProtKB/TrEMBL;Acc:A8MVZ5]</t>
  </si>
  <si>
    <t>opHsV0400000945</t>
  </si>
  <si>
    <t>NM_018199</t>
  </si>
  <si>
    <t>EXDL2</t>
  </si>
  <si>
    <t>Exonuclease 3'-5' domain-like-containing protein 2  [Source:UniProtKB/Swiss-Prot;Acc:Q9NVH0]</t>
  </si>
  <si>
    <t>Neural cell adhesion molecule L1 Precursor (N-CAM L1)(CD171 antigen) [Source:UniProtKB/Swiss-Prot;Acc:P32004]</t>
  </si>
  <si>
    <t>GO:0006139 nucleobase, nucleoside, nucleotide and nucleic acid metabolic process</t>
  </si>
  <si>
    <t>GO:0016757 transferase activity, transferring glycosyl groups,GO:0005125 cytokine activity,GO:0047280 nicotinamide phosphoribosyltransferase activity</t>
  </si>
  <si>
    <t>H300008057</t>
  </si>
  <si>
    <t>NM_054105</t>
  </si>
  <si>
    <t>OR6C2</t>
  </si>
  <si>
    <t>H200000867</t>
  </si>
  <si>
    <t>NM_006582;NM_024482;NM_024482</t>
  </si>
  <si>
    <t>GMEB1</t>
  </si>
  <si>
    <t>Glucocorticoid modulatory element-binding protein 1 (GMEB-1)(Parvovirus initiation factor p96)(PIF p96)(DNA-binding protein p96PIF) [Source:UniProtKB/Swiss-Prot;Acc:Q9Y692]</t>
  </si>
  <si>
    <t>GO:0003677 DNA binding,GO:0005488 binding</t>
  </si>
  <si>
    <t>opHsV0400006846</t>
  </si>
  <si>
    <t>C19orf68</t>
  </si>
  <si>
    <t>H200008441</t>
  </si>
  <si>
    <t>NM_178443;NM_178443</t>
  </si>
  <si>
    <t>FERMT3</t>
  </si>
  <si>
    <t>Fermitin family homolog 3 (Unc-112-related protein 2)(Kindlin-3)(MIG2-like protein) [Source:UniProtKB/Swiss-Prot;Acc:Q86UX7]</t>
  </si>
  <si>
    <t>GO:0033344 cholesterol efflux,GO:0042632 cholesterol homeostasis,GO:0015914 phospholipid transport,GO:0045796 negative regulation of intestinal cholesterol absorption,GO:0007588 excretion,GO:0010949 negative regulation of intestinal phytosterol absorption,GO:0006810 transport,GO:0015918 sterol transport,GO:0015914 phospholipid transport,GO:0042632 cholesterol homeostasis,GO:0007588 excretion,GO:0033344 cholesterol efflux,GO:0015918 sterol transport,GO:0055092 sterol homeostasis</t>
  </si>
  <si>
    <t>GO:0017127 cholesterol transporter activity,GO:0046982 protein heterodimerization activity,GO:0005524 ATP binding,GO:0016887 ATPase activity,GO:0017111 nucleoside-triphosphatase activity,GO:0000166 nucleotide binding,GO:0017127 cholesterol transporter activity</t>
  </si>
  <si>
    <t>GO:0003676 nucleic acid binding,GO:0008408 3'-5' exonuclease activity</t>
  </si>
  <si>
    <t>Integrin-linked protein kinase (EC 2.7.11.1)(ILK-1)(ILK-2)(59 kDa serine/threonine-protein kinase)(p59ILK) [Source:UniProtKB/Swiss-Prot;Acc:Q13418]</t>
  </si>
  <si>
    <t>GO:0006468 protein amino acid phosphorylation,GO:0016055 Wnt receptor signaling pathway</t>
  </si>
  <si>
    <t>CHsGV10001741</t>
  </si>
  <si>
    <t>NM_024010.2;NM_002454.2</t>
  </si>
  <si>
    <t>MTRR</t>
  </si>
  <si>
    <t>Kinesin-like protein KIFC3  [Source:UniProtKB/Swiss-Prot;Acc:Q9BVG8]</t>
  </si>
  <si>
    <t>Methionine synthase reductase, mitochondrial Precursor (MSR)(EC 1.16.1.8) [Source:UniProtKB/Swiss-Prot;Acc:Q9UBK8]</t>
  </si>
  <si>
    <t>GO:0055114 oxidation reduction,GO:0008652 cellular amino acid biosynthetic process,GO:0009086 methionine biosynthetic process</t>
  </si>
  <si>
    <t>GO:0050661 NADP or NADPH binding,GO:0050660 FAD binding,GO:0016491 oxidoreductase activity,GO:0005506 iron ion binding,GO:0009055 electron carrier activity,GO:0010181 FMN binding,GO:0030586 [methionine synthase] reductase activity</t>
  </si>
  <si>
    <t>GO:0005886 plasma membrane,GO:0005856 cytoskeleton,GO:0005737 cytoplasm,GO:0002102 podosome</t>
  </si>
  <si>
    <t>H200001201</t>
  </si>
  <si>
    <t>NM_004192</t>
  </si>
  <si>
    <t>ASMTL</t>
  </si>
  <si>
    <t>N-acetylserotonin O-methyltransferase-like protein (ASMTL) [Source:UniProtKB/Swiss-Prot;Acc:O95671]</t>
  </si>
  <si>
    <t>GO:0016740 transferase activity,GO:0008171 O-methyltransferase activity</t>
  </si>
  <si>
    <t>CHsGV10002224</t>
  </si>
  <si>
    <t>NM_022437.2</t>
  </si>
  <si>
    <t>ABCG8</t>
  </si>
  <si>
    <t>ATP-binding cassette sub-family G member 8 (Sterolin-2) [Source:UniProtKB/Swiss-Prot;Acc:Q9H221]</t>
  </si>
  <si>
    <t>H300020054</t>
  </si>
  <si>
    <t>NM_003550;NM_003550;NM_001013836</t>
  </si>
  <si>
    <t>MAD1L1</t>
  </si>
  <si>
    <t>Mitotic spindle assembly checkpoint protein MAD1 (Mitotic arrest deficient-like protein 1)(MAD1-like 1)(Mitotic checkpoint MAD1 protein-homolog)(HsMAD1)(hMAD1)(Tax-binding protein 181) [Source:UniProtKB/Swiss-Prot;Acc:Q9Y6D9]</t>
  </si>
  <si>
    <t>DHsGV10002309</t>
  </si>
  <si>
    <t>AHsV10001536</t>
  </si>
  <si>
    <t>NM_030877.3</t>
  </si>
  <si>
    <t>CTNNBL1</t>
  </si>
  <si>
    <t>H200001525</t>
  </si>
  <si>
    <t>H300021202</t>
  </si>
  <si>
    <t>NM_022048</t>
  </si>
  <si>
    <t>CSNK1G1</t>
  </si>
  <si>
    <t>Casein kinase I isoform gamma-1 (CKI-gamma 1)(EC 2.7.11.1) [Source:UniProtKB/Swiss-Prot;Acc:Q9HCP0]</t>
  </si>
  <si>
    <t>GO:0006468 protein amino acid phosphorylation,GO:0009966 regulation of signal transduction,GO:0007160 cell-matrix adhesion,GO:0008284 positive regulation of cell proliferation,GO:0007229 integrin-mediated signaling pathway,GO:0045197 establishment or maintenance of epithelial cell apical/basal polarity,GO:0001658 ureteric bud branching</t>
  </si>
  <si>
    <t>GO:0005886 plasma membrane,GO:0005737 cytoplasm,GO:0030054 cell junction,GO:0005925 focal adhesion</t>
  </si>
  <si>
    <t>DHsGV10005351</t>
  </si>
  <si>
    <t>AHsV10000157</t>
  </si>
  <si>
    <t>NM_003254.2</t>
  </si>
  <si>
    <t>TIMP1</t>
  </si>
  <si>
    <t>NM_005415.3</t>
  </si>
  <si>
    <t>SLC20A1</t>
  </si>
  <si>
    <t>Sodium-dependent phosphate transporter 1 (Solute carrier family 20 member 1)(Phosphate transporter 1)(PiT-1)(Gibbon ape leukemia virus receptor 1)(GLVR-1)(Leukemia virus receptor 1 homolog) [Source:UniProtKB/Swiss-Prot;Acc:Q8WUM9]</t>
  </si>
  <si>
    <t>GO:0006796 phosphate metabolic process,GO:0006810 transport,GO:0006817 phosphate transport,GO:0043123 positive regulation of I-kappaB kinase/NF-kappaB cascade</t>
  </si>
  <si>
    <t>GO:0004872 receptor activity,GO:0005315 inorganic phosphate transmembrane transporter activity,GO:0005436 sodium:phosphate symporter activity,GO:0015293 symporter activity</t>
  </si>
  <si>
    <t>H300003540</t>
  </si>
  <si>
    <t>NM_173516</t>
  </si>
  <si>
    <t>PNLDC1</t>
  </si>
  <si>
    <t>Poly(A)-specific ribonuclease PARN-like domain-containing protein 1 Precursor  [Source:UniProtKB/Swiss-Prot;Acc:Q8NA58]</t>
  </si>
  <si>
    <t>H200003953</t>
  </si>
  <si>
    <t>NM_006522</t>
  </si>
  <si>
    <t>WNT6</t>
  </si>
  <si>
    <t>Protein Wnt-6 Precursor  [Source:UniProtKB/Swiss-Prot;Acc:Q9Y6F9]</t>
  </si>
  <si>
    <t>GO:0007275 multicellular organismal development,GO:0007267 cell-cell signaling,GO:0007223 Wnt receptor signaling pathway, calcium modulating pathway</t>
  </si>
  <si>
    <t>GO:0005515 protein binding,GO:0004871 signal transducer activity,GO:0005201 extracellular matrix structural constituent</t>
  </si>
  <si>
    <t>Beta-catenin-like protein 1 (Nuclear-associated protein)(NAP)(Testis development protein NYD-SP19) [Source:UniProtKB/Swiss-Prot;Acc:Q8WYA6]</t>
  </si>
  <si>
    <t>H200001179</t>
  </si>
  <si>
    <t>ILK</t>
  </si>
  <si>
    <t>GO:0004930 G-protein coupled receptor activity,GO:0004999 vasoactive intestinal polypeptide receptor activity,GO:0015055 secretin receptor activity</t>
  </si>
  <si>
    <t>H300017643</t>
  </si>
  <si>
    <t>NM_021244</t>
  </si>
  <si>
    <t>RRAGD</t>
  </si>
  <si>
    <t>Ras-related GTP-binding protein D (Rag D)(RagD) [Source:UniProtKB/Swiss-Prot;Acc:Q9NQL2]</t>
  </si>
  <si>
    <t>GO:0005515 protein binding,GO:0000166 nucleotide binding,GO:0005525 GTP binding,GO:0004871 signal transducer activity,GO:0019001 guanyl nucleotide binding</t>
  </si>
  <si>
    <t>H300011201</t>
  </si>
  <si>
    <t>NM_002980</t>
  </si>
  <si>
    <t>SCTR</t>
  </si>
  <si>
    <t>Secretin receptor Precursor (SCT-R) [Source:UniProtKB/Swiss-Prot;Acc:P47872]</t>
  </si>
  <si>
    <t>GO:0007186 G-protein coupled receptor protein signaling pathway,GO:0007586 digestion,GO:0007588 excretion</t>
  </si>
  <si>
    <t>H200010382</t>
  </si>
  <si>
    <t>NM_002061</t>
  </si>
  <si>
    <t>GCLM</t>
  </si>
  <si>
    <t>Glutamate--cysteine ligase regulatory subunit (Gamma-glutamylcysteine synthetase regulatory subunit)(Gamma-ECS regulatory subunit)(GCS light chain)(Glutamate--cysteine ligase modifier subunit) [Source:UniProtKB/Swiss-Prot;Acc:P48507]</t>
  </si>
  <si>
    <t>GO:0006750 glutathione biosynthetic process,GO:0055114 oxidation reduction,GO:0006979 response to oxidative stress,GO:0006536 glutamate metabolic process,GO:0042493 response to drug,GO:0043524 negative regulation of neuron apoptosis,GO:0006534 cysteine metabolic process,GO:0050880 regulation of blood vessel size,GO:0051409 response to nitrosative stress,GO:0051900 regulation of mitochondrial depolarization,GO:0035229 positive regulation of glutamate-cysteine ligase activity,GO:0043524 negative regulation of neuron apoptosis,GO:0051409 response to nitrosative stress</t>
  </si>
  <si>
    <t>Metalloproteinase inhibitor 1 Precursor (Tissue inhibitor of metalloproteinases)(TIMP-1)(Erythroid-potentiating activity)(EPA)(Fibroblast collagenase inhibitor)(Collagenase inhibitor) [Source:UniProtKB/Swiss-Prot;Acc:P01033]</t>
  </si>
  <si>
    <t>GO:0008284 positive regulation of cell proliferation,GO:0043249 erythrocyte maturation,GO:0051045 negative regulation of membrane protein ectodomain proteolysis</t>
  </si>
  <si>
    <t>GO:0004857 enzyme inhibitor activity,GO:0005515 protein binding,GO:0008191 metalloendopeptidase inhibitor activity</t>
  </si>
  <si>
    <t>AHsV10003460</t>
  </si>
  <si>
    <t>H300014307</t>
  </si>
  <si>
    <t>NM_000324</t>
  </si>
  <si>
    <t>RHAG</t>
  </si>
  <si>
    <t>Rhesus blood group-associated glycoprotein (Rhesus blood group-associated ammonia channel)(Erythrocyte plasma membrane 50 kDa glycoprotein)(Rh50A)(Erythrocyte membrane glycoprotein Rh50)(CD241 antigen) [Source:UniProtKB/Swiss-Prot;Acc:Q02094]</t>
  </si>
  <si>
    <t>GO:0006810 transport,GO:0006873 cellular ion homeostasis,GO:0015696 ammonium transport</t>
  </si>
  <si>
    <t>GO:0030506 ankyrin binding,GO:0008519 ammonium transmembrane transporter activity,GO:0031177 phosphopantetheine binding</t>
  </si>
  <si>
    <t>Phosphatidylinositol 3-kinase regulatory subunit alpha (PI3-kinase p85 subunit alpha)(PtdIns-3-kinase p85-alpha)(PI3K) [Source:UniProtKB/Swiss-Prot;Acc:P27986]</t>
  </si>
  <si>
    <t>opHsV0400001528</t>
  </si>
  <si>
    <t>AC006548.22</t>
  </si>
  <si>
    <t>GO:0005515 protein binding,GO:0016491 oxidoreductase activity,GO:0046982 protein heterodimerization activity,GO:0004357 glutamate-cysteine ligase activity,GO:0035226 glutamate-cysteine ligase catalytic subunit binding</t>
  </si>
  <si>
    <t>GO:0005829 cytosol,GO:0005625 soluble fraction,GO:0017109 glutamate-cysteine ligase complex</t>
  </si>
  <si>
    <t>SIPA1L1</t>
  </si>
  <si>
    <t>Signal-induced proliferation-associated 1-like protein 1 (SIPA1-like protein 1)(High-risk human papilloma viruses E6 oncoproteins targeted protein 1)(E6-targeted protein 1) [Source:UniProtKB/Swiss-Prot;Acc:O43166]</t>
  </si>
  <si>
    <t>DHsGV10003354</t>
  </si>
  <si>
    <t>Nuclear receptor interaction protein (NRIP)(IQ motif and WD repeat-containing protein 1)(Androgen receptor complex-associated protein)(ARCAP) [Source:UniProtKB/Swiss-Prot;Acc:Q58WW2]</t>
  </si>
  <si>
    <t>H200001188</t>
  </si>
  <si>
    <t>NM_181504;NM_181524;NM_181504;NM_181504</t>
  </si>
  <si>
    <t>PIK3R1</t>
  </si>
  <si>
    <t>Medium-chain specific acyl-CoA dehydrogenase, mitochondrial Precursor (MCAD)(EC 1.3.99.3) [Source:UniProtKB/Swiss-Prot;Acc:P11310]</t>
  </si>
  <si>
    <t>GO:0008152 metabolic process,GO:0006629 lipid metabolic process,GO:0006631 fatty acid metabolic process,GO:0055114 oxidation reduction,GO:0006635 fatty acid beta-oxidation</t>
  </si>
  <si>
    <t>GO:0009055 electron carrier activity,GO:0003995 acyl-CoA dehydrogenase activity,GO:0050660 FAD binding,GO:0016627 oxidoreductase activity, acting on the CH-CH group of donors</t>
  </si>
  <si>
    <t>H300021687</t>
  </si>
  <si>
    <t>NM_002838;NM_002838;NM_002838;NM_080922;NM_080921;NM_080921</t>
  </si>
  <si>
    <t>PTPRC</t>
  </si>
  <si>
    <t>opHsV0400002341</t>
  </si>
  <si>
    <t>NM_001042400;NM_001042400;NM_025180;NM_025180</t>
  </si>
  <si>
    <t>CEP63</t>
  </si>
  <si>
    <t>Centrosomal protein of 63 kDa (Cep63) [Source:UniProtKB/Swiss-Prot;Acc:Q96MT8]</t>
  </si>
  <si>
    <t>LBH</t>
  </si>
  <si>
    <t>Protein LBH (hLBH) [Source:UniProtKB/Swiss-Prot;Acc:Q53QV2]</t>
  </si>
  <si>
    <t>H300020218</t>
  </si>
  <si>
    <t>NM_018442;NM_018442;NM_001017977;NM_001017977</t>
  </si>
  <si>
    <t>IQWD1</t>
  </si>
  <si>
    <t>Ribonuclease P protein subunit p40 (RNaseP protein p40)(EC 3.1.26.5)(RNase P subunit 1) [Source:UniProtKB/Swiss-Prot;Acc:O75818]</t>
  </si>
  <si>
    <t>GO:0008033 tRNA processing</t>
  </si>
  <si>
    <t>GO:0004526 ribonuclease P activity,GO:0005515 protein binding,GO:0016787 hydrolase activity</t>
  </si>
  <si>
    <t>GO:0005634 nucleus,GO:0005655 nucleolar ribonuclease P complex</t>
  </si>
  <si>
    <t>H300011475</t>
  </si>
  <si>
    <t>NM_001013439;NM_001013439;NM_001013439</t>
  </si>
  <si>
    <t>FXR1</t>
  </si>
  <si>
    <t>Fragile X mental retardation syndrome-related protein 1 (hFXR1p) [Source:UniProtKB/Swiss-Prot;Acc:P51114]</t>
  </si>
  <si>
    <t>H300010819</t>
  </si>
  <si>
    <t>NM_001031723</t>
  </si>
  <si>
    <t>DNAJB14</t>
  </si>
  <si>
    <t>DnaJ homolog subfamily B member 14  [Source:UniProtKB/Swiss-Prot;Acc:Q8TBM8]</t>
  </si>
  <si>
    <t>GO:0006457 protein folding,GO:0032259 methylation</t>
  </si>
  <si>
    <t>GO:0008168 methyltransferase activity,GO:0003676 nucleic acid binding,GO:0031072 heat shock protein binding,GO:0051082 unfolded protein binding</t>
  </si>
  <si>
    <t>ACADM</t>
  </si>
  <si>
    <t>H200006640</t>
  </si>
  <si>
    <t>NM_000016</t>
  </si>
  <si>
    <t>GO:0005515 protein binding,GO:0015194 L-serine transmembrane transporter activity</t>
  </si>
  <si>
    <t>H200016617</t>
  </si>
  <si>
    <t>NM_018009</t>
  </si>
  <si>
    <t>TAPBPL</t>
  </si>
  <si>
    <t>Tapasin-related protein Precursor (TAPASIN-R)(Tapasin-like)(TAP-binding protein-related protein)(TAPBP-R)(TAP-binding protein-like) [Source:UniProtKB/Swiss-Prot;Acc:Q9BX59]</t>
  </si>
  <si>
    <t>GO:0005886 plasma membrane,GO:0016021 integral to membrane,GO:0005792 microsome,GO:0005783 endoplasmic reticulum,GO:0005789 endoplasmic reticulum membrane</t>
  </si>
  <si>
    <t>H300021405</t>
  </si>
  <si>
    <t>Leukocyte common antigen Precursor (L-CA)(EC 3.1.3.48)(T200)(CD45 antigen) [Source:UniProtKB/Swiss-Prot;Acc:P08575]</t>
  </si>
  <si>
    <t>Phytanoyl-CoA dioxygenase domain-containing protein 1 (EC 1.-.-.-) [Source:UniProtKB/Swiss-Prot;Acc:Q5SRE7]</t>
  </si>
  <si>
    <t>GO:0046872 metal ion binding,GO:0005506 iron ion binding,GO:0016491 oxidoreductase activity,GO:0016702 oxidoreductase activity, acting on single donors with incorporation of molecular oxygen, incorporation of two atoms of oxygen</t>
  </si>
  <si>
    <t>H300021778</t>
  </si>
  <si>
    <t>NM_003879</t>
  </si>
  <si>
    <t>CFLAR</t>
  </si>
  <si>
    <t>CHsGV10000978</t>
  </si>
  <si>
    <t>NM_030915.3</t>
  </si>
  <si>
    <t>GO:0006508 proteolysis,GO:0042981 regulation of apoptosis,GO:0044419 interspecies interaction between organisms,GO:0006915 apoptosis,GO:0043123 positive regulation of I-kappaB kinase/NF-kappaB cascade,GO:0006916 anti-apoptosis,GO:0008624 induction of apoptosis by extracellular signals</t>
  </si>
  <si>
    <t>GO:0005515 protein binding,GO:0008234 cysteine-type peptidase activity,GO:0004197 cysteine-type endopeptidase activity</t>
  </si>
  <si>
    <t>AHsV10000676</t>
  </si>
  <si>
    <t>NM_006638.2</t>
  </si>
  <si>
    <t>RPP40</t>
  </si>
  <si>
    <t>AHsV10000487</t>
  </si>
  <si>
    <t>NM_006633.2</t>
  </si>
  <si>
    <t>GO:0006122 mitochondrial electron transport, ubiquinol to cytochrome c,GO:0007165 signal transduction,GO:0007264 small GTPase mediated signal transduction,GO:0051056 regulation of small GTPase mediated signal transduction</t>
  </si>
  <si>
    <t>GO:0007275 multicellular organismal development,GO:0030154 cell differentiation,GO:0006915 apoptosis,GO:0007519 skeletal muscle development</t>
  </si>
  <si>
    <t>GO:0003723 RNA binding</t>
  </si>
  <si>
    <t>GO:0005737 cytoplasm,GO:0005730 nucleolus,GO:0005844 polysome</t>
  </si>
  <si>
    <t>GO:0003779 actin binding,GO:0005095 GTPase inhibitor activity,GO:0005096 GTPase activator activity,GO:0005099 Ras GTPase activator activity,GO:0005515 protein binding,GO:0005516 calmodulin binding,GO:0008121 ubiquinol-cytochrome-c reductase activity</t>
  </si>
  <si>
    <t>GO:0005622 intracellular,GO:0015629 actin cytoskeleton</t>
  </si>
  <si>
    <t>CHsGV10001871</t>
  </si>
  <si>
    <t>NM_019034.2</t>
  </si>
  <si>
    <t>RHOF</t>
  </si>
  <si>
    <t>opHsV0400006619</t>
  </si>
  <si>
    <t>NM_152601</t>
  </si>
  <si>
    <t>ZNF709</t>
  </si>
  <si>
    <t>Zinc finger protein 709  [Source:UniProtKB/Swiss-Prot;Acc:Q8N972]</t>
  </si>
  <si>
    <t>H200013577</t>
  </si>
  <si>
    <t>NM_020755</t>
  </si>
  <si>
    <t>SERINC1</t>
  </si>
  <si>
    <t>Serine incorporator 1 (Tumor differentially expressed protein 2)(Tumor differentially expressed 1 protein-like) [Source:UniProtKB/Swiss-Prot;Acc:Q9NRX5]</t>
  </si>
  <si>
    <t>GO:0006629 lipid metabolic process,GO:0008654 phospholipid biosynthetic process,GO:0006665 sphingolipid metabolic process,GO:0006658 phosphatidylserine metabolic process,GO:0051347 positive regulation of transferase activity,GO:0015825 L-serine transport</t>
  </si>
  <si>
    <t>H200003237</t>
  </si>
  <si>
    <t>NM_005868;NM_005868</t>
  </si>
  <si>
    <t>BET1</t>
  </si>
  <si>
    <t>NM_001100876;NM_001100876;NM_001100876</t>
  </si>
  <si>
    <t>H300006778</t>
  </si>
  <si>
    <t>NM_005171</t>
  </si>
  <si>
    <t>ATF1</t>
  </si>
  <si>
    <t>Cyclic AMP-dependent transcription factor ATF-1 (Activating transcription factor 1)(TREB36 protein) [Source:UniProtKB/Swiss-Prot;Acc:P18846]</t>
  </si>
  <si>
    <t>CASP8 and FADD-like apoptosis regulator Precursor (Cellular FLICE-like inhibitory protein)(c-FLIP)(Caspase-eight-related protein)(Casper)(Caspase-like apoptosis regulatory protein)(CLARP)(MACH-related inducer of toxicity)(MRIT)(Caspase homolog)(CASH)(Inhibitor of FLICE)(I-FLICE)(FADD-like antiapoptotic molecule 1)(FLAME-1)(Usurpin) [Contains CASP8 and FADD-like apoptosis regulator subunit p43;CASP8 and FADD-like apoptosis regulator subunit p12] [Source:UniProtKB/Swiss-Prot;Acc:O15519]</t>
  </si>
  <si>
    <t>High affinity nerve growth factor receptor Precursor (EC 2.7.10.1)(Neurotrophic tyrosine kinase receptor type 1)(TRK1-transforming tyrosine kinase protein)(p140-TrkA)(Trk-A) [Source:UniProtKB/Swiss-Prot;Acc:P04629]</t>
  </si>
  <si>
    <t>GO:0005515 protein binding,GO:0004672 protein kinase activity,GO:0005524 ATP binding,GO:0004713 protein tyrosine kinase activity,GO:0004674 protein serine/threonine kinase activity,GO:0004714 transmembrane receptor protein tyrosine kinase activity</t>
  </si>
  <si>
    <t>DHsGV10005431</t>
  </si>
  <si>
    <t>LOC100294234</t>
  </si>
  <si>
    <t>opHsV0400009268</t>
  </si>
  <si>
    <t>AL390719.47</t>
  </si>
  <si>
    <t>Rho-related GTP-binding protein RhoF Precursor (Rho family GTPase Rif)(Rho in filopodia) [Source:UniProtKB/Swiss-Prot;Acc:Q9HBH0]</t>
  </si>
  <si>
    <t>GO:0007015 actin filament organization,GO:0006886 intracellular protein transport,GO:0007165 signal transduction,GO:0007264 small GTPase mediated signal transduction,GO:0015031 protein transport,GO:0006913 nucleocytoplasmic transport</t>
  </si>
  <si>
    <t>GO:0005515 protein binding,GO:0003924 GTPase activity,GO:0005525 GTP binding,GO:0000166 nucleotide binding</t>
  </si>
  <si>
    <t>GO:0005737 cytoplasm,GO:0005886 plasma membrane,GO:0005622 intracellular,GO:0005856 cytoskeleton</t>
  </si>
  <si>
    <t>NM_015147</t>
  </si>
  <si>
    <t>CEP68</t>
  </si>
  <si>
    <t>Zinc finger and BTB domain-containing protein 22 (Zinc finger protein 297)(Protein BING1)(Zinc finger and BTB domain-containing protein 22A) [Source:UniProtKB/Swiss-Prot;Acc:O15209]</t>
  </si>
  <si>
    <t>BET1 homolog (hBET1)(Golgi vesicular membrane-trafficking protein p18) [Source:UniProtKB/Swiss-Prot;Acc:O15155]</t>
  </si>
  <si>
    <t>GO:0003677 DNA binding,GO:0004886 retinoid-X receptor activity,GO:0005515 protein binding,GO:0008270 zinc ion binding,GO:0030375 thyroid hormone receptor coactivator activity,GO:0042809 vitamin D receptor binding,GO:0042974 retinoic acid receptor binding,</t>
  </si>
  <si>
    <t>H300014920</t>
  </si>
  <si>
    <t>NM_017644</t>
  </si>
  <si>
    <t>KLHL24</t>
  </si>
  <si>
    <t>Kelch-like protein 24 (Kainate receptor-interacting protein for GluR6)(KRIP6)(Protein DRE1) [Source:UniProtKB/Swiss-Prot;Acc:Q6TFL4]</t>
  </si>
  <si>
    <t>GO:0003677 DNA binding,GO:0005515 protein binding,GO:0003700 transcription factor activity,GO:0043565 sequence-specific DNA binding,GO:0046983 protein dimerization activity</t>
  </si>
  <si>
    <t>H300020940</t>
  </si>
  <si>
    <t>NM_133456;NM_133456;NM_133456;NM_133456</t>
  </si>
  <si>
    <t>SHROOM1</t>
  </si>
  <si>
    <t>Protein Shroom1 (Apical protein 2) [Source:UniProtKB/Swiss-Prot;Acc:Q2M3G4]</t>
  </si>
  <si>
    <t>H200012979</t>
  </si>
  <si>
    <t>NM_014912;NM_014912</t>
  </si>
  <si>
    <t>CPEB3</t>
  </si>
  <si>
    <t>Cytoplasmic polyadenylation element-binding protein 3 (CPE-binding protein 3)(CPE-BP3)(hCPEB-3) [Source:UniProtKB/Swiss-Prot;Acc:Q8NE35]</t>
  </si>
  <si>
    <t>GO:0003676 nucleic acid binding,GO:0004969 histamine receptor activity</t>
  </si>
  <si>
    <t>opHsV0400000388</t>
  </si>
  <si>
    <t>NM_004943</t>
  </si>
  <si>
    <t>NM_006216;NM_006216;NM_006216</t>
  </si>
  <si>
    <t>SERPINE2</t>
  </si>
  <si>
    <t>Glia-derived nexin Precursor (GDN)(Protease nexin I)(PN-1)(Protease inhibitor 7) [Source:UniProtKB/Swiss-Prot;Acc:P07093]</t>
  </si>
  <si>
    <t>GO:0007275 multicellular organismal development,GO:0007399 nervous system development,GO:0030154 cell differentiation,GO:0030334 regulation of cell migration,GO:0030162 regulation of proteolysis</t>
  </si>
  <si>
    <t>H300003686</t>
  </si>
  <si>
    <t>AC092905.10</t>
  </si>
  <si>
    <t>CHsGV10003684</t>
  </si>
  <si>
    <t>NM_001007792.1;NM_002529.3;NM_001012331.1</t>
  </si>
  <si>
    <t>NTRK1</t>
  </si>
  <si>
    <t>PHYHD1</t>
  </si>
  <si>
    <t>GO:0006888 ER to Golgi vesicle-mediated transport,GO:0006888 ER to Golgi vesicle-mediated transport</t>
  </si>
  <si>
    <t>GO:0001664 G-protein-coupled receptor binding,GO:0004672 protein kinase activity,GO:0004871 signal transducer activity,GO:0008009 chemokine activity,GO:0031727 CCR2 chemokine receptor binding,GO:0005515 protein binding,GO:0001664 G-protein-coupled receptor binding,GO:0008201 heparin binding,GO:0031727 CCR2 chemokine receptor binding</t>
  </si>
  <si>
    <t>GO:0005737 cytoplasm,GO:0005615 extracellular space,GO:0043025 cell soma,GO:0016020 membrane,GO:0005576 extracellular region,GO:0005737 cytoplasm,GO:0043025 cell soma</t>
  </si>
  <si>
    <t>Putative uncharacterized protein ENSP00000384592 Fragment  [Source:UniProtKB/TrEMBL;Acc:B5MD37]</t>
  </si>
  <si>
    <t>GO:0005515 protein binding,GO:0004725 protein tyrosine phosphatase activity,GO:0016791 phosphatase activity</t>
  </si>
  <si>
    <t>opHsV0400006278</t>
  </si>
  <si>
    <t>opHsV0400001424</t>
  </si>
  <si>
    <t>C22orf30</t>
  </si>
  <si>
    <t>Uncharacterized protein C22orf30  [Source:UniProtKB/Swiss-Prot;Acc:Q5THK1]</t>
  </si>
  <si>
    <t>opHsV0400005285</t>
  </si>
  <si>
    <t>NM_000491</t>
  </si>
  <si>
    <t>C1QB</t>
  </si>
  <si>
    <t>Complement C1q subcomponent subunit B Precursor  [Source:UniProtKB/Swiss-Prot;Acc:P02746]</t>
  </si>
  <si>
    <t>GO:0045087 innate immune response,GO:0006958 complement activation, classical pathway</t>
  </si>
  <si>
    <t>GO:0005576 extracellular region,GO:0005602 complement component C1 complex</t>
  </si>
  <si>
    <t>AHsV10001048</t>
  </si>
  <si>
    <t>GO:0005737 cytoplasm,GO:0042995 cell projection,GO:0043204 perikaryon</t>
  </si>
  <si>
    <t>H300019923</t>
  </si>
  <si>
    <t>NM_001991</t>
  </si>
  <si>
    <t>EZH1</t>
  </si>
  <si>
    <t>Enhancer of zeste homolog 1 (ENX-2) [Source:UniProtKB/Swiss-Prot;Acc:Q92800]</t>
  </si>
  <si>
    <t>GO:0006350 transcription,GO:0006355 regulation of transcription, DNA-dependent,GO:0006281 DNA repair,GO:0009653 anatomical structure morphogenesis</t>
  </si>
  <si>
    <t>GO:0003677 DNA binding,GO:0005515 protein binding,GO:0008270 zinc ion binding,GO:0004519 endonuclease activity,GO:0003682 chromatin binding</t>
  </si>
  <si>
    <t>opHsV0400006202</t>
  </si>
  <si>
    <t>Centrosomal protein of 68 kDa (Cep68) [Source:UniProtKB/Swiss-Prot;Acc:Q76N32]</t>
  </si>
  <si>
    <t>NM_001145338.1</t>
  </si>
  <si>
    <t>ZBTB22</t>
  </si>
  <si>
    <t>GO:0009887 organ morphogenesis,GO:0006959 humoral immune response,GO:0006916 anti-apoptosis,GO:0006874 cellular calcium ion homeostasis,GO:0006954 inflammatory response,GO:0048246 macrophage chemotaxis,GO:0006955 immune response,GO:0001938 positive regulation of endothelial cell proliferation,GO:0002548 monocyte chemotaxis,GO:0007179 transforming growth factor beta receptor signaling pathway,GO:0019221 cytokine-mediated signaling pathway,GO:0048010 vascular endothelial growth factor receptor signaling pathway,GO:0009617 response to bacterium,GO:0006468 protein amino acid phosphorylation,GO:0007155 cell adhesion,GO:0007259 JAK-STAT cascade,GO:0006935 chemotaxis,GO:0019079 viral genome replication,GO:0051384 response to glucocorticoid stimulus,GO:0046677 response to antibiotic,GO:0031100 organ regeneration,GO:0001666 response to hypoxia,GO:0042493 response to drug,GO:0043200 response to amino acid stimulus,GO:0007179 transforming growth factor beta receptor signaling pathway,GO:0009612 response to mechanical stimulus,GO:0032570 response to progesterone stimulus,GO:0033552 response to vitamin B3,GO:0001938 positive regulation of endothelial cell proliferation,GO:0006874 cellular calcium ion homeostasis,GO:0009408 response to heat,GO:0045471 response to ethanol,GO:0014823 response to activity,GO:0032496 response to lipopolysaccharide,GO:0010332 response to gamma radiation,GO:0050806 positive regulation of synaptic transmission,GO:0048247 lymphocyte chemotaxis,GO:0030593 neutrophil chemotaxis,GO:0048010 vascular endothelial growth factor receptor signaling pathway,GO:0048246 macrophage chemotaxis,GO:0060137 maternal process involved in parturition,GO:0070098 chemokine-mediated signaling pathway</t>
  </si>
  <si>
    <t>H200000623</t>
  </si>
  <si>
    <t>NM_014878;NM_014878;NM_014878</t>
  </si>
  <si>
    <t>KIAA0020</t>
  </si>
  <si>
    <t>Pumilio domain-containing protein KIAA0020 (HBV X-transactivated gene 5 protein)(Minor histocompatibility antigen HA-8)(HLA-HA8) [Source:UniProtKB/Swiss-Prot;Acc:Q15397]</t>
  </si>
  <si>
    <t>H300014476</t>
  </si>
  <si>
    <t>NM_001013436</t>
  </si>
  <si>
    <t>MPST</t>
  </si>
  <si>
    <t>C-C motif chemokine 2 Precursor (Small-inducible cytokine A2)(Monocyte chemoattractant protein 1)(Monocyte chemotactic protein 1)(MCP-1)(Monocyte chemotactic and activating factor)(MCAF)(Monocyte secretory protein JE)(HC11) [Source:UniProtKB/Swiss-Prot;Acc:P13500]</t>
  </si>
  <si>
    <t>GO:0003865 3-oxo-5-alpha-steroid 4-dehydrogenase activity,GO:0016627 oxidoreductase activity, acting on the CH-CH group of donors</t>
  </si>
  <si>
    <t>GO:0016021 integral to membrane,GO:0016020 membrane,GO:0005737 cytoplasm,GO:0005792 microsome,GO:0005783 endoplasmic reticulum,GO:0005789 endoplasmic reticulum membrane</t>
  </si>
  <si>
    <t>H200000740</t>
  </si>
  <si>
    <t>NM_078481;NM_078481;NM_078481</t>
  </si>
  <si>
    <t>H300006348</t>
  </si>
  <si>
    <t>AC079080.5</t>
  </si>
  <si>
    <t>GO:0005737 cytoplasm,GO:0000118 histone deacetylase complex</t>
  </si>
  <si>
    <t>H300004897</t>
  </si>
  <si>
    <t>RP11-291L22.2</t>
  </si>
  <si>
    <t>Septin  [Source:UniProtKB/TrEMBL;Acc:Q5W161]</t>
  </si>
  <si>
    <t>GO:0005886 plasma membrane,GO:0016020 membrane,GO:0005737 cytoplasm,GO:0005794 Golgi apparatus,GO:0043234 protein complex,GO:0005887 integral to plasma membrane,GO:0009986 cell surface,GO:0031012 extracellular matrix,GO:0005925 focal adhesion</t>
  </si>
  <si>
    <t>GO:0005488 binding,GO:0003723 RNA binding,GO:0008083 growth factor activity,GO:0005096 GTPase activator activity</t>
  </si>
  <si>
    <t>H300002396</t>
  </si>
  <si>
    <t>HMG17P1</t>
  </si>
  <si>
    <t>H300001046</t>
  </si>
  <si>
    <t>NM_024592</t>
  </si>
  <si>
    <t>SRD5A2L</t>
  </si>
  <si>
    <t>3-oxo-5-alpha-steroid 4-dehydrogenase 3 (EC 1.3.99.5)(Steroid 5-alpha-reductase 3)(SR type 3)(Steroid 5-alpha-reductase 2-like) [Source:UniProtKB/Swiss-Prot;Acc:Q9H8P0]</t>
  </si>
  <si>
    <t>GO:0006629 lipid metabolic process,GO:0055114 oxidation reduction</t>
  </si>
  <si>
    <t>H200001725</t>
  </si>
  <si>
    <t>NM_001015053;NM_001015053;NM_001015053</t>
  </si>
  <si>
    <t>CD44 antigen Precursor (Phagocytic glycoprotein I)(PGP-I)(PGP-1)(HUTCH-I)(Extracellular matrix receptor III)(ECMR-III)(GP90 lymphocyte homing/adhesion receptor)(Hermes antigen)(Hyaluronate receptor)(Heparan sulfate proteoglycan)(Epican)(CDw44)(CD44 antigen) [Source:UniProtKB/Swiss-Prot;Acc:P16070]</t>
  </si>
  <si>
    <t>GO:0007155 cell adhesion,GO:0007160 cell-matrix adhesion,GO:0001558 regulation of cell growth,GO:0016337 cell-cell adhesion</t>
  </si>
  <si>
    <t>GO:0005488 binding,GO:0004872 receptor activity,GO:0005540 hyaluronic acid binding,GO:0051219 phosphoprotein binding,GO:0005518 collagen binding</t>
  </si>
  <si>
    <t>H300021437</t>
  </si>
  <si>
    <t>NM_002230</t>
  </si>
  <si>
    <t>JUP</t>
  </si>
  <si>
    <t>Junction plakoglobin (Desmoplakin-3)(Desmoplakin III)(Catenin gamma) [Source:UniProtKB/Swiss-Prot;Acc:P14923]</t>
  </si>
  <si>
    <t>GO:0016337 cell-cell adhesion</t>
  </si>
  <si>
    <t>GO:0016020 membrane,GO:0005624 membrane fraction,GO:0005737 cytoplasm,GO:0005829 cytosol,GO:0005625 soluble fraction,GO:0015629 actin cytoskeleton,GO:0005916 fascia adherens,GO:0030018 Z disc,GO:0009898 internal side of plasma membrane,GO:0030057 desmosome</t>
  </si>
  <si>
    <t>H300018396</t>
  </si>
  <si>
    <t>opHsV0400005305</t>
  </si>
  <si>
    <t>NM_198150;NM_198150</t>
  </si>
  <si>
    <t>ARSK</t>
  </si>
  <si>
    <t>Arylsulfatase K Precursor (ASK)(EC 3.1.6.-)(Telethon sulfatase) [Source:UniProtKB/Swiss-Prot;Acc:Q6UWY0]</t>
  </si>
  <si>
    <t>GO:0003824 catalytic activity,GO:0008484 sulfuric ester hydrolase activity</t>
  </si>
  <si>
    <t>H200002584</t>
  </si>
  <si>
    <t>NM_024576</t>
  </si>
  <si>
    <t>OGFRL1</t>
  </si>
  <si>
    <t>Opioid growth factor receptor-like protein 1  [Source:UniProtKB/Swiss-Prot;Acc:Q5TC84]</t>
  </si>
  <si>
    <t>opHsV0400002127</t>
  </si>
  <si>
    <t>THA1P</t>
  </si>
  <si>
    <t>3-mercaptopyruvate sulfurtransferase (MST)(EC 2.8.1.2) [Source:UniProtKB/Swiss-Prot;Acc:P25325]</t>
  </si>
  <si>
    <t>GO:0008272 sulfate transport,GO:0009636 response to toxin,GO:0009440 cyanate catabolic process</t>
  </si>
  <si>
    <t>GO:0016740 transferase activity,GO:0004792 thiosulfate sulfurtransferase activity,GO:0016784 3-mercaptopyruvate sulfurtransferase activity</t>
  </si>
  <si>
    <t>CHsGV10000637</t>
  </si>
  <si>
    <t>NM_002982.3</t>
  </si>
  <si>
    <t>CCL2</t>
  </si>
  <si>
    <t>Delta-aminolevulinic acid dehydratase (ALADH)(EC 4.2.1.24)(Porphobilinogen synthase) [Source:UniProtKB/Swiss-Prot;Acc:P13716]</t>
  </si>
  <si>
    <t>DHsGV10000595</t>
  </si>
  <si>
    <t>LOC100293126</t>
  </si>
  <si>
    <t>H300005315</t>
  </si>
  <si>
    <t>VCX2</t>
  </si>
  <si>
    <t>NADH dehydrogenase [ubiquinone] 1 alpha subcomplex subunit 12 (NADH-ubiquinone oxidoreductase subunit B17.2)(Complex I-B17.2)(CI-B17.2)(CIB17.2)(13 kDa differentiation-associated protein) [Source:UniProtKB/Swiss-Prot;Acc:Q9UI09]</t>
  </si>
  <si>
    <t>GO:0006979 response to oxidative stress,GO:0007585 respiratory gaseous exchange,GO:0006810 transport,GO:0022900 electron transport chain</t>
  </si>
  <si>
    <t>GO:0009055 electron carrier activity,GO:0003954 NADH dehydrogenase activity,GO:0008137 NADH dehydrogenase (ubiquinone) activity</t>
  </si>
  <si>
    <t>GO:0005739 mitochondrion,GO:0005743 mitochondrial inner membrane,GO:0016020 membrane,GO:0070469 respiratory chain,GO:0005739 mitochondrion</t>
  </si>
  <si>
    <t>CHsGV10000332</t>
  </si>
  <si>
    <t>NM_018050.2</t>
  </si>
  <si>
    <t>MANSC1</t>
  </si>
  <si>
    <t>MANSC domain-containing protein 1 Precursor (Loss of heterozygosity 12 chromosomal region 3 protein) [Source:UniProtKB/Swiss-Prot;Acc:Q9H8J5]</t>
  </si>
  <si>
    <t>DHsGV10004598</t>
  </si>
  <si>
    <t>GO:0016021 integral to membrane,GO:0016020 membrane,GO:0005575 cellular_component</t>
  </si>
  <si>
    <t>H300018905</t>
  </si>
  <si>
    <t>NM_001034914;NM_001034914;NM_001034914</t>
  </si>
  <si>
    <t>KCNIP3</t>
  </si>
  <si>
    <t>Calsenilin (Kv channel-interacting protein 3)(KChIP3)(A-type potassium channel modulatory protein 3)(DRE-antagonist modulator)(DREAM) [Source:UniProtKB/Swiss-Prot;Acc:Q9Y2W7]</t>
  </si>
  <si>
    <t>NM_002209;NM_002209;NM_002209</t>
  </si>
  <si>
    <t>ITGAL</t>
  </si>
  <si>
    <t>GO:0006412 translation,GO:0016568 chromatin modification,GO:0006422 aspartyl-tRNA aminoacylation</t>
  </si>
  <si>
    <t>GO:0000166 nucleotide binding,GO:0005524 ATP binding,GO:0004815 aspartate-tRNA ligase activity,GO:0004407 histone deacetylase activity</t>
  </si>
  <si>
    <t>Variable charge X-linked protein 2 (Variably charged protein X-B)(VCX-B)(Variable charge protein on X with two repeats)(VCX-2r) [Source:UniProtKB/Swiss-Prot;Acc:Q9H322]</t>
  </si>
  <si>
    <t>NM_002273_1660_1729</t>
  </si>
  <si>
    <t>opHsV0400005567</t>
  </si>
  <si>
    <t>NM_000610;NM_001001390;NM_001001390;NM_001001391;NM_001001391</t>
  </si>
  <si>
    <t>CD44</t>
  </si>
  <si>
    <t>Integrin alpha-L Precursor (Leukocyte adhesion glycoprotein LFA-1 alpha chain)(LFA-1A)(Leukocyte function-associated molecule 1 alpha chain)(CD11 antigen-like family member A)(CD11a antigen) [Source:UniProtKB/Swiss-Prot;Acc:P20701]</t>
  </si>
  <si>
    <t>GO:0003677 DNA binding,GO:0005509 calcium ion binding,GO:0008022 protein C-terminus binding,GO:0005244 voltage-gated ion channel activity,GO:0005267 potassium channel activity,GO:0030955 potassium ion binding,GO:0003714 transcription corepressor activity,GO:0016566 specific transcriptional repressor activity,GO:0048306 calcium-dependent protein binding</t>
  </si>
  <si>
    <t>GO:0005886 plasma membrane,GO:0005634 nucleus,GO:0005737 cytoplasm,GO:0005794 Golgi apparatus,GO:0005829 cytosol,GO:0005783 endoplasmic reticulum</t>
  </si>
  <si>
    <t>AHsV10001722</t>
  </si>
  <si>
    <t>NM_001012507.2</t>
  </si>
  <si>
    <t>C6orf173</t>
  </si>
  <si>
    <t>Cancer-up-regulated gene 2 protein  [Source:UniProtKB/Swiss-Prot;Acc:Q5EE01]</t>
  </si>
  <si>
    <t>H200015432</t>
  </si>
  <si>
    <t>NM_017659;NM_017659</t>
  </si>
  <si>
    <t>QPCTL</t>
  </si>
  <si>
    <t>Glutaminyl-peptide cyclotransferase-like protein (EC 2.3.2.-) [Source:UniProtKB/Swiss-Prot;Acc:Q9NXS2]</t>
  </si>
  <si>
    <t>GO:0008233 peptidase activity</t>
  </si>
  <si>
    <t>GO:0008152 metabolic process,GO:0033014 tetrapyrrole biosynthetic process,GO:0006783 heme biosynthetic process</t>
  </si>
  <si>
    <t>GO:0008270 zinc ion binding,GO:0046872 metal ion binding,GO:0016829 lyase activity,GO:0042802 identical protein binding,GO:0004655 porphobilinogen synthase activity</t>
  </si>
  <si>
    <t>CHsGV10002761</t>
  </si>
  <si>
    <t>NM_018838.3</t>
  </si>
  <si>
    <t>NDUFA12</t>
  </si>
  <si>
    <t>H200018237</t>
  </si>
  <si>
    <t>NM_024081</t>
  </si>
  <si>
    <t>PRRG4</t>
  </si>
  <si>
    <t>Transmembrane gamma-carboxyglutamic acid protein 4 Precursor (Proline-rich gamma-carboxyglutamic acid protein 4)(Proline-rich Gla protein 4) [Source:UniProtKB/Swiss-Prot;Acc:Q9BZD6]</t>
  </si>
  <si>
    <t>GO:0005509 calcium ion binding,GO:0003674 molecular_function</t>
  </si>
  <si>
    <t>GO:0016021 integral to membrane,GO:0016020 membrane,GO:0005576 extracellular region,GO:0005794 Golgi apparatus</t>
  </si>
  <si>
    <t>H200000317</t>
  </si>
  <si>
    <t>NM_000031;NM_000031;NM_000031</t>
  </si>
  <si>
    <t>ALAD</t>
  </si>
  <si>
    <t>GO:0007626 locomotory behavior,GO:0001666 response to hypoxia,GO:0007584 response to nutrient,GO:0043434 response to peptide hormone stimulus,GO:0051591 response to cAMP,GO:0009791 post-embryonic development,GO:0051384 response to glucocorticoid stimulus,GO:0001889 liver development,GO:0001822 kidney development,GO:0006527 arginine catabolic process,GO:0000053 argininosuccinate metabolic process,GO:0019676 ammonia assimilation cycle,GO:0048545 response to steroid hormone stimulus,GO:0000050 urea cycle,GO:0008652 cellular amino acid biosynthetic process,GO:0042450 arginine biosynthetic process via ornithine</t>
  </si>
  <si>
    <t>GO:0003824 catalytic activity,GO:0016829 lyase activity,GO:0004056 argininosuccinate lyase activity</t>
  </si>
  <si>
    <t>GO:0007165 signal transduction,GO:0006811 ion transport,GO:0006350 transcription,GO:0006813 potassium ion transport,GO:0006915 apoptosis,GO:0000122 negative regulation of transcription from RNA polymerase II promoter,GO:0007610 behavior,GO:0019233 sensory perception of pain,GO:0048265 response to pain,GO:0043523 regulation of neuron apoptosis</t>
  </si>
  <si>
    <t>Calponin-3 (Calponin, acidic isoform) [Source:UniProtKB/Swiss-Prot;Acc:Q15417]</t>
  </si>
  <si>
    <t>GO:0007517 muscle organ development,GO:0031032 actomyosin structure organization,GO:0006939 smooth muscle contraction</t>
  </si>
  <si>
    <t>GO:0005516 calmodulin binding,GO:0003779 actin binding,GO:0005523 tropomyosin binding,GO:0030172 troponin C binding,GO:0008017 microtubule binding,GO:0005515 protein binding</t>
  </si>
  <si>
    <t>GO:0005575 cellular_component,GO:0043025 cell soma,GO:0014069 postsynaptic density,GO:0043197 dendritic spine</t>
  </si>
  <si>
    <t>CHsGV10000060</t>
  </si>
  <si>
    <t>NM_001024946.1;NM_001024944.1;NM_000048.3;NM_001024943.1</t>
  </si>
  <si>
    <t>ASL</t>
  </si>
  <si>
    <t>Argininosuccinate lyase (ASAL)(EC 4.3.2.1)(Arginosuccinase) [Source:UniProtKB/Swiss-Prot;Acc:P04424]</t>
  </si>
  <si>
    <t>GO:0005634 nucleus,GO:0005622 intracellular,GO:0005737 cytoplasm,GO:0001533 cornified envelope</t>
  </si>
  <si>
    <t>AHsV10002809</t>
  </si>
  <si>
    <t>NM_001494.3</t>
  </si>
  <si>
    <t>GDI2</t>
  </si>
  <si>
    <t>CHsGV10004062</t>
  </si>
  <si>
    <t>NM_001839.3</t>
  </si>
  <si>
    <t>CNN3</t>
  </si>
  <si>
    <t>GO:0005198 structural molecule activity,GO:0004866 endopeptidase inhibitor activity,GO:0002020 protease binding,GO:0030674 protein binding, bridging,GO:0004869 cysteine protease inhibitor activity</t>
  </si>
  <si>
    <t>Rab GDP dissociation inhibitor beta (Rab GDI beta)(Guanosine diphosphate dissociation inhibitor 2)(GDI-2) [Source:UniProtKB/Swiss-Prot;Acc:P50395]</t>
  </si>
  <si>
    <t>GO:0007165 signal transduction,GO:0015031 protein transport,GO:0043087 regulation of GTPase activity</t>
  </si>
  <si>
    <t>GO:0005093 Rab GDP-dissociation inhibitor activity,GO:0005096 GTPase activator activity</t>
  </si>
  <si>
    <t>GO:0005737 cytoplasm,GO:0009986 cell surface,GO:0016020 membrane</t>
  </si>
  <si>
    <t>GO:0005488 binding,GO:0003824 catalytic activity,GO:0016616 oxidoreductase activity, acting on the CH-OH group of donors, NAD or NADP as acceptor,GO:0051287 NAD binding,GO:0004735 pyrroline-5-carboxylate reductase activity</t>
  </si>
  <si>
    <t>H200020460</t>
  </si>
  <si>
    <t>PPM1M</t>
  </si>
  <si>
    <t>Protein phosphatase 1M (EC 3.1.3.16)(Protein phosphatase 2C isoform eta)(PP2C-eta)(PP2CE) [Source:UniProtKB/Swiss-Prot;Acc:Q96MI6]</t>
  </si>
  <si>
    <t>H200000649</t>
  </si>
  <si>
    <t>NM_005213</t>
  </si>
  <si>
    <t>CSTA</t>
  </si>
  <si>
    <t>Cystatin-A (Cystatin-AS)(Stefin-A) [Source:UniProtKB/Swiss-Prot;Acc:P01040]</t>
  </si>
  <si>
    <t>GO:0030216 keratinocyte differentiation,GO:0018149 peptide cross-linking,GO:0010466 negative regulation of peptidase activity</t>
  </si>
  <si>
    <t>opHsV0400003355</t>
  </si>
  <si>
    <t>AC084851.2</t>
  </si>
  <si>
    <t>Putative tripartite motif-containing protein 64C  [Source:UniProtKB/Swiss-Prot;Acc:A6NLI5]</t>
  </si>
  <si>
    <t>DHsGV10000150</t>
  </si>
  <si>
    <t>LOC100289625</t>
  </si>
  <si>
    <t>AHsV10001023</t>
  </si>
  <si>
    <t>NM_021999.4</t>
  </si>
  <si>
    <t>GO:0007399 nervous system development,GO:0007605 sensory perception of sound</t>
  </si>
  <si>
    <t>GO:0000139 Golgi membrane,GO:0005794 Golgi apparatus,GO:0016020 membrane,GO:0016021 integral to membrane</t>
  </si>
  <si>
    <t>opHsV0400004173</t>
  </si>
  <si>
    <t>NM_006907;NM_006907</t>
  </si>
  <si>
    <t>PYCR1</t>
  </si>
  <si>
    <t>GO:0007186 G-protein coupled receptor protein signaling pathway,GO:0007242 intracellular signaling cascade,GO:0006916 anti-apoptosis,GO:0019722 calcium-mediated signaling,GO:0030307 positive regulation of cell growth,GO:0048146 positive regulation of fibroblast proliferation,GO:0007205 activation of protein kinase C activity,GO:0045987 positive regulation of smooth muscle contraction,GO:0045766 positive regulation of angiogenesis,GO:0045931 positive regulation of mitotic cell cycle,GO:0030335 positive regulation of cell migration,GO:0006670 sphingosine metabolic process,GO:0046521 sphingoid catabolic process,GO:0042309 homoiothermy,GO:0050826 response to freezing</t>
  </si>
  <si>
    <t>GO:0003677 DNA binding,GO:0016740 transferase activity,GO:0000287 magnesium ion binding,GO:0000166 nucleotide binding,GO:0005524 ATP binding,GO:0005516 calmodulin binding,GO:0004143 diacylglycerol kinase activity,GO:0008481 sphinganine kinase activity,GO:0017050 D-erythro-sphingosine kinase activity,GO:0050825 ice binding</t>
  </si>
  <si>
    <t>GO:0005624 membrane fraction,GO:0005737 cytoplasm,GO:0005829 cytosol,GO:0005625 soluble fraction</t>
  </si>
  <si>
    <t>H200001064</t>
  </si>
  <si>
    <t>NM_018725</t>
  </si>
  <si>
    <t>IL17RB</t>
  </si>
  <si>
    <t>Interleukin-17 receptor B Precursor (IL-17 receptor B)(IL-17RB)(Interleukin-17B receptor)(IL-17B receptor)(IL-17 receptor homolog 1)(IL-17Rh1)(IL17Rh1)(Cytokine receptor CRL4) [Source:UniProtKB/Swiss-Prot;Acc:Q9NRM6]</t>
  </si>
  <si>
    <t>GO:0001558 regulation of cell growth,GO:0006952 defense response</t>
  </si>
  <si>
    <t>GO:0004872 receptor activity,GO:0004896 hematopoietin/interferon-class (D200-domain) cytokine receptor activity</t>
  </si>
  <si>
    <t>H300005741</t>
  </si>
  <si>
    <t>NM_001031834</t>
  </si>
  <si>
    <t>RAB40AL</t>
  </si>
  <si>
    <t>GO:0000287 magnesium ion binding,GO:0016787 hydrolase activity,GO:0030145 manganese ion binding,GO:0003824 catalytic activity,GO:0004721 phosphoprotein phosphatase activity,GO:0008420 CTD phosphatase activity</t>
  </si>
  <si>
    <t>GO:0005515 protein binding,GO:0005488 binding</t>
  </si>
  <si>
    <t>DHsGV10003161</t>
  </si>
  <si>
    <t>GO:0005773 vacuole,GO:0005829 cytosol,GO:0005886 plasma membrane,GO:0016020 membrane,GO:0016021 integral to membrane,GO:0016323 basolateral plasma membrane,GO:0031012 extracellular matrix</t>
  </si>
  <si>
    <t>DHsGV10004845</t>
  </si>
  <si>
    <t>LOC727900</t>
  </si>
  <si>
    <t>DHsGV10003978</t>
  </si>
  <si>
    <t>H200009953</t>
  </si>
  <si>
    <t>NM_031215</t>
  </si>
  <si>
    <t>CABLES2</t>
  </si>
  <si>
    <t>CDK5 and ABL1 enzyme substrate 2 (Interactor with CDK3 2)(Ik3-2) [Source:UniProtKB/Swiss-Prot;Acc:Q9BTV7]</t>
  </si>
  <si>
    <t>GO:0051726 regulation of cell cycle,GO:0051302 regulation of cell division</t>
  </si>
  <si>
    <t>GO:0016538 cyclin-dependent protein kinase regulator activity</t>
  </si>
  <si>
    <t>H300002561</t>
  </si>
  <si>
    <t>OR7E85P</t>
  </si>
  <si>
    <t>seven transmembrane helix receptor  [Source:RefSeq peptide;Acc:NP_001035160]</t>
  </si>
  <si>
    <t>GO:0004872 receptor activity,GO:0004867 serine-type endopeptidase inhibitor activity,GO:0004984 olfactory receptor activity</t>
  </si>
  <si>
    <t>DHsGV10001237</t>
  </si>
  <si>
    <t>LOC729897</t>
  </si>
  <si>
    <t>opHsV0400005466</t>
  </si>
  <si>
    <t>NM_006524</t>
  </si>
  <si>
    <t>ZNF138</t>
  </si>
  <si>
    <t>Zinc finger protein 138  [Source:UniProtKB/Swiss-Prot;Acc:P52744]</t>
  </si>
  <si>
    <t>DHsGV10001368</t>
  </si>
  <si>
    <t>LOC390557</t>
  </si>
  <si>
    <t>AHsV10003251</t>
  </si>
  <si>
    <t>NM_001813.2</t>
  </si>
  <si>
    <t>CENPE</t>
  </si>
  <si>
    <t>Centromere-associated protein E (Centromeric protein E)(CENP-E) [Source:UniProtKB/Swiss-Prot;Acc:Q02224]</t>
  </si>
  <si>
    <t>Pyrroline-5-carboxylate reductase 1, mitochondrial Precursor (P5C reductase 1)(P5CR 1)(EC 1.5.1.2) [Source:UniProtKB/Swiss-Prot;Acc:P32322]</t>
  </si>
  <si>
    <t>GO:0008152 metabolic process,GO:0046168 glycerol-3-phosphate catabolic process,GO:0006561 proline biosynthetic process</t>
  </si>
  <si>
    <t>Sphingosine kinase 1 (SPK 1)(SK 1)(EC 2.7.1.91) [Source:UniProtKB/Swiss-Prot;Acc:Q9NYA1]</t>
  </si>
  <si>
    <t>opHsV0400012844</t>
  </si>
  <si>
    <t>NM_017643;NM_017643</t>
  </si>
  <si>
    <t>MBTD1</t>
  </si>
  <si>
    <t>MBT domain-containing protein 1  [Source:UniProtKB/Swiss-Prot;Acc:Q05BQ5]</t>
  </si>
  <si>
    <t>DHsGV10002353</t>
  </si>
  <si>
    <t>LOC439949</t>
  </si>
  <si>
    <t>H200017269</t>
  </si>
  <si>
    <t>NM_016381;NM_016381</t>
  </si>
  <si>
    <t>TREX1</t>
  </si>
  <si>
    <t>Three prime repair exonuclease 1 (EC 3.1.11.2)(3'-5' exonuclease TREX1)(DNase III) [Source:UniProtKB/Swiss-Prot;Acc:Q9NSU2]</t>
  </si>
  <si>
    <t>GO:0003676 nucleic acid binding,GO:0004527 exonuclease activity</t>
  </si>
  <si>
    <t>CHsGV10000241</t>
  </si>
  <si>
    <t>NM_152707.2</t>
  </si>
  <si>
    <t>SLC25A16</t>
  </si>
  <si>
    <t>Graves disease carrier protein (GDC)(Graves disease autoantigen)(GDA)(Mitochondrial solute carrier protein homolog)(Solute carrier family 25 member 16) [Source:UniProtKB/Swiss-Prot;Acc:P16260]</t>
  </si>
  <si>
    <t>GO:0006810 transport,GO:0042309 homoiothermy,GO:0050826 response to freezing</t>
  </si>
  <si>
    <t>GO:0005488 binding,GO:0015300 solute:solute antiporter activity,GO:0050825 ice binding</t>
  </si>
  <si>
    <t>GO:0016021 integral to membrane,GO:0005739 mitochondrion,GO:0005743 mitochondrial inner membrane,GO:0016020 membrane,GO:0005739 mitochondrion</t>
  </si>
  <si>
    <t>H300019888</t>
  </si>
  <si>
    <t>NM_001241;NM_001241</t>
  </si>
  <si>
    <t>CCNT2</t>
  </si>
  <si>
    <t>Ras-related protein Rab-40A-like (Ras-like GTPase) [Source:UniProtKB/Swiss-Prot;Acc:P0C0E4]</t>
  </si>
  <si>
    <t>GO:0005886 plasma membrane,GO:0005622 intracellular,GO:0005739 mitochondrion</t>
  </si>
  <si>
    <t>H200005643</t>
  </si>
  <si>
    <t>NM_182965</t>
  </si>
  <si>
    <t>SPHK1</t>
  </si>
  <si>
    <t>GO:0000940 outer kinetochore of condensed chromosome,GO:0005634 nucleus,GO:0005737 cytoplasm,GO:0005819 spindle,GO:0005874 microtubule,GO:0005875 microtubule associated complex,GO:0048500 signal recognition particle</t>
  </si>
  <si>
    <t>AHsV10002413</t>
  </si>
  <si>
    <t>NM_004604.3</t>
  </si>
  <si>
    <t>STX4</t>
  </si>
  <si>
    <t>Syntaxin-4 (Renal carcinoma antigen NY-REN-31) [Source:UniProtKB/Swiss-Prot;Acc:Q12846]</t>
  </si>
  <si>
    <t>GO:0006836 neurotransmitter transport,GO:0006886 intracellular protein transport,GO:0016192 vesicle-mediated transport</t>
  </si>
  <si>
    <t>GO:0005484 SNAP receptor activity,GO:0005515 protein binding</t>
  </si>
  <si>
    <t>RING finger protein 213  [Source:UniProtKB/Swiss-Prot;Acc:Q63HN8]</t>
  </si>
  <si>
    <t>GO:0005515 protein binding,GO:0008270 zinc ion binding,GO:0000166 nucleotide binding,GO:0046872 metal ion binding,GO:0017111 nucleoside-triphosphatase activity</t>
  </si>
  <si>
    <t>Glucosamine--fructose-6-phosphate aminotransferase [isomerizing] 2 (EC 2.6.1.16)(Glutamine:fructose 6 phosphate amidotransferase 2)(GFAT 2)(GFAT2)(D-fructose-6-phosphate amidotransferase 2)(Hexosephosphate aminotransferase 2) [Source:UniProtKB/Swiss-Prot;Acc:O94808]</t>
  </si>
  <si>
    <t>GO:0005975 carbohydrate metabolic process,GO:0008152 metabolic process,GO:0016051 carbohydrate biosynthetic process,GO:0006541 glutamine metabolic process,GO:0006112 energy reserve metabolic process,GO:0006002 fructose 6-phosphate metabolic process</t>
  </si>
  <si>
    <t>GO:0016740 transferase activity,GO:0005529 sugar binding,GO:0004360 glutamine-fructose-6-phosphate transaminase (isomerizing) activity</t>
  </si>
  <si>
    <t>H300006337</t>
  </si>
  <si>
    <t>NM_194326</t>
  </si>
  <si>
    <t>RPS19BP1</t>
  </si>
  <si>
    <t>40S ribosomal protein S19-binding protein 1 (RPS19-binding protein 1)(S19BP) [Source:UniProtKB/Swiss-Prot;Acc:Q86WX3]</t>
  </si>
  <si>
    <t>H200006938</t>
  </si>
  <si>
    <t>GO:0000089 mitotic metaphase,GO:0006355 regulation of transcription, DNA-dependent,GO:0006412 translation,GO:0006418 tRNA aminoacylation for protein translation,GO:0006614 SRP-dependent cotranslational protein targeting to membrane,GO:0007018 microtubule-</t>
  </si>
  <si>
    <t>Uncharacterized protein CXorf23  [Source:UniProtKB/Swiss-Prot;Acc:A2AJT9]</t>
  </si>
  <si>
    <t>GO:0000166 nucleotide binding,GO:0003700 transcription factor activity,GO:0003777 microtubule motor activity,GO:0004812 aminoacyl-tRNA ligase activity,GO:0004871 signal transducer activity,GO:0005515 protein binding,GO:0005524 ATP binding,GO:0005525 GTP b</t>
  </si>
  <si>
    <t>H300009519</t>
  </si>
  <si>
    <t>NM_001008704;NM_178508</t>
  </si>
  <si>
    <t>C6orf1</t>
  </si>
  <si>
    <t>Uncharacterized protein C6orf1 Precursor (Protein LBH) [Source:UniProtKB/Swiss-Prot;Acc:Q86T20]</t>
  </si>
  <si>
    <t>H300006961</t>
  </si>
  <si>
    <t>NM_152362</t>
  </si>
  <si>
    <t>TNFAIP8L1</t>
  </si>
  <si>
    <t>Tumor necrosis factor, alpha-induced protein 8-like protein 1  [Source:UniProtKB/Swiss-Prot;Acc:Q8WVP5]</t>
  </si>
  <si>
    <t>Myelodysplastic syndrome 2 translocation-associated protein  [Source:UniProtKB/Swiss-Prot;Acc:Q8NDY4]</t>
  </si>
  <si>
    <t>CHsGV10000347</t>
  </si>
  <si>
    <t>NM_001006945.1;NM_018372.3</t>
  </si>
  <si>
    <t>C1orf103</t>
  </si>
  <si>
    <t>Uncharacterized protein C1orf103 (Receptor-interacting factor 1) [Source:UniProtKB/Swiss-Prot;Acc:Q5T3J3]</t>
  </si>
  <si>
    <t>H200006438</t>
  </si>
  <si>
    <t>NM_001986</t>
  </si>
  <si>
    <t>ETV4</t>
  </si>
  <si>
    <t>ETS translocation variant 4 (Adenovirus E1A enhancer-binding protein)(E1A-F) [Source:UniProtKB/Swiss-Prot;Acc:P43268]</t>
  </si>
  <si>
    <t>GO:0006355 regulation of transcription, DNA-dependent,GO:0009887 organ morphogenesis,GO:0045941 positive regulation of transcription,GO:0008045 motor axon guidance</t>
  </si>
  <si>
    <t>DHsGV10003328</t>
  </si>
  <si>
    <t>H200003997</t>
  </si>
  <si>
    <t>NM_005110</t>
  </si>
  <si>
    <t>GFPT2</t>
  </si>
  <si>
    <t>H200014544</t>
  </si>
  <si>
    <t>NM_005391</t>
  </si>
  <si>
    <t>PDK3</t>
  </si>
  <si>
    <t>[Pyruvate dehydrogenase [lipoamide]] kinase isozyme 3, mitochondrial Precursor (EC 2.7.11.2)(Pyruvate dehydrogenase kinase isoform 3) [Source:UniProtKB/Swiss-Prot;Acc:Q15120]</t>
  </si>
  <si>
    <t>GO:0005975 carbohydrate metabolic process,GO:0007165 signal transduction,GO:0006006 glucose metabolic process,GO:0016310 phosphorylation,GO:0018106 peptidyl-histidine phosphorylation</t>
  </si>
  <si>
    <t>Cyclin-T2 (CycT2) [Source:UniProtKB/Swiss-Prot;Acc:O60583]</t>
  </si>
  <si>
    <t>GO:0005634 nucleus,GO:0005737 cytoplasm,GO:0005654 nucleoplasm</t>
  </si>
  <si>
    <t>H300002997</t>
  </si>
  <si>
    <t>NM_198279;NM_198279</t>
  </si>
  <si>
    <t>CXorf23</t>
  </si>
  <si>
    <t>GO:0006366 transcription from RNA polymerase II promoter,GO:0006350 transcription,GO:0006355 regulation of transcription, DNA-dependent,GO:0007049 cell cycle,GO:0051301 cell division,GO:0044419 interspecies interaction between organisms,GO:0000079 regulation of cyclin-dependent protein kinase activity</t>
  </si>
  <si>
    <t>AHsV10002546</t>
  </si>
  <si>
    <t>NM_199129.1</t>
  </si>
  <si>
    <t>TMEM189-UBE2V1</t>
  </si>
  <si>
    <t>Ubiquitin-conjugating enzyme E2 variant 1 (UEV-1)(CROC-1)(TRAF6-regulated IKK activator 1 beta Uev1A) [Source:UniProtKB/Swiss-Prot;Acc:Q13404]</t>
  </si>
  <si>
    <t>GO:0005783 endoplasmic reticulum,GO:0005789 endoplasmic reticulum membrane,GO:0016020 membrane,GO:0016021 integral to membrane</t>
  </si>
  <si>
    <t>AHsV10001782</t>
  </si>
  <si>
    <t>NM_181054.2</t>
  </si>
  <si>
    <t>H200002675</t>
  </si>
  <si>
    <t>NM_020914</t>
  </si>
  <si>
    <t>RNF213</t>
  </si>
  <si>
    <t>NM_003547</t>
  </si>
  <si>
    <t>HIST1H4G</t>
  </si>
  <si>
    <t>Histone H4-like protein type G  [Source:UniProtKB/Swiss-Prot;Acc:Q99525]</t>
  </si>
  <si>
    <t>H200002256</t>
  </si>
  <si>
    <t>NM_173582</t>
  </si>
  <si>
    <t>PGM2L1</t>
  </si>
  <si>
    <t>Glucose 1,6-bisphosphate synthase (EC 2.7.1.106)(Phosphoglucomutase-2-like 1)(PMMLP) [Source:UniProtKB/Swiss-Prot;Acc:Q6PCE3]</t>
  </si>
  <si>
    <t>GO:0005975 carbohydrate metabolic process,GO:0006006 glucose metabolic process</t>
  </si>
  <si>
    <t>GO:0016740 transferase activity,GO:0016853 isomerase activity,GO:0016868 intramolecular transferase activity, phosphotransferases,GO:0047933 glucose-1,6-bisphosphate synthase activity</t>
  </si>
  <si>
    <t>H300004048</t>
  </si>
  <si>
    <t>NM_003327;NM_003327</t>
  </si>
  <si>
    <t>Putative LRRC37B-like protein 2  [Source:UniProtKB/Swiss-Prot;Acc:Q147U4]</t>
  </si>
  <si>
    <t>H200010717</t>
  </si>
  <si>
    <t>NM_004897;NM_004897</t>
  </si>
  <si>
    <t>MINPP1</t>
  </si>
  <si>
    <t>Multiple inositol polyphosphate phosphatase 1 Precursor (EC 3.1.3.62)(Inositol (1,3,4,5)-tetrakisphosphate 3-phosphatase)(Ins(1,3,4,5)P(4) 3-phosphatase) [Source:UniProtKB/Swiss-Prot;Acc:Q9UNW1]</t>
  </si>
  <si>
    <t>GO:0003993 acid phosphatase activity</t>
  </si>
  <si>
    <t>H300020572</t>
  </si>
  <si>
    <t>NM_016474</t>
  </si>
  <si>
    <t>C3orf19</t>
  </si>
  <si>
    <t>Uncharacterized protein C3orf19  [Source:UniProtKB/Swiss-Prot;Acc:Q6PII3]</t>
  </si>
  <si>
    <t>H200000767</t>
  </si>
  <si>
    <t>NM_002155</t>
  </si>
  <si>
    <t>HSPA6</t>
  </si>
  <si>
    <t>Heat shock 70 kDa protein 6 (Heat shock 70 kDa protein B') [Source:UniProtKB/Swiss-Prot;Acc:P17066]</t>
  </si>
  <si>
    <t>GO:0006986 response to unfolded protein</t>
  </si>
  <si>
    <t>NM_001781</t>
  </si>
  <si>
    <t>CD69</t>
  </si>
  <si>
    <t>Early activation antigen CD69 (Early T-cell activation antigen p60)(GP32/28)(Leu-23)(MLR-3)(EA1)(BL-AC/P26)(Activation inducer molecule)(AIM)(CD69 antigen) [Source:UniProtKB/Swiss-Prot;Acc:Q07108]</t>
  </si>
  <si>
    <t>GO:0005509 calcium ion binding,GO:0005488 binding,GO:0005529 sugar binding,GO:0004888 transmembrane receptor activity,GO:0005509 calcium ion binding</t>
  </si>
  <si>
    <t>GO:0016020 membrane,GO:0005887 integral to plasma membrane,GO:0009897 external side of plasma membrane</t>
  </si>
  <si>
    <t>opHsV0400005150</t>
  </si>
  <si>
    <t>NM_002359</t>
  </si>
  <si>
    <t>MAFG</t>
  </si>
  <si>
    <t>Transcription factor MafG (V-maf musculoaponeurotic fibrosarcoma oncogene homolog G)(hMAF) [Source:UniProtKB/Swiss-Prot;Acc:O15525]</t>
  </si>
  <si>
    <t>H300007248</t>
  </si>
  <si>
    <t>MDS2</t>
  </si>
  <si>
    <t>GO:0005515 protein binding,GO:0008270 zinc ion binding,GO:0046872 metal ion binding,GO:0030528 transcription regulator activity,GO:0003743 translation initiation factor activity,GO:0016251 general RNA polymerase II transcription factor activity</t>
  </si>
  <si>
    <t>CHsGV10003297</t>
  </si>
  <si>
    <t>NM_007275.1</t>
  </si>
  <si>
    <t>TUSC2</t>
  </si>
  <si>
    <t>Tumor suppressor candidate 2 (PDGFA-associated protein 2)(Fusion 1 protein)(Fus-1 protein) [Source:UniProtKB/Swiss-Prot;Acc:O75896]</t>
  </si>
  <si>
    <t>GO:0007267 cell-cell signaling,GO:0007049 cell cycle,GO:0008283 cell proliferation</t>
  </si>
  <si>
    <t>opHsV0400004393</t>
  </si>
  <si>
    <t>LRRC37B2</t>
  </si>
  <si>
    <t>GO:0005634 nucleus,GO:0005737 cytoplasm,GO:0005794 Golgi apparatus</t>
  </si>
  <si>
    <t>H300018706</t>
  </si>
  <si>
    <t>NM_003345;NM_003345;NM_003345;NM_003345</t>
  </si>
  <si>
    <t>UBE2I</t>
  </si>
  <si>
    <t>SUMO-conjugating enzyme UBC9 (EC 6.3.2.-)(SUMO-protein ligase)(Ubiquitin-conjugating enzyme E2 I)(Ubiquitin-protein ligase I)(Ubiquitin carrier protein I)(Ubiquitin carrier protein 9)(p18) [Source:UniProtKB/Swiss-Prot;Acc:P63279]</t>
  </si>
  <si>
    <t>GO:0006511 ubiquitin-dependent protein catabolic process,GO:0007049 cell cycle,GO:0007067 mitosis,GO:0051301 cell division,GO:0007059 chromosome segregation,GO:0044419 interspecies interaction between organisms,GO:0045892 negative regulation of transcription, DNA-dependent,GO:0043687 post-translational protein modification,GO:0051246 regulation of protein metabolic process</t>
  </si>
  <si>
    <t>GO:0016740 transferase activity,GO:0005524 ATP binding,GO:0000155 two-component sensor activity,GO:0016772 transferase activity, transferring phosphorus-containing groups,GO:0004740 pyruvate dehydrogenase (acetyl-transferring) kinase activity,GO:0004673 protein histidine kinase activity</t>
  </si>
  <si>
    <t>opHsV0400007015</t>
  </si>
  <si>
    <t>NM_030662;NM_030662</t>
  </si>
  <si>
    <t>MAP2K2</t>
  </si>
  <si>
    <t>Dual specificity mitogen-activated protein kinase kinase 2 (MAP kinase kinase 2)(MAPKK 2)(EC 2.7.12.2)(ERK activator kinase 2)(MAPK/ERK kinase 2)(MEK2) [Source:UniProtKB/Swiss-Prot;Acc:P36507]</t>
  </si>
  <si>
    <t>H200016976</t>
  </si>
  <si>
    <t>NM_014567;NM_014567;NM_014567</t>
  </si>
  <si>
    <t>GO:0016477 cell migration</t>
  </si>
  <si>
    <t>GO:0030027 lamellipodium</t>
  </si>
  <si>
    <t>opHsV0400000165</t>
  </si>
  <si>
    <t>GO:0042981 regulation of apoptosis,GO:0051017 actin filament bundle formation,GO:0051272 positive regulation of cell motion,GO:0001666 response to hypoxia,GO:0051271 negative regulation of cell motion,GO:0032417 positive regulation of sodium:hydrogen antiporter activity,GO:0048549 positive regulation of pinocytosis,GO:0001666 response to hypoxia,GO:0042981 regulation of apoptosis</t>
  </si>
  <si>
    <t>GO:0005509 calcium ion binding,GO:0003779 actin binding,GO:0042803 protein homodimerization activity,GO:0051015 actin filament binding,GO:0005178 integrin binding,GO:0047485 protein N-terminus binding,GO:0001882 nucleoside binding,GO:0047485 protein N-terminus binding</t>
  </si>
  <si>
    <t>GO:0006412 translation,GO:0006396 RNA processing,GO:0009409 response to cold,GO:0035196 gene silencing by miRNA, production of miRNAs</t>
  </si>
  <si>
    <t>GO:0005634 nucleus,GO:0005737 cytoplasm,GO:0043234 protein complex,GO:0005730 nucleolus,GO:0048471 perinuclear region of cytoplasm,GO:0001725 stress fiber,GO:0030863 cortical cytoskeleton,GO:0031143 pseudopodium</t>
  </si>
  <si>
    <t>DNA replication licensing factor MCM9 (Mini-chromosome maintenance deficient 9)(hMCM9)(Mini-chromosome maintenance deficient domain-containing protein 1) [Source:UniProtKB/Swiss-Prot;Acc:Q9NXL9]</t>
  </si>
  <si>
    <t>GO:0000166 nucleotide binding,GO:0005524 ATP binding</t>
  </si>
  <si>
    <t>H300007621</t>
  </si>
  <si>
    <t>RP4-646B12.2</t>
  </si>
  <si>
    <t>Transcription initiation factor IIB (General transcription factor TFIIB)(S300-II) [Source:UniProtKB/Swiss-Prot;Acc:Q00403]</t>
  </si>
  <si>
    <t>GO:0006355 regulation of transcription, DNA-dependent,GO:0044419 interspecies interaction between organisms,GO:0006367 transcription initiation from RNA polymerase II promoter,GO:0045449 regulation of transcription,GO:0006352 transcription initiation,GO:0006413 translational initiation,GO:0006368 RNA elongation from RNA polymerase II promoter</t>
  </si>
  <si>
    <t>GO:0005515 protein binding,GO:0008270 zinc ion binding,GO:0046872 metal ion binding,GO:0008092 cytoskeletal protein binding,GO:0017137 Rab GTPase binding</t>
  </si>
  <si>
    <t>GO:0016020 membrane,GO:0005737 cytoplasm,GO:0031410 cytoplasmic vesicle</t>
  </si>
  <si>
    <t>H200001745</t>
  </si>
  <si>
    <t>NM_016172</t>
  </si>
  <si>
    <t>UBAC1</t>
  </si>
  <si>
    <t>Ubiquitin-associated domain-containing protein 1 (UBA domain-containing protein 1)(E3 ubiquitin-protein ligase subunit KPC2)(Kip1 ubiquitination-promoting complex protein 2)(Glialblastoma cell differentiation-related protein 1) [Source:UniProtKB/Swiss-Prot;Acc:Q9BSL1]</t>
  </si>
  <si>
    <t>H200002164</t>
  </si>
  <si>
    <t>NM_022750</t>
  </si>
  <si>
    <t>PARP12</t>
  </si>
  <si>
    <t>Poly [ADP-ribose] polymerase 12 (PARP-12)(EC 2.4.2.30)(Zinc finger CCCH domain-containing protein 1) [Source:UniProtKB/Swiss-Prot;Acc:Q9H0J9]</t>
  </si>
  <si>
    <t>GO:0016740 transferase activity,GO:0008270 zinc ion binding,GO:0046872 metal ion binding,GO:0003676 nucleic acid binding,GO:0003950 NAD+ ADP-ribosyltransferase activity</t>
  </si>
  <si>
    <t>H200010015</t>
  </si>
  <si>
    <t>NM_006743</t>
  </si>
  <si>
    <t>RBM3</t>
  </si>
  <si>
    <t>GO:0005515 protein binding,GO:0016874 ligase activity,GO:0019787 small conjugating protein ligase activity,GO:0016566 specific transcriptional repressor activity,GO:0043398 HLH domain binding</t>
  </si>
  <si>
    <t>GO:0005634 nucleus,GO:0016605 PML body,GO:0000795 synaptonemal complex</t>
  </si>
  <si>
    <t>H300001397</t>
  </si>
  <si>
    <t>AP001781.5</t>
  </si>
  <si>
    <t>Putative 60S ribosomal protein L37a-like  [Source:UniProtKB/Swiss-Prot;Acc:A6NKH3]</t>
  </si>
  <si>
    <t>GO:0003735 structural constituent of ribosome,GO:0008270 zinc ion binding,GO:0046872 metal ion binding</t>
  </si>
  <si>
    <t>H200016456</t>
  </si>
  <si>
    <t>NM_001514</t>
  </si>
  <si>
    <t>GTF2B</t>
  </si>
  <si>
    <t>H200008595</t>
  </si>
  <si>
    <t>NM_004924</t>
  </si>
  <si>
    <t>ACTN4</t>
  </si>
  <si>
    <t>Alpha-actinin-4 (Non-muscle alpha-actinin 4)(F-actin cross-linking protein) [Source:UniProtKB/Swiss-Prot;Acc:O43707]</t>
  </si>
  <si>
    <t>Tetratricopeptide repeat protein 1 (TPR repeat protein 1) [Source:UniProtKB/Swiss-Prot;Acc:Q99614]</t>
  </si>
  <si>
    <t>GO:0051082 unfolded protein binding,GO:0005515 protein binding</t>
  </si>
  <si>
    <t>H300009937</t>
  </si>
  <si>
    <t>NM_006987</t>
  </si>
  <si>
    <t>RPH3AL</t>
  </si>
  <si>
    <t>AHsV10002146</t>
  </si>
  <si>
    <t>NM_138458.2</t>
  </si>
  <si>
    <t>GO:0006412 translation,GO:0006418 tRNA aminoacylation for protein translation,GO:0006915 apoptosis</t>
  </si>
  <si>
    <t>GO:0000166 nucleotide binding,GO:0004812 aminoacyl-tRNA ligase activity,GO:0005524 ATP binding</t>
  </si>
  <si>
    <t>AHsV10003513</t>
  </si>
  <si>
    <t>NM_004299.3</t>
  </si>
  <si>
    <t>ABCB7</t>
  </si>
  <si>
    <t>ATP-binding cassette sub-family B member 7, mitochondrial Precursor (ATP-binding cassette transporter 7)(ABC transporter 7 protein) [Source:UniProtKB/Swiss-Prot;Acc:O75027]</t>
  </si>
  <si>
    <t>GO:0000166 nucleotide binding,GO:0003677 DNA binding,GO:0005524 ATP binding,GO:0016773 phosphotransferase activity, alcohol group as acceptor,GO:0016887 ATPase activity,GO:0017111 nucleoside-triphosphatase activity,GO:0042626 ATPase activity, coupled to t</t>
  </si>
  <si>
    <t>H300022887</t>
  </si>
  <si>
    <t>NM_002957</t>
  </si>
  <si>
    <t>RXRA</t>
  </si>
  <si>
    <t>GO:0003677 DNA binding,GO:0000166 nucleotide binding,GO:0005524 ATP binding,GO:0016887 ATPase activity</t>
  </si>
  <si>
    <t>H200014560</t>
  </si>
  <si>
    <t>NM_004549</t>
  </si>
  <si>
    <t>NDUFC2</t>
  </si>
  <si>
    <t>NADH dehydrogenase [ubiquinone] 1 subunit C2 (NADH-ubiquinone oxidoreductase subunit B14.5b)(Complex I-B14.5b)(CI-B14.5b)(Human lung cancer oncogene 1 protein)(HLC-1) [Source:UniProtKB/Swiss-Prot;Acc:O95298]</t>
  </si>
  <si>
    <t>GO:0016021 integral to membrane,GO:0016020 membrane,GO:0005737 cytoplasm,GO:0005739 mitochondrion,GO:0005743 mitochondrial inner membrane,GO:0005747 mitochondrial respiratory chain complex I</t>
  </si>
  <si>
    <t>H300018980</t>
  </si>
  <si>
    <t>NM_012383</t>
  </si>
  <si>
    <t>OSTF1</t>
  </si>
  <si>
    <t>Osteoclast-stimulating factor 1  [Source:UniProtKB/Swiss-Prot;Acc:Q92882]</t>
  </si>
  <si>
    <t>GO:0007165 signal transduction,GO:0001503 ossification</t>
  </si>
  <si>
    <t>Rab effector Noc2 (Rabphilin-3A-like protein)(No C2 domains protein) [Source:UniProtKB/Swiss-Prot;Acc:Q9UNE2]</t>
  </si>
  <si>
    <t>GO:0007242 intracellular signaling cascade,GO:0006886 intracellular protein transport,GO:0006887 exocytosis</t>
  </si>
  <si>
    <t>GO:0005634 nucleus,GO:0016607 nuclear speck,GO:0000786 nucleosome,GO:0000785 chromatin</t>
  </si>
  <si>
    <t>H200005645</t>
  </si>
  <si>
    <t>BIN3</t>
  </si>
  <si>
    <t>Bridging integrator 3  [Source:UniProtKB/Swiss-Prot;Acc:Q9NQY0]</t>
  </si>
  <si>
    <t>AHsV10000843</t>
  </si>
  <si>
    <t>NM_002686.3</t>
  </si>
  <si>
    <t>GO:0005975 carbohydrate metabolic process,GO:0042423 catecholamine biosynthetic process</t>
  </si>
  <si>
    <t>GO:0004603 phenylethanolamine N-methyltransferase activity,GO:0008168 methyltransferase activity,GO:0016740 transferase activity,GO:0042578 phosphoric ester hydrolase activity</t>
  </si>
  <si>
    <t>H200015487</t>
  </si>
  <si>
    <t>NM_181642</t>
  </si>
  <si>
    <t>SPINT1</t>
  </si>
  <si>
    <t>Kunitz-type protease inhibitor 1 Precursor (Hepatocyte growth factor activator inhibitor type 1)(HAI-1) [Source:UniProtKB/Swiss-Prot;Acc:O43278]</t>
  </si>
  <si>
    <t>GO:0001763 morphogenesis of a branching structure,GO:0001892 embryonic placenta development</t>
  </si>
  <si>
    <t>GO:0005515 protein binding,GO:0004867 serine-type endopeptidase inhibitor activity</t>
  </si>
  <si>
    <t>GO:0005886 plasma membrane,GO:0005576 extracellular region,GO:0005624 membrane fraction,GO:0005737 cytoplasm</t>
  </si>
  <si>
    <t>H300000748</t>
  </si>
  <si>
    <t>AL359914.14</t>
  </si>
  <si>
    <t>TCHH</t>
  </si>
  <si>
    <t>Trichohyalin  [Source:UniProtKB/Swiss-Prot;Acc:Q07283]</t>
  </si>
  <si>
    <t>Putative RNA-binding protein 3 (RNA-binding motif protein 3)(RNPL) [Source:UniProtKB/Swiss-Prot;Acc:P98179]</t>
  </si>
  <si>
    <t>GO:0000166 nucleotide binding,GO:0003676 nucleic acid binding,GO:0003723 RNA binding,GO:0043023 ribosomal large subunit binding</t>
  </si>
  <si>
    <t>H300019054</t>
  </si>
  <si>
    <t>NM_153255;NM_153255</t>
  </si>
  <si>
    <t>C6orf61</t>
  </si>
  <si>
    <t>GO:0003677 DNA binding,GO:0005515 protein binding,GO:0008270 zinc ion binding,GO:0046872 metal ion binding,GO:0003700 transcription factor activity,GO:0043565 sequence-specific DNA binding,GO:0003713 transcription coactivator activity,GO:0005496 steroid binding,GO:0003707 steroid hormone receptor activity,GO:0004886 retinoid-X receptor activity,GO:0004887 thyroid hormone receptor activity,GO:0003706 ligand-regulated transcription factor activity,GO:0003708 retinoic acid receptor activity,GO:0004879 ligand-dependent nuclear receptor activity</t>
  </si>
  <si>
    <t>H200001478</t>
  </si>
  <si>
    <t>NM_003314</t>
  </si>
  <si>
    <t>TTC1</t>
  </si>
  <si>
    <t>GO:0016787 hydrolase activity,GO:0046872 metal ion binding,GO:0003676 nucleic acid binding,GO:0003824 catalytic activity,GO:0004519 endonuclease activity,GO:0047429 nucleoside-triphosphate diphosphatase activity,GO:0004528 phosphodiesterase I activity,GO:0004551 nucleotide diphosphatase activity</t>
  </si>
  <si>
    <t>GO:0016020 membrane,GO:0005576 extracellular region,GO:0005887 integral to plasma membrane,GO:0048471 perinuclear region of cytoplasm</t>
  </si>
  <si>
    <t>H300000515</t>
  </si>
  <si>
    <t>NM_024647;NM_024647;NM_024647;NM_024647</t>
  </si>
  <si>
    <t>NUP43</t>
  </si>
  <si>
    <t>Nucleoporin Nup43 (p42) [Source:UniProtKB/Swiss-Prot;Acc:Q8NFH3]</t>
  </si>
  <si>
    <t>GO:0015031 protein transport,GO:0051028 mRNA transport,GO:0065002 intracellular protein transmembrane transport</t>
  </si>
  <si>
    <t>GO:0016020 membrane,GO:0005634 nucleus,GO:0005643 nuclear pore</t>
  </si>
  <si>
    <t>H200006254</t>
  </si>
  <si>
    <t>NM_005626</t>
  </si>
  <si>
    <t>SFRS4</t>
  </si>
  <si>
    <t>Splicing factor, arginine/serine-rich 4 (Pre-mRNA-splicing factor SRP75)(SRP001LB) [Source:UniProtKB/Swiss-Prot;Acc:Q08170]</t>
  </si>
  <si>
    <t>GO:0006355 regulation of transcription, DNA-dependent,GO:0008380 RNA splicing,GO:0006334 nucleosome assembly,GO:0000398 nuclear mRNA splicing, via spliceosome</t>
  </si>
  <si>
    <t>Retinoic acid receptor RXR-alpha (Retinoid X receptor alpha)(Nuclear receptor subfamily 2 group B member 1) [Source:UniProtKB/Swiss-Prot;Acc:P19793]</t>
  </si>
  <si>
    <t>GO:0006350 transcription,GO:0006355 regulation of transcription, DNA-dependent,GO:0044419 interspecies interaction between organisms,GO:0045944 positive regulation of transcription from RNA polymerase II promoter,GO:0008203 cholesterol metabolic process,GO:0048384 retinoic acid receptor signaling pathway,GO:0032526 response to retinoic acid,GO:0055010 ventricular cardiac muscle morphogenesis,GO:0060038 cardiac muscle cell proliferation,GO:0006766 vitamin metabolic process,GO:0055012 ventricular cardiac muscle cell differentiation</t>
  </si>
  <si>
    <t>GO:0003677 DNA binding,GO:0000166 nucleotide binding,GO:0003676 nucleic acid binding,GO:0003723 RNA binding,GO:0031202 RNA splicing factor activity, transesterification mechanism</t>
  </si>
  <si>
    <t>GO:0016740 transferase activity,GO:0000287 magnesium ion binding,GO:0000166 nucleotide binding,GO:0005524 ATP binding,GO:0030145 manganese ion binding,GO:0004872 receptor activity,GO:0004674 protein serine/threonine kinase activity,GO:0004713 protein tyrosine kinase activity,GO:0046982 protein heterodimerization activity,GO:0004672 protein kinase activity,GO:0005024 transforming growth factor beta receptor activity,GO:0050431 transforming growth factor beta binding,GO:0046332 SMAD binding,GO:0004702 receptor signaling protein serine/threonine kinase activity,GO:0005114 type II transforming growth factor beta receptor binding,GO:0004675 transmembrane receptor protein serine/threonine kinase activity,GO:0005025 transforming growth factor beta receptor activity, type I</t>
  </si>
  <si>
    <t>GO:0005886 plasma membrane,GO:0016021 integral to membrane,GO:0016020 membrane,GO:0016324 apical plasma membrane,GO:0016323 basolateral plasma membrane,GO:0070022 transforming growth factor beta receptor complex</t>
  </si>
  <si>
    <t>H300008386</t>
  </si>
  <si>
    <t>NM_007113</t>
  </si>
  <si>
    <t>GO:0031424 keratinization,GO:0008150 biological_process,GO:0007186 G-protein coupled receptor protein signaling pathway</t>
  </si>
  <si>
    <t>GO:0003677 DNA binding,GO:0005509 calcium ion binding,GO:0004999 vasoactive intestinal polypeptide receptor activity</t>
  </si>
  <si>
    <t>GO:0016020 membrane,GO:0005634 nucleus,GO:0005856 cytoskeleton,GO:0005737 cytoplasm</t>
  </si>
  <si>
    <t>H300005310</t>
  </si>
  <si>
    <t>NM_005021</t>
  </si>
  <si>
    <t>ENPP3</t>
  </si>
  <si>
    <t>Ectonucleotide pyrophosphatase/phosphodiesterase family member 3 (E-NPP 3)(Phosphodiesterase I/nucleotide pyrophosphatase 3)(Phosphodiesterase I beta)(PD-Ibeta)(CD203c antigen) [Includes Alkaline phosphodiesterase I(EC 3.1.4.1);Nucleotide pyrophosphatase(NPPase)(EC 3.6.1.9)] [Source:UniProtKB/Swiss-Prot;Acc:O14638]</t>
  </si>
  <si>
    <t>GO:0008152 metabolic process,GO:0006796 phosphate metabolic process,GO:0009143 nucleoside triphosphate catabolic process</t>
  </si>
  <si>
    <t>GO:0007165 signal transduction,GO:0006468 protein amino acid phosphorylation,GO:0001701 in utero embryonic development,GO:0006917 induction of apoptosis,GO:0009790 embryonic development,GO:0007507 heart development,GO:0008284 positive regulation of cell proliferation,GO:0009952 anterior/posterior pattern formation,GO:0007179 transforming growth factor beta receptor signaling pathway,GO:0060021 palate development,GO:0046777 protein amino acid autophosphorylation,GO:0030307 positive regulation of cell growth,GO:0001822 kidney development,GO:0048663 neuron fate commitment,GO:0045449 regulation of transcription,GO:0030199 collagen fibril organization,GO:0051272 positive regulation of cell motion,GO:0009791 post-embryonic development,GO:0007178 transmembrane receptor protein serine/threonine kinase signaling pathway,GO:0043627 response to estrogen stimulus,GO:0043066 negative regulation of apoptosis,GO:0000186 activation of MAPKK activity,GO:0048538 thymus development,GO:0060017 parathyroid gland development,GO:0060037 pharyngeal system development,GO:0051491 positive regulation of filopodium formation,GO:0048701 embryonic cranial skeleton morphogenesis,GO:0048844 artery morphogenesis,GO:0045885 positive regulation of survival gene product expression,GO:0048705 skeletal morphogenesis,GO:0008354 germ cell migration,GO:0051897 positive regulation of protein kinase B signaling cascade,GO:0048870 cell motility</t>
  </si>
  <si>
    <t>RCC1 and BTB domain-containing protein 2 (Regulator of chromosome condensation and BTB domain-containing protein 2)(Chromosome condensation 1-like)(CHC1-L)(RCC1-like G exchanging factor) [Source:UniProtKB/Swiss-Prot;Acc:O95199]</t>
  </si>
  <si>
    <t>GO:0005515 protein binding,GO:0005087 Ran guanyl-nucleotide exchange factor activity</t>
  </si>
  <si>
    <t>H200012412</t>
  </si>
  <si>
    <t>NM_007246</t>
  </si>
  <si>
    <t>KLHL2</t>
  </si>
  <si>
    <t>Kelch-like protein 2 (Actin-binding protein Mayven) [Source:UniProtKB/Swiss-Prot;Acc:O95198]</t>
  </si>
  <si>
    <t>GO:0005515 protein binding,GO:0003779 actin binding,GO:0005215 transporter activity</t>
  </si>
  <si>
    <t>TGF-beta receptor type-1 Precursor (EC 2.7.11.30)(Transforming growth factor-beta receptor type I)(TGF-beta receptor type I)(TGF-beta type I receptor)(TbetaR-I)(TGFR-1)(Serine/threonine-protein kinase receptor R4)(SKR4)(Activin receptor-like kinase 5)(ALK-5) [Source:UniProtKB/Swiss-Prot;Acc:P36897]</t>
  </si>
  <si>
    <t>H300016209</t>
  </si>
  <si>
    <t>NM_004557</t>
  </si>
  <si>
    <t>NOTCH4</t>
  </si>
  <si>
    <t>Neurogenic locus notch homolog protein 4 Precursor (Notch 4)(hNotch4) [Contains Notch 4 extracellular truncation;Notch 4 intracellular domain] [Source:UniProtKB/Swiss-Prot;Acc:Q99466]</t>
  </si>
  <si>
    <t>GO:0005509 calcium ion binding,GO:0005515 protein binding,GO:0046982 protein heterodimerization activity,GO:0050785 advanced glycation end-product receptor activity,GO:0050785 advanced glycation end-product receptor activity</t>
  </si>
  <si>
    <t>GO:0005886 plasma membrane,GO:0016021 integral to membrane,GO:0016020 membrane,GO:0005634 nucleus,GO:0005887 integral to plasma membrane,GO:0009986 cell surface,GO:0005615 extracellular space,GO:0009925 basal plasma membrane,GO:0005615 extracellular space,GO:0009925 basal plasma membrane</t>
  </si>
  <si>
    <t>H200003721</t>
  </si>
  <si>
    <t>NM_001268</t>
  </si>
  <si>
    <t>RCBTB2</t>
  </si>
  <si>
    <t>H300005096</t>
  </si>
  <si>
    <t>NM_194279</t>
  </si>
  <si>
    <t>ISCA2</t>
  </si>
  <si>
    <t>Iron-sulfur cluster assembly 2 homolog, mitochondrial Precursor (HESB-like domain-containing protein 1) [Source:UniProtKB/Swiss-Prot;Acc:Q86U28]</t>
  </si>
  <si>
    <t>GO:0016226 iron-sulfur cluster assembly</t>
  </si>
  <si>
    <t>GO:0046872 metal ion binding,GO:0005506 iron ion binding,GO:0005198 structural molecule activity,GO:0051536 iron-sulfur cluster binding</t>
  </si>
  <si>
    <t>H200000061</t>
  </si>
  <si>
    <t>NM_004612</t>
  </si>
  <si>
    <t>TGFBR1</t>
  </si>
  <si>
    <t>Probable ATP-dependent RNA helicase DDX6 (EC 3.6.1.-)(DEAD box protein 6)(ATP-dependent RNA helicase p54)(Oncogene RCK) [Source:UniProtKB/Swiss-Prot;Acc:P26196]</t>
  </si>
  <si>
    <t>GO:0005515 protein binding,GO:0016787 hydrolase activity,GO:0000166 nucleotide binding,GO:0005524 ATP binding,GO:0003676 nucleic acid binding,GO:0003723 RNA binding,GO:0004386 helicase activity,GO:0008026 ATP-dependent helicase activity,GO:0003724 RNA helicase activity</t>
  </si>
  <si>
    <t>TAF8</t>
  </si>
  <si>
    <t>Transcription initiation factor TFIID subunit 8 (TBP-associated factor 8)(Transcription initiation factor TFIID 43 kDa subunit)(TBP-associated factor 43 kDa)(hTAFII43)(Protein taube nuss) [Source:UniProtKB/Swiss-Prot;Acc:Q7Z7C8]</t>
  </si>
  <si>
    <t>GO:0006350 transcription,GO:0007275 multicellular organismal development,GO:0007399 nervous system development,GO:0030154 cell differentiation,GO:0009790 embryonic development,GO:0045893 positive regulation of transcription, DNA-dependent,GO:0001569 patterning of blood vessels,GO:0007568 aging,GO:0048661 positive regulation of smooth muscle cell proliferation,GO:0007219 Notch signaling pathway,GO:0030879 mammary gland development,GO:0007420 brain development,GO:0030097 hemopoiesis,GO:0007259 JAK-STAT cascade,GO:0001709 cell fate determination,GO:0001763 morphogenesis of a branching structure,GO:0045602 negative regulation of endothelial cell differentiation,GO:0050793 regulation of developmental process,GO:0007259 JAK-STAT cascade,GO:0007399 nervous system development,GO:0007420 brain development,GO:0007568 aging,GO:0048661 positive regulation of smooth muscle cell proliferation</t>
  </si>
  <si>
    <t>H300017416</t>
  </si>
  <si>
    <t>PCM1</t>
  </si>
  <si>
    <t>Pericentriolar material 1 protein (PCM-1)(hPCM-1) [Source:UniProtKB/Swiss-Prot;Acc:Q15154]</t>
  </si>
  <si>
    <t>GO:0042384 cilium biogenesis,GO:0051297 centrosome organization</t>
  </si>
  <si>
    <t>GO:0005515 protein binding,GO:0009055 electron carrier activity</t>
  </si>
  <si>
    <t>GO:0005856 cytoskeleton,GO:0005737 cytoplasm,GO:0000242 pericentriolar material,GO:0034451 centriolar satellite</t>
  </si>
  <si>
    <t>opHsV0400006145</t>
  </si>
  <si>
    <t>DDX6</t>
  </si>
  <si>
    <t>Caspase-8 Precursor (CASP-8)(EC 3.4.22.61)(ICE-like apoptotic protease 5)(MORT1-associated CED-3 homolog)(MACH)(FADD-homologous ICE/CED-3-like protease)(FADD-like ICE)(FLICE)(Apoptotic cysteine protease)(Apoptotic protease Mch-5)(CAP4) [Contains Caspase-8 subunit p18;Caspase-8 subunit p10] [Source:UniProtKB/Swiss-Prot;Acc:Q14790]</t>
  </si>
  <si>
    <t>GO:0006350 transcription,GO:0007275 multicellular organismal development,GO:0030154 cell differentiation,GO:0045893 positive regulation of transcription, DNA-dependent,GO:0045598 regulation of fat cell differentiation</t>
  </si>
  <si>
    <t>GO:0003677 DNA binding,GO:0005515 protein binding,GO:0016563 transcription activator activity</t>
  </si>
  <si>
    <t>GO:0005634 nucleus,GO:0005737 cytoplasm,GO:0005669 transcription factor TFIID complex</t>
  </si>
  <si>
    <t>GO:0005634 nucleus,GO:0005737 cytoplasm,GO:0005667 transcription factor complex,GO:0000123 histone acetyltransferase complex</t>
  </si>
  <si>
    <t>opHsV0400005851</t>
  </si>
  <si>
    <t>NM_001007102;NM_001007102</t>
  </si>
  <si>
    <t>L3MBTL3</t>
  </si>
  <si>
    <t>Lethal(3)malignant brain tumor-like 3 protein (L(3)mbt-like 3 protein)(H-l(3)mbt-like protein) [Source:UniProtKB/Swiss-Prot;Acc:Q96JM7]</t>
  </si>
  <si>
    <t>H300019900</t>
  </si>
  <si>
    <t>NM_033355;NM_033355;NM_033355;NM_001080125;NM_001080125;NM_001080125;NM_001080125;NM_001080125;NM_033355;NM_033355;NM_033355</t>
  </si>
  <si>
    <t>DHsGV10002504</t>
  </si>
  <si>
    <t>LOC100131504</t>
  </si>
  <si>
    <t>Protein deltex-3-like (B-lymphoma- and BAL-associated protein)(Rhysin-2)(Rhysin2) [Source:UniProtKB/Swiss-Prot;Acc:Q8TDB6]</t>
  </si>
  <si>
    <t>FERM domain-containing protein 1  [Source:UniProtKB/Swiss-Prot;Acc:Q8N878]</t>
  </si>
  <si>
    <t>H200015763</t>
  </si>
  <si>
    <t>NM_015916;NM_015916</t>
  </si>
  <si>
    <t>CALHM2</t>
  </si>
  <si>
    <t>Calcium homeostasis modulator protein 2 (Protein FAM26B) [Source:UniProtKB/Swiss-Prot;Acc:Q9HA72]</t>
  </si>
  <si>
    <t>H200008330</t>
  </si>
  <si>
    <t>NM_138412;NM_138412</t>
  </si>
  <si>
    <t>RDH13</t>
  </si>
  <si>
    <t>Retinol dehydrogenase 13 (EC 1.1.1.-) [Source:UniProtKB/Swiss-Prot;Acc:Q8NBN7]</t>
  </si>
  <si>
    <t>GO:0008152 metabolic process,GO:0055114 oxidation reduction,GO:0009239 enterobactin biosynthetic process</t>
  </si>
  <si>
    <t>GO:0005488 binding,GO:0003824 catalytic activity,GO:0016491 oxidoreductase activity,GO:0004022 alcohol dehydrogenase activity,GO:0008667 2,3-dihydro-2,3-dihydroxybenzoate dehydrogenase activity</t>
  </si>
  <si>
    <t>H200003499</t>
  </si>
  <si>
    <t>NM_001429</t>
  </si>
  <si>
    <t>EP300</t>
  </si>
  <si>
    <t>Histone acetyltransferase p300 (p300 HAT)(EC 2.3.1.48)(E1A-associated protein p300) [Source:UniProtKB/Swiss-Prot;Acc:Q09472]</t>
  </si>
  <si>
    <t>GO:0005737 cytoplasm,GO:0010494 stress granule</t>
  </si>
  <si>
    <t>H300019488</t>
  </si>
  <si>
    <t>NM_138572</t>
  </si>
  <si>
    <t>H300020525</t>
  </si>
  <si>
    <t>NM_024919;NM_024919;NM_024919</t>
  </si>
  <si>
    <t>FRMD1</t>
  </si>
  <si>
    <t>DHsGV10003639</t>
  </si>
  <si>
    <t>H300019277</t>
  </si>
  <si>
    <t>NM_002406;NM_002406</t>
  </si>
  <si>
    <t>MGAT1</t>
  </si>
  <si>
    <t>Alpha-1,3-mannosyl-glycoprotein 2-beta-N-acetylglucosaminyltransferase (EC 2.4.1.101)(N-glycosyl-oligosaccharide-glycoprotein N-acetylglucosaminyltransferase I)(GlcNAc-T I)(GNT-I) [Source:UniProtKB/Swiss-Prot;Acc:P26572]</t>
  </si>
  <si>
    <t>GO:0016740 transferase activity,GO:0005515 protein binding,GO:0008270 zinc ion binding,GO:0046872 metal ion binding,GO:0003700 transcription factor activity,GO:0008022 protein C-terminus binding,GO:0008134 transcription factor binding,GO:0003713 transcription coactivator activity,GO:0004402 histone acetyltransferase activity,GO:0003712 transcription cofactor activity,GO:0016407 acetyltransferase activity,GO:0042975 peroxisome proliferator activated receptor binding,GO:0003700 transcription factor activity,GO:0016563 transcription activator activity,GO:0008134 transcription factor binding,GO:0042975 peroxisome proliferator activated receptor binding</t>
  </si>
  <si>
    <t>H200001861</t>
  </si>
  <si>
    <t>NM_001029835;NM_001029835</t>
  </si>
  <si>
    <t>CCM2</t>
  </si>
  <si>
    <t>Malcavernin (Cerebral cavernous malformations 2 protein) [Source:UniProtKB/Swiss-Prot;Acc:Q9BSQ5]</t>
  </si>
  <si>
    <t>H200002564</t>
  </si>
  <si>
    <t>NM_138287</t>
  </si>
  <si>
    <t>DTX3L</t>
  </si>
  <si>
    <t>GO:0007165 signal transduction,GO:0006355 regulation of transcription, DNA-dependent,GO:0007049 cell cycle,GO:0007399 nervous system development,GO:0044419 interspecies interaction between organisms,GO:0006915 apoptosis,GO:0045944 positive regulation of transcription from RNA polymerase II promoter,GO:0007507 heart development,GO:0009887 organ morphogenesis,GO:0016573 histone acetylation,GO:0007519 skeletal muscle development,GO:0045449 regulation of transcription,GO:0001756 somitogenesis,GO:0030324 lung development,GO:0051091 positive regulation of transcription factor activity,GO:0001666 response to hypoxia,GO:0042592 homeostatic process,GO:0018076 N-terminal peptidyl-lysine acetylation,GO:0045944 positive regulation of transcription from RNA polymerase II promoter</t>
  </si>
  <si>
    <t>GO:0006810 transport,GO:0045454 cell redox homeostasis,GO:0022900 electron transport chain</t>
  </si>
  <si>
    <t>GO:0015036 disulfide oxidoreductase activity</t>
  </si>
  <si>
    <t>DHsGV10000831</t>
  </si>
  <si>
    <t>GO:0005044 scavenger receptor activity,GO:0005484 SNAP receptor activity,GO:0005515 protein binding</t>
  </si>
  <si>
    <t>Slit homolog 3 protein Precursor (Slit-3)(Multiple epidermal growth factor-like domains 5) [Source:UniProtKB/Swiss-Prot;Acc:O75094]</t>
  </si>
  <si>
    <t>opHsV0400004676</t>
  </si>
  <si>
    <t>NM_003062</t>
  </si>
  <si>
    <t>SLIT3</t>
  </si>
  <si>
    <t>opHsV0400000607</t>
  </si>
  <si>
    <t>ALS2CR16</t>
  </si>
  <si>
    <t>GO:0006355 regulation of transcription, DNA-dependent,GO:0006006 glucose metabolic process,GO:0006357 regulation of transcription from RNA polymerase II promoter,GO:0009653 anatomical structure morphogenesis,GO:0007492 endoderm development,GO:0045165 cell fate commitment,GO:0001889 liver development,GO:0042384 cilium biogenesis,GO:0030512 negative regulation of transforming growth factor beta receptor signaling pathway,GO:0048536 spleen development,GO:0030183 B cell differentiation,GO:0001952 regulation of cell-matrix adhesion,GO:0002064 epithelial cell development,GO:0030335 positive regulation of cell migration,GO:0031018 endocrine pancreas development</t>
  </si>
  <si>
    <t>GO:0003677 DNA binding,GO:0003700 transcription factor activity,GO:0043565 sequence-specific DNA binding,GO:0016563 transcription activator activity</t>
  </si>
  <si>
    <t>AHsV10001106</t>
  </si>
  <si>
    <t>NM_017619.3</t>
  </si>
  <si>
    <t>RNPC3</t>
  </si>
  <si>
    <t>RNA-binding protein 40 (RNA-binding motif protein 40)(RNA-binding region-containing protein 3)(U11/U12 small nuclear ribonucleoprotein 65 KDa protein)(U11/U12 snRNP 65 KDa protein)(U11/U12-65K) [Source:UniProtKB/Swiss-Prot;Acc:Q96LT9]</t>
  </si>
  <si>
    <t>GO:0006397 mRNA processing,GO:0008380 RNA splicing</t>
  </si>
  <si>
    <t>GO:0005634 nucleus,GO:0005681 spliceosome</t>
  </si>
  <si>
    <t>H200005518</t>
  </si>
  <si>
    <t>NM_019894;NM_019894</t>
  </si>
  <si>
    <t>TMPRSS4</t>
  </si>
  <si>
    <t>Transmembrane protease, serine 4 (EC 3.4.21.-)(Membrane-type serine protease 2)(MT-SP2) [Source:UniProtKB/Swiss-Prot;Acc:Q9NRS4]</t>
  </si>
  <si>
    <t>GO:0003824 catalytic activity,GO:0004252 serine-type endopeptidase activity,GO:0005044 scavenger receptor activity</t>
  </si>
  <si>
    <t xml:space="preserve">GO:0004051 arachidonate 5-lipoxygenase activity,GO:0005506 iron ion binding,GO:0005509 calcium ion binding,GO:0005515 protein binding,GO:0016165 lipoxygenase activity,GO:0016491 oxidoreductase activity,GO:0016702 oxidoreductase activity, acting on single </t>
  </si>
  <si>
    <t>GO:0005634 nucleus,GO:0005737 cytoplasm,GO:0016020 membrane</t>
  </si>
  <si>
    <t>H300015326</t>
  </si>
  <si>
    <t>NM_020648</t>
  </si>
  <si>
    <t>TWSG1</t>
  </si>
  <si>
    <t>Twisted gastrulation protein homolog 1 Precursor  [Source:UniProtKB/Swiss-Prot;Acc:Q9GZX9]</t>
  </si>
  <si>
    <t>GO:0016757 transferase activity, transferring glycosyl groups,GO:0003827 alpha-1,3-mannosylglycoprotein 2-beta-N-acetylglucosaminyltransferase activity</t>
  </si>
  <si>
    <t>GO:0000139 Golgi membrane</t>
  </si>
  <si>
    <t>AHsV10002296</t>
  </si>
  <si>
    <t>NM_001627.2</t>
  </si>
  <si>
    <t>ALCAM</t>
  </si>
  <si>
    <t>Hepatocyte nuclear factor 6 (HNF-6)(One cut domain family member 1) [Source:UniProtKB/Swiss-Prot;Acc:Q9UBC0]</t>
  </si>
  <si>
    <t>AHsV10002592</t>
  </si>
  <si>
    <t>NM_001134773.1</t>
  </si>
  <si>
    <t>STX16</t>
  </si>
  <si>
    <t>Syntaxin-16 (Syn16) [Source:UniProtKB/Swiss-Prot;Acc:O14662]</t>
  </si>
  <si>
    <t>GO:0006886 intracellular protein transport,GO:0006898 receptor-mediated endocytosis,GO:0016192 vesicle-mediated transport</t>
  </si>
  <si>
    <t>GO:0007186 G-protein coupled receptor protein signaling pathway,GO:0007275 multicellular organismal development,GO:0030154 cell differentiation,GO:0007411 axon guidance,GO:0009887 organ morphogenesis,GO:0007417 central nervous system development</t>
  </si>
  <si>
    <t>GO:0005509 calcium ion binding,GO:0005515 protein binding,GO:0005198 structural molecule activity,GO:0004963 follicle-stimulating hormone receptor activity</t>
  </si>
  <si>
    <t>GO:0016021 integral to membrane,GO:0005576 extracellular region,GO:0005615 extracellular space</t>
  </si>
  <si>
    <t>CD166 antigen Precursor (Activated leukocyte cell adhesion molecule)(CD166 antigen) [Source:UniProtKB/Swiss-Prot;Acc:Q13740]</t>
  </si>
  <si>
    <t>GO:0007155 cell adhesion,GO:0007165 signal transduction</t>
  </si>
  <si>
    <t>H200005841</t>
  </si>
  <si>
    <t>NM_004498</t>
  </si>
  <si>
    <t>ONECUT1</t>
  </si>
  <si>
    <t>H200002764</t>
  </si>
  <si>
    <t>NM_004786</t>
  </si>
  <si>
    <t>TXNL1</t>
  </si>
  <si>
    <t>Thioredoxin-like protein 1 (32 kDa thioredoxin-related protein) [Source:UniProtKB/Swiss-Prot;Acc:O43396]</t>
  </si>
  <si>
    <t>NADH dehydrogenase [ubiquinone] iron-sulfur protein 2, mitochondrial Precursor (EC 1.6.5.3)(EC 1.6.99.3)(NADH-ubiquinone oxidoreductase 49 kDa subunit)(Complex I-49kD)(CI-49kD) [Source:UniProtKB/Swiss-Prot;Acc:O75306]</t>
  </si>
  <si>
    <t>GO:0006810 transport,GO:0006979 response to oxidative stress,GO:0022900 electron transport chain,GO:0006120 mitochondrial electron transport, NADH to ubiquinone</t>
  </si>
  <si>
    <t>Amyotrophic lateral sclerosis 2 chromosomal region candidate gene 16 protein  [Source:UniProtKB/Swiss-Prot;Acc:Q6ZP36]</t>
  </si>
  <si>
    <t>H300001821</t>
  </si>
  <si>
    <t>NM_000712</t>
  </si>
  <si>
    <t>BLVRA</t>
  </si>
  <si>
    <t>Biliverdin reductase A Precursor (BVR A)(EC 1.3.1.24)(Biliverdin-IX alpha-reductase) [Source:UniProtKB/Swiss-Prot;Acc:P53004]</t>
  </si>
  <si>
    <t>GO:0008152 metabolic process,GO:0055114 oxidation reduction,GO:0042167 heme catabolic process</t>
  </si>
  <si>
    <t>GO:0005488 binding,GO:0008270 zinc ion binding,GO:0046872 metal ion binding,GO:0003824 catalytic activity,GO:0016491 oxidoreductase activity,GO:0004074 biliverdin reductase activity</t>
  </si>
  <si>
    <t>H300021174</t>
  </si>
  <si>
    <t>TRBV7-2</t>
  </si>
  <si>
    <t>T-cell receptor beta C gene segment [Source:IMGT/GENE-DB;Acc:TRBC2]</t>
  </si>
  <si>
    <t>opHsV0400000220</t>
  </si>
  <si>
    <t>NM_031894</t>
  </si>
  <si>
    <t>FTHL17</t>
  </si>
  <si>
    <t>Ferritin heavy polypeptide-like 17 (Cancer/testis antigen 38)(CT38) [Source:UniProtKB/Swiss-Prot;Acc:Q9BXU8]</t>
  </si>
  <si>
    <t>CHsGV10002234</t>
  </si>
  <si>
    <t>NM_020645.2</t>
  </si>
  <si>
    <t>NRIP3</t>
  </si>
  <si>
    <t>Nuclear receptor-interacting protein 3 (Sarcoma antigen NY-SAR-105) [Source:UniProtKB/Swiss-Prot;Acc:Q9NQ35]</t>
  </si>
  <si>
    <t>GO:0005488 binding,GO:0004190 aspartic-type endopeptidase activity</t>
  </si>
  <si>
    <t>DHsGV10002540</t>
  </si>
  <si>
    <t>LOC100134372</t>
  </si>
  <si>
    <t>CHsGV10002304</t>
  </si>
  <si>
    <t>NM_017921.2</t>
  </si>
  <si>
    <t>NPLOC4</t>
  </si>
  <si>
    <t>GO:0007030 Golgi organization,GO:0030433 ER-associated protein catabolic process,GO:0006944 membrane fusion,GO:0019941 modification-dependent protein catabolic process</t>
  </si>
  <si>
    <t>GO:0005737 cytoplasm,GO:0005634 nucleus,GO:0005829 cytosol,GO:0005622 intracellular,GO:0005783 endoplasmic reticulum,GO:0042175 nuclear envelope-endoplasmic reticulum network</t>
  </si>
  <si>
    <t>Caspase recruitment domain-containing protein 16 (Caspase-1 inhibitor COP)(CARD only domain-containing protein 1)(Pseudo interleukin-1 beta converting enzyme)(Pseudo-ICE) [Source:UniProtKB/Swiss-Prot;Acc:Q5EG05]</t>
  </si>
  <si>
    <t>GO:0042981 regulation of apoptosis,GO:0006508 proteolysis</t>
  </si>
  <si>
    <t>H200008155</t>
  </si>
  <si>
    <t>NM_004550;NM_004550</t>
  </si>
  <si>
    <t>NDUFS2</t>
  </si>
  <si>
    <t>H300019898</t>
  </si>
  <si>
    <t>NM_005496</t>
  </si>
  <si>
    <t>SMC4</t>
  </si>
  <si>
    <t>Structural maintenance of chromosomes protein 4 (Chromosome-associated polypeptide C)(hCAP-C)(XCAP-C homolog) [Source:UniProtKB/Swiss-Prot;Acc:Q9NTJ3]</t>
  </si>
  <si>
    <t>GO:0030900 forebrain development,GO:0030154 cell differentiation,GO:0009790 embryonic development,GO:0001503 ossification,GO:0030514 negative regulation of BMP signaling pathway,GO:0009888 tissue development,GO:0030097 hemopoiesis,GO:0045668 negative regulation of osteoblast differentiation,GO:0001707 mesoderm formation,GO:0030513 positive regulation of BMP signaling pathway,GO:0043010 camera-type eye development</t>
  </si>
  <si>
    <t>H200014249</t>
  </si>
  <si>
    <t>NM_022152</t>
  </si>
  <si>
    <t>TMBIM1</t>
  </si>
  <si>
    <t>Nuclear protein localization protein 4 homolog (Protein NPL4) [Source:UniProtKB/Swiss-Prot;Acc:Q8TAT6]</t>
  </si>
  <si>
    <t>Arachidonate 5-lipoxygenase (5-lipoxygenase)(5-LO)(EC 1.13.11.34) [Source:UniProtKB/Swiss-Prot;Acc:P09917]</t>
  </si>
  <si>
    <t>GO:0006691 leukotriene metabolic process,GO:0006954 inflammatory response,GO:0019370 leukotriene biosynthetic process,GO:0055114 oxidation reduction</t>
  </si>
  <si>
    <t>H300004914</t>
  </si>
  <si>
    <t>IFITM8P</t>
  </si>
  <si>
    <t>Uncharacterized protein ENSP00000382483  [Source:UniProtKB/TrEMBL;Acc:A8MWN3]</t>
  </si>
  <si>
    <t>GO:0009607 response to biotic stimulus</t>
  </si>
  <si>
    <t>CHsGV10003213</t>
  </si>
  <si>
    <t>NM_014035.2</t>
  </si>
  <si>
    <t>SNX24</t>
  </si>
  <si>
    <t>Sorting nexin-24  [Source:UniProtKB/Swiss-Prot;Acc:Q9Y343]</t>
  </si>
  <si>
    <t>GO:0007154 cell communication,GO:0015031 protein transport</t>
  </si>
  <si>
    <t>CHsGV10000876</t>
  </si>
  <si>
    <t>NM_001009608.1</t>
  </si>
  <si>
    <t>C20orf94</t>
  </si>
  <si>
    <t>UPF0492 protein C20orf94  [Source:UniProtKB/Swiss-Prot;Acc:Q5VYV7]</t>
  </si>
  <si>
    <t>Transmembrane BAX inhibitor motif-containing protein 1 (Protein RECS1 homolog) [Source:UniProtKB/Swiss-Prot;Acc:Q969X1]</t>
  </si>
  <si>
    <t>Galectin-1 (Lectin galactoside-binding soluble 1)(Beta-galactoside-binding lectin L-14-I)(Lactose-binding lectin 1)(S-Lac lectin 1)(Galaptin)(14 kDa lectin)(HPL)(HBL)(Putative MAPK-activating protein PM12) [Source:UniProtKB/Swiss-Prot;Acc:P09382]</t>
  </si>
  <si>
    <t>GO:0042981 regulation of apoptosis,GO:0043123 positive regulation of I-kappaB kinase/NF-kappaB cascade,GO:0045445 myoblast differentiation</t>
  </si>
  <si>
    <t>GO:0046872 metal ion binding,GO:0005506 iron ion binding,GO:0009055 electron carrier activity,GO:0051539 4 iron, 4 sulfur cluster binding,GO:0051287 NAD binding,GO:0008137 NADH dehydrogenase (ubiquinone) activity,GO:0016651 oxidoreductase activity, acting on NADH or NADPH,GO:0003954 NADH dehydrogenase activity</t>
  </si>
  <si>
    <t>GO:0016020 membrane,GO:0005739 mitochondrion,GO:0005747 mitochondrial respiratory chain complex I</t>
  </si>
  <si>
    <t>opHsV0400004016</t>
  </si>
  <si>
    <t>AC011483.7</t>
  </si>
  <si>
    <t>H200007039</t>
  </si>
  <si>
    <t>NM_014387;NM_014387;NM_001014987;NM_001014987</t>
  </si>
  <si>
    <t>LAT</t>
  </si>
  <si>
    <t>GO:0005737 cytoplasm,GO:0005886 plasma membrane</t>
  </si>
  <si>
    <t>AHsV10002420</t>
  </si>
  <si>
    <t>NM_000698.2</t>
  </si>
  <si>
    <t>ALOX5</t>
  </si>
  <si>
    <t>H200020241</t>
  </si>
  <si>
    <t>NM_022754</t>
  </si>
  <si>
    <t>SFXN1</t>
  </si>
  <si>
    <t>Sideroflexin-1 (Tricarboxylate carrier protein)(TCC) [Source:UniProtKB/Swiss-Prot;Acc:Q9H9B4]</t>
  </si>
  <si>
    <t>GO:0006812 cation transport,GO:0006826 iron ion transport,GO:0030218 erythrocyte differentiation</t>
  </si>
  <si>
    <t>GO:0005515 protein binding,GO:0005506 iron ion binding,GO:0008324 cation transmembrane transporter activity</t>
  </si>
  <si>
    <t>AHsV10001403</t>
  </si>
  <si>
    <t>NM_032898.3</t>
  </si>
  <si>
    <t>C3orf34</t>
  </si>
  <si>
    <t>UPF0709 protein C3orf34  [Source:UniProtKB/Swiss-Prot;Acc:Q96LK0]</t>
  </si>
  <si>
    <t>DHsGV10000026</t>
  </si>
  <si>
    <t>NM_177991.1;NM_001012644.1;NM_080611.3</t>
  </si>
  <si>
    <t>DUSP15</t>
  </si>
  <si>
    <t>Dual specificity protein phosphatase 15 (EC 3.1.3.48)(EC 3.1.3.16)(Vaccinia virus VH1-related dual-specific protein phosphatase Y)(VH1-related member Y) [Source:UniProtKB/Swiss-Prot;Acc:Q9H1R2]</t>
  </si>
  <si>
    <t>CHsGV10001914</t>
  </si>
  <si>
    <t>NM_001017534.1;NM_052889.2</t>
  </si>
  <si>
    <t>CARD16</t>
  </si>
  <si>
    <t>GO:0006401 RNA catabolic process</t>
  </si>
  <si>
    <t>GO:0003723 RNA binding,GO:0016787 hydrolase activity,GO:0033897 ribonuclease T2 activity,GO:0004540 ribonuclease activity,GO:0004519 endonuclease activity</t>
  </si>
  <si>
    <t>DHsGV10003063</t>
  </si>
  <si>
    <t>H300000546</t>
  </si>
  <si>
    <t>NM_004188;NM_004188</t>
  </si>
  <si>
    <t>GFI1B</t>
  </si>
  <si>
    <t>Zinc finger protein Gfi-1b (Growth factor independent protein 1B)(Potential regulator of CDKN1A translocated in CML) [Source:UniProtKB/Swiss-Prot;Acc:Q5VTD9]</t>
  </si>
  <si>
    <t>GO:0007049 cell cycle,GO:0051301 cell division,GO:0007076 mitotic chromosome condensation,GO:0051276 chromosome organization</t>
  </si>
  <si>
    <t>GO:0005515 protein binding,GO:0000166 nucleotide binding,GO:0005524 ATP binding,GO:0017111 nucleoside-triphosphatase activity,GO:0046982 protein heterodimerization activity</t>
  </si>
  <si>
    <t>GO:0005634 nucleus,GO:0005737 cytoplasm,GO:0005694 chromosome,GO:0000796 condensin complex</t>
  </si>
  <si>
    <t>AHsV10000238</t>
  </si>
  <si>
    <t>NM_138573.2</t>
  </si>
  <si>
    <t>NRG4</t>
  </si>
  <si>
    <t>Pro-neuregulin-4, membrane-bound isoform (Pro-NRG4) [Contains Neuregulin-4(NRG-4)] [Source:UniProtKB/Swiss-Prot;Acc:Q8WWG1]</t>
  </si>
  <si>
    <t>GO:0005509 calcium ion binding,GO:0008083 growth factor activity</t>
  </si>
  <si>
    <t>GO:0005576 extracellular region,GO:0005886 plasma membrane,GO:0016021 integral to membrane</t>
  </si>
  <si>
    <t>H300022900</t>
  </si>
  <si>
    <t>NM_020235</t>
  </si>
  <si>
    <t>BBX</t>
  </si>
  <si>
    <t>Linker for activation of T-cells family member 1 (36 kDa phospho-tyrosine adapter protein)(pp36)(p36-38) [Source:UniProtKB/Swiss-Prot;Acc:O43561]</t>
  </si>
  <si>
    <t>GO:0005515 protein binding,GO:0030414 peptidase inhibitor activity,GO:0004197 cysteine-type endopeptidase activity,GO:0004869 cysteine-type endopeptidase inhibitor activity</t>
  </si>
  <si>
    <t>H200005468</t>
  </si>
  <si>
    <t>NM_018992</t>
  </si>
  <si>
    <t>KCTD5</t>
  </si>
  <si>
    <t>BTB/POZ domain-containing protein KCTD5  [Source:UniProtKB/Swiss-Prot;Acc:Q9NXV2]</t>
  </si>
  <si>
    <t>GO:0006813 potassium ion transport,GO:0044419 interspecies interaction between organisms</t>
  </si>
  <si>
    <t>GO:0016020 membrane,GO:0005634 nucleus,GO:0005737 cytoplasm,GO:0008076 voltage-gated potassium channel complex</t>
  </si>
  <si>
    <t>H300012657</t>
  </si>
  <si>
    <t>NM_002305</t>
  </si>
  <si>
    <t>LGALS1</t>
  </si>
  <si>
    <t>GO:0005634 nucleus,GO:0016607 nuclear speck</t>
  </si>
  <si>
    <t>AHsV10002974</t>
  </si>
  <si>
    <t>NM_004388.2</t>
  </si>
  <si>
    <t>CTBS</t>
  </si>
  <si>
    <t>Di-N-acetylchitobiase Precursor (EC 3.2.1.-) [Source:UniProtKB/Swiss-Prot;Acc:Q01459]</t>
  </si>
  <si>
    <t>GO:0005886 plasma membrane,GO:0016021 integral to membrane,GO:0005576 extracellular region,GO:0005737 cytoplasm,GO:0005813 centrosome,GO:0031224 intrinsic to membrane,GO:0009986 cell surface,GO:0005925 focal adhesion,GO:0009986 cell surface</t>
  </si>
  <si>
    <t>opHsV0400005614</t>
  </si>
  <si>
    <t>GO:0005515 protein binding,GO:0005529 sugar binding,GO:0004871 signal transducer activity,GO:0016936 galactoside binding</t>
  </si>
  <si>
    <t>GO:0005622 intracellular,GO:0005737 cytoplasm,GO:0005615 extracellular space</t>
  </si>
  <si>
    <t>H300001215</t>
  </si>
  <si>
    <t>AC118653.6</t>
  </si>
  <si>
    <t>H300001816</t>
  </si>
  <si>
    <t>NM_207405</t>
  </si>
  <si>
    <t>AC105915.4</t>
  </si>
  <si>
    <t>Uncharacterized protein FLJ46481  [Source:UniProtKB/Swiss-Prot;Acc:Q6ZRC1]</t>
  </si>
  <si>
    <t>HMG box transcription factor BBX (Bobby sox homolog)(HMG box-containing protein 2) [Source:UniProtKB/Swiss-Prot;Acc:Q8WY36]</t>
  </si>
  <si>
    <t>H200002154</t>
  </si>
  <si>
    <t>GO:0006629 lipid metabolic process,GO:0006631 fatty acid metabolic process</t>
  </si>
  <si>
    <t>GO:0016787 hydrolase activity,GO:0004622 lysophospholipase activity</t>
  </si>
  <si>
    <t>GO:0003777 microtubule motor activity,GO:0000166 nucleotide binding,GO:0005524 ATP binding</t>
  </si>
  <si>
    <t>opHsV0400001325</t>
  </si>
  <si>
    <t>NM_012239</t>
  </si>
  <si>
    <t>SIRT3</t>
  </si>
  <si>
    <t>NAD-dependent deacetylase sirtuin-3, mitochondrial Precursor (EC 3.5.1.-)(SIR2-like protein 3)(hSIRT3) [Source:UniProtKB/Swiss-Prot;Acc:Q9NTG7]</t>
  </si>
  <si>
    <t>GO:0006355 regulation of transcription, DNA-dependent,GO:0006342 chromatin silencing,GO:0006476 protein amino acid deacetylation</t>
  </si>
  <si>
    <t>GO:0003677 DNA binding,GO:0008270 zinc ion binding,GO:0017136 NAD-dependent histone deacetylase activity,GO:0051287 NAD binding</t>
  </si>
  <si>
    <t>GO:0005677 chromatin silencing complex</t>
  </si>
  <si>
    <t>GO:0004553 hydrolase activity, hydrolyzing O-glycosyl compounds,GO:0004568 chitinase activity,GO:0043169 cation binding</t>
  </si>
  <si>
    <t>CHsGV10001664</t>
  </si>
  <si>
    <t>NM_003730.4</t>
  </si>
  <si>
    <t>RNASET2</t>
  </si>
  <si>
    <t>Ribonuclease T2 Precursor (EC 3.1.27.-)(Ribonuclease 6) [Source:UniProtKB/Swiss-Prot;Acc:O00584]</t>
  </si>
  <si>
    <t>H200005304</t>
  </si>
  <si>
    <t>NM_006101</t>
  </si>
  <si>
    <t>KNTC2</t>
  </si>
  <si>
    <t>Kinetochore protein NDC80 homolog (Kinetochore protein Hec1)(HsHec1)(Kinetochore-associated protein 2)(Highly expressed in cancer protein)(Retinoblastoma-associated protein HEC) [Source:UniProtKB/Swiss-Prot;Acc:O14777]</t>
  </si>
  <si>
    <t>GO:0007049 cell cycle,GO:0051301 cell division,GO:0000070 mitotic sister chromatid segregation,GO:0007051 spindle organization and biogenesis,GO:0048015 phosphoinositide-mediated signaling</t>
  </si>
  <si>
    <t>GO:0006350 transcription,GO:0006355 regulation of transcription, DNA-dependent,GO:0016568 chromatin modification,GO:0007275 multicellular organismal development,GO:0008283 cell proliferation,GO:0000122 negative regulation of transcription from RNA polymerase II promoter,GO:0000114 regulation of transcription during G1 phase of mitotic cell cycle</t>
  </si>
  <si>
    <t>GO:0003677 DNA binding,GO:0003704 specific RNA polymerase II transcription factor activity,GO:0005515 protein binding,GO:0008270 zinc ion binding,GO:0046872 metal ion binding,GO:0003676 nucleic acid binding</t>
  </si>
  <si>
    <t>opHsV0400001290</t>
  </si>
  <si>
    <t>AL606514.3</t>
  </si>
  <si>
    <t>CDNA FLJ25155 fis, clone CBR07976  [Source:UniProtKB/TrEMBL;Acc:Q96LR6]</t>
  </si>
  <si>
    <t>Thyroid receptor-interacting protein 6 (TRIP-6)(OPA-interacting protein 1)(Zyxin-related protein 1)(ZRP-1) [Source:UniProtKB/Swiss-Prot;Acc:Q15654]</t>
  </si>
  <si>
    <t>GO:0030335 positive regulation of cell migration,GO:0008588 release of cytoplasmic sequestered NF-kappaB,GO:0048041 focal adhesion formation</t>
  </si>
  <si>
    <t>GO:0008270 zinc ion binding,GO:0046872 metal ion binding,GO:0042802 identical protein binding,GO:0019900 kinase binding,GO:0046966 thyroid hormone receptor binding,GO:0005149 interleukin-1 receptor binding</t>
  </si>
  <si>
    <t>GO:0005925 focal adhesion,GO:0045323 interleukin-1 receptor complex</t>
  </si>
  <si>
    <t>H200000074</t>
  </si>
  <si>
    <t>NM_139355;NM_002378;NM_002378;NM_002378</t>
  </si>
  <si>
    <t>MATK</t>
  </si>
  <si>
    <t>Megakaryocyte-associated tyrosine-protein kinase (EC 2.7.10.2)(Tyrosine-protein kinase CTK)(Protein kinase HYL)(Hematopoietic consensus tyrosine-lacking kinase) [Source:UniProtKB/Swiss-Prot;Acc:P42679]</t>
  </si>
  <si>
    <t>Lck-interacting transmembrane adapter 1 (Lck-interacting membrane protein)(Lck-interacting molecule) [Source:UniProtKB/Swiss-Prot;Acc:Q9H400]</t>
  </si>
  <si>
    <t>Prolactin-releasing peptide receptor (PrRP receptor)(PrRPR)(G-protein coupled receptor 10)(hGR3) [Source:UniProtKB/Swiss-Prot;Acc:P49683]</t>
  </si>
  <si>
    <t>H200012209</t>
  </si>
  <si>
    <t>NM_003302</t>
  </si>
  <si>
    <t>TRIP6</t>
  </si>
  <si>
    <t>GO:0007165 signal transduction,GO:0007186 G-protein coupled receptor protein signaling pathway,GO:0007565 female pregnancy,GO:0007631 feeding behavior,GO:0006835 dicarboxylic acid transport,GO:0042445 hormone metabolic process</t>
  </si>
  <si>
    <t>NM_005964;NM_005964;NM_005964;NM_005964</t>
  </si>
  <si>
    <t>MYH10</t>
  </si>
  <si>
    <t>Myosin-10 (Myosin heavy chain 10)(Myosin heavy chain, non-muscle IIb)(Non-muscle myosin heavy chain IIb)(NMMHC II-b)(NMMHC-IIB)(Cellular myosin heavy chain, type B)(Non-muscle myosin heavy chain-B)(NMMHC-B) [Source:UniProtKB/Swiss-Prot;Acc:P35580]</t>
  </si>
  <si>
    <t>GO:0005524 ATP binding,GO:0003774 motor activity,GO:0008083 growth factor activity,GO:0005096 GTPase activator activity,GO:0005200 structural constituent of cytoskeleton</t>
  </si>
  <si>
    <t>GO:0005622 intracellular,GO:0016459 myosin complex</t>
  </si>
  <si>
    <t>AHsV10000031</t>
  </si>
  <si>
    <t>NM_153487.3</t>
  </si>
  <si>
    <t>MDGA1</t>
  </si>
  <si>
    <t>MAM domain-containing glycosylphosphatidylinositol anchor protein 1 Precursor (MAM domain-containing protein 3)(Glycosylphosphatidylinositol-MAM)(GPI and MAM protein)(GPIM) [Source:UniProtKB/Swiss-Prot;Acc:Q8NFP4]</t>
  </si>
  <si>
    <t>GO:0001764 neuron migration,GO:0007275 multicellular organismal development,GO:0007399 nervous system development,GO:0007420 brain development,GO:0009399 nitrogen fixation,GO:0021527 spinal cord association neuron differentiation,GO:0030154 cell different</t>
  </si>
  <si>
    <t>GO:0003674 molecular_function,GO:0016163 nitrogenase activity</t>
  </si>
  <si>
    <t>GO:0005886 plasma membrane,GO:0016020 membrane,GO:0046658 anchored to plasma membrane</t>
  </si>
  <si>
    <t>H300006460</t>
  </si>
  <si>
    <t>AL669983.2</t>
  </si>
  <si>
    <t>opHsV0400005848</t>
  </si>
  <si>
    <t>AL356276.9</t>
  </si>
  <si>
    <t>H300008221</t>
  </si>
  <si>
    <t>NM_012369</t>
  </si>
  <si>
    <t>OR2F1</t>
  </si>
  <si>
    <t>Olfactory receptor 2F1 (Olfactory receptor-like protein OLF3) [Source:UniProtKB/Swiss-Prot;Acc:Q13607]</t>
  </si>
  <si>
    <t>Potassium voltage-gated channel subfamily H member 1 (Voltage-gated potassium channel subunit Kv10.1)(Ether-a-go-go potassium channel 1)(hEAG1)(h-eag) [Source:UniProtKB/Swiss-Prot;Acc:O95259]</t>
  </si>
  <si>
    <t>H200016066</t>
  </si>
  <si>
    <t>NM_004248</t>
  </si>
  <si>
    <t>PRLHR</t>
  </si>
  <si>
    <t>H200000351</t>
  </si>
  <si>
    <t>NM_001862</t>
  </si>
  <si>
    <t>COX5B</t>
  </si>
  <si>
    <t>Cytochrome c oxidase subunit 5B, mitochondrial Precursor (Cytochrome c oxidase polypeptide Vb) [Source:UniProtKB/Swiss-Prot;Acc:P10606]</t>
  </si>
  <si>
    <t>GO:0007585 respiratory gaseous exchange</t>
  </si>
  <si>
    <t>GO:0008270 zinc ion binding,GO:0046872 metal ion binding,GO:0004129 cytochrome-c oxidase activity</t>
  </si>
  <si>
    <t>GO:0016020 membrane,GO:0005739 mitochondrion,GO:0005743 mitochondrial inner membrane,GO:0005740 mitochondrial envelope</t>
  </si>
  <si>
    <t>GO:0005634 nucleus,GO:0000775 chromosome, centromeric region,GO:0000777 condensed chromosome kinetochore</t>
  </si>
  <si>
    <t>H300018052</t>
  </si>
  <si>
    <t>NM_003856</t>
  </si>
  <si>
    <t>IL1RL1</t>
  </si>
  <si>
    <t>Interleukin-1 receptor-like 1 Precursor (Protein ST2) [Source:UniProtKB/Swiss-Prot;Acc:Q01638]</t>
  </si>
  <si>
    <t>GO:0045087 innate immune response,GO:0007165 signal transduction,GO:0043124 negative regulation of I-kappaB kinase/NF-kappaB cascade</t>
  </si>
  <si>
    <t>GO:0005515 protein binding,GO:0004888 transmembrane receptor activity,GO:0005057 receptor signaling protein activity,GO:0004908 interleukin-1 receptor activity,GO:0002114 interleukin-33 receptor activity</t>
  </si>
  <si>
    <t>GO:0005975 carbohydrate metabolic process,GO:0006032 chitin catabolic process,GO:0008152 metabolic process</t>
  </si>
  <si>
    <t>H300021713</t>
  </si>
  <si>
    <t>NM_005647;NM_005647</t>
  </si>
  <si>
    <t>TBL1X</t>
  </si>
  <si>
    <t>F-box-like/WD repeat-containing protein TBL1X (Transducin beta-like 1X protein)(Transducin-beta-like 1, X-linked)(SMAP55) [Source:UniProtKB/Swiss-Prot;Acc:O60907]</t>
  </si>
  <si>
    <t>GO:0007165 signal transduction,GO:0006350 transcription,GO:0006355 regulation of transcription, DNA-dependent,GO:0006511 ubiquitin-dependent protein catabolic process,GO:0007601 visual perception,GO:0007605 sensory perception of sound,GO:0042309 homoiothermy,GO:0050826 response to freezing</t>
  </si>
  <si>
    <t>H300008638</t>
  </si>
  <si>
    <t>NM_017806</t>
  </si>
  <si>
    <t>LIME1</t>
  </si>
  <si>
    <t>GO:0016740 transferase activity,GO:0000287 magnesium ion binding,GO:0005515 protein binding,GO:0000166 nucleotide binding,GO:0005524 ATP binding,GO:0046872 metal ion binding,GO:0030145 manganese ion binding,GO:0004872 receptor activity,GO:0004674 protein serine/threonine kinase activity,GO:0004713 protein tyrosine kinase activity,GO:0004672 protein kinase activity,GO:0005539 glycosaminoglycan binding,GO:0050431 transforming growth factor beta binding,GO:0004702 receptor signaling protein serine/threonine kinase activity,GO:0005026 transforming growth factor beta receptor activity, type II,GO:0005515 protein binding,GO:0031435 mitogen-activated protein kinase kinase kinase binding</t>
  </si>
  <si>
    <t>GO:0005886 plasma membrane,GO:0016021 integral to membrane,GO:0016020 membrane,GO:0009897 external side of plasma membrane,GO:0043235 receptor complex,GO:0070022 transforming growth factor beta receptor complex,GO:0005829 cytosol,GO:0005737 cytoplasm,GO:0005901 caveola,GO:0005887 integral to plasma membrane,GO:0009986 cell surface</t>
  </si>
  <si>
    <t>H200010476</t>
  </si>
  <si>
    <t>NM_019018</t>
  </si>
  <si>
    <t>FAM105A</t>
  </si>
  <si>
    <t>Protein FAM105A  [Source:UniProtKB/Swiss-Prot;Acc:Q9NUU6]</t>
  </si>
  <si>
    <t>opHsV0400005786</t>
  </si>
  <si>
    <t>RP11-465N4.2</t>
  </si>
  <si>
    <t>GO:0004872 receptor activity,GO:0004930 G-protein coupled receptor activity,GO:0045028 purinergic nucleotide receptor activity, G-protein coupled,GO:0004983 neuropeptide Y receptor activity,GO:0004945 angiotensin type II receptor activity,GO:0017153 sodium:dicarboxylate symporter activity,GO:0004946 bombesin receptor activity</t>
  </si>
  <si>
    <t>CHsGV10001813</t>
  </si>
  <si>
    <t>NM_007373.3</t>
  </si>
  <si>
    <t>SHOC2</t>
  </si>
  <si>
    <t>Leucine-rich repeat protein SHOC-2 (Ras-binding protein Sur-8) [Source:UniProtKB/Swiss-Prot;Acc:Q9UQ13]</t>
  </si>
  <si>
    <t>GO:0008543 fibroblast growth factor receptor signaling pathway,GO:0007265 Ras protein signal transduction</t>
  </si>
  <si>
    <t>H300020233</t>
  </si>
  <si>
    <t>NM_002238;NM_002238</t>
  </si>
  <si>
    <t>KCNH1</t>
  </si>
  <si>
    <t>GO:0006468 protein amino acid phosphorylation,GO:0001569 patterning of blood vessels,GO:0007507 heart development,GO:0007179 transforming growth factor beta receptor signaling pathway,GO:0060021 palate development,GO:0032147 activation of protein kinase activity,GO:0001568 blood vessel development,GO:0001570 vasculogenesis,GO:0007420 brain development,GO:0007178 transmembrane receptor protein serine/threonine kinase signaling pathway,GO:0035162 embryonic hemopoiesis,GO:0002053 positive regulation of mesenchymal cell proliferation,GO:0048701 embryonic cranial skeleton morphogenesis,GO:0043011 myeloid dendritic cell differentiation,GO:0002651 positive regulation of tolerance induction to self antigen,GO:0002663 positive regulation of B cell tolerance induction,GO:0002666 positive regulation of T cell tolerance induction,GO:0051138 positive regulation of NK T cell differentiation,GO:0007584 response to nutrient,GO:0048661 positive regulation of smooth muscle cell proliferation,GO:0009612 response to mechanical stimulus,GO:0006898 receptor-mediated endocytosis,GO:0043627 response to estrogen stimulus,GO:0009887 organ morphogenesis,GO:0009749 response to glucose stimulus,GO:0030324 lung development,GO:0042060 wound healing,GO:0001570 vasculogenesis,GO:0014070 response to organic cyclic substance,GO:0007182 common-partner SMAD protein phosphorylation,GO:0007566 embryo implantation,GO:0043415 positive regulation of skeletal muscle regeneration,GO:0060044 negative regulation of cardiac muscle cell proliferation</t>
  </si>
  <si>
    <t>Putative beta-glucuronidase-like protein FLJ75429  [Source:UniProtKB/Swiss-Prot;Acc:A8K3S8]</t>
  </si>
  <si>
    <t>GO:0004553 hydrolase activity, hydrolyzing O-glycosyl compounds</t>
  </si>
  <si>
    <t>H200019056</t>
  </si>
  <si>
    <t>NM_032412</t>
  </si>
  <si>
    <t>C5orf32</t>
  </si>
  <si>
    <t>Tetratricopeptide repeat protein 28 (TPR repeat protein 28) [Source:UniProtKB/Swiss-Prot;Acc:Q96AY4]</t>
  </si>
  <si>
    <t>H300020871</t>
  </si>
  <si>
    <t>NM_003242;NM_003242</t>
  </si>
  <si>
    <t>TGFBR2</t>
  </si>
  <si>
    <t>H200000941</t>
  </si>
  <si>
    <t>NM_014275;NM_014275</t>
  </si>
  <si>
    <t>MGAT4B</t>
  </si>
  <si>
    <t>GO:0006412 translation,GO:0006413 translational initiation,GO:0006446 regulation of translational initiation,GO:0006950 response to stress</t>
  </si>
  <si>
    <t>Putative uncharacterized protein FLJ42102  [Source:UniProtKB/Swiss-Prot;Acc:Q6ZVU0]</t>
  </si>
  <si>
    <t>H200007053</t>
  </si>
  <si>
    <t>NM_030922;NM_030922;NM_030922;NM_030922</t>
  </si>
  <si>
    <t>NIPA2</t>
  </si>
  <si>
    <t>Non-imprinted in Prader-Willi/Angelman syndrome region protein 2  [Source:UniProtKB/Swiss-Prot;Acc:Q8N8Q9]</t>
  </si>
  <si>
    <t>H300001610</t>
  </si>
  <si>
    <t>AC099339.6</t>
  </si>
  <si>
    <t>H200006713</t>
  </si>
  <si>
    <t>NM_000445;NM_000445;NM_000445;NM_000445;NM_000445;NM_000445;NM_000445;NM_000445</t>
  </si>
  <si>
    <t>PLEC1</t>
  </si>
  <si>
    <t>Plectin-1 (PLTN)(PCN)(Hemidesmosomal protein 1)(HD1)(Plectin-6)(Plectin-11) [Source:UniProtKB/Swiss-Prot;Acc:Q15149]</t>
  </si>
  <si>
    <t>H300004951</t>
  </si>
  <si>
    <t>GUSBL2</t>
  </si>
  <si>
    <t>UPF0467 protein C5orf32  [Source:UniProtKB/Swiss-Prot;Acc:Q9H1C7]</t>
  </si>
  <si>
    <t>H300002071</t>
  </si>
  <si>
    <t>NM_018452</t>
  </si>
  <si>
    <t>TTC28</t>
  </si>
  <si>
    <t>CHsGV10002745</t>
  </si>
  <si>
    <t>NM_052838.2</t>
  </si>
  <si>
    <t>Septin-1 (LARP)(Serologically defined breast cancer antigen NY-BR-24)(Peanut-like protein 3) [Source:UniProtKB/Swiss-Prot;Acc:Q8WYJ6]</t>
  </si>
  <si>
    <t>GO:0007049 cell cycle,GO:0051301 cell division,GO:0007264 small GTPase mediated signal transduction</t>
  </si>
  <si>
    <t>GO:0005515 protein binding,GO:0005525 GTP binding,GO:0000166 nucleotide binding</t>
  </si>
  <si>
    <t>H200003058</t>
  </si>
  <si>
    <t>NM_020438;NM_020438</t>
  </si>
  <si>
    <t>DOLPP1</t>
  </si>
  <si>
    <t>GO:0003924 GTPase activity,GO:0004871 signal transducer activity,GO:0005515 protein binding,GO:0005525 GTP binding,GO:0019001 guanyl nucleotide binding</t>
  </si>
  <si>
    <t>GO:0031105 septin complex</t>
  </si>
  <si>
    <t>AHsV10002476</t>
  </si>
  <si>
    <t>NM_006289.3</t>
  </si>
  <si>
    <t>TLN1</t>
  </si>
  <si>
    <t>Talin-1  [Source:UniProtKB/Swiss-Prot;Acc:Q9Y490]</t>
  </si>
  <si>
    <t>GO:0006928 cell motion,GO:0007016 cytoskeletal anchoring at plasma membrane,GO:0007043 cell-cell junction assembly,GO:0007044 cell-substrate junction assembly,GO:0007155 cell adhesion,GO:0030866 cortical actin cytoskeleton organization</t>
  </si>
  <si>
    <t>GO:0003779 actin binding,GO:0005198 structural molecule activity,GO:0005200 structural constituent of cytoskeleton,GO:0005515 protein binding,GO:0017166 vinculin binding,GO:0030274 LIM domain binding</t>
  </si>
  <si>
    <t>GO:0001726 ruffle,GO:0005737 cytoplasm,GO:0005856 cytoskeleton,GO:0005886 plasma membrane,GO:0005911 cell-cell junction,GO:0005925 focal adhesion,GO:0015629 actin cytoskeleton,GO:0043231 intracellular membrane-bounded organelle</t>
  </si>
  <si>
    <t>H200014164</t>
  </si>
  <si>
    <t>NM_019595;NM_019595;NM_019595;NM_019595</t>
  </si>
  <si>
    <t>ITSN2</t>
  </si>
  <si>
    <t>Intersectin-2 (SH3 domain-containing protein 1B)(SH3P18)(SH3P18-like WASP-associated protein) [Source:UniProtKB/Swiss-Prot;Acc:Q9NZM3]</t>
  </si>
  <si>
    <t>Alpha-1,3-mannosyl-glycoprotein 4-beta-N-acetylglucosaminyltransferase B (EC 2.4.1.145)(UDP-N-acetylglucosamine: alpha-1,3-D-mannoside beta-1,4-N-acetylglucosaminyltransferase IVb)(N-glycosyl-oligosaccharide-glycoprotein N-acetylglucosaminyltransferase IVb)(N-acetylglucosaminyltransferase IVb)(GlcNAc-T IVb)(GnT-IVb) [Source:UniProtKB/Swiss-Prot;Acc:Q9UQ53]</t>
  </si>
  <si>
    <t>TGF-beta receptor type-2 Precursor (EC 2.7.11.30)(Transforming growth factor-beta receptor type II)(TGF-beta receptor type II)(TGF-beta type II receptor)(TbetaR-II)(TGFR-2) [Source:UniProtKB/Swiss-Prot;Acc:P37173]</t>
  </si>
  <si>
    <t>Eukaryotic translation initiation factor 1 (eIF1)(Protein translation factor SUI1 homolog)(Sui1iso1)(A121) [Source:UniProtKB/Swiss-Prot;Acc:P41567]</t>
  </si>
  <si>
    <t>GO:0016568 chromatin modification,GO:0006357 regulation of transcription from RNA polymerase II promoter,GO:0006259 DNA metabolic process</t>
  </si>
  <si>
    <t>GO:0003677 DNA binding,GO:0016787 hydrolase activity,GO:0000166 nucleotide binding,GO:0005524 ATP binding,GO:0003676 nucleic acid binding,GO:0017111 nucleoside-triphosphatase activity,GO:0004386 helicase activity,GO:0003678 DNA helicase activity,GO:0008094 DNA-dependent ATPase activity,GO:0016818 hydrolase activity, acting on acid anhydrides, in phosphorus-containing anhydrides</t>
  </si>
  <si>
    <t>GO:0005509 calcium ion binding,GO:0005488 binding</t>
  </si>
  <si>
    <t>H300022872</t>
  </si>
  <si>
    <t>NM_152793</t>
  </si>
  <si>
    <t>C7orf41</t>
  </si>
  <si>
    <t>UPF0452 protein C7orf41 (Protein Ells1) [Source:UniProtKB/Swiss-Prot;Acc:Q8N3F0]</t>
  </si>
  <si>
    <t>AHsV10002679</t>
  </si>
  <si>
    <t>XM_001715330.2</t>
  </si>
  <si>
    <t>CHsGV10001180</t>
  </si>
  <si>
    <t>NM_145214.2</t>
  </si>
  <si>
    <t>TRIM11</t>
  </si>
  <si>
    <t>Tripartite motif-containing protein 11 (EC 6.3.2.-)(RING finger protein 92)(Protein BIA1) [Source:UniProtKB/Swiss-Prot;Acc:Q96F44]</t>
  </si>
  <si>
    <t>GO:0019941 modification-dependent protein catabolic process</t>
  </si>
  <si>
    <t>opHsV0400000239</t>
  </si>
  <si>
    <t>NM_080650</t>
  </si>
  <si>
    <t>ATPBD4</t>
  </si>
  <si>
    <t>GO:0005975 carbohydrate metabolic process,GO:0006491 N-glycan processing</t>
  </si>
  <si>
    <t>GO:0046872 metal ion binding,GO:0016758 transferase activity, transferring hexosyl groups,GO:0008454 alpha-1,3-mannosylglycoprotein 4-beta-N-acetylglucosaminyltransferase activity</t>
  </si>
  <si>
    <t>AHsV10000644</t>
  </si>
  <si>
    <t>NM_005801.3</t>
  </si>
  <si>
    <t>EIF1</t>
  </si>
  <si>
    <t>Cell division cycle-associated protein 2 (Recruits PP1 onto mitotic chromatin at anaphase protein)(Repo-Man) [Source:UniProtKB/Swiss-Prot;Acc:Q69YH5]</t>
  </si>
  <si>
    <t>GO:0003743 translation initiation factor activity</t>
  </si>
  <si>
    <t>opHsV0400005932</t>
  </si>
  <si>
    <t>AP002387.4</t>
  </si>
  <si>
    <t>Histone H1oo (Oocyte-specific histone H1)(Oocyte-specific linker histone H1)(osH1) [Source:UniProtKB/Swiss-Prot;Acc:Q8IZA3]</t>
  </si>
  <si>
    <t>GO:0007126 meiosis,GO:0006334 nucleosome assembly</t>
  </si>
  <si>
    <t>GO:0005634 nucleus,GO:0005737 cytoplasm,GO:0005694 chromosome,GO:0000786 nucleosome</t>
  </si>
  <si>
    <t>NM_032454;NM_004197;NM_004197</t>
  </si>
  <si>
    <t>STK19</t>
  </si>
  <si>
    <t>Serine/threonine-protein kinase 19 (Protein RP1)(EC 2.7.11.1)(Protein G11) [Source:UniProtKB/Swiss-Prot;Acc:P49842]</t>
  </si>
  <si>
    <t>GO:0006468 protein amino acid phosphorylation,GO:0006986 response to unfolded protein,GO:0007584 response to nutrient,GO:0006952 defense response</t>
  </si>
  <si>
    <t>GO:0016740 transferase activity,GO:0005515 protein binding,GO:0000166 nucleotide binding,GO:0005524 ATP binding,GO:0030145 manganese ion binding,GO:0016301 kinase activity,GO:0004674 protein serine/threonine kinase activity,GO:0051059 NF-kappaB binding</t>
  </si>
  <si>
    <t>GO:0005634 nucleus,GO:0005829 cytosol,GO:0043234 protein complex</t>
  </si>
  <si>
    <t>GO:0000287 magnesium ion binding,GO:0004872 receptor activity,GO:0005488 binding,GO:0005509 calcium ion binding,GO:0009055 electron carrier activity,GO:0042802 identical protein binding,GO:0051536 iron-sulfur cluster binding</t>
  </si>
  <si>
    <t>GO:0008305 integrin complex,GO:0016020 membrane,GO:0016021 integral to membrane</t>
  </si>
  <si>
    <t>H300008262</t>
  </si>
  <si>
    <t>NM_012248</t>
  </si>
  <si>
    <t>SEPHS2</t>
  </si>
  <si>
    <t>GO:0005509 calcium ion binding,GO:0005089 Rho guanyl-nucleotide exchange factor activity</t>
  </si>
  <si>
    <t>Dolichyldiphosphatase 1 (EC 3.6.1.43)(Dolichyl pyrophosphate phosphatase 1) [Source:UniProtKB/Swiss-Prot;Acc:Q86YN1]</t>
  </si>
  <si>
    <t>AHsV10000064</t>
  </si>
  <si>
    <t>NM_152562.2</t>
  </si>
  <si>
    <t>CDCA2</t>
  </si>
  <si>
    <t>H300001930</t>
  </si>
  <si>
    <t>NM_153833</t>
  </si>
  <si>
    <t>H1FOO</t>
  </si>
  <si>
    <t>AHsV10002275</t>
  </si>
  <si>
    <t>NM_001113496.1</t>
  </si>
  <si>
    <t>Septin-9 (MLL septin-like fusion protein MSF-A)(MLL septin-like fusion protein)(Ovarian/Breast septin)(Ov/Br septin)(Septin D1) [Source:UniProtKB/Swiss-Prot;Acc:Q9UHD8]</t>
  </si>
  <si>
    <t>GO:0007049 cell cycle,GO:0007186 G-protein coupled receptor protein signaling pathway,GO:0007264 small GTPase mediated signal transduction</t>
  </si>
  <si>
    <t>H300012110</t>
  </si>
  <si>
    <t>NM_014140;NM_014140</t>
  </si>
  <si>
    <t>SMARCAL1</t>
  </si>
  <si>
    <t>SWI/SNF-related matrix-associated actin-dependent regulator of chromatin subfamily A-like protein 1 (EC 3.6.1.-)(Sucrose nonfermenting protein 2-like 1)(HepA-related protein)(hHARP) [Source:UniProtKB/Swiss-Prot;Acc:Q9NZC9]</t>
  </si>
  <si>
    <t>Pre-mRNA-processing-splicing factor 8 (Splicing factor Prp8)(PRP8 homolog)(220 kDa U5 snRNP-specific protein)(p220) [Source:UniProtKB/Swiss-Prot;Acc:Q6P2Q9]</t>
  </si>
  <si>
    <t>GO:0007601 visual perception,GO:0050896 response to stimulus,GO:0008380 RNA splicing,GO:0000398 nuclear mRNA splicing, via spliceosome</t>
  </si>
  <si>
    <t>GO:0005515 protein binding,GO:0003723 RNA binding,GO:0031202 RNA splicing factor activity, transesterification mechanism</t>
  </si>
  <si>
    <t>GO:0005634 nucleus,GO:0016607 nuclear speck,GO:0005681 spliceosome,GO:0005682 snRNP U5</t>
  </si>
  <si>
    <t>AHsV10001919</t>
  </si>
  <si>
    <t>NM_000889.1</t>
  </si>
  <si>
    <t>ITGB7</t>
  </si>
  <si>
    <t>Integrin beta-7 Precursor (Gut homing receptor beta subunit) [Source:UniProtKB/Swiss-Prot;Acc:P26010]</t>
  </si>
  <si>
    <t>AP000476.2</t>
  </si>
  <si>
    <t>opHsV0400004623</t>
  </si>
  <si>
    <t>NM_001007544</t>
  </si>
  <si>
    <t>C1orf186</t>
  </si>
  <si>
    <t>Uncharacterized protein C1orf186  [Source:UniProtKB/Swiss-Prot;Acc:Q6ZWK4]</t>
  </si>
  <si>
    <t>H300000306</t>
  </si>
  <si>
    <t>NM_003010</t>
  </si>
  <si>
    <t>MAP2K4</t>
  </si>
  <si>
    <t>Dual specificity mitogen-activated protein kinase kinase 4 (MAP kinase kinase 4)(EC 2.7.12.2)(JNK-activating kinase 1)(c-Jun N-terminal kinase kinase 1)(JNKK)(SAPK/ERK kinase 1)(SEK1) [Source:UniProtKB/Swiss-Prot;Acc:P45985]</t>
  </si>
  <si>
    <t>ATP-binding domain-containing protein 4  [Source:UniProtKB/Swiss-Prot;Acc:Q7L8W6]</t>
  </si>
  <si>
    <t>H300020179</t>
  </si>
  <si>
    <t>NM_021127</t>
  </si>
  <si>
    <t>PMAIP1</t>
  </si>
  <si>
    <t>GO:0006917 induction of apoptosis,GO:0006919 caspase activation,GO:0006926 virus-infected cell apoptosis,GO:0006921 cell structure disassembly during apoptosis,GO:0001836 release of cytochrome c from mitochondria,GO:0043331 response to dsRNA</t>
  </si>
  <si>
    <t>H300020935</t>
  </si>
  <si>
    <t>NM_152756;NM_152756</t>
  </si>
  <si>
    <t>AC026713.5</t>
  </si>
  <si>
    <t>Rapamycin-insensitive companion of mTOR  [Source:UniProtKB/Swiss-Prot;Acc:Q6R327]</t>
  </si>
  <si>
    <t>GO:0009790 embryonic development,GO:0031532 actin cytoskeleton reorganization,GO:0051056 regulation of small GTPase mediated signal transduction,GO:0051896 regulation of protein kinase B signaling cascade</t>
  </si>
  <si>
    <t>GO:0005515 protein binding,GO:0005488 binding,GO:0005085 guanyl-nucleotide exchange factor activity</t>
  </si>
  <si>
    <t>GO:0005622 intracellular,GO:0031932 TORC2 complex</t>
  </si>
  <si>
    <t>H200000120</t>
  </si>
  <si>
    <t>GO:0008017 microtubule binding,GO:0042802 identical protein binding,GO:0005507 copper ion binding</t>
  </si>
  <si>
    <t>GO:0005886 plasma membrane,GO:0016020 membrane,GO:0005737 cytoplasm,GO:0005794 Golgi apparatus,GO:0005783 endoplasmic reticulum,GO:0031225 anchored to membrane,GO:0019898 extrinsic to membrane,GO:0045121 membrane raft,GO:0005737 cytoplasm</t>
  </si>
  <si>
    <t>AHsV10000154</t>
  </si>
  <si>
    <t>NM_032941.2</t>
  </si>
  <si>
    <t>RECQL</t>
  </si>
  <si>
    <t>ATP-dependent DNA helicase Q1 (EC 3.6.1.-)(DNA-dependent ATPase Q1) [Source:UniProtKB/Swiss-Prot;Acc:P46063]</t>
  </si>
  <si>
    <t>AHsV10000463</t>
  </si>
  <si>
    <t>NM_007125.3</t>
  </si>
  <si>
    <t>UTY</t>
  </si>
  <si>
    <t>Histone demethylase UTY (EC 1.14.11.-)(Ubiquitously transcribed Y chromosome tetratricopeptide repeat protein)(Ubiquitously transcribed TPR protein on the Y chromosome) [Source:UniProtKB/Swiss-Prot;Acc:O14607]</t>
  </si>
  <si>
    <t>GO:0016568 chromatin modification,GO:0055114 oxidation reduction</t>
  </si>
  <si>
    <t>GO:0005488 binding,GO:0005506 iron ion binding,GO:0016491 oxidoreductase activity,GO:0016702 oxidoreductase activity, acting on single donors with incorporation of molecular oxygen, incorporation of two atoms of oxygen,GO:0046872 metal ion binding</t>
  </si>
  <si>
    <t>Selenide, water dikinase 2 (EC 2.7.9.3)(Selenophosphate synthetase 2)(Selenium donor protein 2) [Source:UniProtKB/Swiss-Prot;Acc:Q99611]</t>
  </si>
  <si>
    <t>GO:0016260 selenocysteine biosynthetic process</t>
  </si>
  <si>
    <t>GO:0016740 transferase activity,GO:0000166 nucleotide binding,GO:0005524 ATP binding,GO:0003824 catalytic activity,GO:0008430 selenium binding,GO:0004756 selenide, water dikinase activity</t>
  </si>
  <si>
    <t>opHsV0400003893</t>
  </si>
  <si>
    <t>NM_006330</t>
  </si>
  <si>
    <t>LYPLA1</t>
  </si>
  <si>
    <t>Acyl-protein thioesterase 1 (EC 3.1.2.-)(Lysophospholipase 1)(Lysophospholipase I) [Source:UniProtKB/Swiss-Prot;Acc:O75608]</t>
  </si>
  <si>
    <t>Phorbol-12-myristate-13-acetate-induced protein 1 (PMA-induced protein 1)(Immediate-early-response protein APR)(NOXA) [Source:UniProtKB/Swiss-Prot;Acc:Q13794]</t>
  </si>
  <si>
    <t>GO:0005737 cytoplasm,GO:0005829 cytosol,GO:0005739 mitochondrion</t>
  </si>
  <si>
    <t>H200008535</t>
  </si>
  <si>
    <t>NM_006445</t>
  </si>
  <si>
    <t>PRPF8</t>
  </si>
  <si>
    <t>GO:0030308 negative regulation of cell growth,GO:0006955 immune response,GO:0045453 bone resorption,GO:0007267 cell-cell signaling,GO:0008284 positive regulation of cell proliferation,GO:0009887 organ morphogenesis,GO:0006916 anti-apoptosis,GO:0043086 negative regulation of catalytic activity,GO:0030890 positive regulation of B cell proliferation,GO:0006959 humoral immune response,GO:0045582 positive regulation of T cell differentiation,GO:0010468 regulation of gene expression,GO:0046622 positive regulation of organ growth,GO:0048873 homeostasis of number of cells within a tissue,GO:0002360 T cell lineage commitment</t>
  </si>
  <si>
    <t>GO:0005515 protein binding,GO:0008083 growth factor activity,GO:0005125 cytokine activity,GO:0005126 hematopoietin/interferon-class (D200-domain) cytokine receptor binding,GO:0005139 interleukin-7 receptor binding</t>
  </si>
  <si>
    <t>H200005245</t>
  </si>
  <si>
    <t>NM_000617</t>
  </si>
  <si>
    <t>SLC11A2</t>
  </si>
  <si>
    <t>Natural resistance-associated macrophage protein 2 (NRAMP 2)(Divalent metal transporter 1)(DMT1) [Source:UniProtKB/Swiss-Prot;Acc:P49281]</t>
  </si>
  <si>
    <t>GO:0007165 signal transduction,GO:0006468 protein amino acid phosphorylation,GO:0007254 JNK cascade</t>
  </si>
  <si>
    <t>GO:0016740 transferase activity,GO:0005515 protein binding,GO:0000166 nucleotide binding,GO:0005524 ATP binding,GO:0004674 protein serine/threonine kinase activity,GO:0004713 protein tyrosine kinase activity,GO:0004672 protein kinase activity</t>
  </si>
  <si>
    <t>opHsV0400004495</t>
  </si>
  <si>
    <t>H200002535</t>
  </si>
  <si>
    <t>NM_018034</t>
  </si>
  <si>
    <t>WDR70</t>
  </si>
  <si>
    <t>WD repeat-containing protein 70  [Source:UniProtKB/Swiss-Prot;Acc:Q9NW82]</t>
  </si>
  <si>
    <t>opHsV0400001597</t>
  </si>
  <si>
    <t>DRD5P1</t>
  </si>
  <si>
    <t>Seven transmembrane helix receptor  [Source:UniProtKB/TrEMBL;Acc:Q8NGW2]</t>
  </si>
  <si>
    <t>GO:0004872 receptor activity,GO:0004952 dopamine receptor activity</t>
  </si>
  <si>
    <t>HDAC5</t>
  </si>
  <si>
    <t>Histone deacetylase 5 (HD5)(EC 3.5.1.98)(Antigen NY-CO-9) [Source:UniProtKB/Swiss-Prot;Acc:Q9UQL6]</t>
  </si>
  <si>
    <t>opHsV0400004687</t>
  </si>
  <si>
    <t>NM_007354</t>
  </si>
  <si>
    <t>C3orf27</t>
  </si>
  <si>
    <t>Protein GR6  [Source:UniProtKB/Swiss-Prot;Acc:O15544]</t>
  </si>
  <si>
    <t>Acid sphingomyelinase-like phosphodiesterase 3a Precursor (ASM-like phosphodiesterase 3a)(EC 3.1.4.-) [Source:UniProtKB/Swiss-Prot;Acc:Q92484]</t>
  </si>
  <si>
    <t>GO:0008152 metabolic process,GO:0006685 sphingomyelin catabolic process</t>
  </si>
  <si>
    <t>GO:0005515 protein binding,GO:0016787 hydrolase activity,GO:0016798 hydrolase activity, acting on glycosyl bonds,GO:0004767 sphingomyelin phosphodiesterase activity</t>
  </si>
  <si>
    <t>H300009373</t>
  </si>
  <si>
    <t>NM_001014446;NM_001014446</t>
  </si>
  <si>
    <t>OCIAD2</t>
  </si>
  <si>
    <t>OCIA domain-containing protein 2 (Ovarian carcinoma immunoreactive antigen-like protein) [Source:UniProtKB/Swiss-Prot;Acc:Q56VL3]</t>
  </si>
  <si>
    <t>GO:0005044 scavenger receptor activity</t>
  </si>
  <si>
    <t>GO:0016020 membrane,GO:0005576 extracellular region,GO:0005615 extracellular space</t>
  </si>
  <si>
    <t>AHsV10000583</t>
  </si>
  <si>
    <t>NM_007013.3</t>
  </si>
  <si>
    <t>WWP1</t>
  </si>
  <si>
    <t>DHsGV10005561</t>
  </si>
  <si>
    <t>opHsV0400011300</t>
  </si>
  <si>
    <t>NM_001085471;NM_001085471</t>
  </si>
  <si>
    <t>FOXN3</t>
  </si>
  <si>
    <t>Forkhead box protein N3 (Checkpoint suppressor 1) [Source:UniProtKB/Swiss-Prot;Acc:O00409]</t>
  </si>
  <si>
    <t>GO:0003677 DNA binding,GO:0003700 transcription factor activity,GO:0043565 sequence-specific DNA binding,GO:0046983 protein dimerization activity</t>
  </si>
  <si>
    <t>H200005977</t>
  </si>
  <si>
    <t>NM_000311;NM_000311</t>
  </si>
  <si>
    <t>PRNP</t>
  </si>
  <si>
    <t>Major prion protein Precursor (PrP)(PrP27-30)(PrP33-35C)(ASCR)(CD230 antigen) [Source:UniProtKB/Swiss-Prot;Acc:P04156]</t>
  </si>
  <si>
    <t>GO:0008152 metabolic process,GO:0006916 anti-apoptosis,GO:0006979 response to oxidative stress,GO:0046686 response to cadmium ion,GO:0051260 protein homooligomerization,GO:0006878 cellular copper ion homeostasis,GO:0046688 response to copper ion,GO:0006916 anti-apoptosis,GO:0046686 response to cadmium ion,GO:0046688 response to copper ion</t>
  </si>
  <si>
    <t>H200005813</t>
  </si>
  <si>
    <t>NM_000880</t>
  </si>
  <si>
    <t>IL7</t>
  </si>
  <si>
    <t>Interleukin-7 Precursor (IL-7) [Source:UniProtKB/Swiss-Prot;Acc:P13232]</t>
  </si>
  <si>
    <t>Hypoxia-inducible factor 1 alpha (HIF-1 alpha)(HIF1 alpha)(ARNT-interacting protein)(Member of PAS protein 1)(Basic-helix-loop-helix-PAS protein MOP1) [Source:UniProtKB/Swiss-Prot;Acc:Q16665]</t>
  </si>
  <si>
    <t>GO:0003700 transcription factor activity,GO:0030528 transcription regulator activity,GO:0004871 signal transducer activity</t>
  </si>
  <si>
    <t>H200000564</t>
  </si>
  <si>
    <t>NEK3</t>
  </si>
  <si>
    <t>Serine/threonine-protein kinase Nek3 (EC 2.7.11.1)(NimA-related protein kinase 3)(HSPK 36) [Source:UniProtKB/Swiss-Prot;Acc:P51956]</t>
  </si>
  <si>
    <t>GO:0006468 protein amino acid phosphorylation,GO:0007049 cell cycle,GO:0007067 mitosis,GO:0051301 cell division</t>
  </si>
  <si>
    <t>opHsV0400003667</t>
  </si>
  <si>
    <t>AL354941.10</t>
  </si>
  <si>
    <t>H300000928</t>
  </si>
  <si>
    <t>RP11-161I19.3</t>
  </si>
  <si>
    <t>H300018000</t>
  </si>
  <si>
    <t>HLA-DRB1</t>
  </si>
  <si>
    <t>HLA class II histocompatibility antigen, DRB1-15 beta chain Precursor (MHC class I antigen DRB1*15)(DW2.2/DR2.2) [Source:UniProtKB/Swiss-Prot;Acc:P01911]</t>
  </si>
  <si>
    <t>GO:0015031 protein transport,GO:0006810 transport</t>
  </si>
  <si>
    <t>GO:0005215 transporter activity,GO:0015450 P-P-bond-hydrolysis-driven protein transmembrane transporter activity</t>
  </si>
  <si>
    <t>H200007892</t>
  </si>
  <si>
    <t>NM_001031680;NM_001031680</t>
  </si>
  <si>
    <t>RUNX3</t>
  </si>
  <si>
    <t>Runt-related transcription factor 3 (Core-binding factor subunit alpha-3)(CBF-alpha-3)(Acute myeloid leukemia 2 protein)(Oncogene AML-2)(Polyomavirus enhancer-binding protein 2 alpha C subunit)(PEBP2-alpha C)(PEA2-alpha C)(SL3-3 enhancer factor 1 alpha C subunit)(SL3/AKV core-binding factor alpha C subunit) [Source:UniProtKB/Swiss-Prot;Acc:Q13761]</t>
  </si>
  <si>
    <t>H300005244</t>
  </si>
  <si>
    <t>NM_001085481</t>
  </si>
  <si>
    <t>MAP1LC3B2</t>
  </si>
  <si>
    <t>Microtubule-associated proteins 1A/1B light chain 3 beta 2 Precursor (Microtubule-associated proteins 1A/1B light chain 3B-like) [Source:UniProtKB/Swiss-Prot;Acc:A6NCE7]</t>
  </si>
  <si>
    <t>GO:0006511 ubiquitin-dependent protein catabolic process,GO:0006914 autophagy</t>
  </si>
  <si>
    <t>GO:0016020 membrane,GO:0005874 microtubule,GO:0005737 cytoplasm,GO:0012505 endomembrane system,GO:0031410 cytoplasmic vesicle</t>
  </si>
  <si>
    <t>H300008317</t>
  </si>
  <si>
    <t>NM_006714</t>
  </si>
  <si>
    <t>SMPDL3A</t>
  </si>
  <si>
    <t>GO:0016020 membrane,GO:0005739 mitochondrion,GO:0005743 mitochondrial inner membrane,GO:0000275 mitochondrial proton-transporting ATP synthase complex, catalytic core F(1)</t>
  </si>
  <si>
    <t>H300003273</t>
  </si>
  <si>
    <t>NM_176814</t>
  </si>
  <si>
    <t>ZNF800</t>
  </si>
  <si>
    <t>Zinc finger protein 800  [Source:UniProtKB/Swiss-Prot;Acc:Q2TB10]</t>
  </si>
  <si>
    <t>H300018372</t>
  </si>
  <si>
    <t>NM_020448;NM_020448;NM_020448;NM_020448;NM_020448;NM_020448</t>
  </si>
  <si>
    <t>NPAL3</t>
  </si>
  <si>
    <t>NIPA-like protein 3  [Source:UniProtKB/Swiss-Prot;Acc:Q6P499]</t>
  </si>
  <si>
    <t>DHsGV10001812</t>
  </si>
  <si>
    <t>opHsV0400002969</t>
  </si>
  <si>
    <t>NM_178553</t>
  </si>
  <si>
    <t>C2orf53</t>
  </si>
  <si>
    <t>Uncharacterized protein C2orf53  [Source:UniProtKB/Swiss-Prot;Acc:Q53SZ7]</t>
  </si>
  <si>
    <t>H300021069</t>
  </si>
  <si>
    <t>NM_138792</t>
  </si>
  <si>
    <t>LEO1</t>
  </si>
  <si>
    <t>RNA polymerase-associated protein LEO1 (Replicative senescence down-regulated leo1-like protein) [Source:UniProtKB/Swiss-Prot;Acc:Q8WVC0]</t>
  </si>
  <si>
    <t>H200007404</t>
  </si>
  <si>
    <t>NEDD4-like E3 ubiquitin-protein ligase WWP1 (EC 6.3.2.-)(WW domain-containing protein 1)(Atrophin-1-interacting protein 5)(AIP5) [Source:UniProtKB/Swiss-Prot;Acc:Q9H0M0]</t>
  </si>
  <si>
    <t>GO:0006464 protein modification process,GO:0007165 signal transduction,GO:0007417 central nervous system development,GO:0016481 negative regulation of transcription,GO:0016567 protein ubiquitination,GO:0019941 modification-dependent protein catabolic proc</t>
  </si>
  <si>
    <t>GO:0004842 ubiquitin-protein ligase activity,GO:0005515 protein binding,GO:0016874 ligase activity,GO:0016881 acid-amino acid ligase activity</t>
  </si>
  <si>
    <t>GO:0000151 ubiquitin ligase complex,GO:0005622 intracellular</t>
  </si>
  <si>
    <t>AHsV10003099</t>
  </si>
  <si>
    <t>NM_001134759.1</t>
  </si>
  <si>
    <t>CRYZ</t>
  </si>
  <si>
    <t>Quinone oxidoreductase (EC 1.6.5.5)(NADPH:quinone reductase)(Zeta-crystallin) [Source:UniProtKB/Swiss-Prot;Acc:Q08257]</t>
  </si>
  <si>
    <t>GO:0008152 metabolic process,GO:0055114 oxidation reduction</t>
  </si>
  <si>
    <t>GO:0003824 catalytic activity,GO:0005488 binding,GO:0008270 zinc ion binding,GO:0016491 oxidoreductase activity</t>
  </si>
  <si>
    <t>H300017074</t>
  </si>
  <si>
    <t>NM_001530;NM_001530;NM_001530</t>
  </si>
  <si>
    <t>HIF1A</t>
  </si>
  <si>
    <t>INPP4B</t>
  </si>
  <si>
    <t>Type II inositol-3,4-bisphosphate 4-phosphatase (EC 3.1.3.66)(Inositol polyphosphate 4-phosphatase type II) [Source:UniProtKB/Swiss-Prot;Acc:O15327]</t>
  </si>
  <si>
    <t>H300001893</t>
  </si>
  <si>
    <t>NM_018097</t>
  </si>
  <si>
    <t>CEP27</t>
  </si>
  <si>
    <t>Centrosomal protein of 27 kDa (Cep27) [Source:UniProtKB/Swiss-Prot;Acc:Q9NVX0]</t>
  </si>
  <si>
    <t>GO:0005813 centrosome</t>
  </si>
  <si>
    <t>H200010552</t>
  </si>
  <si>
    <t>NM_032512</t>
  </si>
  <si>
    <t>PDZD4</t>
  </si>
  <si>
    <t>PDZ domain-containing protein 4 (PDZ domain-containing RING finger protein 4-like protein) [Source:UniProtKB/Swiss-Prot;Acc:Q76G19]</t>
  </si>
  <si>
    <t>H300019331</t>
  </si>
  <si>
    <t>NM_015087</t>
  </si>
  <si>
    <t>SPG20</t>
  </si>
  <si>
    <t>Spartin (Trans-activated by hepatitis C virus core protein 1) [Source:UniProtKB/Swiss-Prot;Acc:Q8N0X7]</t>
  </si>
  <si>
    <t>opHsV0400005189</t>
  </si>
  <si>
    <t>RUNX1</t>
  </si>
  <si>
    <t>GO:0007165 signal transduction,GO:0006955 immune response,GO:0019882 antigen processing and presentation,GO:0009405 pathogenesis,GO:0002504 antigen processing and presentation of peptide or polysaccharide antigen via MHC class II</t>
  </si>
  <si>
    <t>GO:0016021 integral to membrane,GO:0016020 membrane,GO:0005887 integral to plasma membrane,GO:0042613 MHC class II protein complex</t>
  </si>
  <si>
    <t>Serine/threonine-protein kinase 32C (PKE)(EC 2.7.11.1)(YANK3) [Source:UniProtKB/Swiss-Prot;Acc:Q86UX6]</t>
  </si>
  <si>
    <t>GO:0000166 nucleotide binding,GO:0000287 magnesium ion binding,GO:0004672 protein kinase activity,GO:0004674 protein serine/threonine kinase activity,GO:0004713 protein tyrosine kinase activity,GO:0005524 ATP binding,GO:0016740 transferase activity</t>
  </si>
  <si>
    <t>H300007643</t>
  </si>
  <si>
    <t>ATP5EP2</t>
  </si>
  <si>
    <t>ATP synthase subunit epsilon-like protein, mitochondrial  [Source:UniProtKB/Swiss-Prot;Acc:Q5VTU8]</t>
  </si>
  <si>
    <t>GO:0006811 ion transport,GO:0015992 proton transport,GO:0015986 ATP synthesis coupled proton transport</t>
  </si>
  <si>
    <t>GO:0016787 hydrolase activity,GO:0046872 metal ion binding,GO:0046961 hydrogen ion transporting ATPase activity, rotational mechanism,GO:0046933 hydrogen ion transporting ATP synthase activity, rotational mechanism</t>
  </si>
  <si>
    <t>GO:0016021 integral to membrane,GO:0016020 membrane,GO:0005624 membrane fraction,GO:0005783 endoplasmic reticulum,GO:0005789 endoplasmic reticulum membrane</t>
  </si>
  <si>
    <t>DHsGV10002013</t>
  </si>
  <si>
    <t>AC093616.2</t>
  </si>
  <si>
    <t>DC48  [Source:UniProtKB/TrEMBL;Acc:Q9H2H5]</t>
  </si>
  <si>
    <t>H300022279</t>
  </si>
  <si>
    <t>NM_205862;NM_205862;NM_205862;NM_205862;NM_205862;NM_019093;NM_019093;NM_019093;NM_019093;NM_019093;NM_000463;NM_000463</t>
  </si>
  <si>
    <t>UGT1A8</t>
  </si>
  <si>
    <t>UDP-glucuronosyltransferase 1-8 Precursor (EC 2.4.1.17)(UDP-glucuronosyltransferase 1A8)(UDPGT)(UGT1*8)(UGT1-08)(UGT1.8)(UGT-1H)(UGT1H) [Source:UniProtKB/Swiss-Prot;Acc:Q9HAW9]</t>
  </si>
  <si>
    <t>GO:0016021 integral to membrane,GO:0016020 membrane,GO:0005792 microsome,GO:0005575 cellular_component,GO:0005783 endoplasmic reticulum,GO:0005789 endoplasmic reticulum membrane</t>
  </si>
  <si>
    <t>NM_002115</t>
  </si>
  <si>
    <t>HK3</t>
  </si>
  <si>
    <t>Hexokinase-3 (EC 2.7.1.1)(Hexokinase type III)(HK III) [Source:UniProtKB/Swiss-Prot;Acc:P52790]</t>
  </si>
  <si>
    <t>GO:0006508 proteolysis,GO:0006096 glycolysis</t>
  </si>
  <si>
    <t>GO:0016740 transferase activity,GO:0000166 nucleotide binding,GO:0005524 ATP binding,GO:0016301 kinase activity,GO:0004190 aspartic-type endopeptidase activity,GO:0004396 hexokinase activity</t>
  </si>
  <si>
    <t>GO:0016020 membrane,GO:0005829 cytosol</t>
  </si>
  <si>
    <t>opHsV0400004693</t>
  </si>
  <si>
    <t>AC011503.4</t>
  </si>
  <si>
    <t>Zinc finger protein LOC730087  [Source:UniProtKB/Swiss-Prot;Acc:A6NNF4]</t>
  </si>
  <si>
    <t>AHsV10002513</t>
  </si>
  <si>
    <t>NM_173575.2</t>
  </si>
  <si>
    <t>STK32C</t>
  </si>
  <si>
    <t>Cyclic AMP-responsive element-binding protein 3-like protein 2 (cAMP-responsive element-binding protein 3-like protein 2)(BBF2 human homolog on chromosome 7) [Contains Processed cyclic AMP-responsive element-binding protein 3-like protein 2] [Source:UniProtKB/Swiss-Prot;Acc:Q70SY1]</t>
  </si>
  <si>
    <t>GO:0006986 response to unfolded protein,GO:0045449 regulation of transcription</t>
  </si>
  <si>
    <t>GO:0003677 DNA binding,GO:0043565 sequence-specific DNA binding,GO:0003700 transcription factor activity,GO:0046983 protein dimerization activity</t>
  </si>
  <si>
    <t>GO:0005634 nucleus,GO:0016021 integral to membrane,GO:0005783 endoplasmic reticulum,GO:0016020 membrane</t>
  </si>
  <si>
    <t>H300019758</t>
  </si>
  <si>
    <t>NM_003866</t>
  </si>
  <si>
    <t>GO:0006955 immune response,GO:0019882 antigen processing and presentation</t>
  </si>
  <si>
    <t>GO:0016020 membrane,GO:0042612 MHC class I protein complex</t>
  </si>
  <si>
    <t>Syntaxin-2 (Epimorphin) [Source:UniProtKB/Swiss-Prot;Acc:P32856]</t>
  </si>
  <si>
    <t>GO:0007165 signal transduction,GO:0007340 acrosome reaction,GO:0009887 organ morphogenesis,GO:0006886 intracellular protein transport,GO:0016192 vesicle-mediated transport,GO:0000910 cytokinesis,GO:0007398 ectoderm development,GO:0048547 gut morphogenesis,GO:0030855 epithelial cell differentiation,GO:0030033 microvillus biogenesis,GO:0045026 plasma membrane fusion,GO:0000920 cell separation during cytokinesis</t>
  </si>
  <si>
    <t>GO:0005515 protein binding,GO:0005484 SNAP receptor activity,GO:0048306 calcium-dependent protein binding,GO:0000149 SNARE binding</t>
  </si>
  <si>
    <t>opHsV0400000592</t>
  </si>
  <si>
    <t>NM_032574;NM_032574</t>
  </si>
  <si>
    <t>DPY30</t>
  </si>
  <si>
    <t>Protein dpy-30 homolog (Dpy-30-like protein) [Source:UniProtKB/Swiss-Prot;Acc:Q9C005]</t>
  </si>
  <si>
    <t>Runt-related transcription factor 1 (Core-binding factor subunit alpha-2)(CBF-alpha-2)(Acute myeloid leukemia 1 protein)(Oncogene AML-1)(Polyomavirus enhancer-binding protein 2 alpha B subunit)(PEBP2-alpha B)(PEA2-alpha B)(SL3-3 enhancer factor 1 alpha B subunit)(SL3/AKV core-binding factor alpha B subunit) [Source:UniProtKB/Swiss-Prot;Acc:Q01196]</t>
  </si>
  <si>
    <t>GO:0003677 DNA binding,GO:0005524 ATP binding,GO:0003700 transcription factor activity</t>
  </si>
  <si>
    <t>H300006053</t>
  </si>
  <si>
    <t>NM_001326</t>
  </si>
  <si>
    <t>CSTF3</t>
  </si>
  <si>
    <t>Cleavage stimulation factor 77 kDa subunit (CSTF 77 kDa subunit)(CstF-77)(CF-1 77 kDa subunit) [Source:UniProtKB/Swiss-Prot;Acc:Q12996]</t>
  </si>
  <si>
    <t>GO:0006397 mRNA processing,GO:0000398 nuclear mRNA splicing, via spliceosome,GO:0006396 RNA processing,GO:0006378 mRNA polyadenylation,GO:0006379 mRNA cleavage</t>
  </si>
  <si>
    <t>GO:0005515 protein binding,GO:0003723 RNA binding</t>
  </si>
  <si>
    <t>H200006930</t>
  </si>
  <si>
    <t>NM_032182</t>
  </si>
  <si>
    <t>FAM175B</t>
  </si>
  <si>
    <t>Protein FAM175B  [Source:UniProtKB/Swiss-Prot;Acc:Q15018]</t>
  </si>
  <si>
    <t>CHsGV10001473</t>
  </si>
  <si>
    <t>NM_194071.2</t>
  </si>
  <si>
    <t>CREB3L2</t>
  </si>
  <si>
    <t>NM_194356;NM_194356;NM_194356</t>
  </si>
  <si>
    <t>STX2</t>
  </si>
  <si>
    <t>Integrin alpha-E Precursor (Mucosal lymphocyte 1 antigen)(HML-1 antigen)(Integrin alpha-IEL)(CD103 antigen) [Contains Integrin alpha-E light chain;Integrin alpha-E heavy chain] [Source:UniProtKB/Swiss-Prot;Acc:P38570]</t>
  </si>
  <si>
    <t>GO:0000287 magnesium ion binding,GO:0004872 receptor activity,GO:0005509 calcium ion binding,GO:0005515 protein binding</t>
  </si>
  <si>
    <t>GO:0008305 integrin complex,GO:0009897 external side of plasma membrane,GO:0016020 membrane,GO:0016021 integral to membrane</t>
  </si>
  <si>
    <t>GO:0006468 protein amino acid phosphorylation,GO:0007283 spermatogenesis</t>
  </si>
  <si>
    <t>AHsV10003073</t>
  </si>
  <si>
    <t>NM_199282.1</t>
  </si>
  <si>
    <t>ARHGAP27</t>
  </si>
  <si>
    <t>Rho GTPase activating protein 27 isoform a  [Source:RefSeq peptide;Acc:NP_954976]</t>
  </si>
  <si>
    <t>H200016383</t>
  </si>
  <si>
    <t>NM_054113;NM_054113</t>
  </si>
  <si>
    <t>CIB3</t>
  </si>
  <si>
    <t>Calcium and integrin-binding family member 3 (Kinase-interacting protein 3)(KIP 3) [Source:UniProtKB/Swiss-Prot;Acc:Q96Q77]</t>
  </si>
  <si>
    <t>GO:0007165 signal transduction,GO:0006468 protein amino acid phosphorylation</t>
  </si>
  <si>
    <t>AHsV10000969</t>
  </si>
  <si>
    <t>NM_002208.4</t>
  </si>
  <si>
    <t>ITGAE</t>
  </si>
  <si>
    <t>H300021593</t>
  </si>
  <si>
    <t>DHsGV10001885</t>
  </si>
  <si>
    <t>opHsV0400000216</t>
  </si>
  <si>
    <t>NM_031962</t>
  </si>
  <si>
    <t>KRTAP9-3</t>
  </si>
  <si>
    <t>GO:0005886 plasma membrane,GO:0016021 integral to membrane,GO:0016020 membrane,GO:0005624 membrane fraction,GO:0005792 microsome,GO:0005768 endosome,GO:0016324 apical plasma membrane,GO:0030496 midbody,GO:0005625 soluble fraction,GO:0016323 basolateral plasma membrane</t>
  </si>
  <si>
    <t>H200006677</t>
  </si>
  <si>
    <t>NM_006285</t>
  </si>
  <si>
    <t>TESK1</t>
  </si>
  <si>
    <t>Dual specificity testis-specific protein kinase 1 (EC 2.7.12.1)(Testicular protein kinase 1) [Source:UniProtKB/Swiss-Prot;Acc:Q15569]</t>
  </si>
  <si>
    <t>GO:0006730 one-carbon compound metabolic process,GO:0048015 phosphoinositide-mediated signaling</t>
  </si>
  <si>
    <t>GO:0005515 protein binding,GO:0008270 zinc ion binding,GO:0046872 metal ion binding,GO:0004089 carbonate dehydratase activity</t>
  </si>
  <si>
    <t>opHsV0400000271</t>
  </si>
  <si>
    <t>NM_005516;NM_005516</t>
  </si>
  <si>
    <t>HLA-E</t>
  </si>
  <si>
    <t>major histocompatibility complex, class I, E precursor  [Source:RefSeq peptide;Acc:NP_005507]</t>
  </si>
  <si>
    <t>EPHB6</t>
  </si>
  <si>
    <t>NM_153260;NM_153260</t>
  </si>
  <si>
    <t>LRRC57</t>
  </si>
  <si>
    <t>Leucine-rich repeat-containing protein 57  [Source:UniProtKB/Swiss-Prot;Acc:Q8N9N7]</t>
  </si>
  <si>
    <t>H300004605</t>
  </si>
  <si>
    <t>NM_016490</t>
  </si>
  <si>
    <t>FAM178B</t>
  </si>
  <si>
    <t>Protein FAM178B  [Source:UniProtKB/Swiss-Prot;Acc:Q8IXR5]</t>
  </si>
  <si>
    <t>AHsV10000156</t>
  </si>
  <si>
    <t>NM_033419.3</t>
  </si>
  <si>
    <t>PERLD1</t>
  </si>
  <si>
    <t>Post-GPI attachment to proteins factor 3 Precursor (PER1-like domain-containing protein 1)(Gene coamplified with ERBB2 protein)(hCOS16) [Source:UniProtKB/Swiss-Prot;Acc:Q96FM1]</t>
  </si>
  <si>
    <t>GO:0006506 GPI anchor biosynthetic process</t>
  </si>
  <si>
    <t>GO:0016788 hydrolase activity, acting on ester bonds</t>
  </si>
  <si>
    <t>GO:0000139 Golgi membrane,GO:0005783 endoplasmic reticulum,GO:0005794 Golgi apparatus,GO:0016020 membrane,GO:0016021 integral to membrane,GO:0031227 intrinsic to endoplasmic reticulum membrane</t>
  </si>
  <si>
    <t>H300005705</t>
  </si>
  <si>
    <t>AC074051.4</t>
  </si>
  <si>
    <t>GO:0019752 carboxylic acid metabolic process,GO:0006519 cellular amino acid and derivative metabolic process,GO:0006547 histidine metabolic process,GO:0042423 catecholamine biosynthetic process</t>
  </si>
  <si>
    <t>GO:0016829 lyase activity,GO:0016831 carboxy-lyase activity,GO:0030170 pyridoxal phosphate binding,GO:0004398 histidine decarboxylase activity</t>
  </si>
  <si>
    <t>H200015714</t>
  </si>
  <si>
    <t>NM_007238;NM_007238</t>
  </si>
  <si>
    <t>PXMP4</t>
  </si>
  <si>
    <t>GO:0016740 transferase activity,GO:0000287 magnesium ion binding,GO:0005515 protein binding,GO:0000166 nucleotide binding,GO:0005524 ATP binding,GO:0030145 manganese ion binding,GO:0004674 protein serine/threonine kinase activity,GO:0004713 protein tyrosine kinase activity,GO:0004672 protein kinase activity</t>
  </si>
  <si>
    <t>H300004976</t>
  </si>
  <si>
    <t>C21orf94</t>
  </si>
  <si>
    <t>Uncharacterized protein C21orf94  [Source:UniProtKB/Swiss-Prot;Acc:P59092]</t>
  </si>
  <si>
    <t>H200016213</t>
  </si>
  <si>
    <t>NM_004056</t>
  </si>
  <si>
    <t>CA8</t>
  </si>
  <si>
    <t>Carbonic anhydrase-related protein (CARP)(Carbonic anhydrase VIII)(CA-VIII) [Source:UniProtKB/Swiss-Prot;Acc:P35219]</t>
  </si>
  <si>
    <t>DHsGV10001706</t>
  </si>
  <si>
    <t>opHsV0400001929</t>
  </si>
  <si>
    <t>NM_001013407</t>
  </si>
  <si>
    <t>PRAMEF5</t>
  </si>
  <si>
    <t>PRAME family member 5  [Source:UniProtKB/Swiss-Prot;Acc:Q5TYX0]</t>
  </si>
  <si>
    <t>DHsGV10005417</t>
  </si>
  <si>
    <t>H300019594</t>
  </si>
  <si>
    <t>GO:0006996 organelle organization,GO:0007601 visual perception,GO:0050896 response to stimulus</t>
  </si>
  <si>
    <t>GO:0005515 protein binding,GO:0042802 identical protein binding</t>
  </si>
  <si>
    <t>GO:0005634 nucleus,GO:0005737 cytoplasm,GO:0016528 sarcoplasm,GO:0030424 axon,GO:0042383 sarcolemma</t>
  </si>
  <si>
    <t>GO:0015020 glucuronosyltransferase activity,GO:0016758 transferase activity, transferring hexosyl groups</t>
  </si>
  <si>
    <t>GO:0016021 integral to membrane,GO:0016020 membrane,GO:0005792 microsome,GO:0005783 endoplasmic reticulum,GO:0005789 endoplasmic reticulum membrane</t>
  </si>
  <si>
    <t>H200003507</t>
  </si>
  <si>
    <t>NM_024598</t>
  </si>
  <si>
    <t>C16orf57</t>
  </si>
  <si>
    <t>UPF0406 protein C16orf57  [Source:UniProtKB/Swiss-Prot;Acc:Q9BQ65]</t>
  </si>
  <si>
    <t>H300006598</t>
  </si>
  <si>
    <t>NM_002112</t>
  </si>
  <si>
    <t>HDC</t>
  </si>
  <si>
    <t>Histidine decarboxylase (HDC)(EC 4.1.1.22) [Source:UniProtKB/Swiss-Prot;Acc:P19113]</t>
  </si>
  <si>
    <t>H200000084</t>
  </si>
  <si>
    <t>NM_000582;NM_000582;NM_000582</t>
  </si>
  <si>
    <t>SPP1</t>
  </si>
  <si>
    <t>Osteopontin Precursor (Bone sialoprotein 1)(Secreted phosphoprotein 1)(SPP-1)(Urinary stone protein)(Nephropontin)(Uropontin) [Source:UniProtKB/Swiss-Prot;Acc:P10451]</t>
  </si>
  <si>
    <t>GO:0007155 cell adhesion,GO:0001503 ossification</t>
  </si>
  <si>
    <t>GO:0005515 protein binding,GO:0005125 cytokine activity</t>
  </si>
  <si>
    <t>GO:0005576 extracellular region,GO:0005737 cytoplasm,GO:0005615 extracellular space,GO:0045177 apical part of cell</t>
  </si>
  <si>
    <t>H300006648</t>
  </si>
  <si>
    <t>NM_152755</t>
  </si>
  <si>
    <t>CNPY4</t>
  </si>
  <si>
    <t>Keratin-associated protein 9-3 (Keratin-associated protein 9.3)(Ultrahigh sulfur keratin-associated protein 9.3) [Source:UniProtKB/Swiss-Prot;Acc:Q9BYQ3]</t>
  </si>
  <si>
    <t>Ephrin type-B receptor 6 Precursor (Tyrosine-protein kinase-defective receptor EPH-6)(HEP) [Source:UniProtKB/Swiss-Prot;Acc:O15197]</t>
  </si>
  <si>
    <t>GO:0000166 nucleotide binding,GO:0005524 ATP binding,GO:0004872 receptor activity,GO:0004674 protein serine/threonine kinase activity,GO:0004713 protein tyrosine kinase activity,GO:0004672 protein kinase activity,GO:0005003 ephrin receptor activity</t>
  </si>
  <si>
    <t>H200020562</t>
  </si>
  <si>
    <t>LRRC58</t>
  </si>
  <si>
    <t>Leucine-rich repeat-containing protein 58  [Source:UniProtKB/Swiss-Prot;Acc:Q96CX6]</t>
  </si>
  <si>
    <t>H300018774</t>
  </si>
  <si>
    <t>NM_004445;NM_004445</t>
  </si>
  <si>
    <t>GO:0005634 nucleus,GO:0005737 cytoplasm,GO:0000178 exosome (RNase complex)</t>
  </si>
  <si>
    <t>H300021644</t>
  </si>
  <si>
    <t>NM_052948;NM_052948;NM_052948</t>
  </si>
  <si>
    <t>SNX26</t>
  </si>
  <si>
    <t>TC10/CDC42 GTPase-activating protein (Sorting nexin-26) [Source:UniProtKB/Swiss-Prot;Acc:O14559]</t>
  </si>
  <si>
    <t>GO:0007165 signal transduction,GO:0007154 cell communication</t>
  </si>
  <si>
    <t>Securin (Pituitary tumor-transforming gene 1 protein)(hPTTG)(Tumor-transforming protein 1)(Esp1-associated protein) [Source:UniProtKB/Swiss-Prot;Acc:O95997]</t>
  </si>
  <si>
    <t>GO:0006366 transcription from RNA polymerase II promoter,GO:0007049 cell cycle,GO:0007067 mitosis,GO:0051301 cell division,GO:0007059 chromosome segregation,GO:0006974 response to DNA damage stimulus,GO:0007283 spermatogenesis,GO:0006281 DNA repair,GO:0051276 chromosome organization,GO:0006259 DNA metabolic process</t>
  </si>
  <si>
    <t>GO:0005515 protein binding,GO:0003700 transcription factor activity,GO:0003674 molecular_function,GO:0017124 SH3 domain binding,GO:0004869 cysteine protease inhibitor activity</t>
  </si>
  <si>
    <t>GO:0005634 nucleus,GO:0005737 cytoplasm,GO:0005575 cellular_component,GO:0005829 cytosol</t>
  </si>
  <si>
    <t>GO:0003677 DNA binding,GO:0005515 protein binding,GO:0005516 calmodulin binding</t>
  </si>
  <si>
    <t>GO:0005634 nucleus,GO:0005730 nucleolus,GO:0005737 cytoplasm</t>
  </si>
  <si>
    <t>H300013586</t>
  </si>
  <si>
    <t>NM_005920</t>
  </si>
  <si>
    <t>MEF2D</t>
  </si>
  <si>
    <t>Myocyte-specific enhancer factor 2D  [Source:UniProtKB/Swiss-Prot;Acc:Q14814]</t>
  </si>
  <si>
    <t>Peroxisomal membrane protein 4 (24 kDa peroxisomal intrinsic membrane protein) [Source:UniProtKB/Swiss-Prot;Acc:Q9Y6I8]</t>
  </si>
  <si>
    <t>GO:0016021 integral to membrane,GO:0016020 membrane,GO:0005624 membrane fraction,GO:0005777 peroxisome,GO:0005778 peroxisomal membrane,GO:0005778 peroxisomal membrane</t>
  </si>
  <si>
    <t>opHsV0400005403</t>
  </si>
  <si>
    <t>NM_003521</t>
  </si>
  <si>
    <t>HIST1H2BM</t>
  </si>
  <si>
    <t>Histone H2B type 1-M (H2B.e)(H2B/e) [Source:UniProtKB/Swiss-Prot;Acc:Q99879]</t>
  </si>
  <si>
    <t>AHsV10000206</t>
  </si>
  <si>
    <t>NM_032122.3</t>
  </si>
  <si>
    <t>DTNBP1</t>
  </si>
  <si>
    <t>Dysbindin (Dystrobrevin-binding protein 1)(Hermansky-Pudlak syndrome 7 protein homolog)(Hps7-like protein) [Source:UniProtKB/Swiss-Prot;Acc:Q96EV8]</t>
  </si>
  <si>
    <t>opHsV0400005356</t>
  </si>
  <si>
    <t>NM_205545</t>
  </si>
  <si>
    <t>LYPD2</t>
  </si>
  <si>
    <t>Ly6/PLAUR domain-containing protein 2 Precursor  [Source:UniProtKB/Swiss-Prot;Acc:Q6UXB3]</t>
  </si>
  <si>
    <t>H200021173</t>
  </si>
  <si>
    <t>NM_173474</t>
  </si>
  <si>
    <t>NTAN1</t>
  </si>
  <si>
    <t>Protein N-terminal asparagine amidohydrolase (EC 3.5.1.-)(Protein NH2-terminal asparagine deamidase)(PNAD)(N-terminal Asn amidase)(NTN-amidase)(Protein NH2-terminal asparagine amidohydrolase)(PNAA) [Source:UniProtKB/Swiss-Prot;Acc:Q96AB6]</t>
  </si>
  <si>
    <t>GO:0008344 adult locomotory behavior,GO:0007613 memory</t>
  </si>
  <si>
    <t>GO:0016787 hydrolase activity,GO:0008418 protein N-terminal asparagine amidohydrolase activity</t>
  </si>
  <si>
    <t>H300008454</t>
  </si>
  <si>
    <t>AHsV10002889</t>
  </si>
  <si>
    <t>NM_004475.2</t>
  </si>
  <si>
    <t>FLOT2</t>
  </si>
  <si>
    <t>Flotillin-2 (Epidermal surface antigen)(ESA) [Source:UniProtKB/Swiss-Prot;Acc:Q14254]</t>
  </si>
  <si>
    <t>GO:0007155 cell adhesion,GO:0008544 epidermis development</t>
  </si>
  <si>
    <t>GO:0005624 membrane fraction,GO:0005886 plasma membrane,GO:0005901 caveola,GO:0009986 cell surface</t>
  </si>
  <si>
    <t>H300004887</t>
  </si>
  <si>
    <t>NM_001045476</t>
  </si>
  <si>
    <t>WDR38</t>
  </si>
  <si>
    <t>WD repeat-containing protein 38  [Source:UniProtKB/Swiss-Prot;Acc:Q5JTN6]</t>
  </si>
  <si>
    <t>DHsGV10005016</t>
  </si>
  <si>
    <t>opHsV0400004721</t>
  </si>
  <si>
    <t>NM_003524</t>
  </si>
  <si>
    <t>HIST1H2BH</t>
  </si>
  <si>
    <t>Histone H2B type 1-H (H2B.j)(H2B/j) [Source:UniProtKB/Swiss-Prot;Acc:Q93079]</t>
  </si>
  <si>
    <t>DHsGV10001347</t>
  </si>
  <si>
    <t>LOC100292787</t>
  </si>
  <si>
    <t>AHsV10000047</t>
  </si>
  <si>
    <t>NM_015138.4</t>
  </si>
  <si>
    <t>RTF1</t>
  </si>
  <si>
    <t>RNA polymerase-associated protein RTF1 homolog  [Source:UniProtKB/Swiss-Prot;Acc:Q92541]</t>
  </si>
  <si>
    <t>Protein canopy homolog 4 Precursor  [Source:UniProtKB/Swiss-Prot;Acc:Q8N129]</t>
  </si>
  <si>
    <t>AHsV10003021</t>
  </si>
  <si>
    <t>NM_001145276.1</t>
  </si>
  <si>
    <t>ZFY</t>
  </si>
  <si>
    <t>Zinc finger Y-chromosomal protein  [Source:UniProtKB/Swiss-Prot;Acc:P08048]</t>
  </si>
  <si>
    <t>H200021238</t>
  </si>
  <si>
    <t>NM_058219</t>
  </si>
  <si>
    <t>EXOSC6</t>
  </si>
  <si>
    <t>Exosome complex exonuclease MTR3 (EC 3.1.13.-)(mRNA transport regulator 3 homolog)(hMtr3)(Exosome component 6)(p11) [Source:UniProtKB/Swiss-Prot;Acc:Q5RKV6]</t>
  </si>
  <si>
    <t>GO:0006396 RNA processing,GO:0006364 rRNA processing</t>
  </si>
  <si>
    <t>GO:0016787 hydrolase activity,GO:0003723 RNA binding,GO:0004527 exonuclease activity,GO:0000175 3'-5'-exoribonuclease activity</t>
  </si>
  <si>
    <t>GO:0003677 DNA binding,GO:0003704 specific RNA polymerase II transcription factor activity,GO:0003700 transcription factor activity,GO:0043565 sequence-specific DNA binding,GO:0046983 protein dimerization activity</t>
  </si>
  <si>
    <t>AHsV10002637</t>
  </si>
  <si>
    <t>NM_000938.1</t>
  </si>
  <si>
    <t>POLR2B</t>
  </si>
  <si>
    <t>DNA-directed RNA polymerase II subunit RPB2 (EC 2.7.7.6)(DNA-directed RNA polymerase II subunit B)(RNA polymerase II subunit B2)(RNA polymerase II subunit 2)(DNA-directed RNA polymerase II 140 kDa polypeptide) [Source:UniProtKB/Swiss-Prot;Acc:P30876]</t>
  </si>
  <si>
    <t>GO:0000398 nuclear mRNA splicing, via spliceosome,GO:0006350 transcription,GO:0006367 transcription initiation from RNA polymerase II promoter,GO:0006368 RNA elongation from RNA polymerase II promoter</t>
  </si>
  <si>
    <t>GO:0000287 magnesium ion binding,GO:0003677 DNA binding,GO:0003899 DNA-directed RNA polymerase activity,GO:0005515 protein binding,GO:0008270 zinc ion binding,GO:0016740 transferase activity,GO:0016779 nucleotidyltransferase activity,GO:0032549 ribonucleo</t>
  </si>
  <si>
    <t>GO:0005634 nucleus,GO:0005654 nucleoplasm,GO:0005665 DNA-directed RNA polymerase II, core complex</t>
  </si>
  <si>
    <t>H300009946</t>
  </si>
  <si>
    <t>NM_004210</t>
  </si>
  <si>
    <t>GO:0007165 signal transduction,GO:0051056 regulation of small GTPase mediated signal transduction</t>
  </si>
  <si>
    <t>DHsGV10000108</t>
  </si>
  <si>
    <t>NM_001136180.1</t>
  </si>
  <si>
    <t>AC090360.1</t>
  </si>
  <si>
    <t>heat shock factor binding protein 1-like  [Source:RefSeq peptide;Acc:NP_001129652]</t>
  </si>
  <si>
    <t>opHsV0400000188</t>
  </si>
  <si>
    <t>GO:0006350 transcription,GO:0006355 regulation of transcription, DNA-dependent,GO:0007517 muscle development</t>
  </si>
  <si>
    <t>GO:0003700 transcription factor activity,GO:0043565 sequence-specific DNA binding,GO:0045735 nutrient reservoir activity</t>
  </si>
  <si>
    <t>H200000483</t>
  </si>
  <si>
    <t>NM_002686;NM_002686</t>
  </si>
  <si>
    <t>PNMT</t>
  </si>
  <si>
    <t>Phenylethanolamine N-methyltransferase (PNMTase)(EC 2.1.1.28)(Noradrenaline N-methyltransferase) [Source:UniProtKB/Swiss-Prot;Acc:P11086]</t>
  </si>
  <si>
    <t>GO:0008168 methyltransferase activity</t>
  </si>
  <si>
    <t>H300019707</t>
  </si>
  <si>
    <t>NM_080625;NM_080625</t>
  </si>
  <si>
    <t>C20orf160</t>
  </si>
  <si>
    <t>Uncharacterized protein C20orf160  [Source:UniProtKB/Swiss-Prot;Acc:Q9NUG4]</t>
  </si>
  <si>
    <t>Blood group Rh(D) polypeptide (Rhesus D antigen)(RHXIII)(Rh polypeptide 2)(RhPII)(CD240D antigen) [Source:UniProtKB/Swiss-Prot;Acc:Q02161]</t>
  </si>
  <si>
    <t>H300004224</t>
  </si>
  <si>
    <t>AC093909.2</t>
  </si>
  <si>
    <t>Uncharacterized protein ENSP00000318184 Fragment  [Source:UniProtKB/TrEMBL;Acc:A6NKL7]</t>
  </si>
  <si>
    <t>GO:0006415 translational termination</t>
  </si>
  <si>
    <t>GO:0003747 translation release factor activity,GO:0016149 translation release factor activity, codon specific</t>
  </si>
  <si>
    <t>AHsV10001069</t>
  </si>
  <si>
    <t>NM_018999.2</t>
  </si>
  <si>
    <t>KIAA1128</t>
  </si>
  <si>
    <t>Protein GCAP14 homolog  [Source:UniProtKB/Swiss-Prot;Acc:Q9H7U1]</t>
  </si>
  <si>
    <t>opHsV0400000656</t>
  </si>
  <si>
    <t>NM_080746</t>
  </si>
  <si>
    <t>60S ribosomal protein L10-like  [Source:UniProtKB/Swiss-Prot;Acc:Q96L21]</t>
  </si>
  <si>
    <t>GO:0006412 translation,GO:0007283 spermatogenesis</t>
  </si>
  <si>
    <t>GO:0005634 nucleus,GO:0005622 intracellular,GO:0005840 ribosome,GO:0022625 cytosolic large ribosomal subunit</t>
  </si>
  <si>
    <t>DHsGV10005004</t>
  </si>
  <si>
    <t>H300011390</t>
  </si>
  <si>
    <t>NM_016124;NM_016124</t>
  </si>
  <si>
    <t>RHD</t>
  </si>
  <si>
    <t>Geranylgeranyl pyrophosphate synthetase (GGPP synthetase)(GGPPSase)(Geranylgeranyl diphosphate synthase) [Includes Dimethylallyltranstransferase(EC 2.5.1.1);Geranyltranstransferase(EC 2.5.1.10);Farnesyltranstransferase(EC 2.5.1.29)] [Source:UniProtKB/Swiss-Prot;Acc:O95749]</t>
  </si>
  <si>
    <t>GO:0016740 transferase activity,GO:0004337 geranyltranstransferase activity,GO:0004161 dimethylallyltranstransferase activity,GO:0004311 farnesyltranstransferase activity</t>
  </si>
  <si>
    <t>H200007994</t>
  </si>
  <si>
    <t>NM_003670</t>
  </si>
  <si>
    <t>BHLHB2</t>
  </si>
  <si>
    <t>GO:0006350 transcription,GO:0006352 transcription initiation,GO:0006355 regulation of transcription, DNA-dependent,GO:0016570 histone modification</t>
  </si>
  <si>
    <t>NM_004219;NM_004219</t>
  </si>
  <si>
    <t>PTTG1</t>
  </si>
  <si>
    <t>H300006478</t>
  </si>
  <si>
    <t>AC007564.10</t>
  </si>
  <si>
    <t>AHsV10002320</t>
  </si>
  <si>
    <t>NM_015232.1</t>
  </si>
  <si>
    <t>IQSEC3</t>
  </si>
  <si>
    <t>IQ motif and SEC7 domain-containing protein 3  [Source:UniProtKB/Swiss-Prot;Acc:Q9UPP2]</t>
  </si>
  <si>
    <t>DHsGV10003555</t>
  </si>
  <si>
    <t>AC152006.1</t>
  </si>
  <si>
    <t>Paraneoplastic antigen-like protein 6A  [Source:UniProtKB/Swiss-Prot;Acc:Q96A40]</t>
  </si>
  <si>
    <t>H300008611</t>
  </si>
  <si>
    <t>NM_017849</t>
  </si>
  <si>
    <t>TMEM127</t>
  </si>
  <si>
    <t>Transmembrane protein 127  [Source:UniProtKB/Swiss-Prot;Acc:O75204]</t>
  </si>
  <si>
    <t>GO:0006355 regulation of transcription, DNA-dependent,GO:0045892 negative regulation of transcription, DNA-dependent,GO:0045449 regulation of transcription,GO:0009649 entrainment of circadian clock,GO:0048168 regulation of neuronal synaptic plasticity,GO:0009649 entrainment of circadian clock,GO:0048168 regulation of neuronal synaptic plasticity</t>
  </si>
  <si>
    <t>GO:0003677 DNA binding,GO:0005515 protein binding,GO:0003700 transcription factor activity,GO:0030528 transcription regulator activity,GO:0016564 transcription repressor activity</t>
  </si>
  <si>
    <t>AHsV10003260</t>
  </si>
  <si>
    <t>NM_007229.2</t>
  </si>
  <si>
    <t>ARFGAP3</t>
  </si>
  <si>
    <t>ADP-ribosylation factor GTPase-activating protein 3 (ARF GAP 3) [Source:UniProtKB/Swiss-Prot;Acc:Q9NP61]</t>
  </si>
  <si>
    <t>GO:0030036 actin cytoskeleton organization,GO:0045806 negative regulation of endocytosis</t>
  </si>
  <si>
    <t>GO:0005215 transporter activity,GO:0008092 cytoskeletal protein binding</t>
  </si>
  <si>
    <t>GO:0005737 cytoplasm,GO:0005829 cytosol,GO:0031410 cytoplasmic vesicle</t>
  </si>
  <si>
    <t>AHsV10002294</t>
  </si>
  <si>
    <t>NM_001001436.2</t>
  </si>
  <si>
    <t>C16orf87</t>
  </si>
  <si>
    <t>UPF0547 protein C16orf87  [Source:UniProtKB/Swiss-Prot;Acc:Q6PH81]</t>
  </si>
  <si>
    <t>ZZZ3</t>
  </si>
  <si>
    <t>ZZ-type zinc finger-containing protein 3  [Source:UniProtKB/Swiss-Prot;Acc:Q8IYH5]</t>
  </si>
  <si>
    <t>H200019012</t>
  </si>
  <si>
    <t>NM_020888</t>
  </si>
  <si>
    <t>GO:0005515 protein binding,GO:0005529 sugar binding</t>
  </si>
  <si>
    <t>RPL10L</t>
  </si>
  <si>
    <t>H300006139</t>
  </si>
  <si>
    <t>AC034220.5</t>
  </si>
  <si>
    <t>AHsV10002866</t>
  </si>
  <si>
    <t>NM_016652.4</t>
  </si>
  <si>
    <t>CRNKL1</t>
  </si>
  <si>
    <t>Crooked neck-like protein 1 (Crooked neck homolog)(hCrn) [Source:UniProtKB/Swiss-Prot;Acc:Q9BZJ0]</t>
  </si>
  <si>
    <t>CHsGV10001837</t>
  </si>
  <si>
    <t>NM_007001.2</t>
  </si>
  <si>
    <t>SLC35D2</t>
  </si>
  <si>
    <t>NM_006177;NM_006177;NM_006177</t>
  </si>
  <si>
    <t>NRL</t>
  </si>
  <si>
    <t>Neural retina-specific leucine zipper protein (NRL)(D14S46E) [Source:UniProtKB/Swiss-Prot;Acc:P54845]</t>
  </si>
  <si>
    <t>GO:0006355 regulation of transcription, DNA-dependent,GO:0007601 visual perception,GO:0050896 response to stimulus,GO:0045944 positive regulation of transcription from RNA polymerase II promoter,GO:0045449 regulation of transcription,GO:0046548 retinal rod cell development,GO:0045872 positive regulation of rhodopsin gene expression</t>
  </si>
  <si>
    <t>GO:0016021 integral to membrane,GO:0005575 cellular_component,GO:0016020 membrane,GO:0005794 Golgi apparatus</t>
  </si>
  <si>
    <t>H200005174</t>
  </si>
  <si>
    <t>NM_001037278;NM_001037278;NM_001037278</t>
  </si>
  <si>
    <t>GGPS1</t>
  </si>
  <si>
    <t>H200004716</t>
  </si>
  <si>
    <t>NM_005426;NM_005426</t>
  </si>
  <si>
    <t>TP53BP2</t>
  </si>
  <si>
    <t>Apoptosis-stimulating of p53 protein 2 (Tumor suppressor p53-binding protein 2)(p53-binding protein 2)(p53BP2)(53BP2)(Bcl2-binding protein)(Bbp)(Renal carcinoma antigen NY-REN-51) [Source:UniProtKB/Swiss-Prot;Acc:Q13625]</t>
  </si>
  <si>
    <t>GO:0007165 signal transduction,GO:0006917 induction of apoptosis,GO:0006915 apoptosis,GO:0045786 negative regulation of cell cycle</t>
  </si>
  <si>
    <t>H200010558</t>
  </si>
  <si>
    <t>NM_181802;NM_181802;NM_181802;NM_181802;NM_181802;NM_181802;NM_181801</t>
  </si>
  <si>
    <t>UBE2C</t>
  </si>
  <si>
    <t>Ubiquitin-conjugating enzyme E2 C (EC 6.3.2.19)(Ubiquitin-protein ligase C)(Ubiquitin carrier protein C)(UbcH10) [Source:UniProtKB/Swiss-Prot;Acc:O00762]</t>
  </si>
  <si>
    <t>GO:0016567 protein ubiquitination,GO:0043687 post-translational protein modification,GO:0051246 regulation of protein metabolic process</t>
  </si>
  <si>
    <t>GO:0005524 ATP binding,GO:0004842 ubiquitin-protein ligase activity,GO:0019787 small conjugating protein ligase activity</t>
  </si>
  <si>
    <t>GO:0007275 multicellular organismal development,GO:0030154 cell differentiation,GO:0007283 spermatogenesis,GO:0006952 defense response,GO:0010038 response to metal ion,GO:0006875 cellular metal ion homeostasis</t>
  </si>
  <si>
    <t>GO:0046872 metal ion binding</t>
  </si>
  <si>
    <t>GO:0005634 nucleus,GO:0005737 cytoplasm,GO:0005625 soluble fraction</t>
  </si>
  <si>
    <t>Class B basic helix-loop-helix protein 2 (bHLHB2)(Differentially expressed in chondrocytes protein 1)(DEC1)(Enhancer-of-split and hairy-related protein 2)(SHARP-2)(Stimulated by retinoic acid gene 13 protein) [Source:UniProtKB/Swiss-Prot;Acc:O14503]</t>
  </si>
  <si>
    <t>GO:0051085 chaperone cofactor-dependent protein folding</t>
  </si>
  <si>
    <t>GO:0000166 nucleotide binding,GO:0005524 ATP binding,GO:0017111 nucleoside-triphosphatase activity</t>
  </si>
  <si>
    <t>GO:0016021 integral to membrane,GO:0016020 membrane,GO:0005783 endoplasmic reticulum</t>
  </si>
  <si>
    <t>H300005025</t>
  </si>
  <si>
    <t>AC130709.3</t>
  </si>
  <si>
    <t>Putative UPF0607 protein ENSP00000381514  [Source:UniProtKB/Swiss-Prot;Acc:A8MUA0]</t>
  </si>
  <si>
    <t>H200012298</t>
  </si>
  <si>
    <t>NM_004923</t>
  </si>
  <si>
    <t>MTL5</t>
  </si>
  <si>
    <t>Tesmin (Metallothionein-like 5, testis-specific)(Testis-specific metallothionein-like protein) [Source:UniProtKB/Swiss-Prot;Acc:Q9Y4I5]</t>
  </si>
  <si>
    <t>WD repeat-containing protein 92 (WD repeat-containing protein Monad) [Source:UniProtKB/Swiss-Prot;Acc:Q96MX6]</t>
  </si>
  <si>
    <t>DHsGV10005662</t>
  </si>
  <si>
    <t>NM_016076.3</t>
  </si>
  <si>
    <t>PPPDE1</t>
  </si>
  <si>
    <t>PPPDE peptidase domain-containing protein 1 (Protein FAM152A) [Source:UniProtKB/Swiss-Prot;Acc:Q9BSY9]</t>
  </si>
  <si>
    <t>AC098934.3</t>
  </si>
  <si>
    <t>Alpha-1,3-mannosyl-glycoprotein 4-beta-N-acetylglucosaminyltransferase-like protein LOC641515  [Source:UniProtKB/Swiss-Prot;Acc:Q49AQ9]</t>
  </si>
  <si>
    <t>H300020840</t>
  </si>
  <si>
    <t>NM_138458;NM_138458</t>
  </si>
  <si>
    <t>WDR92</t>
  </si>
  <si>
    <t>opHsV0400002012</t>
  </si>
  <si>
    <t>DHsGV10001196</t>
  </si>
  <si>
    <t>AHsV10002171</t>
  </si>
  <si>
    <t>NM_001136265.1</t>
  </si>
  <si>
    <t>IFFO2</t>
  </si>
  <si>
    <t>Intermediate filament family orphan 2  [Source:UniProtKB/Swiss-Prot;Acc:Q5TF58]</t>
  </si>
  <si>
    <t>AHsV10001928</t>
  </si>
  <si>
    <t>NM_004087.2</t>
  </si>
  <si>
    <t>DLG1</t>
  </si>
  <si>
    <t>Disks large homolog 1 (Synapse-associated protein 97)(SAP-97)(hDlg) [Source:UniProtKB/Swiss-Prot;Acc:Q12959]</t>
  </si>
  <si>
    <t>opHsV0400001319</t>
  </si>
  <si>
    <t>NM_152415;NM_152415</t>
  </si>
  <si>
    <t>VPS37A</t>
  </si>
  <si>
    <t>UDP-N-acetylglucosamine/UDP-glucose/GDP-mannose transporter (Solute carrier family 35 member D2)(UDP-galactose transporter-related protein 8)(UGTrel8)(SQV7-like protein)(SQV7L)(Homolog of Fringe connection protein 1)(HFRC1) [Source:UniProtKB/Swiss-Prot;Acc:Q76EJ3]</t>
  </si>
  <si>
    <t>GO:0008150 biological_process,GO:0006468 protein amino acid phosphorylation,GO:0008643 carbohydrate transport</t>
  </si>
  <si>
    <t>GO:0004672 protein kinase activity,GO:0005524 ATP binding,GO:0005338 nucleotide-sugar transmembrane transporter activity</t>
  </si>
  <si>
    <t>Protein Dr1 (Down-regulator of transcription 1)(TATA-binding protein-associated phosphoprotein)(Negative cofactor 2-beta)(NC2-beta) [Source:UniProtKB/Swiss-Prot;Acc:Q01658]</t>
  </si>
  <si>
    <t>GO:0006350 transcription,GO:0006355 regulation of transcription, DNA-dependent,GO:0000122 negative regulation of transcription from RNA polymerase II promoter</t>
  </si>
  <si>
    <t>GO:0003677 DNA binding,GO:0043565 sequence-specific DNA binding,GO:0008134 transcription factor binding,GO:0003714 transcription corepressor activity</t>
  </si>
  <si>
    <t>H200008115</t>
  </si>
  <si>
    <t>NM_005729</t>
  </si>
  <si>
    <t>PPIF</t>
  </si>
  <si>
    <t>Peptidyl-prolyl cis-trans isomerase, mitochondrial Precursor (PPIase)(Rotamase)(EC 5.2.1.8)(Cyclophilin F) [Source:UniProtKB/Swiss-Prot;Acc:P30405]</t>
  </si>
  <si>
    <t>GO:0016853 isomerase activity,GO:0003755 peptidyl-prolyl cis-trans isomerase activity</t>
  </si>
  <si>
    <t>AHsV10002438</t>
  </si>
  <si>
    <t>NM_170672.2</t>
  </si>
  <si>
    <t>GO:0009615 response to virus,GO:0006952 defense response</t>
  </si>
  <si>
    <t>GO:0000165 MAPKKK cascade,GO:0007242 intracellular signaling cascade,GO:0007264 small GTPase mediated signal transduction,GO:0007265 Ras protein signal transduction,GO:0043087 regulation of GTPase activity,GO:0051056 regulation of small GTPase mediated si</t>
  </si>
  <si>
    <t>GO:0004871 signal transducer activity,GO:0005085 guanyl-nucleotide exchange factor activity,GO:0005088 Ras guanyl-nucleotide exchange factor activity,GO:0005509 calcium ion binding,GO:0005515 protein binding,GO:0008270 zinc ion binding,GO:0017016 Ras GTPa</t>
  </si>
  <si>
    <t>GO:0005622 intracellular,GO:0005737 cytoplasm,GO:0005887 integral to plasma membrane</t>
  </si>
  <si>
    <t>CHsGV10001747</t>
  </si>
  <si>
    <t>NM_006084.4</t>
  </si>
  <si>
    <t>IRF9</t>
  </si>
  <si>
    <t>GO:0005515 protein binding,GO:0017124 SH3 domain binding,GO:0005070 SH3/SH2 adaptor activity,GO:0051059 NF-kappaB binding</t>
  </si>
  <si>
    <t>AHsV10001517</t>
  </si>
  <si>
    <t>NM_032307.3</t>
  </si>
  <si>
    <t>C9orf64</t>
  </si>
  <si>
    <t>UPF0553 protein C9orf64  [Source:UniProtKB/Swiss-Prot;Acc:Q5T6V5]</t>
  </si>
  <si>
    <t>opHsV0400006327</t>
  </si>
  <si>
    <t>NM_017723</t>
  </si>
  <si>
    <t>C9orf167</t>
  </si>
  <si>
    <t>Torsin family protein C9orf167  [Source:UniProtKB/Swiss-Prot;Acc:Q9NXH8]</t>
  </si>
  <si>
    <t>GO:0008299 isoprenoid biosynthetic process</t>
  </si>
  <si>
    <t>GO:0007166 cell surface receptor linked signal transduction,GO:0009615 response to virus,GO:0006366 transcription from RNA polymerase II promoter,GO:0045351 type I interferon biosynthetic process,GO:0045351 type I interferon biosynthetic process</t>
  </si>
  <si>
    <t>GO:0003700 transcription factor activity,GO:0042802 identical protein binding,GO:0005515 protein binding</t>
  </si>
  <si>
    <t>GO:0005737 cytoplasm,GO:0005634 nucleus</t>
  </si>
  <si>
    <t>opHsV0400002876</t>
  </si>
  <si>
    <t>NM_152603</t>
  </si>
  <si>
    <t>ZNF567</t>
  </si>
  <si>
    <t>Zinc finger protein 567  [Source:UniProtKB/Swiss-Prot;Acc:Q8N184]</t>
  </si>
  <si>
    <t>H200013951</t>
  </si>
  <si>
    <t>NM_005831</t>
  </si>
  <si>
    <t>CALCOCO2</t>
  </si>
  <si>
    <t>GO:0016032 viral reproduction,GO:0034341 response to interferon-gamma</t>
  </si>
  <si>
    <t>GO:0005634 nucleus,GO:0005856 cytoskeleton,GO:0005737 cytoplasm,GO:0005794 Golgi apparatus,GO:0005625 soluble fraction,GO:0048471 perinuclear region of cytoplasm</t>
  </si>
  <si>
    <t>Ras-related protein Rap-1A Precursor (GTP-binding protein smg-p21A)(Ras-related protein Krev-1)(C21KG)(G-22K) [Source:UniProtKB/Swiss-Prot;Acc:P62834]</t>
  </si>
  <si>
    <t>GO:0007165 signal transduction,GO:0015031 protein transport,GO:0007264 small GTPase mediated signal transduction,GO:0006886 intracellular protein transport,GO:0045786 negative regulation of cell cycle,GO:0006913 nucleocytoplasmic transport</t>
  </si>
  <si>
    <t>GO:0005886 plasma membrane,GO:0005622 intracellular,GO:0005829 cytosol</t>
  </si>
  <si>
    <t>H200005069</t>
  </si>
  <si>
    <t>NM_018073</t>
  </si>
  <si>
    <t>TRIM68</t>
  </si>
  <si>
    <t>Tripartite motif-containing protein 68 (RING finger protein 137)(SSA protein SS-56)(SS-56) [Source:UniProtKB/Swiss-Prot;Acc:Q6AZZ1]</t>
  </si>
  <si>
    <t>GO:0016021 integral to membrane,GO:0005575 cellular_component,GO:0016020 membrane</t>
  </si>
  <si>
    <t>RASGRP3</t>
  </si>
  <si>
    <t>Vacuolar protein sorting-associated protein 37A (hVps37A)(Hepatocellular carcinoma-related protein 1) [Source:UniProtKB/Swiss-Prot;Acc:Q8NEZ2]</t>
  </si>
  <si>
    <t>GO:0016020 membrane,GO:0005634 nucleus,GO:0005737 cytoplasm,GO:0005768 endosome,GO:0031902 late endosome membrane</t>
  </si>
  <si>
    <t>H300018946</t>
  </si>
  <si>
    <t>NM_001938</t>
  </si>
  <si>
    <t>DR1</t>
  </si>
  <si>
    <t>Delta-1-pyrroline-5-carboxylate dehydrogenase, mitochondrial Precursor (P5C dehydrogenase)(EC 1.5.1.12)(Aldehyde dehydrogenase family 4 member A1) [Source:UniProtKB/Swiss-Prot;Acc:P30038]</t>
  </si>
  <si>
    <t>GO:0008152 metabolic process,GO:0006561 proline biosynthetic process</t>
  </si>
  <si>
    <t>GO:0006355 regulation of transcription, DNA-dependent,GO:0007275 multicellular organismal development,GO:0009952 anterior/posterior pattern formation,GO:0048704 embryonic skeletal morphogenesis,GO:0009653 anatomical structure morphogenesis,GO:0045446 endothelial cell differentiation</t>
  </si>
  <si>
    <t>H200012767</t>
  </si>
  <si>
    <t>NM_001080397;NM_001080397</t>
  </si>
  <si>
    <t>SLC45A1</t>
  </si>
  <si>
    <t>Proton-associated sugar transporter A (PAST-A)(Solute carrier family 45 member 1)(Deleted in neuroblastoma 5 protein)(DNb-5) [Source:UniProtKB/Swiss-Prot;Acc:Q9Y2W3]</t>
  </si>
  <si>
    <t>GO:0008643 carbohydrate transport,GO:0015758 glucose transport,GO:0015758 glucose transport</t>
  </si>
  <si>
    <t>GO:0005351 sugar:hydrogen symporter activity,GO:0015293 symporter activity,GO:0005355 glucose transmembrane transporter activity,GO:0005355 glucose transmembrane transporter activity</t>
  </si>
  <si>
    <t>opHsV0400005471</t>
  </si>
  <si>
    <t>NM_016828;NM_016828;NM_016828;NM_016827;NM_016826;NM_016821;NM_016821;NM_016821;NM_016821</t>
  </si>
  <si>
    <t>Calcium-binding and coiled-coil domain-containing protein 2 (Nuclear domain 10 protein NDP52)(Nuclear domain 10 protein 52)(Nuclear dot protein 52)(Antigen nuclear dot 52 kDa protein) [Source:UniProtKB/Swiss-Prot;Acc:Q13137]</t>
  </si>
  <si>
    <t>H200000233</t>
  </si>
  <si>
    <t>NM_002884</t>
  </si>
  <si>
    <t>RAP1A</t>
  </si>
  <si>
    <t>Tubulin alpha-1A chain (Tubulin B-alpha-1)(Tubulin alpha-3 chain)(Alpha-tubulin 3) [Source:UniProtKB/Swiss-Prot;Acc:Q71U36]</t>
  </si>
  <si>
    <t>GO:0007018 microtubule-based movement,GO:0051258 protein polymerization,GO:0007017 microtubule-based process</t>
  </si>
  <si>
    <t>Interferon regulatory factor 9 (IRF-9)(Transcriptional regulator ISGF3 subunit gamma)(IFN-alpha-responsive transcription factor subunit)(Interferon-stimulated gene factor 3 gamma)(ISGF3 p48 subunit)(ISGF-3 gamma) [Source:UniProtKB/Swiss-Prot;Acc:Q00978]</t>
  </si>
  <si>
    <t>GO:0016491 oxidoreductase activity,GO:0003842 1-pyrroline-5-carboxylate dehydrogenase activity</t>
  </si>
  <si>
    <t>GO:0005759 mitochondrial matrix</t>
  </si>
  <si>
    <t>H200003159</t>
  </si>
  <si>
    <t>NM_002147</t>
  </si>
  <si>
    <t>HOXB5</t>
  </si>
  <si>
    <t>Homeobox protein Hox-B5 (Hox-2A)(HHO.C10)(HU-1) [Source:UniProtKB/Swiss-Prot;Acc:P09067]</t>
  </si>
  <si>
    <t>H200006452</t>
  </si>
  <si>
    <t>NM_001007593</t>
  </si>
  <si>
    <t>SMPD1</t>
  </si>
  <si>
    <t>Sphingomyelin phosphodiesterase Precursor (EC 3.1.4.12)(Acid sphingomyelinase)(aSMase) [Source:UniProtKB/Swiss-Prot;Acc:P17405]</t>
  </si>
  <si>
    <t>GO:0008152 metabolic process,GO:0007165 signal transduction,GO:0007186 G-protein coupled receptor protein signaling pathway,GO:0007399 nervous system development,GO:0006685 sphingomyelin catabolic process</t>
  </si>
  <si>
    <t>GO:0016787 hydrolase activity,GO:0016798 hydrolase activity, acting on glycosyl bonds,GO:0004767 sphingomyelin phosphodiesterase activity</t>
  </si>
  <si>
    <t>GO:0016021 integral to membrane,GO:0005764 lysosome</t>
  </si>
  <si>
    <t>opHsV0400002318</t>
  </si>
  <si>
    <t>NM_001008529;NM_001008529;NM_001008529</t>
  </si>
  <si>
    <t>H300017288</t>
  </si>
  <si>
    <t>AL133466.22</t>
  </si>
  <si>
    <t>Uncharacterized protein ENSP00000324580 (HCG2019008, isoform CRA_d)  [Source:UniProtKB/TrEMBL;Acc:A6NJM9]</t>
  </si>
  <si>
    <t>opHsV0400003264</t>
  </si>
  <si>
    <t>NM_001024211;NM_001024211;NM_001024211;NM_001024210</t>
  </si>
  <si>
    <t>S100A13</t>
  </si>
  <si>
    <t>Protein S100-A13 (S100 calcium-binding protein A13) [Source:UniProtKB/Swiss-Prot;Acc:Q99584]</t>
  </si>
  <si>
    <t>DHsGV10000511</t>
  </si>
  <si>
    <t>H300002294</t>
  </si>
  <si>
    <t>NM_006009</t>
  </si>
  <si>
    <t>TUBA1A</t>
  </si>
  <si>
    <t>CHsGV10003844</t>
  </si>
  <si>
    <t>NM_014844.2</t>
  </si>
  <si>
    <t>TECPR2</t>
  </si>
  <si>
    <t>WD repeat-containing protein KIAA0329/KIAA0297  [Source:UniProtKB/Swiss-Prot;Acc:O15040]</t>
  </si>
  <si>
    <t>Pantothenate kinase 1 (EC 2.7.1.33)(Pantothenic acid kinase 1)(hPanK1)(hPanK) [Source:UniProtKB/Swiss-Prot;Acc:Q8TE04]</t>
  </si>
  <si>
    <t>GO:0015937 coenzyme A biosynthetic process</t>
  </si>
  <si>
    <t>Ras guanyl-releasing protein 3 (Calcium and DAG-regulated guanine nucleotide exchange factor III)(Guanine nucleotide exchange factor for Rap1) [Source:UniProtKB/Swiss-Prot;Acc:Q8IV61]</t>
  </si>
  <si>
    <t>ALDH4A1</t>
  </si>
  <si>
    <t>GO:0008270 zinc ion binding,GO:0046872 metal ion binding,GO:0005096 GTPase activator activity,GO:0005099 Ras GTPase activator activity,GO:0050825 ice binding</t>
  </si>
  <si>
    <t>AHsV10000067</t>
  </si>
  <si>
    <t>NM_005531.2</t>
  </si>
  <si>
    <t>PANK1</t>
  </si>
  <si>
    <t>H200015765</t>
  </si>
  <si>
    <t>NM_006506</t>
  </si>
  <si>
    <t>RASA2</t>
  </si>
  <si>
    <t>Ras GTPase-activating protein 2 (GAP1m) [Source:UniProtKB/Swiss-Prot;Acc:Q15283]</t>
  </si>
  <si>
    <t>GO:0016020 membrane,GO:0005634 nucleus,GO:0005737 cytoplasm</t>
  </si>
  <si>
    <t>AHsV10002886</t>
  </si>
  <si>
    <t>NM_017737.3</t>
  </si>
  <si>
    <t>FNBP1L</t>
  </si>
  <si>
    <t>Formin-binding protein 1-like (Transducer of Cdc42-dependent actin assembly protein 1)(Toca-1) [Source:UniProtKB/Swiss-Prot;Acc:Q5T0N5]</t>
  </si>
  <si>
    <t>GO:0005515 protein binding,GO:0005524 ATP binding,GO:0000166 nucleotide binding,GO:0003824 catalytic activity,GO:0016874 ligase activity,GO:0003883 CTP synthase activity</t>
  </si>
  <si>
    <t>GO:0005829 cytosol,GO:0005575 cellular_component</t>
  </si>
  <si>
    <t>GO:0003676 nucleic acid binding,GO:0003723 RNA binding</t>
  </si>
  <si>
    <t>GO:0016787 hydrolase activity,GO:0000166 nucleotide binding,GO:0005524 ATP binding,GO:0003676 nucleic acid binding,GO:0017111 nucleoside-triphosphatase activity,GO:0004386 helicase activity,GO:0008026 ATP-dependent helicase activity</t>
  </si>
  <si>
    <t>opHsV0400001857</t>
  </si>
  <si>
    <t>NM_001037339;NM_001037339;NM_001037339;NM_001037339</t>
  </si>
  <si>
    <t>PDE4B</t>
  </si>
  <si>
    <t>cAMP-specific 3',5'-cyclic phosphodiesterase 4B (EC 3.1.4.17)(DPDE4)(PDE32) [Source:UniProtKB/Swiss-Prot;Acc:Q07343]</t>
  </si>
  <si>
    <t>GO:0016787 hydrolase activity,GO:0003824 catalytic activity,GO:0004114 3',5'-cyclic-nucleotide phosphodiesterase activity,GO:0004115 3',5'-cyclic-AMP phosphodiesterase activity</t>
  </si>
  <si>
    <t>GO:0005737 cytoplasm,GO:0005794 Golgi apparatus,GO:0005625 soluble fraction,GO:0005626 insoluble fraction</t>
  </si>
  <si>
    <t>AHsV10000277</t>
  </si>
  <si>
    <t>NM_001006638.1</t>
  </si>
  <si>
    <t>RAB37</t>
  </si>
  <si>
    <t>Ras-related protein Rab-37  [Source:UniProtKB/Swiss-Prot;Acc:Q96AX2]</t>
  </si>
  <si>
    <t>GO:0000166 nucleotide binding,GO:0005525 GTP binding,GO:0003924 GTPase activity,GO:0005198 structural molecule activity</t>
  </si>
  <si>
    <t>GO:0005874 microtubule,GO:0005737 cytoplasm,GO:0043234 protein complex</t>
  </si>
  <si>
    <t>H300006430</t>
  </si>
  <si>
    <t>NM_003748;NM_003748</t>
  </si>
  <si>
    <t>GO:0006629 lipid metabolic process,GO:0006810 transport,GO:0008654 phospholipid biosynthetic process,GO:0006633 fatty acid biosynthetic process,GO:0007267 cell-cell signaling,GO:0022900 electron transport chain,GO:0045449 regulation of transcription,GO:0006636 unsaturated fatty acid biosynthetic process,GO:0045595 regulation of cell differentiation,GO:0009267 cellular response to starvation,GO:0046456 icosanoid biosynthetic process</t>
  </si>
  <si>
    <t>GO:0005515 protein binding,GO:0005506 iron ion binding,GO:0020037 heme binding,GO:0016491 oxidoreductase activity,GO:0046914 transition metal ion binding,GO:0000248 C-5 sterol desaturase activity,GO:0016717 oxidoreductase activity, acting on paired donors, with oxidation of a pair of donors resulting in the reduction of molecular oxygen to two molecules of water</t>
  </si>
  <si>
    <t>GO:0016021 integral to membrane,GO:0016020 membrane,GO:0005624 membrane fraction,GO:0005792 microsome,GO:0005783 endoplasmic reticulum,GO:0005789 endoplasmic reticulum membrane</t>
  </si>
  <si>
    <t>CHsGV10001792</t>
  </si>
  <si>
    <t>NM_001905.2</t>
  </si>
  <si>
    <t>CTPS</t>
  </si>
  <si>
    <t>CTP synthase 1 (EC 6.3.4.2)(UTP--ammonia ligase 1)(CTP synthetase 1) [Source:UniProtKB/Swiss-Prot;Acc:P17812]</t>
  </si>
  <si>
    <t>GO:0042493 response to drug,GO:0006221 pyrimidine nucleotide biosynthetic process,GO:0006241 CTP biosynthetic process,GO:0006541 glutamine metabolic process</t>
  </si>
  <si>
    <t>GO:0006810 transport,GO:0006839 mitochondrial transport</t>
  </si>
  <si>
    <t>H300007240</t>
  </si>
  <si>
    <t>NM_182528</t>
  </si>
  <si>
    <t>C1QL2</t>
  </si>
  <si>
    <t>Complement C1q-like protein 2 Precursor  [Source:UniProtKB/Swiss-Prot;Acc:Q7Z5L3]</t>
  </si>
  <si>
    <t>H200013052</t>
  </si>
  <si>
    <t>NM_013402</t>
  </si>
  <si>
    <t>FADS1</t>
  </si>
  <si>
    <t>Fatty acid desaturase 1 (EC 1.14.19.-)(Delta(5) fatty acid desaturase)(Delta(5) desaturase)(D5D) [Source:UniProtKB/Swiss-Prot;Acc:O60427]</t>
  </si>
  <si>
    <t>GO:0005634 nucleus,GO:0005739 mitochondrion</t>
  </si>
  <si>
    <t>H300001559</t>
  </si>
  <si>
    <t>AL445238.12</t>
  </si>
  <si>
    <t>GO:0007165 signal transduction,GO:0007242 intracellular signaling cascade,GO:0051056 regulation of small GTPase mediated signal transduction,GO:0042309 homoiothermy,GO:0050826 response to freezing</t>
  </si>
  <si>
    <t>Guanine nucleotide-binding protein subunit alpha-12 (G-protein subunit alpha-12)(G alpha-12) [Source:UniProtKB/Swiss-Prot;Acc:Q03113]</t>
  </si>
  <si>
    <t>GO:0001701 in utero embryonic development,GO:0007165 signal transduction,GO:0007186 G-protein coupled receptor protein signaling pathway,GO:0007243 protein kinase cascade,GO:0007266 Rho protein signal transduction,GO:0007596 blood coagulation,GO:0008360 r</t>
  </si>
  <si>
    <t>opHsV0400003732</t>
  </si>
  <si>
    <t>NM_004593;NM_004593;NM_004593</t>
  </si>
  <si>
    <t>SFRS10</t>
  </si>
  <si>
    <t>Splicing factor, arginine/serine-rich 10 (Transformer-2-beta)(HTRA2-beta)(Transformer 2 protein homolog) [Source:UniProtKB/Swiss-Prot;Acc:P62995]</t>
  </si>
  <si>
    <t>GO:0008380 RNA splicing,GO:0000398 nuclear mRNA splicing, via spliceosome</t>
  </si>
  <si>
    <t>GO:0005515 protein binding,GO:0000166 nucleotide binding,GO:0003676 nucleic acid binding,GO:0003723 RNA binding,GO:0031202 RNA splicing factor activity, transesterification mechanism</t>
  </si>
  <si>
    <t>opHsV0400001932</t>
  </si>
  <si>
    <t>Peptide YY Precursor (PYY)(PYY-I)(Peptide tyrosine tyrosine) [Contains Peptide YY(3-36)(PYY-II)] [Source:UniProtKB/Swiss-Prot;Acc:P10082]</t>
  </si>
  <si>
    <t>H200013791</t>
  </si>
  <si>
    <t>NM_014680</t>
  </si>
  <si>
    <t>KIAA0100</t>
  </si>
  <si>
    <t>UPF0378 protein KIAA0100 Precursor (Breast cancer overexpressed gene 1 protein)(Antigen MLAA-22) [Source:UniProtKB/Swiss-Prot;Acc:Q14667]</t>
  </si>
  <si>
    <t>GO:0006099 tricarboxylic acid cycle</t>
  </si>
  <si>
    <t>GO:0008924 malate dehydrogenase (acceptor) activity</t>
  </si>
  <si>
    <t>H200005305</t>
  </si>
  <si>
    <t>NM_003756</t>
  </si>
  <si>
    <t>EIF3H</t>
  </si>
  <si>
    <t>GO:0006886 intracellular protein transport,GO:0006913 nucleocytoplasmic transport,GO:0006952 defense response,GO:0007165 signal transduction,GO:0007264 small GTPase mediated signal transduction,GO:0015031 protein transport</t>
  </si>
  <si>
    <t>Guanine nucleotide-binding protein G(I)/G(S)/G(O) subunit gamma-2 Precursor (G gamma-I) [Source:UniProtKB/Swiss-Prot;Acc:P59768]</t>
  </si>
  <si>
    <t>GO:0007165 signal transduction,GO:0007186 G-protein coupled receptor protein signaling pathway,GO:0008283 cell proliferation,GO:0009755 hormone-mediated signaling</t>
  </si>
  <si>
    <t>GO:0005886 plasma membrane,GO:0005794 Golgi apparatus,GO:0005834 heterotrimeric G-protein complex</t>
  </si>
  <si>
    <t>GO:0005634 nucleus,GO:0005737 cytoplasm,GO:0005829 cytosol,GO:0000502 proteasome complex</t>
  </si>
  <si>
    <t>H200001640</t>
  </si>
  <si>
    <t>NM_015516</t>
  </si>
  <si>
    <t>TSKU</t>
  </si>
  <si>
    <t>Tsukushin Precursor (Tsukushi)(Leucine-rich repeat-containing protein 54)(E2-induced gene 4 protein) [Source:UniProtKB/Swiss-Prot;Acc:Q8WUA8]</t>
  </si>
  <si>
    <t>H300022142</t>
  </si>
  <si>
    <t>NM_017950;NM_017950</t>
  </si>
  <si>
    <t>CCDC40</t>
  </si>
  <si>
    <t>Coiled-coil domain-containing protein 40  [Source:UniProtKB/Swiss-Prot;Acc:Q4G0X9]</t>
  </si>
  <si>
    <t>opHsV0400003942</t>
  </si>
  <si>
    <t>AC025283.6</t>
  </si>
  <si>
    <t>H300009221</t>
  </si>
  <si>
    <t>NM_004160</t>
  </si>
  <si>
    <t>PYY</t>
  </si>
  <si>
    <t>NM_052827;NM_052827</t>
  </si>
  <si>
    <t>CDK2</t>
  </si>
  <si>
    <t>Cell division protein kinase 2 (EC 2.7.11.22)(p33 protein kinase) [Source:UniProtKB/Swiss-Prot;Acc:P24941]</t>
  </si>
  <si>
    <t>GO:0006468 protein amino acid phosphorylation,GO:0007049 cell cycle,GO:0007067 mitosis,GO:0051301 cell division,GO:0000086 G2/M transition of mitotic cell cycle,GO:0008284 positive regulation of cell proliferation,GO:0007089 traversing start control point of mitotic cell cycle,GO:0006275 regulation of DNA replication</t>
  </si>
  <si>
    <t>cDNA FLJ25694 fis, clone TST04471  [Source:UniProtKB/TrEMBL;Acc:Q8N7F4]</t>
  </si>
  <si>
    <t>NM_138399;NM_001011655;NM_001011655</t>
  </si>
  <si>
    <t>TMEM44</t>
  </si>
  <si>
    <t>Transmembrane protein 44  [Source:UniProtKB/Swiss-Prot;Acc:Q2T9K0]</t>
  </si>
  <si>
    <t>GO:0005739 mitochondrion,GO:0005743 mitochondrial inner membrane,GO:0016020 membrane</t>
  </si>
  <si>
    <t>H300020639</t>
  </si>
  <si>
    <t>NM_001683;NM_001001331;NM_001001331</t>
  </si>
  <si>
    <t>ATP2B2</t>
  </si>
  <si>
    <t>Plasma membrane calcium-transporting ATPase 2 (PMCA2)(EC 3.6.3.8)(Plasma membrane calcium ATPase isoform 2)(Plasma membrane calcium pump isoform 2) [Source:UniProtKB/Swiss-Prot;Acc:Q01814]</t>
  </si>
  <si>
    <t>AHsV10001117</t>
  </si>
  <si>
    <t>NM_007353.2</t>
  </si>
  <si>
    <t>GNA12</t>
  </si>
  <si>
    <t>26S protease regulatory subunit S10B (Proteasome 26S subunit ATPase 6)(Proteasome subunit p42) [Source:UniProtKB/Swiss-Prot;Acc:P62333]</t>
  </si>
  <si>
    <t>GO:0006511 ubiquitin-dependent protein catabolic process,GO:0030163 protein catabolic process,GO:0031145 anaphase-promoting complex-dependent proteasomal ubiquitin-dependent protein catabolic process,GO:0051436 negative regulation of ubiquitin-protein ligase activity during mitotic cell cycle,GO:0051437 positive regulation of ubiquitin-protein ligase activity during mitotic cell cycle</t>
  </si>
  <si>
    <t>GO:0016787 hydrolase activity,GO:0000166 nucleotide binding,GO:0005524 ATP binding,GO:0017111 nucleoside-triphosphatase activity,GO:0016887 ATPase activity,GO:0030674 protein binding, bridging</t>
  </si>
  <si>
    <t>Beta-galactoside alpha-2,6-sialyltransferase 1 (EC 2.4.99.1)(CMP-N-acetylneuraminate-beta-galactosamide-alpha-2,6-sialyltransferase 1)(Alpha 2,6-ST)(Sialyltransferase 1)(ST6Gal I)(B-cell antigen CD75) [Source:UniProtKB/Swiss-Prot;Acc:P15907]</t>
  </si>
  <si>
    <t>GO:0008373 sialyltransferase activity</t>
  </si>
  <si>
    <t>H300018427</t>
  </si>
  <si>
    <t>NM_004376;NM_004376</t>
  </si>
  <si>
    <t>COX15</t>
  </si>
  <si>
    <t>Cytochrome c oxidase assembly protein COX15 homolog  [Source:UniProtKB/Swiss-Prot;Acc:Q7KZN9]</t>
  </si>
  <si>
    <t>GO:0006461 protein complex assembly</t>
  </si>
  <si>
    <t>GO:0003700 transcription factor activity,GO:0004871 signal transducer activity,GO:0030528 transcription regulator activity</t>
  </si>
  <si>
    <t>H200002802</t>
  </si>
  <si>
    <t>CHsGV10000519</t>
  </si>
  <si>
    <t>NM_003622.2;NM_177444.1</t>
  </si>
  <si>
    <t>PPFIBP1</t>
  </si>
  <si>
    <t>Eukaryotic translation initiation factor 3 subunit H (eIF3h)(Eukaryotic translation initiation factor 3 subunit 3)(eIF-3 gamma)(eIF3 p40 subunit) [Source:UniProtKB/Swiss-Prot;Acc:O15372]</t>
  </si>
  <si>
    <t>GO:0006412 translation,GO:0006446 regulation of translational initiation</t>
  </si>
  <si>
    <t>GO:0005515 protein binding,GO:0003743 translation initiation factor activity</t>
  </si>
  <si>
    <t>GO:0005829 cytosol,GO:0005852 eukaryotic translation initiation factor 3 complex</t>
  </si>
  <si>
    <t>H300006570</t>
  </si>
  <si>
    <t>AP000769.5</t>
  </si>
  <si>
    <t>opHsV0400006525</t>
  </si>
  <si>
    <t>NM_053064</t>
  </si>
  <si>
    <t>GNG2</t>
  </si>
  <si>
    <t>V-type proton ATPase 116 kDa subunit a isoform 2 (V-ATPase 116 kDa isoform a2)(Vacuolar proton translocating ATPase 116 kDa subunit a isoform 2)(Lysosomal H(+)-transporting ATPase V0 subunit a2)(TJ6) [Source:UniProtKB/Swiss-Prot;Acc:Q9Y487]</t>
  </si>
  <si>
    <t>GO:0005886 plasma membrane,GO:0016021 integral to membrane,GO:0005768 endosome,GO:0001669 acrosome,GO:0010008 endosome membrane,GO:0033177 proton-transporting two-sector ATPase complex, proton-transporting domain</t>
  </si>
  <si>
    <t>GO:0006355 regulation of transcription, DNA-dependent,GO:0007165 signal transduction,GO:0045449 regulation of transcription</t>
  </si>
  <si>
    <t>H300000675</t>
  </si>
  <si>
    <t>ZNF578</t>
  </si>
  <si>
    <t>Zinc finger protein 578  [Source:UniProtKB/Swiss-Prot;Acc:Q96N58]</t>
  </si>
  <si>
    <t>AHsV10002342</t>
  </si>
  <si>
    <t>NM_002417.3</t>
  </si>
  <si>
    <t>MKI67</t>
  </si>
  <si>
    <t>Antigen KI-67  [Source:UniProtKB/Swiss-Prot;Acc:P46013]</t>
  </si>
  <si>
    <t>GO:0007049 cell cycle,GO:0008283 cell proliferation</t>
  </si>
  <si>
    <t>GO:0016491 oxidoreductase activity,GO:0009055 electron carrier activity,GO:0050660 FAD binding,GO:0051537 2 iron, 2 sulfur cluster binding</t>
  </si>
  <si>
    <t>Something about silencing protein 10 (Disrupter of silencing SAS10)(UTP3 homolog)(Charged amino acid-rich leucine zipper 1)(CRL1) [Source:UniProtKB/Swiss-Prot;Acc:Q9NQZ2]</t>
  </si>
  <si>
    <t>GO:0016568 chromatin modification,GO:0007275 multicellular organismal development,GO:0007420 brain development</t>
  </si>
  <si>
    <t>H300009327</t>
  </si>
  <si>
    <t>FAM71E2</t>
  </si>
  <si>
    <t>Protein FAM71E2  [Source:UniProtKB/Swiss-Prot;Acc:Q8N5Q1]</t>
  </si>
  <si>
    <t>opHsV0400000503</t>
  </si>
  <si>
    <t>NM_138381</t>
  </si>
  <si>
    <t>OXNAD1</t>
  </si>
  <si>
    <t>GO:0016740 transferase activity,GO:0000166 nucleotide binding,GO:0005524 ATP binding,GO:0042802 identical protein binding,GO:0004674 protein serine/threonine kinase activity,GO:0004713 protein tyrosine kinase activity,GO:0004672 protein kinase activity,GO:0004693 cyclin-dependent protein kinase activity,GO:0004707 MAP kinase activity,GO:0035173 histone kinase activity</t>
  </si>
  <si>
    <t>GO:0005634 nucleus,GO:0005737 cytoplasm,GO:0005829 cytosol,GO:0005654 nucleoplasm,GO:0000307 cyclin-dependent protein kinase holoenzyme complex</t>
  </si>
  <si>
    <t>H300002353</t>
  </si>
  <si>
    <t>NM_002806</t>
  </si>
  <si>
    <t>PSMC6</t>
  </si>
  <si>
    <t>Apoptosis-inducing factor 3 (EC 1.-.-.-)(Apoptosis-inducing factor-like protein) [Source:UniProtKB/Swiss-Prot;Acc:Q96NN9]</t>
  </si>
  <si>
    <t>H200019016</t>
  </si>
  <si>
    <t>NM_020368</t>
  </si>
  <si>
    <t>UTP3</t>
  </si>
  <si>
    <t>Liprin-alpha-1 (Protein tyrosine phosphatase receptor type f polypeptide-interacting protein alpha-1)(PTPRF-interacting protein alpha-1)(LAR-interacting protein 1)(LIP.1) [Source:UniProtKB/Swiss-Prot;Acc:Q13136]</t>
  </si>
  <si>
    <t>GO:0007165 signal transduction,GO:0007160 cell-matrix adhesion</t>
  </si>
  <si>
    <t>GO:0005515 protein binding,GO:0004871 signal transducer activity</t>
  </si>
  <si>
    <t>GO:0006935 chemotaxis</t>
  </si>
  <si>
    <t>GO:0005125 cytokine activity</t>
  </si>
  <si>
    <t>H300020434</t>
  </si>
  <si>
    <t>NM_003139</t>
  </si>
  <si>
    <t>SRPR</t>
  </si>
  <si>
    <t>GO:0016021 integral to membrane,GO:0016020 membrane,GO:0005783 endoplasmic reticulum,GO:0005789 endoplasmic reticulum membrane,GO:0005786 signal recognition particle, endoplasmic reticulum targeting,GO:0048500 signal recognition particle,GO:0005785 signal recognition particle receptor complex</t>
  </si>
  <si>
    <t>MXRA7</t>
  </si>
  <si>
    <t>Matrix-remodeling-associated protein 7 (Transmembrane anchor protein 1) [Source:UniProtKB/Swiss-Prot;Acc:P84157]</t>
  </si>
  <si>
    <t>H300019470</t>
  </si>
  <si>
    <t>NM_016481</t>
  </si>
  <si>
    <t>C9orf156</t>
  </si>
  <si>
    <t>Nef-associated protein 1 (EC 3.1.2.-)(Thioesterase NAP1) [Source:UniProtKB/Swiss-Prot;Acc:Q9BU70]</t>
  </si>
  <si>
    <t>GO:0016787 hydrolase activity</t>
  </si>
  <si>
    <t>H200006596</t>
  </si>
  <si>
    <t>NM_006633</t>
  </si>
  <si>
    <t>IQGAP2</t>
  </si>
  <si>
    <t>Ras GTPase-activating-like protein IQGAP2  [Source:UniProtKB/Swiss-Prot;Acc:Q13576]</t>
  </si>
  <si>
    <t>Liprin-beta-1 (Protein tyrosine phosphatase receptor type f polypeptide-interacting protein-binding protein 1)(PTPRF-interacting protein-binding protein 1)(hSGT2) [Source:UniProtKB/Swiss-Prot;Acc:Q86W92]</t>
  </si>
  <si>
    <t>GO:0015074 DNA integration</t>
  </si>
  <si>
    <t>GO:0003677 DNA binding,GO:0008907 integrase activity</t>
  </si>
  <si>
    <t>H300010213</t>
  </si>
  <si>
    <t>NM_181050;NM_181050</t>
  </si>
  <si>
    <t>AXIN1</t>
  </si>
  <si>
    <t>Axin-1 (Axis inhibition protein 1)(hAxin) [Source:UniProtKB/Swiss-Prot;Acc:O15169]</t>
  </si>
  <si>
    <t>H200000640</t>
  </si>
  <si>
    <t>NM_003032</t>
  </si>
  <si>
    <t>ST6GAL1</t>
  </si>
  <si>
    <t>opHsV0400005028</t>
  </si>
  <si>
    <t>NM_012463</t>
  </si>
  <si>
    <t>ATP6V0A2</t>
  </si>
  <si>
    <t>Signal recognition particle receptor subunit alpha (SR-alpha)(Docking protein alpha)(DP-alpha) [Source:UniProtKB/Swiss-Prot;Acc:P08240]</t>
  </si>
  <si>
    <t>GO:0006886 intracellular protein transport,GO:0006614 SRP-dependent cotranslational protein targeting to membrane</t>
  </si>
  <si>
    <t>GO:0000166 nucleotide binding,GO:0005525 GTP binding,GO:0003924 GTPase activity,GO:0004872 receptor activity,GO:0017111 nucleoside-triphosphatase activity,GO:0008312 7S RNA binding,GO:0005047 signal recognition particle binding</t>
  </si>
  <si>
    <t>GO:0005634 nucleus,GO:0005667 transcription factor complex,GO:0005654 nucleoplasm</t>
  </si>
  <si>
    <t>GO:0008152 metabolic process,GO:0006629 lipid metabolic process,GO:0006631 fatty acid metabolic process</t>
  </si>
  <si>
    <t>opHsV0400004009</t>
  </si>
  <si>
    <t>RP11-280G19.2</t>
  </si>
  <si>
    <t>opHsV0400001894</t>
  </si>
  <si>
    <t>NM_020400</t>
  </si>
  <si>
    <t>LPAR5</t>
  </si>
  <si>
    <t>Lysophosphatidic acid receptor 5 (LPA receptor 5)(LPA-5)(G-protein coupled receptor 92)(G-protein coupled receptor 93) [Source:UniProtKB/Swiss-Prot;Acc:Q9H1C0]</t>
  </si>
  <si>
    <t>GO:0004872 receptor activity,GO:0004930 G-protein coupled receptor activity,GO:0003674 molecular_function,GO:0045028 purinergic nucleotide receptor activity, G-protein coupled</t>
  </si>
  <si>
    <t>H300011373</t>
  </si>
  <si>
    <t>GIGYF2</t>
  </si>
  <si>
    <t>PERQ amino acid-rich with GYF domain-containing protein 2 (GRB10-interacting GYF protein 2)(Trinucleotide repeat-containing gene 15 protein) [Source:UniProtKB/Swiss-Prot;Acc:Q6Y7W6]</t>
  </si>
  <si>
    <t>GO:0006811 ion transport,GO:0006955 immune response,GO:0015992 proton transport,GO:0015986 ATP synthesis coupled proton transport</t>
  </si>
  <si>
    <t>GO:0005515 protein binding,GO:0015078 hydrogen ion transmembrane transporter activity</t>
  </si>
  <si>
    <t>Oxidoreductase NAD-binding domain-containing protein 1 Precursor (EC 1.-.-.-) [Source:UniProtKB/Swiss-Prot;Acc:Q96HP4]</t>
  </si>
  <si>
    <t>GO:0016491 oxidoreductase activity,GO:0009055 electron carrier activity</t>
  </si>
  <si>
    <t>GO:0000166 nucleotide binding,GO:0005515 protein binding,GO:0005524 ATP binding</t>
  </si>
  <si>
    <t>GO:0005634 nucleus,GO:0005730 nucleolus</t>
  </si>
  <si>
    <t>opHsV0400006581</t>
  </si>
  <si>
    <t>NM_001018060;NM_001018060</t>
  </si>
  <si>
    <t>AIFM3</t>
  </si>
  <si>
    <t>GO:0019885 antigen processing and presentation of endogenous peptide antigen via MHC class I</t>
  </si>
  <si>
    <t>AHsV10001418</t>
  </si>
  <si>
    <t>NM_015013.2</t>
  </si>
  <si>
    <t>AOF2</t>
  </si>
  <si>
    <t>Lysine-specific histone demethylase 1 (EC 1.-.-.-)(Flavin-containing amine oxidase domain-containing protein 2)(BRAF35-HDAC complex protein BHC110) [Source:UniProtKB/Swiss-Prot;Acc:O60341]</t>
  </si>
  <si>
    <t>H300000747</t>
  </si>
  <si>
    <t>AL132986.4</t>
  </si>
  <si>
    <t>H300007970</t>
  </si>
  <si>
    <t>NM_004926</t>
  </si>
  <si>
    <t>ZFP36L1</t>
  </si>
  <si>
    <t>Butyrate response factor 1 (Protein TIS11B)(EGF-response factor 1)(ERF-1) [Source:UniProtKB/Swiss-Prot;Acc:Q07352]</t>
  </si>
  <si>
    <t>GO:0006417 regulation of translation,GO:0001570 vasculogenesis,GO:0043488 regulation of mRNA stability,GO:0000288 nuclear-transcribed mRNA catabolic process, deadenylation-dependent decay</t>
  </si>
  <si>
    <t>H200017773</t>
  </si>
  <si>
    <t>NM_004286</t>
  </si>
  <si>
    <t>GTPBP1</t>
  </si>
  <si>
    <t>GTP-binding protein 1 (G-protein 1)(GP-1)(GP1) [Source:UniProtKB/Swiss-Prot;Acc:O00178]</t>
  </si>
  <si>
    <t>GO:0007165 signal transduction,GO:0007018 microtubule-based movement,GO:0006955 immune response,GO:0007264 small GTPase mediated signal transduction</t>
  </si>
  <si>
    <t>GO:0003777 microtubule motor activity,GO:0000166 nucleotide binding,GO:0005524 ATP binding,GO:0005525 GTP binding,GO:0003924 GTPase activity</t>
  </si>
  <si>
    <t>GO:0005875 microtubule associated complex</t>
  </si>
  <si>
    <t>CHsGV10000711</t>
  </si>
  <si>
    <t>H300005380</t>
  </si>
  <si>
    <t>AL158200.17</t>
  </si>
  <si>
    <t>H200006980</t>
  </si>
  <si>
    <t>SELL</t>
  </si>
  <si>
    <t>GO:0007165 signal transduction,GO:0051056 regulation of small GTPase mediated signal transduction,GO:0007264 small GTPase mediated signal transduction,GO:0006122 mitochondrial electron transport, ubiquinol to cytochrome c</t>
  </si>
  <si>
    <t>GO:0005515 protein binding,GO:0005096 GTPase activator activity,GO:0008121 ubiquinol-cytochrome-c reductase activity,GO:0005099 Ras GTPase activator activity</t>
  </si>
  <si>
    <t>opHsV0400006695</t>
  </si>
  <si>
    <t>NM_003626;NM_003626</t>
  </si>
  <si>
    <t>PPFIA1</t>
  </si>
  <si>
    <t>opHsV0400008690</t>
  </si>
  <si>
    <t>TNRC18C</t>
  </si>
  <si>
    <t>Uncharacterized protein ENSP00000343301 Fragment  [Source:UniProtKB/TrEMBL;Acc:A6NFZ9]</t>
  </si>
  <si>
    <t>GO:0007275 multicellular organismal development,GO:0000122 negative regulation of transcription from RNA polymerase II promoter,GO:0007507 heart development,GO:0016481 negative regulation of transcription,GO:0045449 regulation of transcription,GO:0043433 negative regulation of transcription factor activity,GO:0043353 enucleate erythrocyte differentiation,GO:0045651 positive regulation of macrophage differentiation</t>
  </si>
  <si>
    <t>GO:0005515 protein binding,GO:0030528 transcription regulator activity,GO:0016564 transcription repressor activity</t>
  </si>
  <si>
    <t>GO:0005515 protein binding,GO:0008270 zinc ion binding,GO:0046872 metal ion binding,GO:0003700 transcription factor activity,GO:0003676 nucleic acid binding,GO:0003729 mRNA binding,GO:0003729 mRNA binding</t>
  </si>
  <si>
    <t>GO:0005634 nucleus,GO:0005737 cytoplasm,GO:0005829 cytosol,GO:0005829 cytosol</t>
  </si>
  <si>
    <t>opHsV0400007510</t>
  </si>
  <si>
    <t>NM_015154</t>
  </si>
  <si>
    <t>MESDC2</t>
  </si>
  <si>
    <t>Mesoderm development candidate 2 (Renal carcinoma antigen NY-REN-61) [Source:UniProtKB/Swiss-Prot;Acc:Q14696]</t>
  </si>
  <si>
    <t>GO:0007498 mesoderm development</t>
  </si>
  <si>
    <t>NM_144611.3</t>
  </si>
  <si>
    <t>CYB5D2</t>
  </si>
  <si>
    <t>Cytochrome b5 domain-containing protein 2  [Source:UniProtKB/Swiss-Prot;Acc:Q8WUJ1]</t>
  </si>
  <si>
    <t>GO:0020037 heme binding</t>
  </si>
  <si>
    <t>AHsV10001965</t>
  </si>
  <si>
    <t>NM_016287.3</t>
  </si>
  <si>
    <t>HP1BP3</t>
  </si>
  <si>
    <t>Heterochromatin protein 1-binding protein 3 (Protein HP1-BP74) [Source:UniProtKB/Swiss-Prot;Acc:Q5SSJ5]</t>
  </si>
  <si>
    <t>GO:0000786 nucleosome,GO:0005634 nucleus,GO:0005694 chromosome</t>
  </si>
  <si>
    <t>H300003362</t>
  </si>
  <si>
    <t>NM_001912;NM_001912</t>
  </si>
  <si>
    <t>CTSL1</t>
  </si>
  <si>
    <t>GO:0003700 transcription factor activity,GO:0008134 transcription factor binding,GO:0009055 electron carrier activity,GO:0016491 oxidoreductase activity,GO:0050660 FAD binding,GO:0050825 ice binding</t>
  </si>
  <si>
    <t>GO:0000122 negative regulation of transcription from RNA polymerase II promoter,GO:0001701 in utero embryonic development,GO:0006355 regulation of transcription, DNA-dependent,GO:0008283 cell proliferation,GO:0016568 chromatin modification,GO:0016577 hist</t>
  </si>
  <si>
    <t>NM_004985;NM_033360;NM_033360</t>
  </si>
  <si>
    <t>KRAS</t>
  </si>
  <si>
    <t>GTPase KRas Precursor (K-Ras 2)(Ki-Ras)(c-K-ras)(c-Ki-ras) [Source:UniProtKB/Swiss-Prot;Acc:P01116]</t>
  </si>
  <si>
    <t>GO:0005788 endoplasmic reticulum lumen,GO:0005783 endoplasmic reticulum</t>
  </si>
  <si>
    <t>H300021046</t>
  </si>
  <si>
    <t>NM_152307;NM_152307;NM_152307</t>
  </si>
  <si>
    <t>TRMT61A</t>
  </si>
  <si>
    <t>opHsV0400002139</t>
  </si>
  <si>
    <t>AC002351.2</t>
  </si>
  <si>
    <t>Putative uncharacterized protein  [Source:UniProtKB/TrEMBL;Acc:Q8IVN4]</t>
  </si>
  <si>
    <t>H200002327</t>
  </si>
  <si>
    <t>NM_018167;NM_018167</t>
  </si>
  <si>
    <t>BTBD7</t>
  </si>
  <si>
    <t>BTB/POZ domain-containing protein 7  [Source:UniProtKB/Swiss-Prot;Acc:Q9P203]</t>
  </si>
  <si>
    <t>GO:0005515 protein binding,GO:0050825 ice binding</t>
  </si>
  <si>
    <t>GO:0007165 signal transduction,GO:0015031 protein transport,GO:0006915 apoptosis,GO:0007264 small GTPase mediated signal transduction,GO:0006897 endocytosis,GO:0008284 positive regulation of cell proliferation,GO:0006886 intracellular protein transport,GO:0007265 Ras protein signal transduction,GO:0030036 actin cytoskeleton organization,GO:0006913 nucleocytoplasmic transport,GO:0048169 regulation of long-term neuronal synaptic plasticity,GO:0007569 cell aging,GO:0035022 positive regulation of Rac protein signal transduction,GO:0043524 negative regulation of neuron apoptosis,GO:0008542 visual learning,GO:0032228 regulation of synaptic transmission, GABAergic,GO:0051146 striated muscle cell differentiation</t>
  </si>
  <si>
    <t>GO:0005515 protein binding,GO:0005525 GTP binding,GO:0003924 GTPase activity</t>
  </si>
  <si>
    <t>GO:0005886 plasma membrane,GO:0005622 intracellular,GO:0005624 membrane fraction</t>
  </si>
  <si>
    <t>L-selectin Precursor (Lymph node homing receptor)(Leukocyte adhesion molecule 1)(LAM-1)(Leukocyte surface antigen Leu-8)(TQ1)(gp90-MEL)(Leukocyte-endothelial cell adhesion molecule 1)(LECAM1)(CD62 antigen-like family member L)(CD62L antigen) [Source:UniProtKB/Swiss-Prot;Acc:P14151]</t>
  </si>
  <si>
    <t>GO:0005509 calcium ion binding,GO:0005515 protein binding,GO:0005488 binding,GO:0005529 sugar binding</t>
  </si>
  <si>
    <t>GO:0016429 tRNA (adenine-N1-)-methyltransferase activity</t>
  </si>
  <si>
    <t>opHsV0400004816</t>
  </si>
  <si>
    <t>NM_032506;NM_032506;NM_032506</t>
  </si>
  <si>
    <t>KIAA1841</t>
  </si>
  <si>
    <t>Uncharacterized protein KIAA1841  [Source:UniProtKB/Swiss-Prot;Acc:Q6NSI8]</t>
  </si>
  <si>
    <t>H300003388</t>
  </si>
  <si>
    <t>NM_005239</t>
  </si>
  <si>
    <t>ETS2</t>
  </si>
  <si>
    <t>Protein C-ets-2  [Source:UniProtKB/Swiss-Prot;Acc:P15036]</t>
  </si>
  <si>
    <t>GO:0006355 regulation of transcription, DNA-dependent,GO:0045893 positive regulation of transcription, DNA-dependent,GO:0001501 skeletal development</t>
  </si>
  <si>
    <t>H300022039</t>
  </si>
  <si>
    <t>NM_018433;NM_018433</t>
  </si>
  <si>
    <t>JMJD1A</t>
  </si>
  <si>
    <t>JmjC domain-containing histone demethylation protein 2A (EC 1.14.11.-)(Jumonji domain-containing protein 1A) [Source:UniProtKB/Swiss-Prot;Acc:Q9Y4C1]</t>
  </si>
  <si>
    <t>GO:0006355 regulation of transcription, DNA-dependent,GO:0016568 chromatin modification,GO:0055114 oxidation reduction,GO:0007242 intracellular signaling cascade,GO:0045941 positive regulation of transcription,GO:0009755 hormone-mediated signaling,GO:0030521 androgen receptor signaling pathway,GO:0033169 histone H3-K9 demethylation,GO:0046293 formaldehyde biosynthetic process</t>
  </si>
  <si>
    <t>GO:0008270 zinc ion binding,GO:0046872 metal ion binding,GO:0005506 iron ion binding,GO:0016491 oxidoreductase activity,GO:0016702 oxidoreductase activity, acting on single donors with incorporation of molecular oxygen, incorporation of two atoms of oxygen,GO:0050681 androgen receptor binding</t>
  </si>
  <si>
    <t>CHsGV10003512</t>
  </si>
  <si>
    <t>NM_001145448.1;NM_001145447.1;NM_003454.3;NM_001145446.1;NM_198088.2;NM_198087.2</t>
  </si>
  <si>
    <t>ZNF200</t>
  </si>
  <si>
    <t>Cathepsin L1 Precursor (EC 3.4.22.15)(Major excreted protein)(MEP) [Contains Cathepsin L1 heavy chain;Cathepsin L1 light chain] [Source:UniProtKB/Swiss-Prot;Acc:P07711]</t>
  </si>
  <si>
    <t>GO:0005576 extracellular region,GO:0005764 lysosome</t>
  </si>
  <si>
    <t>GO:0007275 multicellular organismal development,GO:0045449 regulation of transcription</t>
  </si>
  <si>
    <t>DHsGV10002321</t>
  </si>
  <si>
    <t>H300010220</t>
  </si>
  <si>
    <t>NM_002166;NM_002166</t>
  </si>
  <si>
    <t>ID2</t>
  </si>
  <si>
    <t>DNA-binding protein inhibitor ID-2 (Inhibitor of DNA binding 2) [Source:UniProtKB/Swiss-Prot;Acc:Q02363]</t>
  </si>
  <si>
    <t>H300019344</t>
  </si>
  <si>
    <t>GO:0007165 signal transduction,GO:0006811 ion transport,GO:0006355 regulation of transcription, DNA-dependent,GO:0006813 potassium ion transport,GO:0000160 two-component signal transduction system (phosphorelay)</t>
  </si>
  <si>
    <t>GO:0005249 voltage-gated potassium channel activity,GO:0004871 signal transducer activity,GO:0005216 ion channel activity,GO:0000155 two-component sensor activity</t>
  </si>
  <si>
    <t>H300019063</t>
  </si>
  <si>
    <t>NM_017453;NM_017454;NM_017454;NM_017454;NM_017454;NM_004602</t>
  </si>
  <si>
    <t>STAU1</t>
  </si>
  <si>
    <t>PIK3CG</t>
  </si>
  <si>
    <t>Phosphatidylinositol-4,5-bisphosphate 3-kinase catalytic subunit gamma isoform (EC 2.7.1.153)(PI3-kinase p110 subunit gamma)(PtdIns-3-kinase subunit p110)(PI3Kgamma)(PI3K)(p120-PI3K) [Source:UniProtKB/Swiss-Prot;Acc:P48736]</t>
  </si>
  <si>
    <t>GO:0006468 protein amino acid phosphorylation,GO:0007186 G-protein coupled receptor protein signaling pathway,GO:0048015 phosphoinositide-mediated signaling,GO:0046854 phosphoinositide phosphorylation,GO:0043066 negative regulation of apoptosis</t>
  </si>
  <si>
    <t>GO:0016740 transferase activity,GO:0005515 protein binding,GO:0005488 binding,GO:0046934 phosphatidylinositol-4,5-bisphosphate 3-kinase activity,GO:0016773 phosphotransferase activity, alcohol group as acceptor,GO:0004428 inositol or phosphatidylinositol kinase activity,GO:0016303 1-phosphatidylinositol-3-kinase activity</t>
  </si>
  <si>
    <t>H200010355</t>
  </si>
  <si>
    <t>NM_021602;NM_021602;NM_021602</t>
  </si>
  <si>
    <t>CD79B</t>
  </si>
  <si>
    <t>Cell division protein kinase 4 (EC 2.7.11.22)(Cyclin-dependent kinase 4)(PSK-J3) [Source:UniProtKB/Swiss-Prot;Acc:P11802]</t>
  </si>
  <si>
    <t>Zinc finger protein 200  [Source:UniProtKB/Swiss-Prot;Acc:P98182]</t>
  </si>
  <si>
    <t>GO:0008150 biological_process,GO:0045449 regulation of transcription</t>
  </si>
  <si>
    <t>GO:0003674 molecular_function,GO:0008270 zinc ion binding,GO:0003676 nucleic acid binding,GO:0046872 metal ion binding</t>
  </si>
  <si>
    <t>tRNA (adenine-N(1)-)-methyltransferase catalytic subunit TRM61 (EC 2.1.1.36)(tRNA(m1A58)-methyltransferase subunit TRM61)(tRNA(m1A58)MTase subunit TRM61) [Source:UniProtKB/Swiss-Prot;Acc:Q96FX7]</t>
  </si>
  <si>
    <t>GO:0030488 tRNA methylation</t>
  </si>
  <si>
    <t>GO:0000307 cyclin-dependent protein kinase holoenzyme complex,GO:0005634 nucleus,GO:0005654 nucleoplasm,GO:0005667 transcription factor complex,GO:0005829 cytosol</t>
  </si>
  <si>
    <t>GO:0005515 protein binding,GO:0015026 coreceptor activity</t>
  </si>
  <si>
    <t>GO:0005886 plasma membrane,GO:0005576 extracellular region</t>
  </si>
  <si>
    <t>opHsV0400006151</t>
  </si>
  <si>
    <t>NM_004454</t>
  </si>
  <si>
    <t>ETV5</t>
  </si>
  <si>
    <t>ETS translocation variant 5 (Ets-related protein ERM) [Source:UniProtKB/Swiss-Prot;Acc:P41161]</t>
  </si>
  <si>
    <t>GO:0006355 regulation of transcription, DNA-dependent,GO:0009887 organ morphogenesis,GO:0045941 positive regulation of transcription</t>
  </si>
  <si>
    <t>GO:0003700 transcription factor activity,GO:0043565 sequence-specific DNA binding,GO:0016563 transcription activator activity</t>
  </si>
  <si>
    <t>Transcription factor HES-7 (Hairy and enhancer of split 7)(bHLH factor Hes7) [Source:UniProtKB/Swiss-Prot;Acc:Q9BYE0]</t>
  </si>
  <si>
    <t>H300001761</t>
  </si>
  <si>
    <t>NM_002649</t>
  </si>
  <si>
    <t>AHsV10002990</t>
  </si>
  <si>
    <t>NM_005238.3</t>
  </si>
  <si>
    <t>ETS1</t>
  </si>
  <si>
    <t>Protein C-ets-1 (p54) [Source:UniProtKB/Swiss-Prot;Acc:P14921]</t>
  </si>
  <si>
    <t>GO:0006350 transcription,GO:0006355 regulation of transcription, DNA-dependent,GO:0006955 immune response,GO:0008285 negative regulation of cell proliferation,GO:0010552 positive regulation of specific transcription from RNA polymerase II promoter,GO:0030</t>
  </si>
  <si>
    <t>GO:0003700 transcription factor activity,GO:0008134 transcription factor binding,GO:0043565 sequence-specific DNA binding</t>
  </si>
  <si>
    <t>H200005669</t>
  </si>
  <si>
    <t>NM_015364</t>
  </si>
  <si>
    <t>LY96</t>
  </si>
  <si>
    <t>Double-stranded RNA-binding protein Staufen homolog 1  [Source:UniProtKB/Swiss-Prot;Acc:O95793]</t>
  </si>
  <si>
    <t>GO:0003725 double-stranded RNA binding</t>
  </si>
  <si>
    <t>B-cell antigen receptor complex-associated protein beta-chain Precursor (B-cell-specific glycoprotein B29)(Immunoglobulin-associated B29 protein)(IG-beta)(CD79b antigen) [Source:UniProtKB/Swiss-Prot;Acc:P40259]</t>
  </si>
  <si>
    <t>GO:0007166 cell surface receptor linked signal transduction</t>
  </si>
  <si>
    <t>AHsV10003048</t>
  </si>
  <si>
    <t>NM_000075.2</t>
  </si>
  <si>
    <t>CDK4</t>
  </si>
  <si>
    <t>GO:0006355 regulation of transcription, DNA-dependent,GO:0007275 multicellular organismal development,GO:0000122 negative regulation of transcription from RNA polymerase II promoter,GO:0007498 mesoderm development,GO:0001501 skeletal development,GO:0045449 regulation of transcription,GO:0007219 Notch signaling pathway,GO:0001756 somitogenesis,GO:0048511 rhythmic process,GO:0035121 tail morphogenesis</t>
  </si>
  <si>
    <t>GO:0003677 DNA binding,GO:0030528 transcription regulator activity,GO:0016564 transcription repressor activity</t>
  </si>
  <si>
    <t>opHsV0400004688</t>
  </si>
  <si>
    <t>C21orf118</t>
  </si>
  <si>
    <t>B lymphocyte activation-related protein BC-1514  [Source:UniProtKB/Swiss-Prot;Acc:Q96PM8]</t>
  </si>
  <si>
    <t>GO:0005634 nucleus,GO:0005730 nucleolus,GO:0005654 nucleoplasm</t>
  </si>
  <si>
    <t>H200014077</t>
  </si>
  <si>
    <t>NM_001040427;NM_001040427</t>
  </si>
  <si>
    <t>HAGH</t>
  </si>
  <si>
    <t>Hydroxyacylglutathione hydrolase (EC 3.1.2.6)(Glyoxalase II)(Glx II) [Source:UniProtKB/Swiss-Prot;Acc:Q16775]</t>
  </si>
  <si>
    <t>H200007240</t>
  </si>
  <si>
    <t>NM_005547;NM_005547</t>
  </si>
  <si>
    <t>IVL</t>
  </si>
  <si>
    <t>Involucrin  [Source:UniProtKB/Swiss-Prot;Acc:P07476]</t>
  </si>
  <si>
    <t>Uncharacterized protein C6orf132  [Source:UniProtKB/Swiss-Prot;Acc:Q5T0Z8]</t>
  </si>
  <si>
    <t>H300019434</t>
  </si>
  <si>
    <t>NM_015116</t>
  </si>
  <si>
    <t>LRCH1</t>
  </si>
  <si>
    <t>Leucine-rich repeat and calponin homology domain-containing protein 1 (Calponin homology domain-containing protein 1)(Neuronal protein 81)(NP81) [Source:UniProtKB/Swiss-Prot;Acc:Q9Y2L9]</t>
  </si>
  <si>
    <t>GO:0009401 phosphoenolpyruvate-dependent sugar phosphotransferase system</t>
  </si>
  <si>
    <t>H200001904</t>
  </si>
  <si>
    <t>NM_199444;NM_199444;NM_199444</t>
  </si>
  <si>
    <t>GO:0000082 G1/S transition of mitotic cell cycle,GO:0006468 protein amino acid phosphorylation,GO:0007165 signal transduction,GO:0007623 circadian rhythm,GO:0010468 regulation of gene expression,GO:0045727 positive regulation of translation,GO:0045793 pos</t>
  </si>
  <si>
    <t xml:space="preserve">GO:0000166 nucleotide binding,GO:0004672 protein kinase activity,GO:0004674 protein serine/threonine kinase activity,GO:0004693 cyclin-dependent protein kinase activity,GO:0004713 protein tyrosine kinase activity,GO:0005515 protein binding,GO:0005524 ATP </t>
  </si>
  <si>
    <t>C-type lectin domain family 4 member D (C-type lectin superfamily member 8)(C-type lectin-like receptor 6)(CLEC-6) [Source:UniProtKB/Swiss-Prot;Acc:Q8WXI8]</t>
  </si>
  <si>
    <t>CHsGV10000177</t>
  </si>
  <si>
    <t>NM_006949.2;NM_001127396.1</t>
  </si>
  <si>
    <t>STXBP2</t>
  </si>
  <si>
    <t>Syntaxin-binding protein 2 (Unc-18 homolog 2)(Unc18-2)(Unc-18B) [Source:UniProtKB/Swiss-Prot;Acc:Q15833]</t>
  </si>
  <si>
    <t>GO:0006904 vesicle docking during exocytosis,GO:0016192 vesicle-mediated transport</t>
  </si>
  <si>
    <t>GO:0031424 keratinization,GO:0030216 keratinocyte differentiation,GO:0010224 response to UV-B,GO:0018149 peptide cross-linking,GO:0018153 isopeptide cross-linking via N6-(L-isoglutamyl)-L-lysine</t>
  </si>
  <si>
    <t>GO:0005198 structural molecule activity,GO:0030674 protein binding, bridging</t>
  </si>
  <si>
    <t>GO:0005737 cytoplasm,GO:0001533 cornified envelope</t>
  </si>
  <si>
    <t>GO:0016491 oxidoreductase activity,GO:0009055 electron carrier activity,GO:0050662 coenzyme binding</t>
  </si>
  <si>
    <t>NM_005165;NM_005165</t>
  </si>
  <si>
    <t>GO:0008152 metabolic process,GO:0006096 glycolysis</t>
  </si>
  <si>
    <t>GO:0003824 catalytic activity,GO:0004332 fructose-bisphosphate aldolase activity</t>
  </si>
  <si>
    <t>H300021099</t>
  </si>
  <si>
    <t>NM_006195;NM_006195;NM_006195</t>
  </si>
  <si>
    <t>PBX3</t>
  </si>
  <si>
    <t>Pre-B-cell leukemia transcription factor 3 (Homeobox protein PBX3) [Source:UniProtKB/Swiss-Prot;Acc:P40426]</t>
  </si>
  <si>
    <t>H200021261</t>
  </si>
  <si>
    <t>NM_080387;NM_080387</t>
  </si>
  <si>
    <t>CLEC4D</t>
  </si>
  <si>
    <t>H300000034</t>
  </si>
  <si>
    <t>AC007163.3</t>
  </si>
  <si>
    <t>opHsV0400001371</t>
  </si>
  <si>
    <t>NM_152331</t>
  </si>
  <si>
    <t>ACOT4</t>
  </si>
  <si>
    <t>Lymphocyte antigen 96 Precursor (Protein MD-2)(ESOP-1) [Source:UniProtKB/Swiss-Prot;Acc:Q9Y6Y9]</t>
  </si>
  <si>
    <t>GO:0006954 inflammatory response,GO:0006955 immune response,GO:0006968 cellular defense response,GO:0007166 cell surface receptor linked signal transduction,GO:0007249 I-kappaB kinase/NF-kappaB cascade</t>
  </si>
  <si>
    <t>DHsGV10004058</t>
  </si>
  <si>
    <t>H300005291</t>
  </si>
  <si>
    <t>NM_032580</t>
  </si>
  <si>
    <t>HES7</t>
  </si>
  <si>
    <t>GO:0016787 hydrolase activity,GO:0008270 zinc ion binding,GO:0046872 metal ion binding,GO:0004416 hydroxyacylglutathione hydrolase activity</t>
  </si>
  <si>
    <t>opHsV0400003652</t>
  </si>
  <si>
    <t>C6orf132</t>
  </si>
  <si>
    <t>GO:0006629 lipid metabolic process,GO:0006637 acyl-CoA metabolic process,GO:0000038 very-long-chain fatty acid metabolic process,GO:0001676 long-chain fatty acid metabolic process,GO:0006104 succinyl-CoA metabolic process,GO:0032788 saturated monocarboxylic acid metabolic process,GO:0032789 unsaturated monocarboxylic acid metabolic process,GO:0043648 dicarboxylic acid metabolic process,GO:0046459 short-chain fatty acid metabolic process</t>
  </si>
  <si>
    <t>GO:0016787 hydrolase activity,GO:0004091 carboxylesterase activity,GO:0016290 palmitoyl-CoA hydrolase activity,GO:0016790 thiolester hydrolase activity</t>
  </si>
  <si>
    <t>GO:0005737 cytoplasm,GO:0005794 Golgi apparatus,GO:0005777 peroxisome,GO:0005730 nucleolus</t>
  </si>
  <si>
    <t>H300019609</t>
  </si>
  <si>
    <t>NM_001025434;NM_001025434;NM_001025434</t>
  </si>
  <si>
    <t>NQO1</t>
  </si>
  <si>
    <t>NAD(P)H dehydrogenase [quinone] 1 (EC 1.6.5.2)(Quinone reductase 1)(NAD(P)H:quinone oxidoreductase 1)(QR1)(DT-diaphorase)(DTD)(Azoreductase)(Phylloquinone reductase)(Menadione reductase) [Source:UniProtKB/Swiss-Prot;Acc:P15559]</t>
  </si>
  <si>
    <t>GO:0005737 cytoplasm,GO:0005739 mitochondrion,GO:0005764 lysosome,GO:0009898 internal side of plasma membrane,GO:0045179 apical cortex,GO:0005889 hydrogen:potassium-exchanging ATPase complex,GO:0005737 cytoplasm,GO:0005764 lysosome,GO:0009898 internal side of plasma membrane,GO:0005889 hydrogen:potassium-exchanging ATPase complex,GO:0045179 apical cortex</t>
  </si>
  <si>
    <t>CHsGV10003554</t>
  </si>
  <si>
    <t>NM_021945.5;NM_015482.1</t>
  </si>
  <si>
    <t>SLC22A23</t>
  </si>
  <si>
    <t>Solute carrier family 22 member 23  [Source:UniProtKB/Swiss-Prot;Acc:A1A5C7]</t>
  </si>
  <si>
    <t>CHsGV10003165</t>
  </si>
  <si>
    <t>COPE</t>
  </si>
  <si>
    <t>Coatomer subunit epsilon (Epsilon-coat protein)(Epsilon-COP) [Source:UniProtKB/Swiss-Prot;Acc:O14579]</t>
  </si>
  <si>
    <t>GO:0006890 retrograde vesicle-mediated transport, Golgi to ER</t>
  </si>
  <si>
    <t>GO:0030126 COPI vesicle coat</t>
  </si>
  <si>
    <t>Protein FAM87B  [Source:UniProtKB/Swiss-Prot;Acc:Q8N852]</t>
  </si>
  <si>
    <t>opHsV0400000352</t>
  </si>
  <si>
    <t>NM_032290;NM_032290;NM_032290</t>
  </si>
  <si>
    <t>ANKRD32</t>
  </si>
  <si>
    <t>Ankyrin repeat domain-containing protein 32 (BRCT domain-containing protein 1) [Source:UniProtKB/Swiss-Prot;Acc:Q9BQI6]</t>
  </si>
  <si>
    <t>GO:0006869 lipid transport,GO:0050885 neuromuscular process controlling balance,GO:0050877 neurological system process,GO:0007611 learning or memory,GO:0019915 sequestering of lipid,GO:0006689 ganglioside catabolic process,GO:0030149 sphingolipid catabolic process,GO:0009313 oligosaccharide catabolic process,GO:0019377 glycolipid catabolic process,GO:0051345 positive regulation of hydrolase activity,GO:0006869 lipid transport,GO:0001573 ganglioside metabolic process,GO:0051345 positive regulation of hydrolase activity</t>
  </si>
  <si>
    <t>GO:0005319 lipid transporter activity,GO:0016004 phospholipase activator activity,GO:0030290 sphingolipid activator protein activity,GO:0032428 beta-N-acetylgalactosaminidase activity,GO:0005319 lipid transporter activity,GO:0016004 phospholipase activator activity,GO:0032428 beta-N-acetylgalactosaminidase activity</t>
  </si>
  <si>
    <t>H200007464</t>
  </si>
  <si>
    <t>NM_003775</t>
  </si>
  <si>
    <t>S1PR4</t>
  </si>
  <si>
    <t>GO:0008270 zinc ion binding,GO:0008237 metallopeptidase activity</t>
  </si>
  <si>
    <t>H200014052</t>
  </si>
  <si>
    <t>GO:0006468 protein amino acid phosphorylation,GO:0006355 regulation of transcription, DNA-dependent,GO:0007243 protein kinase cascade,GO:0046777 protein amino acid autophosphorylation,GO:0030178 negative regulation of Wnt receptor signaling pathway,GO:0042309 homoiothermy,GO:0050826 response to freezing</t>
  </si>
  <si>
    <t>Acyl-coenzyme A thioesterase 4 (Acyl-CoA thioesterase 4)(EC 3.1.2.2)(Peroxisomal acyl coenzyme A thioester hydrolase Ib)(Peroxisomal long-chain acyl-CoA thioesterase Ib)(PTE-Ib)(PTE-2b) [Source:UniProtKB/Swiss-Prot;Acc:Q8N9L9]</t>
  </si>
  <si>
    <t>Ganglioside GM2 activator Precursor (GM2-AP)(Cerebroside sulfate activator protein)(Shingolipid activator protein 3)(SAP-3) [Contains Ganglioside GM2 activator isoform short] [Source:UniProtKB/Swiss-Prot;Acc:P17900]</t>
  </si>
  <si>
    <t>GO:0004872 receptor activity,GO:0004930 G-protein coupled receptor activity,GO:0008289 lipid binding,GO:0001619 lysosphingolipid and lysophosphatidic acid receptor activity,GO:0004949 cannabinoid receptor activity</t>
  </si>
  <si>
    <t>GO:0006366 transcription from RNA polymerase II promoter,GO:0006350 transcription,GO:0006355 regulation of transcription, DNA-dependent</t>
  </si>
  <si>
    <t>CHsGV10000708</t>
  </si>
  <si>
    <t>NM_015965.5;NM_198537.2</t>
  </si>
  <si>
    <t>NDUFA13</t>
  </si>
  <si>
    <t>YjeF N-terminal domain-containing protein 3 (YjeF_N3)(hYjeF_N3) [Source:UniProtKB/Swiss-Prot;Acc:A6XGL0]</t>
  </si>
  <si>
    <t>GO:0005886 plasma membrane,GO:0016021 integral to membrane,GO:0016020 membrane,GO:0005929 cilium,GO:0019861 flagellum</t>
  </si>
  <si>
    <t>H200019950</t>
  </si>
  <si>
    <t>NM_003673</t>
  </si>
  <si>
    <t>TCAP</t>
  </si>
  <si>
    <t>PDZ and LIM domain protein 5 (Enigma homolog)(Enigma-like PDZ and LIM domains protein) [Source:UniProtKB/Swiss-Prot;Acc:Q96HC4]</t>
  </si>
  <si>
    <t>GO:0003779 actin binding,GO:0004499 flavin-containing monooxygenase activity,GO:0005080 protein kinase C binding,GO:0005515 protein binding,GO:0008270 zinc ion binding,GO:0042805 actinin binding,GO:0046872 metal ion binding,GO:0050660 FAD binding,GO:00506</t>
  </si>
  <si>
    <t>GO:0005624 membrane fraction,GO:0005829 cytosol,GO:0015629 actin cytoskeleton,GO:0030018 Z disc,GO:0005829 cytosol,GO:0005624 membrane fraction</t>
  </si>
  <si>
    <t>H200000797</t>
  </si>
  <si>
    <t>NM_016231</t>
  </si>
  <si>
    <t>NLK</t>
  </si>
  <si>
    <t>Serine/threonine kinase NLK (EC 2.7.11.24)(Nemo-like kinase)(Protein LAK1) [Source:UniProtKB/Swiss-Prot;Acc:Q9UBE8]</t>
  </si>
  <si>
    <t>NM_152564.3;NM_015243.2;NM_181661.2;NM_017890.3</t>
  </si>
  <si>
    <t>VPS13B</t>
  </si>
  <si>
    <t>Vacuolar protein sorting-associated protein 13B (Cohen syndrome protein 1) [Source:UniProtKB/Swiss-Prot;Acc:Q7Z7G8]</t>
  </si>
  <si>
    <t>Sphingosine 1-phosphate receptor 4 (S1P receptor 4)(S1P4)(Sphingosine 1-phosphate receptor Edg-6)(S1P receptor Edg-6)(Endothelial differentiation G-protein coupled receptor 6) [Source:UniProtKB/Swiss-Prot;Acc:O95977]</t>
  </si>
  <si>
    <t>H200009479</t>
  </si>
  <si>
    <t>NM_000405</t>
  </si>
  <si>
    <t>GM2A</t>
  </si>
  <si>
    <t>GO:0007165 signal transduction,GO:0006811 ion transport,GO:0007275 multicellular organismal development,GO:0030154 cell differentiation,GO:0007283 spermatogenesis,GO:0006935 chemotaxis,GO:0006816 calcium ion transport,GO:0007342 fusion of sperm to egg plasma membrane,GO:0001539 ciliary or flagellar motility,GO:0030317 sperm motility,GO:0051925 regulation of calcium ion transport via voltage-gated calcium channel</t>
  </si>
  <si>
    <t>GO:0005509 calcium ion binding,GO:0005515 protein binding,GO:0005244 voltage-gated ion channel activity,GO:0004871 signal transducer activity,GO:0005216 ion channel activity,GO:0005245 voltage-gated calcium channel activity</t>
  </si>
  <si>
    <t>NM_020441;NM_020441</t>
  </si>
  <si>
    <t>CORO1B</t>
  </si>
  <si>
    <t>Coronin-1B (Coronin-2) [Source:UniProtKB/Swiss-Prot;Acc:Q9BR76]</t>
  </si>
  <si>
    <t>Telethonin (Titin cap protein) [Source:UniProtKB/Swiss-Prot;Acc:O15273]</t>
  </si>
  <si>
    <t>GO:0006950 response to stress,GO:0006461 protein complex assembly,GO:0045214 sarcomere organization,GO:0007512 adult heart development,GO:0003009 skeletal muscle contraction,GO:0030240 muscle thin filament assembly,GO:0030241 muscle thick filament assembly,GO:0048739 cardiac muscle fiber development,GO:0050982 detection of mechanical stimulus,GO:0055008 cardiac muscle morphogenesis,GO:0060048 cardiac muscle contraction</t>
  </si>
  <si>
    <t>GO:0047485 protein N-terminus binding,GO:0008307 structural constituent of muscle,GO:0042301 phosphate binding,GO:0031432 titin binding</t>
  </si>
  <si>
    <t>GO:0005737 cytoplasm,GO:0030018 Z disc</t>
  </si>
  <si>
    <t>AHsV10000458</t>
  </si>
  <si>
    <t>NM_006457.3</t>
  </si>
  <si>
    <t>PDLIM5</t>
  </si>
  <si>
    <t>GO:0005783 endoplasmic reticulum</t>
  </si>
  <si>
    <t>H300020772</t>
  </si>
  <si>
    <t>NM_052890</t>
  </si>
  <si>
    <t>PGLYRP2</t>
  </si>
  <si>
    <t>GO:0007165 signal transduction,GO:0007186 G-protein coupled receptor protein signaling pathway,GO:0006955 immune response,GO:0007202 activation of phospholipase C activity,GO:0007189 G-protein signaling, adenylate cyclase activating pathway,GO:0007204 elevation of cytosolic calcium ion concentration</t>
  </si>
  <si>
    <t>GO:0006397 mRNA processing,GO:0008016 regulation of heart contraction,GO:0042309 homoiothermy,GO:0050826 response to freezing</t>
  </si>
  <si>
    <t>GO:0005515 protein binding,GO:0000166 nucleotide binding,GO:0003676 nucleic acid binding,GO:0003723 RNA binding,GO:0050825 ice binding</t>
  </si>
  <si>
    <t>opHsV0400000668</t>
  </si>
  <si>
    <t>NM_201539;NM_201539;NM_201539;NM_201539;NM_201538;NM_201538;NM_201538;NM_201538;NM_016250</t>
  </si>
  <si>
    <t>NDRG2</t>
  </si>
  <si>
    <t>Protein NDRG2 (Protein Syld709613) [Source:UniProtKB/Swiss-Prot;Acc:Q9UN36]</t>
  </si>
  <si>
    <t>GO:0005634 nucleus,GO:0005737 cytoplasm,GO:0005829 cytosol,GO:0005813 centrosome</t>
  </si>
  <si>
    <t>H200001176</t>
  </si>
  <si>
    <t>DHsGV10001081</t>
  </si>
  <si>
    <t>LOC100294462</t>
  </si>
  <si>
    <t>H300014118</t>
  </si>
  <si>
    <t>NM_001025076</t>
  </si>
  <si>
    <t>CUGBP2</t>
  </si>
  <si>
    <t>CUG-BP- and ETR-3-like factor 2 (CELF-2)(Bruno-like protein 3)(RNA-binding protein BRUNOL-3)(CUG triplet repeat RNA-binding protein 2)(CUG-BP2)(ELAV-type RNA-binding protein 3)(ETR-3)(Neuroblastoma apoptosis-related RNA-binding protein)(hNAPOR) [Source:UniProtKB/Swiss-Prot;Acc:O95319]</t>
  </si>
  <si>
    <t>DHsGV10002602</t>
  </si>
  <si>
    <t>H300001332</t>
  </si>
  <si>
    <t>NM_032524</t>
  </si>
  <si>
    <t>KRTAP4-4</t>
  </si>
  <si>
    <t>Keratin-associated protein 4-4 (Keratin-associated protein 4.4)(Ultrahigh sulfur keratin-associated protein 4.4)(Keratin-associated protein 4-13)(Keratin-associated protein 4.13)(Ultrahigh sulfur keratin-associated protein 4.13) [Source:UniProtKB/Swiss-Prot;Acc:Q9BYR3]</t>
  </si>
  <si>
    <t>GO:0005515 protein binding,GO:0005488 binding,GO:0008565 protein transporter activity,GO:0008289 lipid binding,GO:0005515 protein binding</t>
  </si>
  <si>
    <t>GO:0016740 transferase activity,GO:0000287 magnesium ion binding,GO:0005515 protein binding,GO:0000166 nucleotide binding,GO:0005524 ATP binding,GO:0004674 protein serine/threonine kinase activity,GO:0004713 protein tyrosine kinase activity,GO:0004672 protein kinase activity,GO:0004707 MAP kinase activity,GO:0050825 ice binding</t>
  </si>
  <si>
    <t>GO:0008152 metabolic process,GO:0009058 biosynthetic process,GO:0033014 tetrapyrrole biosynthetic process,GO:0006783 heme biosynthetic process</t>
  </si>
  <si>
    <t>H300018430</t>
  </si>
  <si>
    <t>NM_018397</t>
  </si>
  <si>
    <t>CHDH</t>
  </si>
  <si>
    <t>Choline dehydrogenase, mitochondrial Precursor (CHD)(CDH)(EC 1.1.99.1) [Source:UniProtKB/Swiss-Prot;Acc:Q8NE62]</t>
  </si>
  <si>
    <t>GO:0055114 oxidation reduction,GO:0006066 cellular alcohol metabolic process</t>
  </si>
  <si>
    <t>GO:0050660 FAD binding,GO:0016614 oxidoreductase activity, acting on CH-OH group of donors,GO:0008812 choline dehydrogenase activity,GO:0008812 choline dehydrogenase activity</t>
  </si>
  <si>
    <t>GO:0005739 mitochondrion,GO:0005743 mitochondrial inner membrane,GO:0005743 mitochondrial inner membrane</t>
  </si>
  <si>
    <t>AP-2 complex subunit alpha-2 (Adapter-related protein complex 2 alpha-2 subunit)(Adaptor protein complex AP-2 subunit alpha-2)(Alpha2-adaptin)(Plasma membrane adaptor HA2/AP2 adaptin alpha C subunit)(Alpha-adaptin C)(Clathrin assembly protein complex 2 alpha-C large chain)(100 kDa coated vesicle protein C)(Huntingtin-interacting protein J)(Huntingtin yeast partner J) [Source:UniProtKB/Swiss-Prot;Acc:O94973]</t>
  </si>
  <si>
    <t>GO:0015031 protein transport,GO:0006897 endocytosis,GO:0006886 intracellular protein transport,GO:0016192 vesicle-mediated transport,GO:0050690 regulation of defense response to virus by virus</t>
  </si>
  <si>
    <t>Thioredoxin domain-containing protein 6 (Thioredoxin-like protein 2)(Txl-2) [Source:UniProtKB/Swiss-Prot;Acc:Q86XW9]</t>
  </si>
  <si>
    <t>N-acetylmuramoyl-L-alanine amidase Precursor (EC 3.5.1.28)(Peptidoglycan recognition protein long)(PGRP-L)(Peptidoglycan recognition protein 2) [Source:UniProtKB/Swiss-Prot;Acc:Q96PD5]</t>
  </si>
  <si>
    <t>GO:0009253 peptidoglycan catabolic process</t>
  </si>
  <si>
    <t>GO:0005515 protein binding,GO:0008745 N-acetylmuramoyl-L-alanine amidase activity</t>
  </si>
  <si>
    <t>H200014422</t>
  </si>
  <si>
    <t>NM_053054</t>
  </si>
  <si>
    <t>CATSPER1</t>
  </si>
  <si>
    <t>Cation channel sperm-associated protein 1 (CatSper1)(hCatSper) [Source:UniProtKB/Swiss-Prot;Acc:Q8NEC5]</t>
  </si>
  <si>
    <t>GNA11</t>
  </si>
  <si>
    <t>GO:0007165 signal transduction,GO:0007186 G-protein coupled receptor protein signaling pathway,GO:0048066 pigmentation during development,GO:0007507 heart development,GO:0001501 skeletal development,GO:0006471 protein amino acid ADP-ribosylation,GO:0001508 regulation of action potential,GO:0045634 regulation of melanocyte differentiation,GO:0060158 dopamine receptor, phospholipase C activating pathway</t>
  </si>
  <si>
    <t>GO:0000166 nucleotide binding,GO:0005525 GTP binding,GO:0003924 GTPase activity,GO:0004871 signal transducer activity,GO:0019001 guanyl nucleotide binding</t>
  </si>
  <si>
    <t>GO:0005886 plasma membrane,GO:0005737 cytoplasm</t>
  </si>
  <si>
    <t>DHsGV10000715</t>
  </si>
  <si>
    <t>AL645728.1</t>
  </si>
  <si>
    <t>HSPC088 Fragment  [Source:UniProtKB/TrEMBL;Acc:Q9P0E8]</t>
  </si>
  <si>
    <t>CHsGV10001513</t>
  </si>
  <si>
    <t>NM_173164.1;NM_173163.1;NM_004555.2;NM_173165.1</t>
  </si>
  <si>
    <t>NFATC3</t>
  </si>
  <si>
    <t>Nuclear factor of activated T-cells, cytoplasmic 3 (NF-ATc3)(NFATc3)(T-cell transcription factor NFAT4)(NF-AT4)(NFATx) [Source:UniProtKB/Swiss-Prot;Acc:Q12968]</t>
  </si>
  <si>
    <t>opHsV0400001852</t>
  </si>
  <si>
    <t>AP2A2</t>
  </si>
  <si>
    <t>AHsV10001987</t>
  </si>
  <si>
    <t>NM_178130.2</t>
  </si>
  <si>
    <t>TXNDC6</t>
  </si>
  <si>
    <t>GO:0006508 proteolysis,GO:0009987 cellular process</t>
  </si>
  <si>
    <t>Guanine nucleotide-binding protein subunit alpha-11 (G-protein subunit alpha-11)(G alpha-11)(Guanine nucleotide-binding protein G(y) subunit alpha) [Source:UniProtKB/Swiss-Prot;Acc:P29992]</t>
  </si>
  <si>
    <t>GO:0005737 cytoplasm,GO:0005802 trans-Golgi network,GO:0048471 perinuclear region of cytoplasm,GO:0005813 centrosome,GO:0045120 pronucleus,GO:0000776 kinetochore,GO:0055037 recycling endosome</t>
  </si>
  <si>
    <t>H300020305</t>
  </si>
  <si>
    <t>GO:0005886 plasma membrane,GO:0016020 membrane,GO:0005829 cytosol,GO:0005905 coated pit,GO:0030131 clathrin adaptor complex,GO:0030117 membrane coat,GO:0030122 AP-2 adaptor complex</t>
  </si>
  <si>
    <t>H200006543</t>
  </si>
  <si>
    <t>NM_199166;NM_000688</t>
  </si>
  <si>
    <t>ALAS1</t>
  </si>
  <si>
    <t>5-aminolevulinate synthase, nonspecific, mitochondrial Precursor (EC 2.3.1.37)(5-aminolevulinic acid synthase)(Delta-aminolevulinate synthase)(Delta-ALA synthetase)(ALAS-H) [Source:UniProtKB/Swiss-Prot;Acc:P13196]</t>
  </si>
  <si>
    <t>GO:0006916 anti-apoptosis,GO:0007417 central nervous system development,GO:0048169 regulation of long-term neuronal synaptic plasticity,GO:0006644 phospholipid metabolic process,GO:0042493 response to drug,GO:0042416 dopamine biosynthetic process,GO:0001963 synaptic transmission, dopaminergic,GO:0040012 regulation of locomotion,GO:0014059 regulation of dopamine secretion,GO:0001956 positive regulation of neurotransmitter secretion,GO:0032769 negative regulation of monooxygenase activity,GO:0048489 synaptic vesicle transport</t>
  </si>
  <si>
    <t>GO:0016020 membrane,GO:0005634 nucleus,GO:0005737 cytoplasm,GO:0005829 cytosol,GO:0019717 synaptosome</t>
  </si>
  <si>
    <t>GO:0006468 protein amino acid phosphorylation,GO:0007049 cell cycle</t>
  </si>
  <si>
    <t>GO:0016740 transferase activity,GO:0005515 protein binding,GO:0000166 nucleotide binding,GO:0005524 ATP binding,GO:0004674 protein serine/threonine kinase activity,GO:0004713 protein tyrosine kinase activity,GO:0004672 protein kinase activity,GO:0042801 polo kinase kinase activity</t>
  </si>
  <si>
    <t>GO:0016020 membrane,GO:0030425 dendrite,GO:0030425 dendrite</t>
  </si>
  <si>
    <t>CHsGV10001083</t>
  </si>
  <si>
    <t>NM_016343.3</t>
  </si>
  <si>
    <t>CENPF</t>
  </si>
  <si>
    <t>centromere protein F  [Source:RefSeq peptide;Acc:NP_057427]</t>
  </si>
  <si>
    <t>GO:0016021 integral to membrane,GO:0005887 integral to plasma membrane,GO:0005886 plasma membrane,GO:0005901 caveola,GO:0031094 platelet dense tubular network,GO:0005794 Golgi apparatus,GO:0005886 plasma membrane,GO:0045211 postsynaptic membrane,GO:0031594 neuromuscular junction</t>
  </si>
  <si>
    <t>H300018715</t>
  </si>
  <si>
    <t>NM_033011;NM_033011;NM_033011;NM_033011</t>
  </si>
  <si>
    <t>PLAT</t>
  </si>
  <si>
    <t>GO:0006183 GTP biosynthetic process,GO:0006228 UTP biosynthetic process,GO:0006241 CTP biosynthetic process,GO:0045454 cell redox homeostasis</t>
  </si>
  <si>
    <t>GO:0004550 nucleoside diphosphate kinase activity,GO:0005524 ATP binding</t>
  </si>
  <si>
    <t>GO:0008415 acyltransferase activity,GO:0016740 transferase activity,GO:0030170 pyridoxal phosphate binding,GO:0016769 transferase activity, transferring nitrogenous groups,GO:0003870 5-aminolevulinate synthase activity</t>
  </si>
  <si>
    <t>H200000439</t>
  </si>
  <si>
    <t>NM_002067</t>
  </si>
  <si>
    <t>GO:0007507 heart development,GO:0008284 positive regulation of cell proliferation,GO:0043066 negative regulation of apoptosis,GO:0070201 regulation of establishment of protein localization,GO:0016202 regulation of striated muscle tissue development,GO:0032886 regulation of microtubule-based process,GO:0045787 positive regulation of cell cycle,GO:0002724 regulation of T cell cytokine production,GO:0002730 regulation of dendritic cell cytokine production,GO:0010389 regulation of G2/M transition of mitotic cell cycle,GO:0030885 regulation of myeloid dendritic cell activation,GO:0032386 regulation of intracellular transport,GO:0048866 stem cell fate specification,GO:0050863 regulation of T cell activation</t>
  </si>
  <si>
    <t>Tissue-type plasminogen activator Precursor (t-plasminogen activator)(t-PA)(tPA)(EC 3.4.21.68)(Alteplase)(Reteplase) [Contains Tissue-type plasminogen activator chain A;Tissue-type plasminogen activator chain B] [Source:UniProtKB/Swiss-Prot;Acc:P00750]</t>
  </si>
  <si>
    <t>H300020585</t>
  </si>
  <si>
    <t>NM_017665</t>
  </si>
  <si>
    <t>ZCCHC10</t>
  </si>
  <si>
    <t>Zinc finger CCHC domain-containing protein 10  [Source:UniProtKB/Swiss-Prot;Acc:Q8TBK6]</t>
  </si>
  <si>
    <t>opHsV0400002090</t>
  </si>
  <si>
    <t>AC026741.6</t>
  </si>
  <si>
    <t>H200013894</t>
  </si>
  <si>
    <t>NM_004073</t>
  </si>
  <si>
    <t>PLK3</t>
  </si>
  <si>
    <t>Serine/threonine-protein kinase PLK3 (EC 2.7.11.21)(Polo-like kinase 3)(PLK-3)(Cytokine-inducible serine/threonine-protein kinase)(FGF-inducible kinase)(Proliferation-related kinase) [Source:UniProtKB/Swiss-Prot;Acc:Q9H4B4]</t>
  </si>
  <si>
    <t>NM_007308;NM_007308;NM_000345;NM_000345</t>
  </si>
  <si>
    <t>SNCA</t>
  </si>
  <si>
    <t>Alpha-synuclein (Non-A beta component of AD amyloid)(Non-A4 component of amyloid precursor)(NACP) [Source:UniProtKB/Swiss-Prot;Acc:P37840]</t>
  </si>
  <si>
    <t>GO:0043123 positive regulation of I-kappaB kinase/NF-kappaB cascade,GO:0007186 G-protein coupled receptor protein signaling pathway,GO:0051209 release of sequestered calcium ion into cytosol,GO:0008285 negative regulation of cell proliferation,GO:0043410 positive regulation of MAPKKK cascade,GO:0032967 positive regulation of collagen biosynthetic process,GO:0030335 positive regulation of cell migration,GO:0007596 blood coagulation,GO:0006919 activation of caspase activity,GO:0007262 STAT protein nuclear translocation,GO:0007260 tyrosine phosphorylation of STAT protein,GO:0046427 positive regulation of JAK-STAT cascade,GO:0030194 positive regulation of blood coagulation,GO:0009611 response to wounding,GO:0002248 connective tissue replacement during inflammatory response,GO:0030168 platelet activation,GO:0007165 signal transduction,GO:0009653 anatomical structure morphogenesis,GO:0006954 inflammatory response,GO:0048873 homeostasis of number of cells within a tissue,GO:0032496 response to lipopolysaccharide,GO:0032651 regulation of interleukin-1 beta production,GO:0016265 death,GO:0030194 positive regulation of blood coagulation,GO:0007205 activation of protein kinase C activity by G-protein coupled receptor protein signaling pathway,GO:0008284 positive regulation of cell proliferation,GO:0051930 regulation of sensory perception of pain,GO:0000186 activation of MAPKK activity,GO:0007529 establishment of synaptic specificity at neuromuscular junction,GO:0043524 negative regulation of neuron apoptosis,GO:0045907 positive regulation of vasoconstriction,GO:0045987 positive regulation of smooth muscle contraction,GO:0051209 release of sequestered calcium ion into cytosol,GO:0051928 positive regulation of calcium ion transport</t>
  </si>
  <si>
    <t>GO:0005102 receptor binding,GO:0004872 receptor activity,GO:0004930 G-protein coupled receptor activity,GO:0015057 thrombin receptor activity</t>
  </si>
  <si>
    <t>Multidrug resistance-associated protein 4 (ATP-binding cassette sub-family C member 4)(MRP/cMOAT-related ABC transporter)(Multi-specific organic anion transporter B)(MOAT-B) [Source:UniProtKB/Swiss-Prot;Acc:O15439]</t>
  </si>
  <si>
    <t>H200008058</t>
  </si>
  <si>
    <t>ITGAM</t>
  </si>
  <si>
    <t>AHsV10003233</t>
  </si>
  <si>
    <t>NM_003310.2</t>
  </si>
  <si>
    <t>TSSC1</t>
  </si>
  <si>
    <t>Protein TSSC1 (Tumor-suppressing subchromosomal transferable fragment candidate gene 1 protein)(Tumor-suppressing STF cDNA 1 protein) [Source:UniProtKB/Swiss-Prot;Acc:Q53HC9]</t>
  </si>
  <si>
    <t>H300018388</t>
  </si>
  <si>
    <t>NM_015332;NM_015332</t>
  </si>
  <si>
    <t>NUDCD3</t>
  </si>
  <si>
    <t>NudC domain-containing protein 3  [Source:UniProtKB/Swiss-Prot;Acc:Q8IVD9]</t>
  </si>
  <si>
    <t>Integrin alpha-M Precursor (Cell surface glycoprotein MAC-1 subunit alpha)(CR-3 alpha chain)(Leukocyte adhesion receptor MO1)(Neutrophil adherence receptor)(CD11 antigen-like family member B)(CD11b antigen) [Source:UniProtKB/Swiss-Prot;Acc:P11215]</t>
  </si>
  <si>
    <t>GO:0000287 magnesium ion binding,GO:0005509 calcium ion binding,GO:0005515 protein binding,GO:0004872 receptor activity,GO:0046982 protein heterodimerization activity,GO:0001948 glycoprotein binding,GO:0046982 protein heterodimerization activity</t>
  </si>
  <si>
    <t>GO:0016021 integral to membrane,GO:0016020 membrane,GO:0005634 nucleus,GO:0005737 cytoplasm,GO:0005794 Golgi apparatus,GO:0008305 integrin complex</t>
  </si>
  <si>
    <t>H200000320</t>
  </si>
  <si>
    <t>NM_001769</t>
  </si>
  <si>
    <t>CD9</t>
  </si>
  <si>
    <t>GO:0000166 nucleotide binding,GO:0005524 ATP binding,GO:0017111 nucleoside-triphosphatase activity,GO:0005254 chloride channel activity,GO:0016887 ATPase activity,GO:0042626 ATPase activity, coupled to transmembrane movement of substances,GO:0016404 15-hydroxyprostaglandin dehydrogenase (NAD+) activity</t>
  </si>
  <si>
    <t>GO:0005886 plasma membrane,GO:0016021 integral to membrane,GO:0016020 membrane,GO:0005624 membrane fraction,GO:0005575 cellular_component,GO:0031088 platelet dense granule membrane</t>
  </si>
  <si>
    <t>opHsV0400000126</t>
  </si>
  <si>
    <t>NM_005373</t>
  </si>
  <si>
    <t>MPL</t>
  </si>
  <si>
    <t>Thrombopoietin receptor Precursor (TPO-R)(Myeloproliferative leukemia protein)(C-mpl)(CD110 antigen) [Source:UniProtKB/Swiss-Prot;Acc:P40238]</t>
  </si>
  <si>
    <t>GO:0008283 cell proliferation,GO:0007166 cell surface receptor linked signal transduction</t>
  </si>
  <si>
    <t>GO:0005886 plasma membrane,GO:0016020 membrane,GO:0005887 integral to plasma membrane</t>
  </si>
  <si>
    <t>H300019523</t>
  </si>
  <si>
    <t>NM_003151;NM_003151</t>
  </si>
  <si>
    <t>STAT4</t>
  </si>
  <si>
    <t>Signal transducer and activator of transcription 4  [Source:UniProtKB/Swiss-Prot;Acc:Q14765]</t>
  </si>
  <si>
    <t>GO:0007165 signal transduction,GO:0006355 regulation of transcription, DNA-dependent,GO:0008283 cell proliferation,GO:0019221 cytokine and chemokine mediated signaling pathway,GO:0045449 regulation of transcription,GO:0007259 JAK-STAT cascade</t>
  </si>
  <si>
    <t>GO:0005509 calcium ion binding,GO:0005515 protein binding,GO:0003700 transcription factor activity,GO:0004871 signal transducer activity</t>
  </si>
  <si>
    <t>H300022857</t>
  </si>
  <si>
    <t>GO:0007155 cell adhesion,GO:0030168 platelet activation,GO:0006928 cell motion,GO:0007342 fusion of sperm to egg plasma membrane,GO:0030913 paranodal junction assembly</t>
  </si>
  <si>
    <t>GO:0005886 plasma membrane,GO:0016021 integral to membrane,GO:0016020 membrane,GO:0005887 integral to plasma membrane,GO:0031092 platelet alpha granule membrane</t>
  </si>
  <si>
    <t>H200011482</t>
  </si>
  <si>
    <t>NM_174920;NM_174920</t>
  </si>
  <si>
    <t>SAMD14</t>
  </si>
  <si>
    <t>Sterile alpha motif domain-containing protein 14  [Source:UniProtKB/Swiss-Prot;Acc:Q8IZD0]</t>
  </si>
  <si>
    <t>H200013305</t>
  </si>
  <si>
    <t>NM_005845</t>
  </si>
  <si>
    <t>ABCC4</t>
  </si>
  <si>
    <t>GO:0007275 multicellular organismal development,GO:0030154 cell differentiation,GO:0007399 nervous system development,GO:0006464 protein modification process</t>
  </si>
  <si>
    <t>GO:0004835 tubulin-tyrosine ligase activity,GO:0016874 ligase activity</t>
  </si>
  <si>
    <t>GO:0030425 dendrite,GO:0043204 perikaryon,GO:0005932 microtubule basal body,GO:0005929 cilium</t>
  </si>
  <si>
    <t>Alpha-1,4-N-acetylglucosaminyltransferase (Alpha4GnT)(EC 2.4.1.-) [Source:UniProtKB/Swiss-Prot;Acc:Q9UNA3]</t>
  </si>
  <si>
    <t>GO:0005975 carbohydrate metabolic process,GO:0006493 protein amino acid O-linked glycosylation,GO:0009101 glycoprotein biosynthetic process</t>
  </si>
  <si>
    <t>GO:0016757 transferase activity, transferring glycosyl groups,GO:0008378 galactosyltransferase activity,GO:0008375 acetylglucosaminyltransferase activity</t>
  </si>
  <si>
    <t>GO:0016021 integral to membrane,GO:0016020 membrane,GO:0005634 nucleus,GO:0005624 membrane fraction,GO:0005737 cytoplasm,GO:0005794 Golgi apparatus,GO:0000139 Golgi membrane,GO:0005730 nucleolus,GO:0005795 Golgi stack</t>
  </si>
  <si>
    <t>AHsV10000912</t>
  </si>
  <si>
    <t>NM_178026.2</t>
  </si>
  <si>
    <t>GGT7</t>
  </si>
  <si>
    <t>H200020113</t>
  </si>
  <si>
    <t>NM_024578</t>
  </si>
  <si>
    <t>OCEL1</t>
  </si>
  <si>
    <t>Occludin/ELL domain-containing protein 1  [Source:UniProtKB/Swiss-Prot;Acc:Q9H607]</t>
  </si>
  <si>
    <t>H200002363</t>
  </si>
  <si>
    <t>CD9 antigen (p24)(Leukocyte antigen MIC3)(Motility-related protein)(MRP-1)(Tetraspanin-29)(Tspan-29)(5H9 antigen)(Cell growth-inhibiting gene 2 protein)(CD9 antigen) [Source:UniProtKB/Swiss-Prot;Acc:P21926]</t>
  </si>
  <si>
    <t>H300021149</t>
  </si>
  <si>
    <t>NM_007261</t>
  </si>
  <si>
    <t>H300006615</t>
  </si>
  <si>
    <t>AC107918.5</t>
  </si>
  <si>
    <t>CHsGV10003647</t>
  </si>
  <si>
    <t>NM_001992.3</t>
  </si>
  <si>
    <t>F2R</t>
  </si>
  <si>
    <t>Proteinase-activated receptor 1 Precursor (PAR-1)(Thrombin receptor)(Coagulation factor II receptor) [Source:UniProtKB/Swiss-Prot;Acc:P25116]</t>
  </si>
  <si>
    <t>GO:0006811 ion transport,GO:0008150 biological_process,GO:0006810 transport</t>
  </si>
  <si>
    <t>Non-histone chromosomal protein HMG-14 (High-mobility group nucleosome-binding domain-containing protein 1) [Source:UniProtKB/Swiss-Prot;Acc:P05114]</t>
  </si>
  <si>
    <t>H200017402</t>
  </si>
  <si>
    <t>NM_016161</t>
  </si>
  <si>
    <t>A4GNT</t>
  </si>
  <si>
    <t>GO:0005509 calcium ion binding,GO:0015459 potassium channel regulator activity</t>
  </si>
  <si>
    <t>GO:0005737 cytoplasm,GO:0043231 intracellular membrane-bounded organelle,GO:0009288 flagellin-based flagellum</t>
  </si>
  <si>
    <t>H200002641</t>
  </si>
  <si>
    <t>NM_003596</t>
  </si>
  <si>
    <t>TPST1</t>
  </si>
  <si>
    <t>Gamma-glutamyltransferase 7 Precursor (EC 2.3.2.2)(Gamma-glutamyltranspeptidase 7)(GGT 7)(Gamma-glutamyltransferase-like 3)(Gamma-glutamyltransferase-like 5) [Contains Gamma-glutamyltransferase 7 heavy chain;Gamma-glutamyltransferase 7 light chain] [Sourc</t>
  </si>
  <si>
    <t>GO:0003840 gamma-glutamyltransferase activity,GO:0008415 acyltransferase activity,GO:0016740 transferase activity</t>
  </si>
  <si>
    <t>ABL1</t>
  </si>
  <si>
    <t>Proto-oncogene tyrosine-protein kinase ABL1 (EC 2.7.10.2)(Abelson murine leukemia viral oncogene homolog 1)(c-ABL)(p150) [Source:UniProtKB/Swiss-Prot;Acc:P00519]</t>
  </si>
  <si>
    <t>H300022457</t>
  </si>
  <si>
    <t>NM_016828;NM_016828;NM_016821;NM_016821</t>
  </si>
  <si>
    <t>OGG1</t>
  </si>
  <si>
    <t>NM_003790;NM_003790;NM_148967;NM_148967;NM_148970</t>
  </si>
  <si>
    <t>TNFRSF25</t>
  </si>
  <si>
    <t>Tumor necrosis factor receptor superfamily member 25 Precursor (WSL-1 protein)(Apoptosis-mediating receptor DR3)(Apoptosis-mediating receptor TRAMP)(Death domain receptor 3)(WSL protein)(Apoptosis-inducing receptor AIR)(Apo-3)(Lymphocyte-associated receptor of death)(LARD) [Source:UniProtKB/Swiss-Prot;Acc:Q93038]</t>
  </si>
  <si>
    <t>GO:0007165 signal transduction,GO:0006955 immune response,GO:0006915 apoptosis</t>
  </si>
  <si>
    <t>CHsGV10000764</t>
  </si>
  <si>
    <t>NM_024686.4</t>
  </si>
  <si>
    <t>TTLL7</t>
  </si>
  <si>
    <t>GO:0003677 DNA binding,GO:0003824 catalytic activity,GO:0003684 damaged DNA binding,GO:0008534 oxidized purine base lesion DNA N-glycosylase activity</t>
  </si>
  <si>
    <t>Tubulin polyglutamylase TTLL7 (EC 6.-.-.-)(Tubulin--tyrosine ligase-like protein 7)(Testis development protein NYD-SP30) [Source:UniProtKB/Swiss-Prot;Acc:Q6ZT98]</t>
  </si>
  <si>
    <t>GO:0008152 metabolic process,GO:0006629 lipid metabolic process,GO:0006631 fatty acid metabolic process,GO:0006635 fatty acid beta-oxidation</t>
  </si>
  <si>
    <t>GO:0005515 protein binding,GO:0016829 lyase activity,GO:0003824 catalytic activity,GO:0004300 enoyl-CoA hydratase activity</t>
  </si>
  <si>
    <t>AHsV10001375</t>
  </si>
  <si>
    <t>NM_004965.6</t>
  </si>
  <si>
    <t>HMGN1</t>
  </si>
  <si>
    <t>NEURL</t>
  </si>
  <si>
    <t>Neuralized-like protein 1 (h-neuralized 1)(h-neu)(RING finger protein 67) [Source:UniProtKB/Swiss-Prot;Acc:O76050]</t>
  </si>
  <si>
    <t>H300002487</t>
  </si>
  <si>
    <t>NM_007236</t>
  </si>
  <si>
    <t>AC012652.1</t>
  </si>
  <si>
    <t>Calcium-binding protein p22 (Calcium-binding protein CHP)(Calcineurin homologous protein)(Calcineurin B homolog) [Source:UniProtKB/Swiss-Prot;Acc:Q99653]</t>
  </si>
  <si>
    <t>GO:0006813 potassium ion transport,GO:0007264 small GTPase mediated signal transduction,GO:0001539 ciliary or flagellar motility</t>
  </si>
  <si>
    <t>NM_002281.3</t>
  </si>
  <si>
    <t>KRT81</t>
  </si>
  <si>
    <t>Keratin, type II cuticular Hb1 (Type II hair keratin Hb1)(Keratin, hair, basic, 1)(ghHKb1)(ghHb1)(Keratin-81)(K81)(K2.9)(MLN 137) [Source:UniProtKB/Swiss-Prot;Acc:Q14533]</t>
  </si>
  <si>
    <t>GO:0005198 structural molecule activity,GO:0005515 protein binding</t>
  </si>
  <si>
    <t>opHsV0400003293</t>
  </si>
  <si>
    <t>NM_005737;NM_005737</t>
  </si>
  <si>
    <t>ARL4C</t>
  </si>
  <si>
    <t>ADP-ribosylation factor-like protein 4C (ADP-ribosylation factor-like protein 7)(ADP-ribosylation factor-like protein LAK) [Source:UniProtKB/Swiss-Prot;Acc:P56559]</t>
  </si>
  <si>
    <t>GO:0000166 nucleotide binding,GO:0005525 GTP binding,GO:0003924 GTPase activity</t>
  </si>
  <si>
    <t>SEPW1</t>
  </si>
  <si>
    <t>Selenoprotein W (SelW) [Source:UniProtKB/Swiss-Prot;Acc:P63302]</t>
  </si>
  <si>
    <t>GO:0045454 cell redox homeostasis</t>
  </si>
  <si>
    <t>GO:0008430 selenium binding</t>
  </si>
  <si>
    <t>GO:0005515 protein binding,GO:0004872 receptor activity,GO:0004888 transmembrane receptor activity</t>
  </si>
  <si>
    <t>GO:0006289 nucleotide-excision repair,GO:0006281 DNA repair,GO:0006284 base-excision repair</t>
  </si>
  <si>
    <t>N-glycosylase/DNA lyase [Includes 8-oxoguanine DNA glycosylase(EC 3.2.2.-);DNA-(apurinic or apyrimidinic site) lyase(AP lyase)(EC 4.2.99.18)] [Source:UniProtKB/Swiss-Prot;Acc:O15527]</t>
  </si>
  <si>
    <t>H200006289</t>
  </si>
  <si>
    <t>NM_004092</t>
  </si>
  <si>
    <t>ECHS1</t>
  </si>
  <si>
    <t>GO:0005576 extracellular region,GO:0005792 microsome,GO:0005625 soluble fraction,GO:0005615 extracellular space,GO:0042567 insulin-like growth factor ternary complex,GO:0005792 microsome,GO:0042567 insulin-like growth factor ternary complex</t>
  </si>
  <si>
    <t>opHsV0400006778</t>
  </si>
  <si>
    <t>NM_005227;NM_005227</t>
  </si>
  <si>
    <t>EFNA4</t>
  </si>
  <si>
    <t>Ephrin-A4 Precursor (EPH-related receptor tyrosine kinase ligand 4)(LERK-4) [Source:UniProtKB/Swiss-Prot;Acc:P52798]</t>
  </si>
  <si>
    <t>GO:0016021 integral to membrane,GO:0016020 membrane,GO:0005783 endoplasmic reticulum,GO:0005789 endoplasmic reticulum membrane,GO:0005788 endoplasmic reticulum lumen</t>
  </si>
  <si>
    <t>AHsV10002237</t>
  </si>
  <si>
    <t>H300020005</t>
  </si>
  <si>
    <t>NM_000883;NM_001102605;NM_001102605;NM_001102605</t>
  </si>
  <si>
    <t>IMPDH1</t>
  </si>
  <si>
    <t>Inosine-5'-monophosphate dehydrogenase 1 (IMP dehydrogenase 1)(EC 1.1.1.205)(IMPDH-I)(IMPD 1) [Source:UniProtKB/Swiss-Prot;Acc:P20839]</t>
  </si>
  <si>
    <t>GO:0008152 metabolic process,GO:0007601 visual perception,GO:0055114 oxidation reduction,GO:0050896 response to stimulus,GO:0006164 purine nucleotide biosynthetic process,GO:0046651 lymphocyte proliferation,GO:0006177 GMP biosynthetic process</t>
  </si>
  <si>
    <t>GO:0046872 metal ion binding,GO:0003824 catalytic activity,GO:0016491 oxidoreductase activity,GO:0030955 potassium ion binding,GO:0003938 IMP dehydrogenase activity</t>
  </si>
  <si>
    <t>H300001286</t>
  </si>
  <si>
    <t>NM_004970</t>
  </si>
  <si>
    <t>IGFALS</t>
  </si>
  <si>
    <t>Insulin-like growth factor-binding protein complex acid labile chain Precursor (ALS) [Source:UniProtKB/Swiss-Prot;Acc:P35858]</t>
  </si>
  <si>
    <t>GO:0005515 protein binding,GO:0005524 ATP binding,GO:0016301 kinase activity,GO:0004872 receptor activity,GO:0004674 protein serine/threonine kinase activity,GO:0004713 protein tyrosine kinase activity,GO:0004672 protein kinase activity,GO:0004715 non-membrane spanning protein tyrosine kinase activity,GO:0035014 phosphoinositide 3-kinase regulator activity</t>
  </si>
  <si>
    <t>GO:0007275 multicellular organismal development</t>
  </si>
  <si>
    <t>Enoyl-CoA hydratase, mitochondrial Precursor (EC 4.2.1.17)(Short chain enoyl-CoA hydratase)(SCEH)(Enoyl-CoA hydratase 1) [Source:UniProtKB/Swiss-Prot;Acc:P30084]</t>
  </si>
  <si>
    <t>GO:0006350 transcription,GO:0006355 regulation of transcription, DNA-dependent,GO:0006915 apoptosis,GO:0045944 positive regulation of transcription from RNA polymerase II promoter,GO:0045648 positive regulation of erythrocyte differentiation</t>
  </si>
  <si>
    <t>GO:0005515 protein binding,GO:0003700 transcription factor activity,GO:0043565 sequence-specific DNA binding,GO:0019901 protein kinase binding,GO:0016563 transcription activator activity</t>
  </si>
  <si>
    <t>opHsV0400001258</t>
  </si>
  <si>
    <t>NM_004118</t>
  </si>
  <si>
    <t>FOXS1</t>
  </si>
  <si>
    <t>Forkhead box protein S1 (Forkhead-related transcription factor 10)(FREAC-10)(Forkhead-like 18 protein) [Source:UniProtKB/Swiss-Prot;Acc:O43638]</t>
  </si>
  <si>
    <t>opHsV0400004501</t>
  </si>
  <si>
    <t>NM_003037</t>
  </si>
  <si>
    <t>GO:0046649 lymphocyte activation</t>
  </si>
  <si>
    <t>GO:0016021 integral to membrane,GO:0009986 cell surface</t>
  </si>
  <si>
    <t>H300018971</t>
  </si>
  <si>
    <t>NM_001455</t>
  </si>
  <si>
    <t>FOXO3</t>
  </si>
  <si>
    <t>Forkhead box protein O3 (Forkhead in rhabdomyosarcoma-like 1)(AF6q21 protein) [Source:UniProtKB/Swiss-Prot;Acc:O43524]</t>
  </si>
  <si>
    <t>GO:0016740 transferase activity,GO:0005515 protein binding,GO:0000166 nucleotide binding,GO:0005524 ATP binding,GO:0004674 protein serine/threonine kinase activity,GO:0004713 protein tyrosine kinase activity,GO:0004672 protein kinase activity,GO:0004715 non-membrane spanning protein tyrosine kinase activity</t>
  </si>
  <si>
    <t>H200015162</t>
  </si>
  <si>
    <t>NM_004195;NM_148902;NM_148902</t>
  </si>
  <si>
    <t>TNFRSF18</t>
  </si>
  <si>
    <t>Protein-tyrosine sulfotransferase 1 (EC 2.8.2.20)(Tyrosylprotein sulfotransferase-1)(TPST-1) [Source:UniProtKB/Swiss-Prot;Acc:O60507]</t>
  </si>
  <si>
    <t>GO:0006954 inflammatory response,GO:0006478 peptidyl-tyrosine sulfation</t>
  </si>
  <si>
    <t>GO:0016740 transferase activity,GO:0008476 protein-tyrosine sulfotransferase activity</t>
  </si>
  <si>
    <t>GO:0016021 integral to membrane,GO:0016020 membrane,GO:0005624 membrane fraction,GO:0005794 Golgi apparatus,GO:0000139 Golgi membrane</t>
  </si>
  <si>
    <t>H300012008</t>
  </si>
  <si>
    <t>NM_005157;NM_005157</t>
  </si>
  <si>
    <t>GO:0000166 nucleotide binding,GO:0005524 ATP binding,GO:0009055 electron carrier activity,GO:0003995 acyl-CoA dehydrogenase activity,GO:0050660 FAD binding,GO:0003997 acyl-CoA oxidase activity,GO:0016627 oxidoreductase activity, acting on the CH-CH group of donors,GO:0004812 aminoacyl-tRNA ligase activity</t>
  </si>
  <si>
    <t>GO:0005737 cytoplasm,GO:0005739 mitochondrion,GO:0005777 peroxisome,GO:0005778 peroxisomal membrane</t>
  </si>
  <si>
    <t>H300008109</t>
  </si>
  <si>
    <t>NM_145278;NM_145278;NM_145278;NM_145278</t>
  </si>
  <si>
    <t>C1orf150</t>
  </si>
  <si>
    <t>Putative uncharacterized protein C1orf150  [Source:UniProtKB/Swiss-Prot;Acc:Q5JQS6]</t>
  </si>
  <si>
    <t>H300020783</t>
  </si>
  <si>
    <t>NM_007292;NM_007292</t>
  </si>
  <si>
    <t>ACOX1</t>
  </si>
  <si>
    <t>GO:0008152 metabolic process,GO:0006412 translation,GO:0006693 prostaglandin metabolic process,GO:0006629 lipid metabolic process,GO:0006631 fatty acid metabolic process,GO:0055114 oxidation reduction,GO:0007283 spermatogenesis,GO:0006091 generation of precursor metabolites and energy,GO:0006635 fatty acid beta-oxidation,GO:0006418 tRNA aminoacylation for protein translation</t>
  </si>
  <si>
    <t>H300009539</t>
  </si>
  <si>
    <t>AC108931.4</t>
  </si>
  <si>
    <t>GO:0005216 ion channel activity,GO:0005230 extracellular ligand-gated ion channel activity,GO:0030594 neurotransmitter receptor activity,GO:0004889 nicotinic acetylcholine-activated cation-selective channel activity,GO:0015464 acetylcholine receptor activity</t>
  </si>
  <si>
    <t>GO:0005515 protein binding,GO:0008022 protein C-terminus binding,GO:0005520 insulin-like growth factor binding,GO:0008022 protein C-terminus binding,GO:0005520 insulin-like growth factor binding</t>
  </si>
  <si>
    <t>GO:0006350 transcription,GO:0006355 regulation of transcription, DNA-dependent,GO:0007275 multicellular organismal development,GO:0050885 neuromuscular process controlling balance,GO:0040018 positive regulation of multicellular organism growth</t>
  </si>
  <si>
    <t>GO:0005509 calcium ion binding,GO:0004930 G-protein coupled receptor activity</t>
  </si>
  <si>
    <t>H300002336</t>
  </si>
  <si>
    <t>NM_207392</t>
  </si>
  <si>
    <t>KRTDAP</t>
  </si>
  <si>
    <t>Keratinocyte differentiation-associated protein Precursor  [Source:UniProtKB/Swiss-Prot;Acc:P60985]</t>
  </si>
  <si>
    <t>Caspase-7 Precursor (CASP-7)(EC 3.4.22.60)(ICE-like apoptotic protease 3)(ICE-LAP3)(Apoptotic protease Mch-3)(CMH-1) [Contains Caspase-7 subunit p20;Caspase-7 subunit p11] [Source:UniProtKB/Swiss-Prot;Acc:P55210]</t>
  </si>
  <si>
    <t>H300017492</t>
  </si>
  <si>
    <t>NM_018084</t>
  </si>
  <si>
    <t>CCDC88A</t>
  </si>
  <si>
    <t>Girdin (Girders of actin filament)(Coiled-coil domain-containing protein 88A)(Akt phosphorylation enhancer)(APE)(Hook-related protein 1)(HkRP1)(G alpha-interacting vesicle-associated protein)(GIV) [Source:UniProtKB/Swiss-Prot;Acc:Q3V6T2]</t>
  </si>
  <si>
    <t>GO:0006355 regulation of transcription, DNA-dependent,GO:0000272 polysaccharide catabolic process</t>
  </si>
  <si>
    <t>GO:0003700 transcription factor activity,GO:0043565 sequence-specific DNA binding,GO:0046983 protein dimerization activity</t>
  </si>
  <si>
    <t>AHsV10000257</t>
  </si>
  <si>
    <t>XM_028217.6</t>
  </si>
  <si>
    <t>NM_002375;NM_002375;NM_002375;NM_002375</t>
  </si>
  <si>
    <t>MAP4</t>
  </si>
  <si>
    <t>Microtubule-associated protein 4 (MAP-4) [Source:UniProtKB/Swiss-Prot;Acc:P27816]</t>
  </si>
  <si>
    <t>GO:0007026 negative regulation of microtubule depolymerization</t>
  </si>
  <si>
    <t>GO:0005201 extracellular matrix structural constituent</t>
  </si>
  <si>
    <t>GO:0005578 proteinaceous extracellular matrix</t>
  </si>
  <si>
    <t>H200000172</t>
  </si>
  <si>
    <t>NM_000100</t>
  </si>
  <si>
    <t>CSTB</t>
  </si>
  <si>
    <t>Cystatin-B (Stefin-B)(Liver thiol proteinase inhibitor)(CPI-B) [Source:UniProtKB/Swiss-Prot;Acc:P04080]</t>
  </si>
  <si>
    <t>Tumor necrosis factor receptor superfamily member 18 Precursor (Glucocorticoid-induced TNFR-related protein)(Activation-inducible TNFR family receptor) [Source:UniProtKB/Swiss-Prot;Acc:Q9Y5U5]</t>
  </si>
  <si>
    <t>opHsV0400002686</t>
  </si>
  <si>
    <t>RP4-570O12.2</t>
  </si>
  <si>
    <t>GO:0005575 cellular_component,GO:0043231 intracellular membrane-bounded organelle</t>
  </si>
  <si>
    <t>H300006880</t>
  </si>
  <si>
    <t>AC073321.4</t>
  </si>
  <si>
    <t>Peroxisomal acyl-coenzyme A oxidase 1 (AOX)(EC 1.3.3.6)(Palmitoyl-CoA oxidase)(Straight-chain acyl-CoA oxidase)(SCOX) [Source:UniProtKB/Swiss-Prot;Acc:Q15067]</t>
  </si>
  <si>
    <t>GO:0008344 adult locomotory behavior,GO:0010466 negative regulation of peptidase activity</t>
  </si>
  <si>
    <t>GO:0005515 protein binding,GO:0004866 endopeptidase inhibitor activity,GO:0002020 protease binding,GO:0004869 cysteine protease inhibitor activity,GO:0005515 protein binding</t>
  </si>
  <si>
    <t>H300018419</t>
  </si>
  <si>
    <t>NM_007300;NM_007300;NM_007300;NM_007300;NM_007300;NM_007300;NM_007303;NM_007303;NM_007298;NM_007298</t>
  </si>
  <si>
    <t>BRCA1</t>
  </si>
  <si>
    <t>Breast cancer type 1 susceptibility protein (RING finger protein 53) [Source:UniProtKB/Swiss-Prot;Acc:P38398]</t>
  </si>
  <si>
    <t>GO:0006260 DNA replication,GO:0006281 DNA repair,GO:0007098 centrosome cycle,GO:0000075 cell cycle checkpoint,GO:0009048 dosage compensation, by inactivation of X chromosome,GO:0043009 chordate embryonic development</t>
  </si>
  <si>
    <t>GO:0003677 DNA binding,GO:0005515 protein binding,GO:0008270 zinc ion binding,GO:0003674 molecular_function,GO:0003684 damaged DNA binding</t>
  </si>
  <si>
    <t>GO:0005634 nucleus,GO:0005622 intracellular,GO:0005737 cytoplasm,GO:0005575 cellular_component,GO:0000793 condensed chromosome</t>
  </si>
  <si>
    <t>opHsV0400000160</t>
  </si>
  <si>
    <t>NM_001008735</t>
  </si>
  <si>
    <t>HMGB1L1</t>
  </si>
  <si>
    <t>Putative high mobility group protein 1-like 1 (HMG-1L1) [Source:UniProtKB/Swiss-Prot;Acc:B2RPK0]</t>
  </si>
  <si>
    <t>GO:0005634 nucleus,GO:0005694 chromosome</t>
  </si>
  <si>
    <t>GO:0007165 signal transduction,GO:0007155 cell adhesion</t>
  </si>
  <si>
    <t>GO:0005886 plasma membrane,GO:0016021 integral to membrane,GO:0016020 membrane,GO:0030054 cell junction,GO:0045202 synapse,GO:0045211 postsynaptic membrane,GO:0005892 nicotinic acetylcholine-gated receptor-channel complex</t>
  </si>
  <si>
    <t>H300022070</t>
  </si>
  <si>
    <t>H300002589</t>
  </si>
  <si>
    <t>C6orf161</t>
  </si>
  <si>
    <t>Putative UPF0601 protein FAM165A  [Source:UniProtKB/Swiss-Prot;Acc:Q5T5W8]</t>
  </si>
  <si>
    <t>CHsGV10001194</t>
  </si>
  <si>
    <t>NM_018971.1</t>
  </si>
  <si>
    <t>GPR27</t>
  </si>
  <si>
    <t>Probable G-protein coupled receptor 27 (Super conserved receptor expressed in brain 1) [Source:UniProtKB/Swiss-Prot;Acc:Q9NS67]</t>
  </si>
  <si>
    <t>GO:0007186 G-protein coupled receptor protein signaling pathway,GO:0007165 signal transduction</t>
  </si>
  <si>
    <t>H300021023</t>
  </si>
  <si>
    <t>NM_033338;NM_033339;NM_033339;NM_033339;NM_033339;NM_001227</t>
  </si>
  <si>
    <t>CASP7</t>
  </si>
  <si>
    <t>GO:0006355 regulation of transcription, DNA-dependent,GO:0006974 response to DNA damage stimulus,GO:0045944 positive regulation of transcription from RNA polymerase II promoter,GO:0032729 positive regulation of interferon-gamma production,GO:0045941 positive regulation of transcription,GO:0002467 germinal center formation,GO:0042771 DNA damage response, signal transduction by p53 class mediator resulting in induction of apoptosis,GO:0016481 negative regulation of transcription,GO:0007249 I-kappaB kinase/NF-kappaB cascade,GO:0009615 response to virus,GO:0042742 defense response to bacterium,GO:0000060 protein import into nucleus, translocation,GO:0030198 extracellular matrix organization and biogenesis,GO:0048536 spleen development,GO:0043066 negative regulation of apoptosis,GO:0042536 negative regulation of tumor necrosis factor biosynthetic process,GO:0051457 maintenance of protein location in nucleus,GO:0042832 defense response to protozoan,GO:0045727 positive regulation of translation,GO:0010225 response to UV-C,GO:0042088 T-helper 1 type immune response,GO:0051101 regulation of DNA binding,GO:0045415 negative regulation of interleukin-8 biosynthetic process,GO:0002455 humoral immune response mediated by circulating immunoglobulin,GO:0045082 positive regulation of interleukin-10 biosynthetic process,GO:0002268 follicular dendritic cell differentiation,GO:0002315 marginal zone B cell differentiation,GO:0019730 antimicrobial humoral response,GO:0042345 regulation of NF-kappaB import into nucleus,GO:0045064 T-helper 2 cell differentiation</t>
  </si>
  <si>
    <t>GO:0003700 transcription factor activity,GO:0008134 transcription factor binding,GO:0030674 protein binding, bridging</t>
  </si>
  <si>
    <t>GO:0005634 nucleus,GO:0005737 cytoplasm,GO:0032996 Bcl3-Bcl10 complex,GO:0033257 Bcl3/NF-kappaB2 complex</t>
  </si>
  <si>
    <t>GO:0005886 plasma membrane,GO:0005887 integral to plasma membrane,GO:0016021 integral to membrane</t>
  </si>
  <si>
    <t>AHsV10003189</t>
  </si>
  <si>
    <t>NM_007261.2</t>
  </si>
  <si>
    <t>CD300A</t>
  </si>
  <si>
    <t>CMRF35-like molecule 8 Precursor (CLM-8)(CMRF35-H)(CMRF35-H9)(CMRF-35-H9)(Inhibitory receptor protein 60)(IRp60)(IRC1/IRC2)(NK inhibitory receptor)(CD300 antigen-like family member A)(CD300a antigen) [Source:UniProtKB/Swiss-Prot;Acc:Q9UGN4]</t>
  </si>
  <si>
    <t>GO:0006810 transport,GO:0006955 immune response,GO:0007155 cell adhesion</t>
  </si>
  <si>
    <t>GO:0016740 transferase activity,GO:0005515 protein binding,GO:0008270 zinc ion binding,GO:0000166 nucleotide binding,GO:0005524 ATP binding,GO:0046872 metal ion binding,GO:0042802 identical protein binding,GO:0004674 protein serine/threonine kinase activity,GO:0004713 protein tyrosine kinase activity,GO:0019992 diacylglycerol binding,GO:0004672 protein kinase activity</t>
  </si>
  <si>
    <t>GO:0016020 membrane,GO:0005622 intracellular,GO:0005737 cytoplasm,GO:0005794 Golgi apparatus,GO:0000139 Golgi membrane,GO:0005829 cytosol</t>
  </si>
  <si>
    <t>GO:0005515 protein binding,GO:0004672 protein kinase activity,GO:0005524 ATP binding,GO:0004713 protein tyrosine kinase activity,GO:0000166 nucleotide binding,GO:0004674 protein serine/threonine kinase activity,GO:0016740 transferase activity,GO:0004693 cyclin-dependent protein kinase activity,GO:0008353 RNA polymerase II carboxy-terminal domain kinase activity</t>
  </si>
  <si>
    <t>GO:0005634 nucleus,GO:0000119 mediator complex</t>
  </si>
  <si>
    <t>AHsV10000589</t>
  </si>
  <si>
    <t>NM_003898.2</t>
  </si>
  <si>
    <t>SYNJ2</t>
  </si>
  <si>
    <t>GO:0007165 signal transduction,GO:0006468 protein amino acid phosphorylation,GO:0007242 intracellular signaling cascade,GO:0006915 apoptosis,GO:0030036 actin cytoskeleton organization,GO:0007266 Rho protein signal transduction,GO:0000910 cytokinesis,GO:0050900 leukocyte migration,GO:0032060 bleb formation,GO:0043524 negative regulation of neuron apoptosis,GO:0050901 leukocyte tethering or rolling,GO:0022614 membrane to membrane docking</t>
  </si>
  <si>
    <t>GO:0005515 protein binding,GO:0046982 protein heterodimerization activity,GO:0005096 GTPase activator activity</t>
  </si>
  <si>
    <t>CHsGV10003613</t>
  </si>
  <si>
    <t>NM_001260.1</t>
  </si>
  <si>
    <t>CDK8</t>
  </si>
  <si>
    <t>Cell division protein kinase 8 (EC 2.7.11.22)(EC 2.7.11.23)(Cyclin-dependent kinase 8)(Mediator of RNA polymerase II transcription subunit CDK8)(Mediator complex subunit CDK8)(Protein kinase K35) [Source:UniProtKB/Swiss-Prot;Acc:P49336]</t>
  </si>
  <si>
    <t>GO:0006468 protein amino acid phosphorylation,GO:0045449 regulation of transcription</t>
  </si>
  <si>
    <t>GO:0003676 nucleic acid binding,GO:0003723 RNA binding,GO:0004437 inositol or phosphatidylinositol phosphatase activity,GO:0004439 phosphatidylinositol-4,5-bisphosphate 5-phosphatase activity,GO:0005515 protein binding,GO:0016787 hydrolase activity</t>
  </si>
  <si>
    <t>AHsV10001112</t>
  </si>
  <si>
    <t>NM_145201.4</t>
  </si>
  <si>
    <t>NAPRT1</t>
  </si>
  <si>
    <t>GO:0004872 receptor activity,GO:0005337 nucleoside transmembrane transporter activity,GO:0005515 protein binding</t>
  </si>
  <si>
    <t>H200004074</t>
  </si>
  <si>
    <t>NM_005178;NM_005178</t>
  </si>
  <si>
    <t>BCL3</t>
  </si>
  <si>
    <t>B-cell lymphoma 3-encoded protein (Protein Bcl-3) [Source:UniProtKB/Swiss-Prot;Acc:P20749]</t>
  </si>
  <si>
    <t>H200015671</t>
  </si>
  <si>
    <t>NM_021999</t>
  </si>
  <si>
    <t>ITM2B</t>
  </si>
  <si>
    <t>GO:0003677 DNA binding,GO:0008270 zinc ion binding,GO:0030528 transcription regulator activity,GO:0046872 metal ion binding</t>
  </si>
  <si>
    <t>H200002681</t>
  </si>
  <si>
    <t>NM_005406</t>
  </si>
  <si>
    <t>ROCK1</t>
  </si>
  <si>
    <t>Rho-associated protein kinase 1 (EC 2.7.11.1)(Rho-associated, coiled-coil-containing protein kinase 1)(p160 ROCK-1)(p160ROCK)(Renal carcinoma antigen NY-REN-35) [Source:UniProtKB/Swiss-Prot;Acc:Q13464]</t>
  </si>
  <si>
    <t>GO:0005515 protein binding,GO:0004857 enzyme inhibitor activity,GO:0005515 protein binding</t>
  </si>
  <si>
    <t>Oxysterol-binding protein-related protein 8 (OSBP-related protein 8)(ORP-8) [Source:UniProtKB/Swiss-Prot;Acc:Q9BZF1]</t>
  </si>
  <si>
    <t>GO:0005515 protein binding,GO:0000166 nucleotide binding,GO:0005524 ATP binding</t>
  </si>
  <si>
    <t>opHsV0400000387</t>
  </si>
  <si>
    <t>NM_001001524</t>
  </si>
  <si>
    <t>TM6SF2</t>
  </si>
  <si>
    <t>Transmembrane 6 superfamily member 2  [Source:UniProtKB/Swiss-Prot;Acc:Q9BZW4]</t>
  </si>
  <si>
    <t>GO:0005737 cytoplasm,GO:0015629 actin cytoskeleton</t>
  </si>
  <si>
    <t>H200001915</t>
  </si>
  <si>
    <t>HEG1</t>
  </si>
  <si>
    <t>H300019537</t>
  </si>
  <si>
    <t>NM_001003712;NM_001003712</t>
  </si>
  <si>
    <t>OSBPL8</t>
  </si>
  <si>
    <t>CHsGV10000483</t>
  </si>
  <si>
    <t>NM_004041.3;NM_020251.2</t>
  </si>
  <si>
    <t>ARRB1</t>
  </si>
  <si>
    <t>Beta-arrestin-1 (Arrestin beta-1) [Source:UniProtKB/Swiss-Prot;Acc:P49407]</t>
  </si>
  <si>
    <t>GO:0016740 transferase activity,GO:0000166 nucleotide binding,GO:0005524 ATP binding,GO:0004674 protein serine/threonine kinase activity,GO:0004713 protein tyrosine kinase activity,GO:0004672 protein kinase activity,GO:0004693 cyclin-dependent protein kinase activity,GO:0002039 p53 binding,GO:0050321 tau-protein kinase activity,GO:0005176 ErbB-2 class receptor binding,GO:0043125 ErbB-3 class receptor binding,GO:0030549 acetylcholine receptor activator activity,GO:0005515 protein binding,GO:0050321 tau-protein kinase activity</t>
  </si>
  <si>
    <t>Synaptojanin-2 (EC 3.1.3.36)(Synaptic inositol-1,4,5-trisphosphate 5-phosphatase 2) [Source:UniProtKB/Swiss-Prot;Acc:O15056]</t>
  </si>
  <si>
    <t>GO:0032395 MHC class II receptor activity</t>
  </si>
  <si>
    <t>H200014755</t>
  </si>
  <si>
    <t>NM_012414;NM_012414</t>
  </si>
  <si>
    <t>RAB3GAP2</t>
  </si>
  <si>
    <t>Integral membrane protein 2B (Transmembrane protein BRI) [Contains ABri/ADan amyloid peptide] [Source:UniProtKB/Swiss-Prot;Acc:Q9Y287]</t>
  </si>
  <si>
    <t>Rab3 GTPase-activating protein non-catalytic subunit (Rab3 GTPase-activating protein 150 kDa subunit)(Rab3-GAP p150)(RAB3-GAP150)(Rab3-GAP regulatory subunit)(RGAP-iso) [Source:UniProtKB/Swiss-Prot;Acc:Q9H2M9]</t>
  </si>
  <si>
    <t>GO:0006886 intracellular protein transport,GO:0043087 regulation of GTPase activity</t>
  </si>
  <si>
    <t>GO:0005737 cytoplasm,GO:0005624 membrane fraction,GO:0005625 soluble fraction,GO:0005886 plasma membrane,GO:0005622 intracellular,GO:0005834 heterotrimeric G-protein complex,GO:0005622 intracellular</t>
  </si>
  <si>
    <t>opHsV0400003751</t>
  </si>
  <si>
    <t>EGFL11</t>
  </si>
  <si>
    <t>GO:0016020 membrane,GO:0005634 nucleus,GO:0005737 cytoplasm,GO:0005829 cytosol,GO:0030027 lamellipodium,GO:0030175 filopodium,GO:0030426 growth cone,GO:0030425 dendrite,GO:0043025 cell soma,GO:0030424 axon,GO:0031594 neuromuscular junction,GO:0016020 membrane,GO:0005634 nucleus,GO:0005737 cytoplasm,GO:0030424 axon,GO:0030425 dendrite,GO:0030426 growth cone,GO:0043025 cell soma,GO:0031594 neuromuscular junction</t>
  </si>
  <si>
    <t>H300009266</t>
  </si>
  <si>
    <t>NM_003243;NM_003243</t>
  </si>
  <si>
    <t>TGFBR3</t>
  </si>
  <si>
    <t>TGF-beta receptor type III Precursor (TGFR-3)(Transforming growth factor beta receptor III)(Betaglycan) [Source:UniProtKB/Swiss-Prot;Acc:Q03167]</t>
  </si>
  <si>
    <t>Protein HEG homolog 1 Precursor  [Source:UniProtKB/Swiss-Prot;Acc:Q9ULI3]</t>
  </si>
  <si>
    <t>H300000847</t>
  </si>
  <si>
    <t>AC120042.3</t>
  </si>
  <si>
    <t>cDNA FLJ39198 fis, clone OCBBF2005161 (cDNA FLJ45346 fis, clone BRHIP3010916) (Putative uncharacterized protein)  [Source:UniProtKB/TrEMBL;Acc:Q8N8M7]</t>
  </si>
  <si>
    <t>GO:0005886 plasma membrane,GO:0005887 integral to plasma membrane</t>
  </si>
  <si>
    <t>GO:0016020 membrane,GO:0005576 extracellular region</t>
  </si>
  <si>
    <t>Nicotinate phosphoribosyltransferase (NAPRTase)(EC 2.4.2.11)(Nicotinate phosphoribosyltransferase domain-containing protein 1)(FHA-HIT-interacting protein) [Source:UniProtKB/Swiss-Prot;Acc:Q6XQN6]</t>
  </si>
  <si>
    <t>GO:0019363 pyridine nucleotide biosynthetic process</t>
  </si>
  <si>
    <t>GO:0004516 nicotinate phosphoribosyltransferase activity</t>
  </si>
  <si>
    <t>GO:0003677 DNA binding,GO:0008270 zinc ion binding,GO:0046872 metal ion binding</t>
  </si>
  <si>
    <t>GO:0007165 signal transduction,GO:0050896 response to stimulus,GO:0007602 phototransduction,GO:0008277 regulation of G-protein coupled receptor protein signaling pathway,GO:0007600 sensory perception,GO:0008277 regulation of G-protein coupled receptor protein signaling pathway,GO:0007602 phototransduction</t>
  </si>
  <si>
    <t>GO:0006468 protein amino acid phosphorylation,GO:0007160 cell-matrix adhesion,GO:0051301 cell division,GO:0009790 embryonic development,GO:0008283 cell proliferation,GO:0006886 intracellular protein transport,GO:0045786 negative regulation of cell cycle,GO:0043525 positive regulation of neuron apoptosis,GO:0007519 skeletal muscle development,GO:0030182 neuron differentiation,GO:0001764 neuron migration,GO:0048813 dendrite morphogenesis,GO:0043113 receptor clustering,GO:0007409 axonogenesis,GO:0031175 neurite development,GO:0030334 regulation of cell migration,GO:0021987 cerebral cortex development,GO:0008045 motor axon guidance,GO:0035249 synaptic transmission, glutamatergic,GO:0031397 negative regulation of protein ubiquitination,GO:0021954 central nervous system neuron development,GO:0019233 sensory perception of pain,GO:0045860 positive regulation of protein kinase activity,GO:0021766 hippocampus development,GO:0046826 negative regulation of protein export from nucleus,GO:0008542 visual learning,GO:0008306 associative learning,GO:0060079 regulation of excitatory postsynaptic membrane potential,GO:0001963 synaptic transmission, dopaminergic,GO:0048148 behavioral response to cocaine,GO:0021819 layer formation in the cerebral cortex,GO:0032801 receptor catabolic process,GO:0014044 Schwann cell development,GO:0021695 cerebellar cortex development,GO:0021697 cerebellar cortex formation,GO:0022038 corpus callosum development,GO:0031914 negative regulation of synaptic plasticity,GO:0033136 serine phosphorylation of STAT3 protein,GO:0045956 positive regulation of calcium ion-dependent exocytosis,GO:0009790 embryonic development,GO:0043525 positive regulation of neuron apoptosis,GO:0030182 neuron differentiation,GO:0031175 neurite development</t>
  </si>
  <si>
    <t>H200019733</t>
  </si>
  <si>
    <t>NM_138390</t>
  </si>
  <si>
    <t>TMEM169</t>
  </si>
  <si>
    <t>Transmembrane protein 169  [Source:UniProtKB/Swiss-Prot;Acc:Q96HH4]</t>
  </si>
  <si>
    <t>H300020971</t>
  </si>
  <si>
    <t>CDK5</t>
  </si>
  <si>
    <t>GO:0005488 binding,GO:0003824 catalytic activity,GO:0016491 oxidoreductase activity,GO:0042803 protein homodimerization activity,GO:0050661 NADP binding,GO:0005536 glucose binding,GO:0004345 glucose-6-phosphate dehydrogenase activity</t>
  </si>
  <si>
    <t>GO:0005737 cytoplasm,GO:0005829 cytosol,GO:0005813 centrosome,GO:0043231 intracellular membrane-bounded organelle,GO:0009898 internal side of plasma membrane</t>
  </si>
  <si>
    <t>GO:0005515 protein binding,GO:0003700 transcription factor activity,GO:0004871 signal transducer activity</t>
  </si>
  <si>
    <t>H300020857</t>
  </si>
  <si>
    <t>ANTXR2</t>
  </si>
  <si>
    <t>Anthrax toxin receptor 2 Precursor (Capillary morphogenesis gene 2 protein)(CMG-2) [Source:UniProtKB/Swiss-Prot;Acc:P58335]</t>
  </si>
  <si>
    <t>AHsV10002316</t>
  </si>
  <si>
    <t>NM_005345.5</t>
  </si>
  <si>
    <t>HSPA1A</t>
  </si>
  <si>
    <t>Heat shock 70 kDa protein 1 (HSP70.1)(HSP70-1/HSP70-2) [Source:UniProtKB/Swiss-Prot;Acc:P08107]</t>
  </si>
  <si>
    <t>Cell division protein kinase 5 (EC 2.7.11.22)(Cyclin-dependent kinase 5)(Tau protein kinase II catalytic subunit)(TPKII catalytic subunit)(Serine/threonine-protein kinase PSSALRE) [Source:UniProtKB/Swiss-Prot;Acc:Q00535]</t>
  </si>
  <si>
    <t>GO:0016021 integral to membrane,GO:0016020 membrane,GO:0005622 intracellular,GO:0000151 ubiquitin ligase complex</t>
  </si>
  <si>
    <t>H300003972</t>
  </si>
  <si>
    <t>NM_001042351;NM_001042351;NM_001042351</t>
  </si>
  <si>
    <t>G6PD</t>
  </si>
  <si>
    <t>Glucose-6-phosphate 1-dehydrogenase (G6PD)(EC 1.1.1.49) [Source:UniProtKB/Swiss-Prot;Acc:P11413]</t>
  </si>
  <si>
    <t>GO:0005975 carbohydrate metabolic process,GO:0008152 metabolic process,GO:0006629 lipid metabolic process,GO:0006006 glucose metabolic process,GO:0055114 oxidation reduction,GO:0006979 response to oxidative stress,GO:0043249 erythrocyte maturation,GO:0040014 regulation of multicellular organism growth,GO:0006749 glutathione metabolic process,GO:0006695 cholesterol biosynthetic process,GO:0001998 angiotensin mediated vasoconstriction involved in regulation of systemic arterial blood pressure,GO:0002033 vasodilation by angiotensin involved in regulation of systemic arterial blood pressure,GO:0006741 NADP biosynthetic process,GO:0019322 pentose biosynthetic process,GO:0032613 interleukin-10 production,GO:0032615 interleukin-12 production,GO:0048821 erythrocyte development,GO:0006010 glucose 6-phosphate utilization,GO:0009051 pentose-phosphate shunt, oxidative branch,GO:0010734 negative regulation of protein amino acid glutathionylation,GO:0034599 cellular response to oxidative stress,GO:0046390 ribose phosphate biosynthetic process</t>
  </si>
  <si>
    <t>GO:0006810 transport,GO:0022900 electron transport chain,GO:0006120 mitochondrial electron transport, NADH to ubiquinone</t>
  </si>
  <si>
    <t>GO:0016021 integral to membrane,GO:0016020 membrane,GO:0005739 mitochondrion,GO:0005747 mitochondrial respiratory chain complex I</t>
  </si>
  <si>
    <t>CHsGV10002922</t>
  </si>
  <si>
    <t>NM_005573.2</t>
  </si>
  <si>
    <t>LMNB1</t>
  </si>
  <si>
    <t>Lamin-B1  [Source:UniProtKB/Swiss-Prot;Acc:P20700]</t>
  </si>
  <si>
    <t>GO:0005634 nucleus,GO:0016020 membrane,GO:0005638 lamin filament,GO:0016363 nuclear matrix,GO:0005634 nucleus,GO:0005638 lamin filament</t>
  </si>
  <si>
    <t>GO:0000166 nucleotide binding,GO:0005524 ATP binding,GO:0051082 unfolded protein binding</t>
  </si>
  <si>
    <t>GO:0005634 nucleus,GO:0005737 cytoplasm,GO:0005739 mitochondrion,GO:0005783 endoplasmic reticulum</t>
  </si>
  <si>
    <t>H200000500</t>
  </si>
  <si>
    <t>NM_001639</t>
  </si>
  <si>
    <t>APCS</t>
  </si>
  <si>
    <t>Serum amyloid P-component Precursor (SAP)(9.5S alpha-1-glycoprotein) [Contains Serum amyloid P-component(1-203)] [Source:UniProtKB/Swiss-Prot;Acc:P02743]</t>
  </si>
  <si>
    <t>GO:0006953 acute-phase response,GO:0006457 protein folding,GO:0051131 chaperone-mediated protein complex assembly</t>
  </si>
  <si>
    <t>GO:0005509 calcium ion binding,GO:0005529 sugar binding,GO:0051082 unfolded protein binding</t>
  </si>
  <si>
    <t>H300001868</t>
  </si>
  <si>
    <t>NM_006613</t>
  </si>
  <si>
    <t>GRAP</t>
  </si>
  <si>
    <t>GRB2-related adapter protein  [Source:UniProtKB/Swiss-Prot;Acc:Q13588]</t>
  </si>
  <si>
    <t>H300001083</t>
  </si>
  <si>
    <t>NM_173084</t>
  </si>
  <si>
    <t>TRIM59</t>
  </si>
  <si>
    <t>Tripartite motif-containing protein 59 (Tumor suppressor TSBF-1)(RING finger protein 104) [Source:UniProtKB/Swiss-Prot;Acc:Q8IWR1]</t>
  </si>
  <si>
    <t>H300018983</t>
  </si>
  <si>
    <t>NM_006499;NM_006499;NM_201543;NM_201543</t>
  </si>
  <si>
    <t>Galectin-8 (Gal-8)(Prostate carcinoma tumor antigen 1)(PCTA-1)(Po66 carbohydrate-binding protein)(Po66-CBP) [Source:UniProtKB/Swiss-Prot;Acc:O00214]</t>
  </si>
  <si>
    <t>GO:0005737 cytoplasm,GO:0005615 extracellular space</t>
  </si>
  <si>
    <t>H300019924</t>
  </si>
  <si>
    <t>NM_003150;NM_003150</t>
  </si>
  <si>
    <t>STAT3</t>
  </si>
  <si>
    <t>Signal transducer and activator of transcription 3 (Acute-phase response factor) [Source:UniProtKB/Swiss-Prot;Acc:P40763]</t>
  </si>
  <si>
    <t>GO:0007165 signal transduction,GO:0006355 regulation of transcription, DNA-dependent,GO:0045449 regulation of transcription</t>
  </si>
  <si>
    <t>GO:0006468 protein amino acid phosphorylation,GO:0005978 glycogen biosynthetic process</t>
  </si>
  <si>
    <t>H300015385</t>
  </si>
  <si>
    <t>NM_020139</t>
  </si>
  <si>
    <t>BDH2</t>
  </si>
  <si>
    <t>3-hydroxybutyrate dehydrogenase type 2 (EC 1.1.1.30)(R-beta-hydroxybutyrate dehydrogenase)(Dehydrogenase/reductase SDR family member 6)(Oxidoreductase UCPA) [Source:UniProtKB/Swiss-Prot;Acc:Q9BUT1]</t>
  </si>
  <si>
    <t>GO:0008152 metabolic process,GO:0055114 oxidation reduction,GO:0006635 fatty acid beta-oxidation,GO:0009239 enterobactin biosynthetic process</t>
  </si>
  <si>
    <t>GO:0006402 mRNA catabolic process,GO:0006916 anti-apoptosis,GO:0006986 response to unfolded protein</t>
  </si>
  <si>
    <t>H300002557</t>
  </si>
  <si>
    <t>NM_001122961;NM_001122961;NM_001122961</t>
  </si>
  <si>
    <t>C1orf194</t>
  </si>
  <si>
    <t>Uncharacterized protein C1orf194  [Source:UniProtKB/Swiss-Prot;Acc:Q5T5A4]</t>
  </si>
  <si>
    <t>H200005251</t>
  </si>
  <si>
    <t>NM_001408</t>
  </si>
  <si>
    <t>CELSR2</t>
  </si>
  <si>
    <t>Cadherin EGF LAG seven-pass G-type receptor 2 Precursor (Epidermal growth factor-like 2)(Multiple epidermal growth factor-like domains 3)(Flamingo 1) [Source:UniProtKB/Swiss-Prot;Acc:Q9HCU4]</t>
  </si>
  <si>
    <t>GO:0007186 G-protein coupled receptor protein signaling pathway,GO:0007275 multicellular organismal development,GO:0007218 neuropeptide signaling pathway,GO:0016055 Wnt receptor signaling pathway,GO:0007156 homophilic cell adhesion,GO:0048813 dendrite morphogenesis,GO:0021999 neural plate anterioposterior pattern formation,GO:0022407 regulation of cell-cell adhesion,GO:0032583 regulation of gene-specific transcription</t>
  </si>
  <si>
    <t>GO:0005509 calcium ion binding,GO:0005515 protein binding,GO:0004872 receptor activity,GO:0004930 G-protein coupled receptor activity,GO:0016527 brain-specific angiogenesis inhibitor activity</t>
  </si>
  <si>
    <t>GO:0005886 plasma membrane,GO:0016021 integral to membrane,GO:0016020 membrane,GO:0005737 cytoplasm</t>
  </si>
  <si>
    <t>LGALS8</t>
  </si>
  <si>
    <t>H200007113</t>
  </si>
  <si>
    <t>NM_002494;NM_002494;NM_002494;NM_002494</t>
  </si>
  <si>
    <t>NDUFC1</t>
  </si>
  <si>
    <t>NADH dehydrogenase [ubiquinone] 1 subunit C1, mitochondrial Precursor (NADH-ubiquinone oxidoreductase KFYI subunit)(Complex I-KFYI)(CI-KFYI) [Source:UniProtKB/Swiss-Prot;Acc:O43677]</t>
  </si>
  <si>
    <t>NM_000238.2;NM_172056.1;NM_172057.1</t>
  </si>
  <si>
    <t>KCNH2</t>
  </si>
  <si>
    <t>Potassium voltage-gated channel subfamily H member 2 (Voltage-gated potassium channel subunit Kv11.1)(Ether-a-go-go-related gene potassium channel 1)(H-ERG)(Erg1)(Ether-a-go-go-related protein 1)(Eag-related protein 1)(eag homolog) [Source:UniProtKB/Swiss-Prot;Acc:Q12809]</t>
  </si>
  <si>
    <t>GO:0008016 regulation of heart contraction,GO:0008015 blood circulation,GO:0007165 signal transduction,GO:0006813 potassium ion transport,GO:0006936 muscle contraction,GO:0006811 ion transport,GO:0000160 two-component signal transduction system (phosphorelay),GO:0042391 regulation of membrane potential</t>
  </si>
  <si>
    <t>GO:0005524 ATP binding,GO:0004674 protein serine/threonine kinase activity,GO:0004713 protein tyrosine kinase activity,GO:0005516 calmodulin binding,GO:0004672 protein kinase activity,GO:0004689 phosphorylase kinase activity</t>
  </si>
  <si>
    <t>GO:0005964 phosphorylase kinase complex</t>
  </si>
  <si>
    <t>GO:0005515 protein binding,GO:0008083 growth factor activity</t>
  </si>
  <si>
    <t>GO:0005515 protein binding,GO:0035014 phosphoinositide 3-kinase regulator activity</t>
  </si>
  <si>
    <t>GO:0005942 phosphoinositide 3-kinase complex</t>
  </si>
  <si>
    <t>H200006251</t>
  </si>
  <si>
    <t>NM_003897;NM_003897</t>
  </si>
  <si>
    <t>IER3</t>
  </si>
  <si>
    <t>immediate early response 3  [Source:RefSeq peptide;Acc:NP_003888]</t>
  </si>
  <si>
    <t>GO:0005901 caveola,GO:0016600 flotillin complex</t>
  </si>
  <si>
    <t>opHsV0400004005</t>
  </si>
  <si>
    <t>NM_001002274;NM_001002274;NM_001002274;NM_001002274;NM_001002274;NM_001002274;NM_001002274;NM_001002274</t>
  </si>
  <si>
    <t>FCGR2B</t>
  </si>
  <si>
    <t>Low affinity immunoglobulin gamma Fc region receptor II-b Precursor (IgG Fc receptor II-b)(Fc-gamma RII-b)(Fc-gamma-RIIb)(FcRII-b)(CDw32)(CD32 antigen) [Source:UniProtKB/Swiss-Prot;Acc:P31994]</t>
  </si>
  <si>
    <t>opHsV0400004246</t>
  </si>
  <si>
    <t>NM_153498;NM_153498</t>
  </si>
  <si>
    <t>CAMK1D</t>
  </si>
  <si>
    <t>Calcium/calmodulin-dependent protein kinase type 1D (EC 2.7.11.17)(CaM kinase I delta)(CaM kinase ID)(CaM-KI delta)(CaMKI-delta)(CaMKI delta)(Camk1D)(CamKI-like protein kinase)(CKLiK) [Source:UniProtKB/Swiss-Prot;Acc:Q8IU85]</t>
  </si>
  <si>
    <t>GO:0005509 calcium ion binding,GO:0005515 protein binding,GO:0008233 peptidase activity,GO:0004197 cysteine-type endopeptidase activity,GO:0004198 calcium-dependent cysteine-type endopeptidase activity</t>
  </si>
  <si>
    <t>GO:0003677 DNA binding,GO:0005509 calcium ion binding,GO:0004872 receptor activity,GO:0004930 G-protein coupled receptor activity,GO:0003887 DNA-directed DNA polymerase activity</t>
  </si>
  <si>
    <t>H200008906</t>
  </si>
  <si>
    <t>NM_020638</t>
  </si>
  <si>
    <t>FGF23</t>
  </si>
  <si>
    <t>Fibroblast growth factor 23 Precursor (FGF-23)(Tumor-derived hypophosphatemia-inducing factor)(Phosphatonin) [Contains Fibroblast growth factor 23 N-terminal peptide;Fibroblast growth factor 23 C-terminal peptide] [Source:UniProtKB/Swiss-Prot;Acc:Q9GZV9]</t>
  </si>
  <si>
    <t>GO:0005488 binding,GO:0003824 catalytic activity,GO:0016491 oxidoreductase activity,GO:0051287 NAD binding,GO:0004022 alcohol dehydrogenase activity,GO:0003858 3-hydroxybutyrate dehydrogenase activity,GO:0008667 2,3-dihydro-2,3-dihydroxybenzoate dehydrogenase activity</t>
  </si>
  <si>
    <t>H300018920</t>
  </si>
  <si>
    <t>NM_018198;NM_018198;NM_018198</t>
  </si>
  <si>
    <t>DNAJC11</t>
  </si>
  <si>
    <t>DnaJ homolog subfamily C member 11  [Source:UniProtKB/Swiss-Prot;Acc:Q9NVH1]</t>
  </si>
  <si>
    <t>GO:0031072 heat shock protein binding</t>
  </si>
  <si>
    <t>GO:0003779 actin binding</t>
  </si>
  <si>
    <t>AHsV10002412</t>
  </si>
  <si>
    <t>NM_007104.4</t>
  </si>
  <si>
    <t>AC113340.2-1</t>
  </si>
  <si>
    <t>ribosomal protein L10a (RPL10A), mRNA [Source:RefSeq DNA;Acc:NM_007104]</t>
  </si>
  <si>
    <t>Centrin-2 (Caltractin isoform 1) [Source:UniProtKB/Swiss-Prot;Acc:P41208]</t>
  </si>
  <si>
    <t>GO:0007049 cell cycle,GO:0007067 mitosis,GO:0051301 cell division,GO:0007099 centriole replication,GO:0001539 ciliary or flagellar motility,GO:0032465 regulation of cytokinesis</t>
  </si>
  <si>
    <t>AHsV10000511</t>
  </si>
  <si>
    <t>NM_182490.1</t>
  </si>
  <si>
    <t>ZNF227</t>
  </si>
  <si>
    <t>Zinc finger protein 227  [Source:UniProtKB/Swiss-Prot;Acc:Q86WZ6]</t>
  </si>
  <si>
    <t>GO:0003676 nucleic acid binding,GO:0003677 DNA binding,GO:0004883 glucocorticoid receptor activity,GO:0005496 steroid binding,GO:0008270 zinc ion binding,GO:0046872 metal ion binding</t>
  </si>
  <si>
    <t>GO:0006820 anion transport</t>
  </si>
  <si>
    <t>H300007838</t>
  </si>
  <si>
    <t>AC092268.4</t>
  </si>
  <si>
    <t>CHsGV10002296</t>
  </si>
  <si>
    <t>GO:0003677 DNA binding,GO:0005515 protein binding,GO:0008270 zinc ion binding,GO:0046872 metal ion binding,GO:0003676 nucleic acid binding,GO:0016564 transcription repressor activity,GO:0035035 histone acetyltransferase binding</t>
  </si>
  <si>
    <t>opHsV0400000458</t>
  </si>
  <si>
    <t>NM_020752</t>
  </si>
  <si>
    <t>GPR158</t>
  </si>
  <si>
    <t>Probable G-protein coupled receptor 158 Precursor  [Source:UniProtKB/Swiss-Prot;Acc:Q5T848]</t>
  </si>
  <si>
    <t>GO:0007165 signal transduction,GO:0007186 G-protein coupled receptor protein signaling pathway,GO:0006260 DNA replication</t>
  </si>
  <si>
    <t>H300021250</t>
  </si>
  <si>
    <t>NM_017635</t>
  </si>
  <si>
    <t>SUV420H1</t>
  </si>
  <si>
    <t>Histone-lysine N-methyltransferase SUV420H1 (EC 2.1.1.43)(Suppressor of variegation 4-20 homolog 1)(Su(var)4-20 homolog 1)(Suv4-20h1)(Lysine N-methyltransferase 5B) [Source:UniProtKB/Swiss-Prot;Acc:Q4FZB7]</t>
  </si>
  <si>
    <t>H300021646</t>
  </si>
  <si>
    <t>NM_003410;NM_003410;NM_003410</t>
  </si>
  <si>
    <t>ZFX</t>
  </si>
  <si>
    <t>GO:0004871 signal transducer activity,GO:0005251 delayed rectifier potassium channel activity,GO:0005216 ion channel activity,GO:0005249 voltage-gated potassium channel activity,GO:0000155 two-component sensor activity,GO:0030955 potassium ion binding,GO:0005244 voltage-gated ion channel activity,GO:0005242 inward rectifier potassium channel activity</t>
  </si>
  <si>
    <t>GO:0016021 integral to membrane,GO:0016020 membrane,GO:0008076 voltage-gated potassium channel complex,GO:0005737 cytoplasm,GO:0005886 plasma membrane,GO:0005635 nuclear envelope,GO:0005887 integral to plasma membrane</t>
  </si>
  <si>
    <t>H200006977</t>
  </si>
  <si>
    <t>NM_004344</t>
  </si>
  <si>
    <t>CETN2</t>
  </si>
  <si>
    <t>GO:0005509 calcium ion binding,GO:0005515 protein binding,GO:0005524 ATP binding,GO:0003676 nucleic acid binding,GO:0008026 ATP-dependent helicase activity</t>
  </si>
  <si>
    <t>GO:0005622 intracellular,GO:0005814 centriole,GO:0009288 flagellin-based flagellum</t>
  </si>
  <si>
    <t>DHsGV10005262</t>
  </si>
  <si>
    <t>opHsV0400006063</t>
  </si>
  <si>
    <t>NM_001748</t>
  </si>
  <si>
    <t>CAPN2</t>
  </si>
  <si>
    <t>Calpain-2 catalytic subunit Precursor (EC 3.4.22.53)(Calpain-2 large subunit)(Calcium-activated neutral proteinase 2)(CANP 2)(Calpain M-type)(M-calpain)(Millimolar-calpain)(Calpain large polypeptide L2) [Source:UniProtKB/Swiss-Prot;Acc:P17655]</t>
  </si>
  <si>
    <t>GO:0007165 signal transduction,GO:0007186 G-protein coupled receptor protein signaling pathway,GO:0007268 synaptic transmission,GO:0007214 gamma-aminobutyric acid signaling pathway,GO:0007194 negative regulation of adenylate cyclase activity,GO:0007214 gamma-aminobutyric acid signaling pathway</t>
  </si>
  <si>
    <t>GO:0004872 receptor activity,GO:0004930 G-protein coupled receptor activity,GO:0004965 GABA-B receptor activity</t>
  </si>
  <si>
    <t>GO:0005886 plasma membrane,GO:0016021 integral to membrane,GO:0030054 cell junction,GO:0005887 integral to plasma membrane,GO:0045202 synapse,GO:0045211 postsynaptic membrane</t>
  </si>
  <si>
    <t>H200004025</t>
  </si>
  <si>
    <t>NM_005472</t>
  </si>
  <si>
    <t>KCNE3</t>
  </si>
  <si>
    <t>Potassium voltage-gated channel subfamily E member 3 (Minimum potassium ion channel-related peptide 2)(Potassium channel subunit beta MiRP2)(MinK-related peptide 2) [Source:UniProtKB/Swiss-Prot;Acc:Q9Y6H6]</t>
  </si>
  <si>
    <t>GO:0030154 cell differentiation,GO:0030643 cellular phosphate ion homeostasis,GO:0008543 fibroblast growth factor receptor signaling pathway,GO:0030500 regulation of bone mineralization</t>
  </si>
  <si>
    <t>GO:0006470 protein amino acid dephosphorylation</t>
  </si>
  <si>
    <t>GO:0005739 mitochondrion,GO:0005759 mitochondrial matrix,GO:0008287 protein serine/threonine phosphatase complex</t>
  </si>
  <si>
    <t>H300021433</t>
  </si>
  <si>
    <t>NM_144635;NM_144635</t>
  </si>
  <si>
    <t>FAM131A</t>
  </si>
  <si>
    <t>Protein FAM131A Precursor  [Source:UniProtKB/Swiss-Prot;Acc:Q6UXB0]</t>
  </si>
  <si>
    <t>H200010479</t>
  </si>
  <si>
    <t>NM_015898</t>
  </si>
  <si>
    <t>ZBTB7A</t>
  </si>
  <si>
    <t>Zinc finger and BTB domain-containing protein 7A (Leukemia/lymphoma-related factor)(Factor that binds to inducer of short transcripts protein 1)(Factor binding IST protein 1)(FBI-1)(HIV-1 1st-binding protein 1)(TTF-I-interacting peptide 21)(TIP21)(POZ and Krueppel erythroid myeloid ontogenic factor)(POK erythroid myeloid ontogenic factor)(Pokemon) [Source:UniProtKB/Swiss-Prot;Acc:O95365]</t>
  </si>
  <si>
    <t>GO:0006350 transcription,GO:0007275 multicellular organismal development,GO:0030154 cell differentiation,GO:0000122 negative regulation of transcription from RNA polymerase II promoter</t>
  </si>
  <si>
    <t>GO:0005737 cytoplasm,GO:0048471 perinuclear region of cytoplasm</t>
  </si>
  <si>
    <t>H300022409</t>
  </si>
  <si>
    <t>PRSS2</t>
  </si>
  <si>
    <t>Trypsin-2 Precursor (EC 3.4.21.4)(Trypsin II)(Anionic trypsinogen)(Serine protease 2) [Source:UniProtKB/Swiss-Prot;Acc:P07478]</t>
  </si>
  <si>
    <t>GO:0006508 proteolysis,GO:0007586 digestion,GO:0030307 positive regulation of cell growth,GO:0030574 collagen catabolic process,GO:0045785 positive regulation of cell adhesion</t>
  </si>
  <si>
    <t>GO:0005509 calcium ion binding,GO:0005515 protein binding,GO:0003824 catalytic activity,GO:0004252 serine-type endopeptidase activity,GO:0008233 peptidase activity</t>
  </si>
  <si>
    <t>GO:0005576 extracellular region,GO:0005615 extracellular space,GO:0031012 extracellular matrix</t>
  </si>
  <si>
    <t>CHsGV10003173</t>
  </si>
  <si>
    <t>NM_005192.3;NM_001130851.1</t>
  </si>
  <si>
    <t>CDKN3</t>
  </si>
  <si>
    <t>Zinc finger X-chromosomal protein  [Source:UniProtKB/Swiss-Prot;Acc:P17010]</t>
  </si>
  <si>
    <t>GO:0003677 DNA binding,GO:0008270 zinc ion binding,GO:0046872 metal ion binding,GO:0003676 nucleic acid binding,GO:0030528 transcription regulator activity</t>
  </si>
  <si>
    <t>H300000403</t>
  </si>
  <si>
    <t>NM_006684;NM_006684</t>
  </si>
  <si>
    <t>CFHR4</t>
  </si>
  <si>
    <t>Complement factor H-related protein 4 Precursor (FHR-4) [Source:UniProtKB/Swiss-Prot;Acc:Q92496]</t>
  </si>
  <si>
    <t>GO:0005319 lipid transporter activity</t>
  </si>
  <si>
    <t>GO:0005622 intracellular,GO:0000151 ubiquitin ligase complex</t>
  </si>
  <si>
    <t>H300004767</t>
  </si>
  <si>
    <t>ZNF695</t>
  </si>
  <si>
    <t>Zinc finger protein 695 (Zinc finger protein SBZF3) [Source:UniProtKB/Swiss-Prot;Acc:Q8IW36]</t>
  </si>
  <si>
    <t>UBR1</t>
  </si>
  <si>
    <t>E3 ubiquitin-protein ligase UBR1 (EC 6.3.2.-)(N-recognin-1)(Ubiquitin-protein ligase E3-alpha-1)(Ubiquitin-protein ligase E3-alpha-I) [Source:UniProtKB/Swiss-Prot;Acc:Q8IWV7]</t>
  </si>
  <si>
    <t>GO:0005622 intracellular,GO:0005840 ribosome</t>
  </si>
  <si>
    <t>H200014823</t>
  </si>
  <si>
    <t>NM_005458</t>
  </si>
  <si>
    <t>GABBR2</t>
  </si>
  <si>
    <t>Gamma-aminobutyric acid type B receptor subunit 2 Precursor (GABA-B receptor 2)(GABA-B-R2)(GABABR2)(Gb2)(G-protein coupled receptor 51)(HG20) [Source:UniProtKB/Swiss-Prot;Acc:O75899]</t>
  </si>
  <si>
    <t>H300001066</t>
  </si>
  <si>
    <t>NM_001906</t>
  </si>
  <si>
    <t>CTRB1</t>
  </si>
  <si>
    <t>Chymotrypsinogen B2 Precursor (EC 3.4.21.1) [Contains Chymotrypsin B2 chain A;Chymotrypsin B2 chain B;Chymotrypsin B2 chain C] [Source:UniProtKB/Swiss-Prot;Acc:Q6GPI1]</t>
  </si>
  <si>
    <t>GO:0007165 signal transduction,GO:0007186 G-protein coupled receptor protein signaling pathway,GO:0006935 chemotaxis,GO:0007596 blood coagulation</t>
  </si>
  <si>
    <t>GO:0004872 receptor activity,GO:0004930 G-protein coupled receptor activity,GO:0045028 purinergic nucleotide receptor activity, G-protein coupled,GO:0004945 angiotensin type II receptor activity,GO:0015057 thrombin receptor activity,GO:0004974 leukotriene receptor activity,GO:0004992 platelet activating factor receptor activity</t>
  </si>
  <si>
    <t>AHsV10001249</t>
  </si>
  <si>
    <t>H300001754</t>
  </si>
  <si>
    <t>NM_033261</t>
  </si>
  <si>
    <t>IDI2</t>
  </si>
  <si>
    <t>Isopentenyl-diphosphate Delta-isomerase 2 (EC 5.3.3.2)(Isopentenyl pyrophosphate isomerase 2)(IPP isomerase 2)(IPPI2) [Source:UniProtKB/Swiss-Prot;Acc:Q9BXS1]</t>
  </si>
  <si>
    <t>GO:0005249 voltage-gated potassium channel activity,GO:0005244 voltage-gated ion channel activity,GO:0030955 potassium ion binding</t>
  </si>
  <si>
    <t>AHsV10000968</t>
  </si>
  <si>
    <t>NM_020888.2</t>
  </si>
  <si>
    <t>KIAA1522</t>
  </si>
  <si>
    <t>Uncharacterized protein KIAA1522  [Source:UniProtKB/Swiss-Prot;Acc:Q9P206]</t>
  </si>
  <si>
    <t>H300012680</t>
  </si>
  <si>
    <t>NM_017810;NM_017810</t>
  </si>
  <si>
    <t>ZNF434</t>
  </si>
  <si>
    <t>Zinc finger protein 434 (Cervical cancer suppressor gene 5 protein)(HCCS-5) [Source:UniProtKB/Swiss-Prot;Acc:Q9NX65]</t>
  </si>
  <si>
    <t>GO:0004129 cytochrome-c oxidase activity</t>
  </si>
  <si>
    <t>GO:0007050 cell cycle arrest,GO:0000082 G1/S transition of mitotic cell cycle,GO:0000079 regulation of cyclin-dependent protein kinase activity,GO:0008285 negative regulation of cell proliferation,GO:0006470 protein amino acid dephosphorylation,GO:0007049 cell cycle,GO:0016311 dephosphorylation</t>
  </si>
  <si>
    <t>GO:0005515 protein binding,GO:0016787 hydrolase activity,GO:0008138 protein tyrosine/serine/threonine phosphatase activity,GO:0004725 protein tyrosine phosphatase activity,GO:0016791 phosphatase activity,GO:0004722 protein serine/threonine phosphatase activity</t>
  </si>
  <si>
    <t>GO:0007275 multicellular organismal development,GO:0007399 nervous system development,GO:0030154 cell differentiation</t>
  </si>
  <si>
    <t>H200003898</t>
  </si>
  <si>
    <t>NM_005300;NM_005300</t>
  </si>
  <si>
    <t>GPR34</t>
  </si>
  <si>
    <t>Probable G-protein coupled receptor 34  [Source:UniProtKB/Swiss-Prot;Acc:Q9UPC5]</t>
  </si>
  <si>
    <t>GO:0007165 signal transduction,GO:0006355 regulation of transcription, DNA-dependent,GO:0015031 protein transport,GO:0007264 small GTPase mediated signal transduction,GO:0006886 intracellular protein transport,GO:0006913 nucleocytoplasmic transport</t>
  </si>
  <si>
    <t>GO:0005515 protein binding,GO:0005524 ATP binding,GO:0005525 GTP binding,GO:0003924 GTPase activity,GO:0008134 transcription factor binding</t>
  </si>
  <si>
    <t>GO:0004872 receptor activity,GO:0005031 tumor necrosis factor receptor activity,GO:0005515 protein binding</t>
  </si>
  <si>
    <t>H300006353</t>
  </si>
  <si>
    <t>NM_006261</t>
  </si>
  <si>
    <t>PROP1</t>
  </si>
  <si>
    <t>Homeobox protein prophet of Pit-1 (PROP-1)(Pituitary-specific homeodomain factor) [Source:UniProtKB/Swiss-Prot;Acc:O75360]</t>
  </si>
  <si>
    <t>Cyclin-dependent kinase inhibitor 3 (EC 3.1.3.48)(EC 3.1.3.16)(CDK2-associated dual-specificity phosphatase)(Kinase-associated phosphatase)(Cyclin-dependent kinase-interacting protein 2)(Cyclin-dependent kinase interactor 1) [Source:UniProtKB/Swiss-Prot;Acc:Q16667]</t>
  </si>
  <si>
    <t>NM_031966.2</t>
  </si>
  <si>
    <t>CCNB1</t>
  </si>
  <si>
    <t>G2/mitotic-specific cyclin-B1  [Source:UniProtKB/Swiss-Prot;Acc:P14635]</t>
  </si>
  <si>
    <t xml:space="preserve">GO:0000086 G2/M transition of mitotic cell cycle,GO:0007049 cell cycle,GO:0007067 mitosis,GO:0031145 anaphase-promoting complex-dependent proteasomal ubiquitin-dependent protein catabolic process,GO:0051301 cell division,GO:0051437 positive regulation of </t>
  </si>
  <si>
    <t>GO:0005575 cellular_component,GO:0005634 nucleus,GO:0005654 nucleoplasm,GO:0005737 cytoplasm,GO:0005813 centrosome,GO:0005829 cytosol</t>
  </si>
  <si>
    <t>GO:0003700 transcription factor activity,GO:0008022 protein C-terminus binding,GO:0043565 sequence-specific DNA binding,GO:0003702 RNA polymerase II transcription factor activity,GO:0003682 chromatin binding,GO:0008013 beta-catenin binding</t>
  </si>
  <si>
    <t>AHsV10000646</t>
  </si>
  <si>
    <t>NM_003327.2</t>
  </si>
  <si>
    <t>TNFRSF4</t>
  </si>
  <si>
    <t>GO:0016740 transferase activity,GO:0005515 protein binding,GO:0000166 nucleotide binding,GO:0004697 protein kinase C activity,GO:0005524 ATP binding,GO:0004674 protein serine/threonine kinase activity,GO:0004713 protein tyrosine kinase activity,GO:0004672 protein kinase activity</t>
  </si>
  <si>
    <t>GO:0005886 plasma membrane,GO:0005622 intracellular,GO:0005737 cytoplasm,GO:0016023 cytoplasmic membrane-bounded vesicle</t>
  </si>
  <si>
    <t>GO:0007242 intracellular signaling cascade</t>
  </si>
  <si>
    <t>GO:0016020 membrane,GO:0005624 membrane fraction,GO:0005887 integral to plasma membrane</t>
  </si>
  <si>
    <t>GO:0003824 catalytic activity</t>
  </si>
  <si>
    <t>H300022124</t>
  </si>
  <si>
    <t>NM_198240;NM_198240;NM_198240</t>
  </si>
  <si>
    <t>CLIP1</t>
  </si>
  <si>
    <t>NM_198686</t>
  </si>
  <si>
    <t>RAB15</t>
  </si>
  <si>
    <t>RAB15, member RAS onocogene family  [Source:RefSeq peptide;Acc:NP_941959]</t>
  </si>
  <si>
    <t>Serine/threonine-protein kinase N1 (EC 2.7.11.13)(Protein kinase C-like 1)(Protein-kinase C-related kinase 1)(Protein kinase C-like PKN)(Serine-threonine protein kinase N)(Protein kinase PKN-alpha) [Source:UniProtKB/Swiss-Prot;Acc:Q16512]</t>
  </si>
  <si>
    <t>GO:0007165 signal transduction,GO:0006468 protein amino acid phosphorylation,GO:0007257 activation of JNK activity,GO:0006972 hyperosmotic response</t>
  </si>
  <si>
    <t>GO:0005634 nucleus,GO:0005737 cytoplasm,GO:0030141 secretory granule</t>
  </si>
  <si>
    <t>GO:0008299 isoprenoid biosynthetic process,GO:0006695 cholesterol biosynthetic process,GO:0016117 carotenoid biosynthetic process</t>
  </si>
  <si>
    <t>GO:0000287 magnesium ion binding,GO:0016787 hydrolase activity,GO:0016853 isomerase activity,GO:0004452 isopentenyl-diphosphate delta-isomerase activity</t>
  </si>
  <si>
    <t>GO:0005829 cytosol,GO:0005777 peroxisome</t>
  </si>
  <si>
    <t>Tumor necrosis factor receptor superfamily member 4 Precursor (OX40L receptor)(ACT35 antigen)(TAX transcriptionally-activated glycoprotein 1 receptor)(CD134 antigen) [Source:UniProtKB/Swiss-Prot;Acc:P43489]</t>
  </si>
  <si>
    <t>H200008786</t>
  </si>
  <si>
    <t>NM_152301</t>
  </si>
  <si>
    <t>MRFAP1L1</t>
  </si>
  <si>
    <t>MORF4 family-associated protein 1-like 1  [Source:UniProtKB/Swiss-Prot;Acc:Q96HT8]</t>
  </si>
  <si>
    <t>Nurim (Nuclear rim protein)(Nuclear envelope membrane protein) [Source:UniProtKB/Swiss-Prot;Acc:Q8IXM6]</t>
  </si>
  <si>
    <t>H200000630</t>
  </si>
  <si>
    <t>NM_213560;NM_213560</t>
  </si>
  <si>
    <t>PKN1</t>
  </si>
  <si>
    <t>H200015353</t>
  </si>
  <si>
    <t>NM_003939;NM_003939</t>
  </si>
  <si>
    <t>BTRC</t>
  </si>
  <si>
    <t>F-box/WD repeat-containing protein 1A (F-box and WD repeats protein beta-TrCP)(E3RSIkappaB)(pIkappaBalpha-E3 receptor subunit) [Source:UniProtKB/Swiss-Prot;Acc:Q9Y297]</t>
  </si>
  <si>
    <t>H200000160</t>
  </si>
  <si>
    <t>NM_001870</t>
  </si>
  <si>
    <t>CPA3</t>
  </si>
  <si>
    <t>Mast cell carboxypeptidase A Precursor (MC-CPA)(EC 3.4.17.1)(Carboxypeptidase A3) [Source:UniProtKB/Swiss-Prot;Acc:P15088]</t>
  </si>
  <si>
    <t>opHsV0400000136</t>
  </si>
  <si>
    <t>opHsV0400006039</t>
  </si>
  <si>
    <t>NM_001008784</t>
  </si>
  <si>
    <t>CD200R1L</t>
  </si>
  <si>
    <t>Cell surface glycoprotein CD200 receptor 2 Precursor (Cell surface glycoprotein OX2 receptor 2)(CD200 cell surface glycoprotein receptor-like 2)(CD200 receptor-like 2)(HuCD200R2)(CD200 cell surface glycoprotein receptor-like a)(CD200RLa) [Source:UniProtKB/Swiss-Prot;Acc:Q6Q8B3]</t>
  </si>
  <si>
    <t>DMWD</t>
  </si>
  <si>
    <t>GO:0005634 nucleus,GO:0005635 nuclear envelope,GO:0005637 nuclear inner membrane,GO:0016020 membrane,GO:0016021 integral to membrane,GO:0016600 flotillin complex</t>
  </si>
  <si>
    <t>H200012753</t>
  </si>
  <si>
    <t>NM_014485</t>
  </si>
  <si>
    <t>PGDS</t>
  </si>
  <si>
    <t>GO:0006355 regulation of transcription, DNA-dependent,GO:0000122 negative regulation of transcription from RNA polymerase II promoter,GO:0045944 positive regulation of transcription from RNA polymerase II promoter,GO:0009887 organ morphogenesis,GO:0007417 central nervous system development,GO:0060070 Wnt receptor signaling pathway through beta-catenin,GO:0001568 blood vessel development,GO:0009953 dorsal/ventral pattern formation,GO:0043066 negative regulation of apoptosis,GO:0021979 hypothalamus cell differentiation,GO:0048732 gland development,GO:0048850 hypophysis morphogenesis,GO:0060126 somatotropin secreting cell differentiation</t>
  </si>
  <si>
    <t>GO:0007165 signal transduction,GO:0006633 fatty acid biosynthetic process,GO:0007626 locomotory behavior,GO:0001516 prostaglandin biosynthetic process</t>
  </si>
  <si>
    <t>GO:0016853 isomerase activity,GO:0004667 prostaglandin-D synthase activity</t>
  </si>
  <si>
    <t>opHsV0400000309</t>
  </si>
  <si>
    <t>NM_005044</t>
  </si>
  <si>
    <t>PRKX</t>
  </si>
  <si>
    <t>Serine/threonine-protein kinase PRKX (EC 2.7.11.1)(Protein kinase PKX1) [Source:UniProtKB/Swiss-Prot;Acc:P51817]</t>
  </si>
  <si>
    <t>GO:0016740 transferase activity,GO:0000166 nucleotide binding,GO:0005524 ATP binding,GO:0004674 protein serine/threonine kinase activity,GO:0004713 protein tyrosine kinase activity,GO:0004672 protein kinase activity,GO:0004691 cAMP-dependent protein kinase activity</t>
  </si>
  <si>
    <t>GO:0005515 protein binding,GO:0035091 phosphoinositide binding</t>
  </si>
  <si>
    <t>PKHD1</t>
  </si>
  <si>
    <t>Fibrocystin Precursor (Polycystic kidney and hepatic disease 1 protein)(Polyductin)(Tigmin) [Source:UniProtKB/Swiss-Prot;Acc:Q8TCZ9]</t>
  </si>
  <si>
    <t>H300007783</t>
  </si>
  <si>
    <t>NM_152360;NM_152360</t>
  </si>
  <si>
    <t>ZNF573</t>
  </si>
  <si>
    <t>AHsV10001393</t>
  </si>
  <si>
    <t>NM_001444.1</t>
  </si>
  <si>
    <t>FABP5</t>
  </si>
  <si>
    <t>Dystrophia myotonica WD repeat-containing protein (Dystrophia myotonica-containing WD repeat motif protein)(DMR-N9 protein)(Protein 59) [Source:UniProtKB/Swiss-Prot;Acc:Q09019]</t>
  </si>
  <si>
    <t>CAP-Gly domain-containing linker protein 1 (Restin)(Cytoplasmic linker protein 170 alpha-2)(CLIP-170)(Reed-Sternberg intermediate filament-associated protein)(Cytoplasmic linker protein 1) [Source:UniProtKB/Swiss-Prot;Acc:P30622]</t>
  </si>
  <si>
    <t>GO:0008270 zinc ion binding,GO:0003676 nucleic acid binding</t>
  </si>
  <si>
    <t>H300002801</t>
  </si>
  <si>
    <t>NM_004116;NM_004116</t>
  </si>
  <si>
    <t>FKBP1B</t>
  </si>
  <si>
    <t>Peptidyl-prolyl cis-trans isomerase FKBP1B (PPIase FKBP1B)(EC 5.2.1.8)(FK506-binding protein 1B)(FKBP-1B)(Rotamase)(Immunophilin FKBP12.6)(12.6 kDa FKBP)(FKBP-12.6)(h-FKBP-12) [Source:UniProtKB/Swiss-Prot;Acc:P68106]</t>
  </si>
  <si>
    <t>GO:0016567 protein ubiquitination</t>
  </si>
  <si>
    <t>GO:0005515 protein binding,GO:0008270 zinc ion binding,GO:0046872 metal ion binding,GO:0004842 ubiquitin-protein ligase activity</t>
  </si>
  <si>
    <t>AHsV10000930</t>
  </si>
  <si>
    <t>NM_007243.1</t>
  </si>
  <si>
    <t>NRM</t>
  </si>
  <si>
    <t>GO:0005488 binding,GO:0016491 oxidoreductase activity,GO:0046914 transition metal ion binding,GO:0008199 ferric iron binding</t>
  </si>
  <si>
    <t>H200015964</t>
  </si>
  <si>
    <t>LY6G6E</t>
  </si>
  <si>
    <t>Fatty acid-binding protein, epidermal (E-FABP)(Fatty acid-binding protein 5)(Psoriasis-associated fatty acid-binding protein homolog)(PA-FABP) [Source:UniProtKB/Swiss-Prot;Acc:Q01469]</t>
  </si>
  <si>
    <t>Lymphocyte antigen 6 complex, locus G6E (Lymphocyte antigen 6 complex, locus G6E, isoform CRA_a)  [Source:UniProtKB/TrEMBL;Acc:A2ABS3]</t>
  </si>
  <si>
    <t>AHsV10001665</t>
  </si>
  <si>
    <t>NM_004177.3</t>
  </si>
  <si>
    <t>STX3</t>
  </si>
  <si>
    <t>Syntaxin-3  [Source:UniProtKB/Swiss-Prot;Acc:Q13277]</t>
  </si>
  <si>
    <t>GO:0006836 neurotransmitter transport,GO:0006886 intracellular protein transport,GO:0007596 blood coagulation,GO:0016192 vesicle-mediated transport,GO:0031175 neuron projection development,GO:0031175 neuron projection development</t>
  </si>
  <si>
    <t>H200016229</t>
  </si>
  <si>
    <t>NM_003290</t>
  </si>
  <si>
    <t>TPM4</t>
  </si>
  <si>
    <t>Tropomyosin alpha-4 chain (Tropomyosin-4)(TM30p1) [Source:UniProtKB/Swiss-Prot;Acc:P67936]</t>
  </si>
  <si>
    <t>GO:0006928 cell motion</t>
  </si>
  <si>
    <t>GO:0003779 actin binding,GO:0005200 structural constituent of cytoskeleton,GO:0008307 structural constituent of muscle</t>
  </si>
  <si>
    <t>H300002897</t>
  </si>
  <si>
    <t>NM_032996;NM_032996;NM_032996</t>
  </si>
  <si>
    <t>CASP9</t>
  </si>
  <si>
    <t>GO:0006350 transcription,GO:0006355 regulation of transcription, DNA-dependent,GO:0008150 biological_process</t>
  </si>
  <si>
    <t>H200015974</t>
  </si>
  <si>
    <t>NM_021195</t>
  </si>
  <si>
    <t>CLDN6</t>
  </si>
  <si>
    <t>Claudin-6 (Skullin 2) [Source:UniProtKB/Swiss-Prot;Acc:P56747]</t>
  </si>
  <si>
    <t>GO:0016338 calcium-independent cell-cell adhesion</t>
  </si>
  <si>
    <t>H300018609</t>
  </si>
  <si>
    <t>NM_147130</t>
  </si>
  <si>
    <t>NCR3</t>
  </si>
  <si>
    <t>Natural cytotoxicity triggering receptor 3 Precursor (Natural killer cell p30-related protein)(NK-p30)(NKp30)(Activating natural killer receptor p30)(CD337 antigen) [Source:UniProtKB/Swiss-Prot;Acc:O14931]</t>
  </si>
  <si>
    <t>Zinc finger protein 573  [Source:UniProtKB/Swiss-Prot;Acc:Q86YE8]</t>
  </si>
  <si>
    <t>Glutathione-requiring prostaglandin D synthase (EC 5.3.99.2)(Glutathione-dependent PGD synthetase)(Prostaglandin-H2 D-isomerase)(Hematopoietic prostaglandin D synthase)(H-PGDS) [Source:UniProtKB/Swiss-Prot;Acc:O60760]</t>
  </si>
  <si>
    <t>GO:0007165 signal transduction,GO:0006935 chemotaxis</t>
  </si>
  <si>
    <t>GO:0005198 structural molecule activity,GO:0004871 signal transducer activity</t>
  </si>
  <si>
    <t>GO:0008283 cell proliferation</t>
  </si>
  <si>
    <t>GO:0005484 SNAP receptor activity,GO:0005515 protein binding,GO:0050544 arachidonic acid binding,GO:0050544 arachidonic acid binding</t>
  </si>
  <si>
    <t>GO:0005634 nucleus,GO:0005737 cytoplasm,GO:0005773 vacuole,GO:0005794 Golgi apparatus,GO:0016020 membrane,GO:0016021 integral to membrane,GO:0016324 apical plasma membrane,GO:0030426 growth cone,GO:0031201 SNARE complex,GO:0043005 neuron projection,GO:003</t>
  </si>
  <si>
    <t>LOC732419</t>
  </si>
  <si>
    <t>GO:0008270 zinc ion binding,GO:0046872 metal ion binding,GO:0008233 peptidase activity,GO:0008237 metallopeptidase activity,GO:0004181 metallocarboxypeptidase activity,GO:0004180 carboxypeptidase activity</t>
  </si>
  <si>
    <t>UDP-N-acetylhexosamine pyrophosphorylase-like protein 1 (EC 2.7.7.-) [Source:UniProtKB/Swiss-Prot;Acc:Q3KQV9]</t>
  </si>
  <si>
    <t>GO:0005515 protein binding,GO:0008047 enzyme activator activity,GO:0008233 peptidase activity,GO:0008234 cysteine-type peptidase activity,GO:0004197 cysteine-type endopeptidase activity</t>
  </si>
  <si>
    <t>GO:0005634 nucleus,GO:0005622 intracellular,GO:0005829 cytosol,GO:0005625 soluble fraction</t>
  </si>
  <si>
    <t>opHsV0400006225</t>
  </si>
  <si>
    <t>NM_006768</t>
  </si>
  <si>
    <t>BRAP</t>
  </si>
  <si>
    <t>GO:0006629 lipid metabolic process,GO:0006810 transport,GO:0008544 epidermis development</t>
  </si>
  <si>
    <t>GO:0005215 transporter activity,GO:0005488 binding,GO:0005504 fatty acid binding,GO:0005515 protein binding,GO:0008289 lipid binding</t>
  </si>
  <si>
    <t>GO:0005856 cytoskeleton,GO:0005737 cytoplasm,GO:0005862 muscle thin filament tropomyosin</t>
  </si>
  <si>
    <t>GO:0003723 RNA binding,GO:0003735 structural constituent of ribosome,GO:0005515 protein binding</t>
  </si>
  <si>
    <t>GO:0005634 nucleus,GO:0005856 cytoskeleton,GO:0005737 cytoplasm</t>
  </si>
  <si>
    <t>H300000940</t>
  </si>
  <si>
    <t>AJ239329.2</t>
  </si>
  <si>
    <t>Putative uncharacterized protein ENSP00000385367 Fragment  [Source:UniProtKB/TrEMBL;Acc:B5MD20]</t>
  </si>
  <si>
    <t>GO:0006879 cellular iron ion homeostasis,GO:0006826 iron ion transport</t>
  </si>
  <si>
    <t>LOC100131320</t>
  </si>
  <si>
    <t>GO:0005515 protein binding,GO:0004713 protein tyrosine kinase activity,GO:0005070 SH3/SH2 adaptor activity</t>
  </si>
  <si>
    <t>GO:0005886 plasma membrane,GO:0005634 nucleus,GO:0005737 cytoplasm</t>
  </si>
  <si>
    <t>DHsGV10000374</t>
  </si>
  <si>
    <t>CHsGV10000408</t>
  </si>
  <si>
    <t>NM_207309.2</t>
  </si>
  <si>
    <t>UAP1L1</t>
  </si>
  <si>
    <t>GO:0016740 transferase activity,GO:0016779 nucleotidyltransferase activity</t>
  </si>
  <si>
    <t>GO:0003735 structural constituent of ribosome,GO:0003723 RNA binding</t>
  </si>
  <si>
    <t>DHsGV10003017</t>
  </si>
  <si>
    <t>opHsV0400000278</t>
  </si>
  <si>
    <t>NM_000104</t>
  </si>
  <si>
    <t>CYP1B1</t>
  </si>
  <si>
    <t>Cytochrome P450 1B1 (EC 1.14.14.1)(CYPIB1) [Source:UniProtKB/Swiss-Prot;Acc:Q16678]</t>
  </si>
  <si>
    <t>GO:0007165 signal transduction,GO:0007275 multicellular organismal development</t>
  </si>
  <si>
    <t>GO:0016020 membrane,GO:0005622 intracellular</t>
  </si>
  <si>
    <t>H200002797</t>
  </si>
  <si>
    <t>NM_003726</t>
  </si>
  <si>
    <t>SKAP1</t>
  </si>
  <si>
    <t>Src kinase-associated phosphoprotein 1 (Src family-associated phosphoprotein 1)(Src kinase-associated phosphoprotein of 55 kDa)(SKAP-55)(pp55) [Source:UniProtKB/Swiss-Prot;Acc:Q86WV1]</t>
  </si>
  <si>
    <t>GO:0007165 signal transduction,GO:0006955 immune response</t>
  </si>
  <si>
    <t>GO:0003676 nucleic acid binding,GO:0003677 DNA binding</t>
  </si>
  <si>
    <t>GO:0000775 chromosome, centromeric region,GO:0005634 nucleus</t>
  </si>
  <si>
    <t>Uncharacterized protein C16orf59  [Source:UniProtKB/Swiss-Prot;Acc:Q7L2K0]</t>
  </si>
  <si>
    <t>AHsV10002867</t>
  </si>
  <si>
    <t>NM_003772.3</t>
  </si>
  <si>
    <t>JRKL</t>
  </si>
  <si>
    <t>Caspase-9 Precursor (CASP-9)(EC 3.4.22.62)(ICE-like apoptotic protease 6)(ICE-LAP6)(Apoptotic protease Mch-6)(Apoptotic protease-activating factor 3)(APAF-3) [Contains Caspase-9 subunit p35;Caspase-9 subunit p10] [Source:UniProtKB/Swiss-Prot;Acc:P55211]</t>
  </si>
  <si>
    <t>GO:0006508 proteolysis,GO:0008635 caspase activation via cytochrome c,GO:0042981 regulation of apoptosis,GO:0006974 response to DNA damage stimulus,GO:0006915 apoptosis,GO:0043525 positive regulation of neuron apoptosis,GO:0009411 response to UV,GO:0008632 apoptotic program</t>
  </si>
  <si>
    <t>H300009062</t>
  </si>
  <si>
    <t>AC021066.37</t>
  </si>
  <si>
    <t>H300022333</t>
  </si>
  <si>
    <t>NM_170708;NM_170708;NM_170708</t>
  </si>
  <si>
    <t>LMNA</t>
  </si>
  <si>
    <t>Lamin-A/C (70 kDa lamin)(Renal carcinoma antigen NY-REN-32) [Source:UniProtKB/Swiss-Prot;Acc:P02545]</t>
  </si>
  <si>
    <t>GO:0005515 protein binding,GO:0046872 metal ion binding,GO:0005506 iron ion binding,GO:0020037 heme binding,GO:0009055 electron carrier activity,GO:0004497 monooxygenase activity,GO:0050381 unspecific monooxygenase activity,GO:0019825 oxygen binding</t>
  </si>
  <si>
    <t>GO:0016020 membrane,GO:0005792 microsome,GO:0005783 endoplasmic reticulum,GO:0005789 endoplasmic reticulum membrane</t>
  </si>
  <si>
    <t>H300020804</t>
  </si>
  <si>
    <t>C16orf59</t>
  </si>
  <si>
    <t>GO:0007417 central nervous system development,GO:0045449 regulation of transcription</t>
  </si>
  <si>
    <t>H200001966</t>
  </si>
  <si>
    <t>NM_025241;NM_025241</t>
  </si>
  <si>
    <t>UBXN6</t>
  </si>
  <si>
    <t>UBX domain-containing protein 6 (UBX domain-containing protein 1) [Source:UniProtKB/Swiss-Prot;Acc:Q9BZV1]</t>
  </si>
  <si>
    <t>Probable carboxypeptidase X1 Precursor (EC 3.4.17.-)(Metallocarboxypeptidase CPX-1) [Source:UniProtKB/Swiss-Prot;Acc:Q96SM3]</t>
  </si>
  <si>
    <t>GO:0007155 cell adhesion,GO:0006508 proteolysis</t>
  </si>
  <si>
    <t>GO:0008270 zinc ion binding,GO:0046872 metal ion binding,GO:0008233 peptidase activity,GO:0008237 metallopeptidase activity,GO:0004181 metallocarboxypeptidase activity</t>
  </si>
  <si>
    <t>opHsV0400001389</t>
  </si>
  <si>
    <t>AL162458.10</t>
  </si>
  <si>
    <t>H200006248</t>
  </si>
  <si>
    <t>NM_001540</t>
  </si>
  <si>
    <t>HSPB1</t>
  </si>
  <si>
    <t>Heat shock protein beta-1 (HspB1)(Heat shock 27 kDa protein)(HSP 27)(Stress-responsive protein 27)(SRP27)(Estrogen-regulated 24 kDa protein)(28 kDa heat shock protein) [Source:UniProtKB/Swiss-Prot;Acc:P04792]</t>
  </si>
  <si>
    <t>BRCA1-associated protein (EC 6.3.2.-)(BRAP2)(Impedes mitogenic signal propagation)(IMP)(RING finger protein 52)(Renal carcinoma antigen NY-REN-63) [Source:UniProtKB/Swiss-Prot;Acc:Q7Z569]</t>
  </si>
  <si>
    <t>GO:0006511 ubiquitin-dependent protein catabolic process,GO:0009968 negative regulation of signal transduction</t>
  </si>
  <si>
    <t>GO:0005515 protein binding,GO:0008270 zinc ion binding,GO:0046872 metal ion binding,GO:0016874 ligase activity,GO:0042802 identical protein binding,GO:0004842 ubiquitin-protein ligase activity</t>
  </si>
  <si>
    <t>DHsGV10000743</t>
  </si>
  <si>
    <t>H200019013</t>
  </si>
  <si>
    <t>NM_032242;NM_032242</t>
  </si>
  <si>
    <t>PLXNA1</t>
  </si>
  <si>
    <t>Plexin-A1 Precursor (Semaphorin receptor NOV) [Source:UniProtKB/Swiss-Prot;Acc:Q9UIW2]</t>
  </si>
  <si>
    <t>DHsGV10002023</t>
  </si>
  <si>
    <t>GO:0055114 oxidation reduction,GO:0008283 cell proliferation,GO:0008203 cholesterol metabolic process,GO:0006979 response to oxidative stress,GO:0051092 positive regulation of NF-kappaB transcription factor activity,GO:0032088 negative regulation of NF-kappaB transcription factor activity,GO:0051262 protein tetramerization,GO:0006641 triacylglycerol metabolic process,GO:0043066 negative regulation of apoptosis,GO:0042744 hydrogen peroxide catabolic process,GO:0009650 UV protection,GO:0020027 hemoglobin metabolic process,GO:0009060 aerobic respiration,GO:0014068 positive regulation of phosphoinositide 3-kinase cascade,GO:0000302 response to reactive oxygen species</t>
  </si>
  <si>
    <t>GO:0046872 metal ion binding,GO:0005506 iron ion binding,GO:0020037 heme binding,GO:0008083 growth factor activity,GO:0042803 protein homodimerization activity,GO:0050661 NADP binding,GO:0004046 aminoacylase activity,GO:0004096 catalase activity</t>
  </si>
  <si>
    <t>GO:0005739 mitochondrion,GO:0005777 peroxisome,GO:0005778 peroxisomal membrane,GO:0005777 peroxisome</t>
  </si>
  <si>
    <t>Syntaxin-10 (Syn10) [Source:UniProtKB/Swiss-Prot;Acc:O60499]</t>
  </si>
  <si>
    <t>GO:0006886 intracellular protein transport,GO:0016192 vesicle-mediated transport,GO:0048193 Golgi vesicle transport</t>
  </si>
  <si>
    <t>H300020289</t>
  </si>
  <si>
    <t>NM_001024855;NM_001024855;NM_006991;NM_006991;NM_006991</t>
  </si>
  <si>
    <t>ZNF197</t>
  </si>
  <si>
    <t>Jerky protein homolog-like (HHMJG) [Source:UniProtKB/Swiss-Prot;Acc:Q9Y4A0]</t>
  </si>
  <si>
    <t>GO:0005575 cellular_component</t>
  </si>
  <si>
    <t>H200008267</t>
  </si>
  <si>
    <t>NM_019609</t>
  </si>
  <si>
    <t>CPXM1</t>
  </si>
  <si>
    <t>GO:0006412 translation,GO:0006414 translational elongation</t>
  </si>
  <si>
    <t>Putative uncharacterized protein FLJ40606  [Source:UniProtKB/Swiss-Prot;Acc:P0C880]</t>
  </si>
  <si>
    <t>GO:0007601 visual perception,GO:0055114 oxidation reduction,GO:0006725 cellular aromatic compound metabolic process,GO:0010033 response to organic substance,GO:0009404 toxin metabolic process,GO:0008210 estrogen metabolic process,GO:0010033 response to organic substance,GO:0008210 estrogen metabolic process,GO:0006725 cellular aromatic compound metabolic process</t>
  </si>
  <si>
    <t>H200001094</t>
  </si>
  <si>
    <t>NM_016618</t>
  </si>
  <si>
    <t>KRCC1</t>
  </si>
  <si>
    <t>Lysine-rich coiled-coil protein 1 (Cryptogenic hepatitis-binding protein 2) [Source:UniProtKB/Swiss-Prot;Acc:Q9NPI7]</t>
  </si>
  <si>
    <t>Ras-related protein Rab-34 (Rab-39)(Ras-related protein Rah) [Source:UniProtKB/Swiss-Prot;Acc:Q9BZG1]</t>
  </si>
  <si>
    <t>GO:0006886 intracellular protein transport,GO:0006913 nucleocytoplasmic transport,GO:0007165 signal transduction,GO:0007264 small GTPase mediated signal transduction,GO:0015031 protein transport</t>
  </si>
  <si>
    <t>GO:0003924 GTPase activity,GO:0005515 protein binding,GO:0005525 GTP binding</t>
  </si>
  <si>
    <t>opHsV0400005063</t>
  </si>
  <si>
    <t>AP000365.1</t>
  </si>
  <si>
    <t>Uncharacterized protein ENSP00000383436  [Source:UniProtKB/TrEMBL;Acc:A8MW36]</t>
  </si>
  <si>
    <t>GO:0005198 structural molecule activity,GO:0042802 identical protein binding</t>
  </si>
  <si>
    <t>GO:0005886 plasma membrane,GO:0016021 integral to membrane,GO:0016020 membrane,GO:0030054 cell junction,GO:0005923 tight junction</t>
  </si>
  <si>
    <t>H200006172</t>
  </si>
  <si>
    <t>NM_133436;NM_001673</t>
  </si>
  <si>
    <t>ASNS</t>
  </si>
  <si>
    <t>opHsV0400001896</t>
  </si>
  <si>
    <t>AC026241.7</t>
  </si>
  <si>
    <t>GO:0005575 cellular_component,GO:0005829 cytosol</t>
  </si>
  <si>
    <t>H200004649</t>
  </si>
  <si>
    <t>NM_003765</t>
  </si>
  <si>
    <t>STX10</t>
  </si>
  <si>
    <t>GO:0006464 protein modification process</t>
  </si>
  <si>
    <t>GO:0005515 protein binding,GO:0005484 SNAP receptor activity</t>
  </si>
  <si>
    <t>H200006283</t>
  </si>
  <si>
    <t>NM_001752</t>
  </si>
  <si>
    <t>CAT</t>
  </si>
  <si>
    <t>Catalase (EC 1.11.1.6) [Source:UniProtKB/Swiss-Prot;Acc:P04040]</t>
  </si>
  <si>
    <t>GO:0006916 anti-apoptosis,GO:0006986 response to unfolded protein,GO:0006928 cell motion,GO:0006446 regulation of translational initiation,GO:0009408 response to heat</t>
  </si>
  <si>
    <t>GO:0005634 nucleus,GO:0005856 cytoskeleton,GO:0005737 cytoplasm,GO:0005819 spindle,GO:0009986 cell surface</t>
  </si>
  <si>
    <t>NM_001144942.1</t>
  </si>
  <si>
    <t>RAB34</t>
  </si>
  <si>
    <t>GO:0006412 translation</t>
  </si>
  <si>
    <t>GO:0003735 structural constituent of ribosome</t>
  </si>
  <si>
    <t>GO:0005622 intracellular,GO:0005840 ribosome,GO:0005739 mitochondrion</t>
  </si>
  <si>
    <t>H300012412</t>
  </si>
  <si>
    <t>NM_138639</t>
  </si>
  <si>
    <t>BCL2L12</t>
  </si>
  <si>
    <t>Bcl-2-related proline-rich protein (Bcl-2-like 12 protein) [Source:UniProtKB/Swiss-Prot;Acc:Q9HB09]</t>
  </si>
  <si>
    <t>GO:0006915 apoptosis</t>
  </si>
  <si>
    <t>CHsGV10003348</t>
  </si>
  <si>
    <t>NM_152680.1</t>
  </si>
  <si>
    <t>TMEM154</t>
  </si>
  <si>
    <t>Transmembrane protein 154 Precursor  [Source:UniProtKB/Swiss-Prot;Acc:Q6P9G4]</t>
  </si>
  <si>
    <t>H300005057</t>
  </si>
  <si>
    <t>AC110799.3</t>
  </si>
  <si>
    <t>Uncharacterized protein ENSP00000244249 Fragment  [Source:UniProtKB/TrEMBL;Acc:A6NHB1]</t>
  </si>
  <si>
    <t>DHsGV10005129</t>
  </si>
  <si>
    <t>GO:0042802 identical protein binding</t>
  </si>
  <si>
    <t>H200001647</t>
  </si>
  <si>
    <t>NM_004036;NM_004036</t>
  </si>
  <si>
    <t>ADCY3</t>
  </si>
  <si>
    <t>Adenylate cyclase type 3 (EC 4.6.1.1)(Adenylate cyclase type III)(AC-III)(ATP pyrophosphate-lyase 3)(Adenylyl cyclase 3)(AC3)(Adenylate cyclase, olfactive type) [Source:UniProtKB/Swiss-Prot;Acc:O60266]</t>
  </si>
  <si>
    <t>Zinc finger protein 197 (ZnF20)(Zinc finger protein with KRAB and SCAN domains 9) [Source:UniProtKB/Swiss-Prot;Acc:O14709]</t>
  </si>
  <si>
    <t>GO:0006350 transcription,GO:0006355 regulation of transcription, DNA-dependent,GO:0008150 biological_process,GO:0045449 regulation of transcription</t>
  </si>
  <si>
    <t>GO:0003677 DNA binding,GO:0008270 zinc ion binding,GO:0046872 metal ion binding,GO:0003700 transcription factor activity,GO:0003676 nucleic acid binding,GO:0030528 transcription regulator activity</t>
  </si>
  <si>
    <t>GO:0005634 nucleus,GO:0005622 intracellular,GO:0005575 cellular_component</t>
  </si>
  <si>
    <t>GO:0005634 nucleus,GO:0005634 nucleus</t>
  </si>
  <si>
    <t>H200007026</t>
  </si>
  <si>
    <t>NM_004126</t>
  </si>
  <si>
    <t>GNG11</t>
  </si>
  <si>
    <t>Guanine nucleotide-binding protein G(I)/G(S)/G(O) subunit gamma-11 Precursor  [Source:UniProtKB/Swiss-Prot;Acc:P61952]</t>
  </si>
  <si>
    <t>GO:0007165 signal transduction,GO:0007186 G-protein coupled receptor protein signaling pathway,GO:0009755 hormone-mediated signaling</t>
  </si>
  <si>
    <t>GO:0003924 GTPase activity,GO:0004871 signal transducer activity</t>
  </si>
  <si>
    <t>GO:0005886 plasma membrane,GO:0005834 heterotrimeric G-protein complex</t>
  </si>
  <si>
    <t>Cell surface glycoprotein CD200 receptor 1 Precursor (Cell surface glycoprotein OX2 receptor 1)(CD200 cell surface glycoprotein receptor) [Source:UniProtKB/Swiss-Prot;Acc:Q8TD46]</t>
  </si>
  <si>
    <t>GO:0044419 interspecies interaction between organisms</t>
  </si>
  <si>
    <t>GO:0005886 plasma membrane,GO:0016021 integral to membrane,GO:0016020 membrane,GO:0005576 extracellular region</t>
  </si>
  <si>
    <t>GO:0006546 glycine catabolic process</t>
  </si>
  <si>
    <t>GO:0005737 cytoplasm,GO:0005739 mitochondrion,GO:0005759 mitochondrial matrix</t>
  </si>
  <si>
    <t>AHsV10003045</t>
  </si>
  <si>
    <t>NM_001142572.1</t>
  </si>
  <si>
    <t>ZNF669</t>
  </si>
  <si>
    <t>Zinc finger protein 669  [Source:UniProtKB/Swiss-Prot;Acc:Q96BR6]</t>
  </si>
  <si>
    <t>GO:0003676 nucleic acid binding,GO:0003677 DNA binding,GO:0008270 zinc ion binding</t>
  </si>
  <si>
    <t>DHsGV10004684</t>
  </si>
  <si>
    <t>NM_031268.4;NM_002613.3</t>
  </si>
  <si>
    <t>GO:0004672 protein kinase activity,GO:0005524 ATP binding,GO:0004713 protein tyrosine kinase activity,GO:0000166 nucleotide binding,GO:0004674 protein serine/threonine kinase activity,GO:0016740 transferase activity</t>
  </si>
  <si>
    <t>GO:0005737 cytoplasm,GO:0016020 membrane</t>
  </si>
  <si>
    <t>GO:0005634 nucleus,GO:0005576 extracellular region,GO:0005737 cytoplasm</t>
  </si>
  <si>
    <t>Asparagine synthetase [glutamine-hydrolyzing] (EC 6.3.5.4)(Glutamine-dependent asparagine synthetase)(Cell cycle control protein TS11) [Source:UniProtKB/Swiss-Prot;Acc:P08243]</t>
  </si>
  <si>
    <t>GO:0008152 metabolic process,GO:0006541 glutamine metabolic process,GO:0008652 amino acid biosynthetic process,GO:0045931 positive regulation of mitotic cell cycle,GO:0043066 negative regulation of apoptosis,GO:0006529 asparagine biosynthetic process,GO:0042149 cellular response to glucose starvation</t>
  </si>
  <si>
    <t>GO:0016874 ligase activity,GO:0004066 asparagine synthase (glutamine-hydrolyzing) activity</t>
  </si>
  <si>
    <t>GO:0005829 cytosol,GO:0005625 soluble fraction</t>
  </si>
  <si>
    <t>GO:0000287 magnesium ion binding,GO:0005516 calmodulin binding,GO:0008294 calcium- and calmodulin-responsive adenylate cyclase activity,GO:0016849 phosphorus-oxygen lyase activity,GO:0008294 calcium- and calmodulin-responsive adenylate cyclase activity</t>
  </si>
  <si>
    <t>AHsV10003297</t>
  </si>
  <si>
    <t>GO:0003677 DNA binding,GO:0005515 protein binding,GO:0016787 hydrolase activity,GO:0008270 zinc ion binding,GO:0000166 nucleotide binding,GO:0005524 ATP binding,GO:0046872 metal ion binding,GO:0003676 nucleic acid binding,GO:0003702 RNA polymerase II transcription factor activity,GO:0016887 ATPase activity,GO:0004386 helicase activity,GO:0016563 transcription activator activity,GO:0016818 hydrolase activity, acting on acid anhydrides, in phosphorus-containing anhydrides</t>
  </si>
  <si>
    <t>H300000848</t>
  </si>
  <si>
    <t>AC111177.15</t>
  </si>
  <si>
    <t>Seven transmembrane helix receptor (HCG2044188)  [Source:UniProtKB/TrEMBL;Acc:Q8NH77]</t>
  </si>
  <si>
    <t>H300009777</t>
  </si>
  <si>
    <t>AC026271.6</t>
  </si>
  <si>
    <t>CHsGV10000413</t>
  </si>
  <si>
    <t>NM_015852.3</t>
  </si>
  <si>
    <t>ZNF117</t>
  </si>
  <si>
    <t>Zinc finger protein 117 (Zinc finger protein HPF9)(Provirus-linked krueppel)(h-PLK) [Source:UniProtKB/Swiss-Prot;Acc:Q03924]</t>
  </si>
  <si>
    <t>GO:0003677 DNA binding,GO:0008270 zinc ion binding</t>
  </si>
  <si>
    <t>H200007076</t>
  </si>
  <si>
    <t>NM_000396</t>
  </si>
  <si>
    <t>CTSK</t>
  </si>
  <si>
    <t>Cathepsin K Precursor (EC 3.4.22.38)(Cathepsin O)(Cathepsin X)(Cathepsin O2) [Source:UniProtKB/Swiss-Prot;Acc:P43235]</t>
  </si>
  <si>
    <t>GO:0007242 intracellular signaling cascade,GO:0050896 response to stimulus,GO:0007608 sensory perception of smell,GO:0007143 female meiosis,GO:0006171 cAMP biosynthetic process,GO:0009190 cyclic nucleotide biosynthetic process,GO:0007143 female meiosis</t>
  </si>
  <si>
    <t>GO:0005886 plasma membrane,GO:0005887 integral to plasma membrane,GO:0045121 membrane raft,GO:0005886 plasma membrane,GO:0045121 membrane raft</t>
  </si>
  <si>
    <t>H300010300</t>
  </si>
  <si>
    <t>NM_032111</t>
  </si>
  <si>
    <t>MRPL14</t>
  </si>
  <si>
    <t>39S ribosomal protein L14, mitochondrial Precursor (L14mt)(MRP-L14)(MRP-L32) [Source:UniProtKB/Swiss-Prot;Acc:Q6P1L8]</t>
  </si>
  <si>
    <t>AHsV10000647</t>
  </si>
  <si>
    <t>NM_015137.3</t>
  </si>
  <si>
    <t>EFR3A</t>
  </si>
  <si>
    <t>Protein EFR3 homolog A (Protein EFR3-like) [Source:UniProtKB/Swiss-Prot;Acc:Q14156]</t>
  </si>
  <si>
    <t>CHsGV10003664</t>
  </si>
  <si>
    <t>NM_138441.2</t>
  </si>
  <si>
    <t>C6orf150</t>
  </si>
  <si>
    <t>Uncharacterized protein C6orf150  [Source:UniProtKB/Swiss-Prot;Acc:Q8N884]</t>
  </si>
  <si>
    <t>H300020879</t>
  </si>
  <si>
    <t>NM_138806;NM_138806</t>
  </si>
  <si>
    <t>CD200R1</t>
  </si>
  <si>
    <t>GO:0004872 receptor activity,GO:0004932 mating-type factor pheromone receptor activity</t>
  </si>
  <si>
    <t>opHsV0400005684</t>
  </si>
  <si>
    <t>NM_198697</t>
  </si>
  <si>
    <t>KRTAP12-3</t>
  </si>
  <si>
    <t>Keratin-associated protein 12-3 (Keratin-associated protein 12.3)(High sulfur keratin-associated protein 12.3) [Source:UniProtKB/Swiss-Prot;Acc:P60328]</t>
  </si>
  <si>
    <t>opHsV0400006655</t>
  </si>
  <si>
    <t>NM_030779;NM_173092;NM_173092</t>
  </si>
  <si>
    <t>KCNH6</t>
  </si>
  <si>
    <t>Potassium voltage-gated channel subfamily H member 6 (Voltage-gated potassium channel subunit Kv11.2)(Ether-a-go-go-related gene potassium channel 2)(Ether-a-go-go-related protein 2)(Eag-related protein 2) [Source:UniProtKB/Swiss-Prot;Acc:Q9H252]</t>
  </si>
  <si>
    <t>GO:0007165 signal transduction,GO:0006811 ion transport,GO:0006355 regulation of transcription, DNA-dependent,GO:0006813 potassium ion transport</t>
  </si>
  <si>
    <t>Glutathione peroxidase 6 Precursor (EC 1.11.1.9) [Source:UniProtKB/Swiss-Prot;Acc:P59796]</t>
  </si>
  <si>
    <t>GO:0006979 response to oxidative stress,GO:0055114 oxidation reduction</t>
  </si>
  <si>
    <t>GO:0016491 oxidoreductase activity,GO:0004602 glutathione peroxidase activity,GO:0008430 selenium binding</t>
  </si>
  <si>
    <t>DHsGV10004132</t>
  </si>
  <si>
    <t>AC105314.2</t>
  </si>
  <si>
    <t>CHsGV10000966</t>
  </si>
  <si>
    <t>NM_182701.1</t>
  </si>
  <si>
    <t>GPX6</t>
  </si>
  <si>
    <t>AHsV10003538</t>
  </si>
  <si>
    <t>NM_030792.6</t>
  </si>
  <si>
    <t>GDPD5</t>
  </si>
  <si>
    <t>Glycerophosphodiester phosphodiesterase domain-containing protein 5 (EC 3.1.-.-)(Glycerophosphodiester phosphodiesterase 2) [Source:UniProtKB/Swiss-Prot;Acc:Q8WTR4]</t>
  </si>
  <si>
    <t>GO:0006071 glycerol metabolic process,GO:0006629 lipid metabolic process</t>
  </si>
  <si>
    <t>GO:0008081 phosphoric diester hydrolase activity,GO:0008889 glycerophosphodiester phosphodiesterase activity,GO:0016787 hydrolase activity</t>
  </si>
  <si>
    <t>GO:0005737 cytoplasm,GO:0012505 endomembrane system,GO:0016020 membrane,GO:0016021 integral to membrane</t>
  </si>
  <si>
    <t>Catenin alpha-1 (Cadherin-associated protein)(Alpha E-catenin)(NY-REN-13 antigen) [Source:UniProtKB/Swiss-Prot;Acc:P35221]</t>
  </si>
  <si>
    <t>GO:0007155 cell adhesion,GO:0043297 apical junction assembly</t>
  </si>
  <si>
    <t>GO:0005198 structural molecule activity,GO:0005515 protein binding,GO:0017166 vinculin binding,GO:0045296 cadherin binding</t>
  </si>
  <si>
    <t>GO:0005737 cytoplasm,GO:0005886 plasma membrane,GO:0015629 actin cytoskeleton,GO:0030054 cell junction</t>
  </si>
  <si>
    <t>H300002800</t>
  </si>
  <si>
    <t>NM_001620</t>
  </si>
  <si>
    <t>AHNAK</t>
  </si>
  <si>
    <t>Neuroblast differentiation-associated protein AHNAK (Desmoyokin) [Source:UniProtKB/Swiss-Prot;Acc:Q09666]</t>
  </si>
  <si>
    <t>GO:0007399 nervous system development</t>
  </si>
  <si>
    <t>H300019798</t>
  </si>
  <si>
    <t>NM_016578</t>
  </si>
  <si>
    <t>RSF1</t>
  </si>
  <si>
    <t>Remodeling and spacing factor 1 (Rsf-1)(Hepatitis B virus X-associated protein)(HBV pX-associated protein 8)(p325 subunit of RSF chromatin-remodeling complex) [Source:UniProtKB/Swiss-Prot;Acc:Q96T23]</t>
  </si>
  <si>
    <t>GO:0005515 protein binding,GO:0008233 peptidase activity,GO:0008234 cysteine-type peptidase activity,GO:0004197 cysteine-type endopeptidase activity</t>
  </si>
  <si>
    <t>GO:0005764 lysosome</t>
  </si>
  <si>
    <t>GO:0005529 sugar binding</t>
  </si>
  <si>
    <t>H200000732</t>
  </si>
  <si>
    <t>NM_139048;NM_139048;NM_003071</t>
  </si>
  <si>
    <t>HLTF</t>
  </si>
  <si>
    <t>Helicase-like transcription factor (EC 3.6.1.-)(SWI/SNF-related matrix-associated actin-dependent regulator of chromatin subfamily A member 3)(Sucrose nonfermenting protein 2-like 3)(DNA-binding protein/plasminogen activator inhibitor 1 regulator)(HIP116)(RING finger protein 80) [Source:UniProtKB/Swiss-Prot;Acc:Q14527]</t>
  </si>
  <si>
    <t>GO:0006350 transcription,GO:0016568 chromatin modification,GO:0006357 regulation of transcription from RNA polymerase II promoter</t>
  </si>
  <si>
    <t>GO:0005634 nucleus,GO:0000785 chromatin</t>
  </si>
  <si>
    <t>GO:0003824 catalytic activity,GO:0005516 calmodulin binding</t>
  </si>
  <si>
    <t>GO:0004871 signal transducer activity</t>
  </si>
  <si>
    <t>H200011684</t>
  </si>
  <si>
    <t>NM_017986</t>
  </si>
  <si>
    <t>GPR172B</t>
  </si>
  <si>
    <t>Porcine endogenous retrovirus A receptor 2 Precursor (PERV-A receptor 2)(Protein GPR172B) [Source:UniProtKB/Swiss-Prot;Acc:Q9NWF4]</t>
  </si>
  <si>
    <t>GO:0005737 cytoplasm,GO:0016324 apical plasma membrane,GO:0043234 protein complex,GO:0042470 melanosome</t>
  </si>
  <si>
    <t>H200005420</t>
  </si>
  <si>
    <t>NM_022776;NM_022776</t>
  </si>
  <si>
    <t>OSBPL11</t>
  </si>
  <si>
    <t>Oxysterol-binding protein-related protein 11 (OSBP-related protein 11)(ORP-11) [Source:UniProtKB/Swiss-Prot;Acc:Q9BXB4]</t>
  </si>
  <si>
    <t>GO:0008202 steroid metabolic process</t>
  </si>
  <si>
    <t>H200000210</t>
  </si>
  <si>
    <t>NM_003337</t>
  </si>
  <si>
    <t>UBE2B</t>
  </si>
  <si>
    <t>GO:0006487 protein amino acid N-linked glycosylation</t>
  </si>
  <si>
    <t>GO:0016021 integral to membrane,GO:0016020 membrane,GO:0005794 Golgi apparatus,GO:0000139 Golgi membrane</t>
  </si>
  <si>
    <t>opHsV0400002701</t>
  </si>
  <si>
    <t>NM_005663;NM_005663</t>
  </si>
  <si>
    <t>WHSC2</t>
  </si>
  <si>
    <t>Negative elongation factor A (NELF-A)(Wolf-Hirschhorn syndrome candidate 2 protein) [Source:UniProtKB/Swiss-Prot;Acc:Q9H3P2]</t>
  </si>
  <si>
    <t>GO:0005515 protein binding,GO:0016874 ligase activity,GO:0004842 ubiquitin-protein ligase activity,GO:0019787 small conjugating protein ligase activity</t>
  </si>
  <si>
    <t>GO:0005249 voltage-gated potassium channel activity,GO:0005244 voltage-gated ion channel activity,GO:0005267 potassium channel activity,GO:0030955 potassium ion binding,GO:0005216 ion channel activity</t>
  </si>
  <si>
    <t>GO:0006396 RNA processing</t>
  </si>
  <si>
    <t>GO:0005515 protein binding,GO:0000166 nucleotide binding,GO:0003676 nucleic acid binding,GO:0003723 RNA binding</t>
  </si>
  <si>
    <t>GO:0006350 transcription,GO:0045892 negative regulation of transcription, DNA-dependent,GO:0006334 nucleosome assembly,GO:0006338 chromatin remodeling,GO:0006352 transcription initiation,GO:0016584 nucleosome positioning,GO:0043392 negative regulation of DNA binding,GO:0050434 positive regulation of viral transcription</t>
  </si>
  <si>
    <t>GO:0005515 protein binding,GO:0008270 zinc ion binding,GO:0046872 metal ion binding,GO:0016563 transcription activator activity,GO:0042393 histone binding,GO:0016564 transcription repressor activity</t>
  </si>
  <si>
    <t>GO:0005634 nucleus,GO:0031213 RSF complex</t>
  </si>
  <si>
    <t>opHsV0400000372</t>
  </si>
  <si>
    <t>NM_153023</t>
  </si>
  <si>
    <t>SPATA13</t>
  </si>
  <si>
    <t>Spermatogenesis-associated protein 13  [Source:UniProtKB/Swiss-Prot;Acc:Q96N96]</t>
  </si>
  <si>
    <t>AHsV10001883</t>
  </si>
  <si>
    <t>NM_001903.2</t>
  </si>
  <si>
    <t>CTNNA1</t>
  </si>
  <si>
    <t>GO:0006350 transcription,GO:0006355 regulation of transcription, DNA-dependent,GO:0007275 multicellular organismal development</t>
  </si>
  <si>
    <t>GO:0005634 nucleus,GO:0005654 nucleoplasm</t>
  </si>
  <si>
    <t>GO:0005515 protein binding,GO:0005351 sugar:hydrogen symporter activity</t>
  </si>
  <si>
    <t>AHsV10002086</t>
  </si>
  <si>
    <t>NM_021643.3</t>
  </si>
  <si>
    <t>TRIB2</t>
  </si>
  <si>
    <t>Tribbles homolog 2 (TRB-2) [Source:UniProtKB/Swiss-Prot;Acc:Q92519]</t>
  </si>
  <si>
    <t>GO:0003994 aconitate hydratase activity,GO:0005506 iron ion binding,GO:0016829 lyase activity,GO:0046872 metal ion binding,GO:0051539 4 iron, 4 sulfur cluster binding</t>
  </si>
  <si>
    <t>GO:0008083 growth factor activity</t>
  </si>
  <si>
    <t>H300018519</t>
  </si>
  <si>
    <t>NM_001572;NM_004029;NM_004029</t>
  </si>
  <si>
    <t>IRF7</t>
  </si>
  <si>
    <t>Interferon regulatory factor 7 (IRF-7) [Source:UniProtKB/Swiss-Prot;Acc:Q92985]</t>
  </si>
  <si>
    <t>GO:0003700 transcription factor activity</t>
  </si>
  <si>
    <t>GO:0016020 membrane,GO:0016021 integral to membrane</t>
  </si>
  <si>
    <t>GO:0035023 regulation of Rho protein signal transduction</t>
  </si>
  <si>
    <t>opHsV0400001202</t>
  </si>
  <si>
    <t>GO:0005515 protein binding,GO:0003700 transcription factor activity,GO:0043565 sequence-specific DNA binding</t>
  </si>
  <si>
    <t>Ubiquitin-conjugating enzyme E2 B (EC 6.3.2.19)(Ubiquitin-protein ligase B)(Ubiquitin carrier protein B)(HR6B)(hHR6B)(E2-17 kDa) [Source:UniProtKB/Swiss-Prot;Acc:P63146]</t>
  </si>
  <si>
    <t>GO:0006511 ubiquitin-dependent protein catabolic process,GO:0006974 response to DNA damage stimulus,GO:0007288 sperm axoneme assembly,GO:0043687 post-translational protein modification,GO:0051246 regulation of protein metabolic process,GO:0006301 postreplication repair</t>
  </si>
  <si>
    <t>GO:0005739 mitochondrion,GO:0005759 mitochondrial matrix</t>
  </si>
  <si>
    <t>H300019058</t>
  </si>
  <si>
    <t>ANXA6</t>
  </si>
  <si>
    <t>Annexin A6 (Annexin-6)(Annexin VI)(Lipocortin VI)(p68)(p70)(Protein III)(Chromobindin-20)(67 kDa calelectrin)(Calphobindin-II)(CPB-II) [Source:UniProtKB/Swiss-Prot;Acc:P08133]</t>
  </si>
  <si>
    <t>GO:0050819 negative regulation of coagulation</t>
  </si>
  <si>
    <t>GO:0005509 calcium ion binding,GO:0005515 protein binding,GO:0008092 cytoskeletal protein binding,GO:0005544 calcium-dependent phospholipid binding,GO:0004859 phospholipase inhibitor activity</t>
  </si>
  <si>
    <t>GO:0006959 humoral immune response,GO:0007186 G-protein coupled receptor protein signaling pathway,GO:0008283 cell proliferation,GO:0007165 signal transduction,GO:0007165 signal transduction,GO:0007166 cell surface receptor linked signal transduction,GO:0006954 inflammatory response,GO:0007205 activation of protein kinase C activity by G-protein coupled receptor protein signaling pathway,GO:0007202 activation of phospholipase C activity,GO:0043306 positive regulation of mast cell degranulation,GO:0050663 cytokine secretion,GO:0051279 regulation of release of sequestered calcium ion into cytosol</t>
  </si>
  <si>
    <t>GO:0005262 calcium channel activity,GO:0004872 receptor activity,GO:0019863 IgE binding,GO:0019863 IgE binding,GO:0019901 protein kinase binding,GO:0051219 phosphoprotein binding,GO:0042169 SH2 domain binding,GO:0019767 IgE receptor activity</t>
  </si>
  <si>
    <t>GO:0005886 plasma membrane,GO:0005634 nucleus,GO:0000785 chromatin</t>
  </si>
  <si>
    <t>GO:0006468 protein amino acid phosphorylation,GO:0043405 regulation of MAP kinase activity</t>
  </si>
  <si>
    <t>GO:0004672 protein kinase activity,GO:0004674 protein serine/threonine kinase activity,GO:0004713 protein tyrosine kinase activity,GO:0004860 protein kinase inhibitor activity,GO:0005515 protein binding,GO:0005524 ATP binding</t>
  </si>
  <si>
    <t>GO:0005634 nucleus,GO:0005737 cytoplasm,GO:0005856 cytoskeleton</t>
  </si>
  <si>
    <t>AHsV10002772</t>
  </si>
  <si>
    <t>NM_001098.2</t>
  </si>
  <si>
    <t>ACO2</t>
  </si>
  <si>
    <t>Aconitate hydratase, mitochondrial Precursor (Aconitase)(EC 4.2.1.3)(Citrate hydro-lyase) [Source:UniProtKB/Swiss-Prot;Acc:Q99798]</t>
  </si>
  <si>
    <t>GO:0006091 generation of precursor metabolites and energy,GO:0006099 tricarboxylic acid cycle,GO:0006101 citrate metabolic process,GO:0008152 metabolic process</t>
  </si>
  <si>
    <t>AHsV10000541</t>
  </si>
  <si>
    <t>NM_000694.2</t>
  </si>
  <si>
    <t>ALDH3B1</t>
  </si>
  <si>
    <t>Aldehyde dehydrogenase family 3 member B1 (EC 1.2.1.5)(Aldehyde dehydrogenase 7) [Source:UniProtKB/Swiss-Prot;Acc:P43353]</t>
  </si>
  <si>
    <t>GO:0005634 nucleus,GO:0005739 mitochondrion,GO:0005759 mitochondrial matrix</t>
  </si>
  <si>
    <t>GO:0008415 acyltransferase activity,GO:0016740 transferase activity,GO:0005515 protein binding,GO:0004149 dihydrolipoyllysine-residue succinyltransferase activity,GO:0031405 lipoic acid binding</t>
  </si>
  <si>
    <t>GO:0005634 nucleus,GO:0005737 cytoplasm,GO:0005739 mitochondrion,GO:0005759 mitochondrial matrix,GO:0005947 mitochondrial alpha-ketoglutarate dehydrogenase complex,GO:0045252 oxoglutarate dehydrogenase complex</t>
  </si>
  <si>
    <t>H300004361</t>
  </si>
  <si>
    <t>NM_001004297</t>
  </si>
  <si>
    <t>OR13A1</t>
  </si>
  <si>
    <t>Olfactory receptor 13A1 (Olfactory receptor OR10-3) [Source:UniProtKB/Swiss-Prot;Acc:Q8NGR1]</t>
  </si>
  <si>
    <t>CHsGV10000273</t>
  </si>
  <si>
    <t>NM_000139.3;NM_001142303.1</t>
  </si>
  <si>
    <t>MS4A2</t>
  </si>
  <si>
    <t>GO:0005488 binding,GO:0003824 catalytic activity,GO:0016491 oxidoreductase activity,GO:0016404 15-hydroxyprostaglandin dehydrogenase (NAD+) activity,GO:0004022 alcohol dehydrogenase activity,GO:0008667 2,3-dihydro-2,3-dihydroxybenzoate dehydrogenase activity</t>
  </si>
  <si>
    <t>NM_003534</t>
  </si>
  <si>
    <t>HIST1H3G</t>
  </si>
  <si>
    <t>Histone H3.1 (H3/a)(H3/b)(H3/c)(H3/d)(H3/f)(H3/h)(H3/i)(H3/j)(H3/k)(H3/l) [Source:UniProtKB/Swiss-Prot;Acc:P68431]</t>
  </si>
  <si>
    <t>GO:0003677 DNA binding,GO:0005515 protein binding</t>
  </si>
  <si>
    <t>AHsV10002820</t>
  </si>
  <si>
    <t>NM_001025160.1</t>
  </si>
  <si>
    <t>CD97</t>
  </si>
  <si>
    <t>CD97 antigen Precursor (Leukocyte antigen CD97)(CD97 antigen) [Contains CD97 antigen subunit alpha;CD97 antigen subunit beta] [Source:UniProtKB/Swiss-Prot;Acc:P48960]</t>
  </si>
  <si>
    <t>GO:0007166 cell surface receptor linked signal transduction,GO:0007186 G-protein coupled receptor protein signaling pathway,GO:0007218 neuropeptide signaling pathway</t>
  </si>
  <si>
    <t>GO:0004888 transmembrane receptor activity,GO:0004930 G-protein coupled receptor activity,GO:0005509 calcium ion binding</t>
  </si>
  <si>
    <t>High affinity immunoglobulin epsilon receptor subunit beta (FcERI)(IgE Fc receptor subunit beta)(Fc epsilon receptor I beta-chain)(Membrane-spanning 4-domains subfamily A member 2) [Source:UniProtKB/Swiss-Prot;Acc:Q01362]</t>
  </si>
  <si>
    <t>Interferon regulatory factor 3 (IRF-3) [Source:UniProtKB/Swiss-Prot;Acc:Q14653]</t>
  </si>
  <si>
    <t>GO:0006350 transcription,GO:0006355 regulation of transcription, DNA-dependent,GO:0006366 transcription from RNA polymerase II promoter,GO:0007249 I-kappaB kinase/NF-kappaB cascade,GO:0009615 response to virus,GO:0044419 interspecies interaction between o</t>
  </si>
  <si>
    <t>GO:0003700 transcription factor activity,GO:0003702 RNA polymerase II transcription factor activity,GO:0003712 transcription cofactor activity</t>
  </si>
  <si>
    <t>GO:0005634 nucleus,GO:0005654 nucleoplasm,GO:0005737 cytoplasm,GO:0005829 cytosol</t>
  </si>
  <si>
    <t>GO:0019904 protein domain specific binding,GO:0005159 insulin-like growth factor receptor binding,GO:0005080 protein kinase C binding,GO:0008426 protein kinase C inhibitor activity</t>
  </si>
  <si>
    <t>CHsGV10000410</t>
  </si>
  <si>
    <t>NM_001010897.1</t>
  </si>
  <si>
    <t>SERP2</t>
  </si>
  <si>
    <t>GO:0016021 integral to membrane,GO:0005887 integral to plasma membrane,GO:0009897 external side of plasma membrane,GO:0016020 membrane,GO:0032998 Fc-epsilon receptor I complex,GO:0005887 integral to plasma membrane,GO:0009897 external side of plasma membrane,GO:0032998 Fc-epsilon receptor I complex,GO:0005768 endosome,GO:0045121 membrane raft</t>
  </si>
  <si>
    <t>AHsV10000570</t>
  </si>
  <si>
    <t>NM_000442.3</t>
  </si>
  <si>
    <t>GO:0005634 nucleus,GO:0000786 nucleosome</t>
  </si>
  <si>
    <t>H300010504</t>
  </si>
  <si>
    <t>NM_032470</t>
  </si>
  <si>
    <t>TNXB</t>
  </si>
  <si>
    <t>Tenascin-X Precursor (TN-X)(Hexabrachion-like protein) [Source:UniProtKB/Swiss-Prot;Acc:P22105]</t>
  </si>
  <si>
    <t>GO:0016192 vesicle-mediated transport</t>
  </si>
  <si>
    <t>H200009675</t>
  </si>
  <si>
    <t>NM_001933</t>
  </si>
  <si>
    <t>DLST</t>
  </si>
  <si>
    <t>Dihydrolipoyllysine-residue succinyltransferase component of 2-oxoglutarate dehydrogenase complex, mitochondrial Precursor (EC 2.3.1.61)(Dihydrolipoamide succinyltransferase component of 2-oxoglutarate dehydrogenase complex)(E2)(E2K) [Source:UniProtKB/Swiss-Prot;Acc:P36957]</t>
  </si>
  <si>
    <t>GO:0008152 metabolic process,GO:0006091 generation of precursor metabolites and energy,GO:0006099 tricarboxylic acid cycle,GO:0006085 acetyl-CoA biosynthetic process</t>
  </si>
  <si>
    <t>Olfactory receptor 1J1 (Olfactory receptor OR9-18) [Source:UniProtKB/Swiss-Prot;Acc:Q8NGS3]</t>
  </si>
  <si>
    <t>H200003841</t>
  </si>
  <si>
    <t>NM_001071775</t>
  </si>
  <si>
    <t>GO:0005509 calcium ion binding,GO:0008270 zinc ion binding,GO:0008047 enzyme activator activity,GO:0008233 peptidase activity,GO:0008237 metallopeptidase activity,GO:0004222 metalloendopeptidase activity</t>
  </si>
  <si>
    <t>GO:0005886 plasma membrane,GO:0005576 extracellular region,GO:0005887 integral to plasma membrane</t>
  </si>
  <si>
    <t>GO:0003676 nucleic acid binding</t>
  </si>
  <si>
    <t>GO:0005783 endoplasmic reticulum,GO:0005788 endoplasmic reticulum lumen</t>
  </si>
  <si>
    <t>H300015344</t>
  </si>
  <si>
    <t>NM_000860</t>
  </si>
  <si>
    <t>HPGD</t>
  </si>
  <si>
    <t>15-hydroxyprostaglandin dehydrogenase [NAD+] (PGDH)(EC 1.1.1.141)(Prostaglandin dehydrogenase 1) [Source:UniProtKB/Swiss-Prot;Acc:P15428]</t>
  </si>
  <si>
    <t>GO:0005634 nucleus,GO:0005737 cytoplasm,GO:0005575 cellular_component</t>
  </si>
  <si>
    <t>H300006626</t>
  </si>
  <si>
    <t>NM_001079807</t>
  </si>
  <si>
    <t>PGA3</t>
  </si>
  <si>
    <t>pepsinogen 3, group I  [Source:RefSeq peptide;Acc:NP_001073275]</t>
  </si>
  <si>
    <t>GO:0005737 cytoplasm,GO:0005739 mitochondrion</t>
  </si>
  <si>
    <t>GO:0008150 biological_process</t>
  </si>
  <si>
    <t>H200006386</t>
  </si>
  <si>
    <t>NM_000860;NM_000860</t>
  </si>
  <si>
    <t>GO:0008152 metabolic process,GO:0009239 enterobactin biosynthetic process</t>
  </si>
  <si>
    <t>Muellerian-inhibiting factor Precursor (MIS)(Anti-Muellerian hormone)(AMH)(Muellerian-inhibiting substance) [Source:UniProtKB/Swiss-Prot;Acc:P03971]</t>
  </si>
  <si>
    <t>GO:0007267 cell-cell signaling,GO:0007530 sex determination,GO:0007548 sex differentiation,GO:0008406 gonad development,GO:0001655 urogenital system development,GO:0001880 Mullerian duct regression,GO:0007506 gonadal mesoderm development,GO:0001655 urogenital system development</t>
  </si>
  <si>
    <t>GO:0008083 growth factor activity,GO:0005179 hormone activity,GO:0005160 transforming growth factor beta receptor binding,GO:0005160 transforming growth factor beta receptor binding</t>
  </si>
  <si>
    <t>GO:0005576 extracellular region,GO:0005737 cytoplasm,GO:0005615 extracellular space,GO:0005615 extracellular space</t>
  </si>
  <si>
    <t>AHsV10000993</t>
  </si>
  <si>
    <t>NM_001571.4</t>
  </si>
  <si>
    <t>IRF3</t>
  </si>
  <si>
    <t>Poliovirus receptor-related protein 4 Precursor (Nectin-4)(Ig superfamily receptor LNIR) [Contains Processed poliovirus receptor-related protein 4] [Source:UniProtKB/Swiss-Prot;Acc:Q96NY8]</t>
  </si>
  <si>
    <t>GO:0005886 plasma membrane,GO:0016021 integral to membrane,GO:0005576 extracellular region,GO:0030054 cell junction</t>
  </si>
  <si>
    <t>GO:0050850 positive regulation of calcium-mediated signaling,GO:0007166 cell surface receptor linked signal transduction,GO:0016337 cell-cell adhesion,GO:0019370 leukotriene biosynthetic process,GO:0007257 activation of JNK activity,GO:0050731 positive regulation of peptidyl-tyrosine phosphorylation,GO:0001812 positive regulation of type I hypersensitivity,GO:0001820 serotonin secretion,GO:0043306 positive regulation of mast cell degranulation,GO:0045401 positive regulation of interleukin-3 biosynthetic process,GO:0045425 positive regulation of granulocyte macrophage colony-stimulating factor biosynthetic process</t>
  </si>
  <si>
    <t>Stress-associated endoplasmic reticulum protein 2 (Ribosome-associated membrane protein RAMP4-2) [Source:UniProtKB/Swiss-Prot;Acc:Q8N6R1]</t>
  </si>
  <si>
    <t>GO:0015031 protein transport,GO:0065002 intracellular protein transmembrane transport</t>
  </si>
  <si>
    <t>GO:0016021 integral to membrane,GO:0005783 endoplasmic reticulum,GO:0016020 membrane</t>
  </si>
  <si>
    <t>H200011822</t>
  </si>
  <si>
    <t>NM_000479</t>
  </si>
  <si>
    <t>AMH</t>
  </si>
  <si>
    <t>GO:0005829 cytosol</t>
  </si>
  <si>
    <t>H200003471</t>
  </si>
  <si>
    <t>NM_012479</t>
  </si>
  <si>
    <t>YWHAG</t>
  </si>
  <si>
    <t>14-3-3 protein gamma (Protein kinase C inhibitor protein 1)(KCIP-1) [Source:UniProtKB/Swiss-Prot;Acc:P61981]</t>
  </si>
  <si>
    <t>GO:0009966 regulation of signal transduction,GO:0006605 protein targeting,GO:0048167 regulation of synaptic plasticity,GO:0006469 negative regulation of protein kinase activity,GO:0045664 regulation of neuron differentiation</t>
  </si>
  <si>
    <t>C13orf37</t>
  </si>
  <si>
    <t>UPF0582 protein C13orf37  [Source:UniProtKB/Swiss-Prot;Acc:Q08AG7]</t>
  </si>
  <si>
    <t>GO:0042309 homoiothermy,GO:0050826 response to freezing</t>
  </si>
  <si>
    <t>GO:0050825 ice binding</t>
  </si>
  <si>
    <t>GO:0004888 transmembrane receptor activity</t>
  </si>
  <si>
    <t>H300004740</t>
  </si>
  <si>
    <t>NM_001004451</t>
  </si>
  <si>
    <t>OR1J1</t>
  </si>
  <si>
    <t>Interferon-stimulated gene 20 kDa protein (EC 3.1.13.1)(Promyelocytic leukemia nuclear body-associated protein ISG20)(Estrogen-regulated transcript 45 protein) [Source:UniProtKB/Swiss-Prot;Acc:Q96AZ6]</t>
  </si>
  <si>
    <t>GO:0008283 cell proliferation,GO:0009615 response to virus,GO:0006401 RNA catabolic process,GO:0000738 DNA catabolic process, exonucleolytic</t>
  </si>
  <si>
    <t>GO:0016787 hydrolase activity,GO:0046872 metal ion binding,GO:0030145 manganese ion binding,GO:0003676 nucleic acid binding,GO:0003723 RNA binding,GO:0004527 exonuclease activity,GO:0000175 3'-5'-exoribonuclease activity,GO:0008310 single-stranded DNA specific 3'-5' exodeoxyribonuclease activity,GO:0008859 exoribonuclease II activity</t>
  </si>
  <si>
    <t>GO:0005634 nucleus,GO:0005622 intracellular,GO:0005654 nucleoplasm,GO:0016605 PML body</t>
  </si>
  <si>
    <t>H300003811</t>
  </si>
  <si>
    <t>AC108073.3</t>
  </si>
  <si>
    <t>GO:0008152 metabolic process,GO:0006693 prostaglandin metabolic process,GO:0006629 lipid metabolic process,GO:0006631 fatty acid metabolic process,GO:0055114 oxidation reduction,GO:0007179 transforming growth factor beta receptor signaling pathway,GO:0045786 negative regulation of cell cycle,GO:0007565 female pregnancy,GO:0007567 parturition,GO:0019372 lipoxygenase pathway,GO:0009239 enterobactin biosynthetic process</t>
  </si>
  <si>
    <t>GO:0005488 binding,GO:0003824 catalytic activity,GO:0016491 oxidoreductase activity,GO:0042803 protein homodimerization activity,GO:0051287 NAD binding,GO:0016404 15-hydroxyprostaglandin dehydrogenase (NAD+) activity,GO:0004022 alcohol dehydrogenase activity,GO:0004957 prostaglandin E receptor activity,GO:0008667 2,3-dihydro-2,3-dihydroxybenzoate dehydrogenase activity</t>
  </si>
  <si>
    <t>H300004283</t>
  </si>
  <si>
    <t>FCER1A</t>
  </si>
  <si>
    <t>High affinity immunoglobulin epsilon receptor subunit alpha Precursor (IgE Fc receptor subunit alpha)(Fc-epsilon RI-alpha)(FcERI) [Source:UniProtKB/Swiss-Prot;Acc:P12319]</t>
  </si>
  <si>
    <t>H200005435</t>
  </si>
  <si>
    <t>NM_030916</t>
  </si>
  <si>
    <t>PVRL4</t>
  </si>
  <si>
    <t>GO:0016740 transferase activity,GO:0005515 protein binding,GO:0030170 pyridoxal phosphate binding,GO:0008483 transaminase activity,GO:0004587 ornithine-oxo-acid transaminase activity</t>
  </si>
  <si>
    <t>GO:0005737 cytoplasm,GO:0005739 mitochondrion,GO:0005759 mitochondrial matrix,GO:0005737 cytoplasm</t>
  </si>
  <si>
    <t>H200007941</t>
  </si>
  <si>
    <t>NM_003275;NM_003275</t>
  </si>
  <si>
    <t>TMOD1</t>
  </si>
  <si>
    <t>GO:0006979 response to oxidative stress,GO:0030239 myofibril assembly</t>
  </si>
  <si>
    <t>GO:0003779 actin binding,GO:0005523 tropomyosin binding,GO:0020037 heme binding,GO:0004601 peroxidase activity</t>
  </si>
  <si>
    <t>GO:0007165 signal transduction,GO:0015031 protein transport,GO:0007264 small GTPase mediated signal transduction,GO:0006886 intracellular protein transport,GO:0006913 nucleocytoplasmic transport</t>
  </si>
  <si>
    <t>GO:0005886 plasma membrane,GO:0005622 intracellular,GO:0005737 cytoplasm</t>
  </si>
  <si>
    <t>GO:0004872 receptor activity,GO:0019767 IgE receptor activity</t>
  </si>
  <si>
    <t>GO:0005886 plasma membrane,GO:0016020 membrane,GO:0005887 integral to plasma membrane,GO:0009897 external side of plasma membrane</t>
  </si>
  <si>
    <t>H300003843</t>
  </si>
  <si>
    <t>RP13-470G3.1</t>
  </si>
  <si>
    <t>H300007675</t>
  </si>
  <si>
    <t>NM_173536</t>
  </si>
  <si>
    <t>GABRG1</t>
  </si>
  <si>
    <t>Gamma-aminobutyric acid receptor subunit gamma-1 Precursor (GABA(A) receptor subunit gamma-1) [Source:UniProtKB/Swiss-Prot;Acc:Q8N1C3]</t>
  </si>
  <si>
    <t>GO:0006811 ion transport,GO:0006810 transport,GO:0006821 chloride transport,GO:0007268 synaptic transmission,GO:0007214 gamma-aminobutyric acid signaling pathway</t>
  </si>
  <si>
    <t>GO:0005216 ion channel activity,GO:0004890 GABA-A receptor activity,GO:0005230 extracellular ligand-gated ion channel activity,GO:0005254 chloride channel activity,GO:0030594 neurotransmitter receptor activity,GO:0031404 chloride ion binding</t>
  </si>
  <si>
    <t>GO:0005886 plasma membrane,GO:0016021 integral to membrane,GO:0016020 membrane,GO:0030054 cell junction,GO:0045202 synapse,GO:0045211 postsynaptic membrane</t>
  </si>
  <si>
    <t>H300009606</t>
  </si>
  <si>
    <t>NM_002201</t>
  </si>
  <si>
    <t>ISG20</t>
  </si>
  <si>
    <t>GO:0000166 nucleotide binding,GO:0003676 nucleic acid binding,GO:0003723 RNA binding</t>
  </si>
  <si>
    <t>H300009384</t>
  </si>
  <si>
    <t>AL713965.10</t>
  </si>
  <si>
    <t>opHsV0400010258</t>
  </si>
  <si>
    <t>NM_001002255</t>
  </si>
  <si>
    <t>SUMO4</t>
  </si>
  <si>
    <t>GO:0005509 calcium ion binding,GO:0016787 hydrolase activity,GO:0004623 phospholipase A2 activity</t>
  </si>
  <si>
    <t>GO:0005515 protein binding,GO:0003700 transcription factor activity,GO:0043565 sequence-specific DNA binding,GO:0046983 protein dimerization activity</t>
  </si>
  <si>
    <t>H300017479</t>
  </si>
  <si>
    <t>NM_152626</t>
  </si>
  <si>
    <t>ZNF92</t>
  </si>
  <si>
    <t>Zinc finger protein 92 (Zinc finger protein HTF12) [Source:UniProtKB/Swiss-Prot;Acc:Q03936]</t>
  </si>
  <si>
    <t>H300005599</t>
  </si>
  <si>
    <t>NM_153607</t>
  </si>
  <si>
    <t>C5orf41</t>
  </si>
  <si>
    <t>UPF0474 protein C5orf41  [Source:UniProtKB/Swiss-Prot;Acc:Q8IUR6]</t>
  </si>
  <si>
    <t>GO:0006355 regulation of transcription, DNA-dependent</t>
  </si>
  <si>
    <t>GO:0008270 zinc ion binding,GO:0046872 metal ion binding,GO:0003700 transcription factor activity,GO:0003676 nucleic acid binding</t>
  </si>
  <si>
    <t>H200015578</t>
  </si>
  <si>
    <t>NM_030943</t>
  </si>
  <si>
    <t>AMN</t>
  </si>
  <si>
    <t>GO:0000287 magnesium ion binding,GO:0016787 hydrolase activity,GO:0008270 zinc ion binding,GO:0003824 catalytic activity,GO:0016791 phosphatase activity,GO:0004035 alkaline phosphatase activity</t>
  </si>
  <si>
    <t>GO:0005575 cellular_component,GO:0005739 mitochondrion</t>
  </si>
  <si>
    <t>GO:0016491 oxidoreductase activity</t>
  </si>
  <si>
    <t>H200014541</t>
  </si>
  <si>
    <t>NM_004810</t>
  </si>
  <si>
    <t>GRAP2</t>
  </si>
  <si>
    <t>GRB2-related adapter protein 2 (Protein GADS)(Growth factor receptor-binding protein)(GRBLG)(Grf40 adapter protein)(Grf-40)(GRB-2-like protein)(GRB2L)(GRBX)(P38)(Hematopoietic cell-associated adapter protein GrpL)(Adapter protein GRID)(SH3-SH2-SH3 adapter Mona) [Source:UniProtKB/Swiss-Prot;Acc:O75791]</t>
  </si>
  <si>
    <t>GO:0007267 cell-cell signaling,GO:0007265 Ras protein signal transduction</t>
  </si>
  <si>
    <t>GO:0005515 protein binding,GO:0005070 SH3/SH2 adaptor activity</t>
  </si>
  <si>
    <t>H200006115</t>
  </si>
  <si>
    <t>NM_000274</t>
  </si>
  <si>
    <t>OAT</t>
  </si>
  <si>
    <t>Ornithine aminotransferase, mitochondrial Precursor (EC 2.6.1.13)(Ornithine--oxo-acid aminotransferase) [Contains Ornithine aminotransferase, hepatic form;Ornithine aminotransferase, renal form] [Source:UniProtKB/Swiss-Prot;Acc:P04181]</t>
  </si>
  <si>
    <t>GO:0000287 magnesium ion binding,GO:0005515 protein binding,GO:0016787 hydrolase activity,GO:0008270 zinc ion binding,GO:0003824 catalytic activity,GO:0016791 phosphatase activity,GO:0004035 alkaline phosphatase activity</t>
  </si>
  <si>
    <t>GO:0005886 plasma membrane,GO:0016021 integral to membrane,GO:0031225 anchored to membrane</t>
  </si>
  <si>
    <t>GO:0016758 transferase activity, transferring hexosyl groups</t>
  </si>
  <si>
    <t>H300019004</t>
  </si>
  <si>
    <t>NM_002145</t>
  </si>
  <si>
    <t>HOXB2</t>
  </si>
  <si>
    <t>Homeobox protein Hox-B2 (Hox-2H)(Hox-2.8)(K8) [Source:UniProtKB/Swiss-Prot;Acc:P14652]</t>
  </si>
  <si>
    <t>GO:0006355 regulation of transcription, DNA-dependent,GO:0007275 multicellular organismal development</t>
  </si>
  <si>
    <t>H300008446</t>
  </si>
  <si>
    <t>NM_006032</t>
  </si>
  <si>
    <t>CPNE6</t>
  </si>
  <si>
    <t>Copine-6 (Copine VI)(Neuronal-copine)(N-copine) [Source:UniProtKB/Swiss-Prot;Acc:O95741]</t>
  </si>
  <si>
    <t>GO:0006629 lipid metabolic process,GO:0007399 nervous system development,GO:0007268 synaptic transmission,GO:0016192 vesicle-mediated transport</t>
  </si>
  <si>
    <t>Small ubiquitin-related modifier 4 Precursor (SUMO-4)(Small ubiquitin-like protein 4) [Source:UniProtKB/Swiss-Prot;Acc:Q6EEV6]</t>
  </si>
  <si>
    <t>GO:0006511 ubiquitin-dependent protein catabolic process,GO:0006464 protein modification process,GO:0016925 protein sumoylation</t>
  </si>
  <si>
    <t>GO:0019789 SUMO ligase activity</t>
  </si>
  <si>
    <t>GO:0006813 potassium ion transport</t>
  </si>
  <si>
    <t>GO:0005515 protein binding,GO:0005249 voltage-gated potassium channel activity</t>
  </si>
  <si>
    <t>H300002047</t>
  </si>
  <si>
    <t>NM_133433</t>
  </si>
  <si>
    <t>NIPBL</t>
  </si>
  <si>
    <t>Nipped-B-like protein (Delangin)(SCC2 homolog) [Source:UniProtKB/Swiss-Prot;Acc:Q6KC79]</t>
  </si>
  <si>
    <t>GO:0007049 cell cycle</t>
  </si>
  <si>
    <t>Tropomodulin-1 (Erythrocyte tropomodulin)(E-Tmod) [Source:UniProtKB/Swiss-Prot;Acc:P28289]</t>
  </si>
  <si>
    <t>GO:0005634 nucleus,GO:0005856 cytoskeleton,GO:0005737 cytoplasm,GO:0030016 myofibril,GO:0005634 nucleus</t>
  </si>
  <si>
    <t>GO:0016787 hydrolase activity,GO:0003824 catalytic activity</t>
  </si>
  <si>
    <t>GO:0016787 hydrolase activity,GO:0004725 protein tyrosine phosphatase activity,GO:0008138 protein tyrosine/serine/threonine phosphatase activity,GO:0016791 phosphatase activity</t>
  </si>
  <si>
    <t>GO:0005509 calcium ion binding,GO:0005215 transporter activity,GO:0008047 enzyme activator activity,GO:0008233 peptidase activity</t>
  </si>
  <si>
    <t>GO:0006811 ion transport,GO:0006816 calcium ion transport</t>
  </si>
  <si>
    <t>GO:0005975 carbohydrate metabolic process</t>
  </si>
  <si>
    <t>GO:0005515 protein binding,GO:0046872 metal ion binding,GO:0005506 iron ion binding,GO:0020037 heme binding,GO:0016491 oxidoreductase activity,GO:0019899 enzyme binding,GO:0004871 signal transducer activity,GO:0004630 phospholipase D activity,GO:0004392 heme oxygenase (decyclizing) activity,GO:0005515 protein binding,GO:0020037 heme binding,GO:0004630 phospholipase D activity</t>
  </si>
  <si>
    <t>GO:0005634 nucleus,GO:0005624 membrane fraction,GO:0005792 microsome,GO:0005829 cytosol,GO:0005783 endoplasmic reticulum,GO:0005730 nucleolus,GO:0005615 extracellular space,GO:0005829 cytosol,GO:0005634 nucleus,GO:0005730 nucleolus</t>
  </si>
  <si>
    <t>Protein amnionless Precursor  [Source:UniProtKB/Swiss-Prot;Acc:Q9BXJ7]</t>
  </si>
  <si>
    <t>GO:0008104 protein localization,GO:0007275 multicellular organismal development,GO:0007588 excretion</t>
  </si>
  <si>
    <t>GO:0016021 integral to membrane,GO:0016020 membrane,GO:0005737 cytoplasm,GO:0005794 Golgi apparatus,GO:0005730 nucleolus,GO:0045177 apical part of cell</t>
  </si>
  <si>
    <t>GO:0005575 cellular_component,GO:0016020 membrane,GO:0016021 integral to membrane</t>
  </si>
  <si>
    <t>H300013567</t>
  </si>
  <si>
    <t>NM_005086</t>
  </si>
  <si>
    <t>SSPN</t>
  </si>
  <si>
    <t>Sarcospan (K-ras oncogene-associated protein)(Kirsten-ras-associated protein) [Source:UniProtKB/Swiss-Prot;Acc:Q14714]</t>
  </si>
  <si>
    <t>GO:0007155 cell adhesion,GO:0006936 muscle contraction</t>
  </si>
  <si>
    <t>GO:0005886 plasma membrane,GO:0030054 cell junction,GO:0005887 integral to plasma membrane,GO:0045202 synapse,GO:0045211 postsynaptic membrane,GO:0030133 transport vesicle,GO:0016010 dystrophin-associated glycoprotein complex</t>
  </si>
  <si>
    <t>H200004358</t>
  </si>
  <si>
    <t>NM_001631</t>
  </si>
  <si>
    <t>ALPI</t>
  </si>
  <si>
    <t>Intestinal alkaline phosphatase Precursor (IAP)(EC 3.1.3.1) [Source:UniProtKB/Swiss-Prot;Acc:P09923]</t>
  </si>
  <si>
    <t>GO:0008152 metabolic process,GO:0016310 phosphorylation</t>
  </si>
  <si>
    <t>GO:0008285 negative regulation of cell proliferation,GO:0007243 protein kinase cascade,GO:0055114 oxidation reduction,GO:0007264 small GTPase mediated signal transduction,GO:0050896 response to stimulus,GO:0001525 angiogenesis,GO:0043123 positive regulation of I-kappaB kinase/NF-kappaB cascade,GO:0007588 excretion,GO:0006979 response to oxidative stress,GO:0045768 positive regulation of anti-apoptosis,GO:0008219 cell death,GO:0042542 response to hydrogen peroxide,GO:0008217 regulation of blood pressure,GO:0045080 positive regulation of chemokine biosynthetic process,GO:0043627 response to estrogen stimulus,GO:0008630 DNA damage response, signal transduction resulting in induction of apoptosis,GO:0001666 response to hypoxia,GO:0043433 negative regulation of transcription factor activity,GO:0045765 regulation of angiogenesis,GO:0006788 heme oxidation,GO:0031670 cellular response to nutrient,GO:0032764 negative regulation of mast cell cytokine production,GO:0042167 heme catabolic process,GO:0043305 negative regulation of mast cell degranulation,GO:0001935 endothelial cell proliferation,GO:0034383 low-density lipoprotein particle clearance,GO:0045909 positive regulation of vasodilation,GO:0034101 erythrocyte homeostasis,GO:0002246 healing during inflammatory response,GO:0002686 negative regulation of leukocyte migration,GO:0014806 smooth muscle hyperplasia,GO:0035094 response to nicotine,GO:0043619 regulation of transcription from RNA polymerase II promoter in response to oxidative stress,GO:0055072 iron ion homeostasis,GO:0001525 angiogenesis,GO:0008217 regulation of blood pressure,GO:0001666 response to hypoxia,GO:0007264 small GTPase mediated signal transduction,GO:0006979 response to oxidative stress,GO:0043627 response to estrogen stimulus,GO:0008285 negative regulation of cell proliferation,GO:0043433 negative regulation of transcription factor activity,GO:0045768 positive regulation of anti-apoptosis,GO:0008630 DNA damage response, signal transduction resulting in induction of apoptosis,GO:0043392 negative regulation of DNA binding,GO:0031670 cellular response to nutrient,GO:0032764 negative regulation of mast cell cytokine production,GO:0042167 heme catabolic process,GO:0043305 negative regulation of mast cell degranulation</t>
  </si>
  <si>
    <t>Sphingosine 1-phosphate receptor 1 (S1P receptor 1)(S1P1)(Sphingosine 1-phosphate receptor Edg-1)(S1P receptor Edg-1)(Endothelial differentiation G-protein coupled receptor 1) [Source:UniProtKB/Swiss-Prot;Acc:P21453]</t>
  </si>
  <si>
    <t>H300021939</t>
  </si>
  <si>
    <t>NM_006738;NM_006738</t>
  </si>
  <si>
    <t>AKAP13</t>
  </si>
  <si>
    <t>GO:0005634 nucleus,GO:0000775 chromosome, centromeric region</t>
  </si>
  <si>
    <t>GO:0016740 transferase activity,GO:0000166 nucleotide binding,GO:0005524 ATP binding,GO:0004674 protein serine/threonine kinase activity,GO:0004713 protein tyrosine kinase activity,GO:0004672 protein kinase activity</t>
  </si>
  <si>
    <t>GO:0043234 protein complex</t>
  </si>
  <si>
    <t>GO:0016311 dephosphorylation</t>
  </si>
  <si>
    <t>CHsGV10002519</t>
  </si>
  <si>
    <t>NM_001400.4</t>
  </si>
  <si>
    <t>S1PR1</t>
  </si>
  <si>
    <t>GO:0003677 DNA binding,GO:0030528 transcription regulator activity</t>
  </si>
  <si>
    <t>H200014282</t>
  </si>
  <si>
    <t>NM_000477</t>
  </si>
  <si>
    <t>GO:0005488 binding,GO:0003824 catalytic activity,GO:0016491 oxidoreductase activity,GO:0050662 coenzyme binding,GO:0004074 biliverdin reductase activity,GO:0042602 flavin reductase activity</t>
  </si>
  <si>
    <t>H200006276</t>
  </si>
  <si>
    <t>NM_000713</t>
  </si>
  <si>
    <t>BLVRB</t>
  </si>
  <si>
    <t>H200014949</t>
  </si>
  <si>
    <t>NM_002133</t>
  </si>
  <si>
    <t>HMOX1</t>
  </si>
  <si>
    <t>Heme oxygenase 1 (HO-1)(EC 1.14.99.3) [Source:UniProtKB/Swiss-Prot;Acc:P09601]</t>
  </si>
  <si>
    <t>GO:0004672 protein kinase activity,GO:0004674 protein serine/threonine kinase activity,GO:0004713 protein tyrosine kinase activity,GO:0005524 ATP binding</t>
  </si>
  <si>
    <t>A-kinase anchor protein 13 (AKAP 13)(Protein kinase A-anchoring protein 13)(Breast cancer nuclear receptor-binding auxiliary protein)(Human thyroid-anchoring protein 31)(Guanine nucleotide exchange factor Lbc)(AKAP-Lbc)(P47)(Lymphoid blast crisis oncogene)(LBC oncogene)(Non-oncogenic Rho GTPase-specific GTP exchange factor) [Source:UniProtKB/Swiss-Prot;Acc:Q12802]</t>
  </si>
  <si>
    <t>GO:0007242 intracellular signaling cascade,GO:0035023 regulation of Rho protein signal transduction</t>
  </si>
  <si>
    <t>GO:0005509 calcium ion binding,GO:0008270 zinc ion binding,GO:0046872 metal ion binding,GO:0005089 Rho guanyl-nucleotide exchange factor activity</t>
  </si>
  <si>
    <t>GO:0005622 intracellular,GO:0005634 nucleus</t>
  </si>
  <si>
    <t>GO:0005515 protein binding,GO:0000166 nucleotide binding,GO:0005524 ATP binding,GO:0005525 GTP binding,GO:0003924 GTPase activity,GO:0008134 transcription factor binding</t>
  </si>
  <si>
    <t>GO:0005515 protein binding,GO:0004861 cyclin-dependent protein kinase inhibitor activity,GO:0004860 protein kinase inhibitor activity</t>
  </si>
  <si>
    <t>GO:0005737 cytoplasm,GO:0005634 nucleus,GO:0005829 cytosol</t>
  </si>
  <si>
    <t>BCAR1</t>
  </si>
  <si>
    <t>Breast cancer anti-estrogen resistance protein 1 (CRK-associated substrate)(p130cas)(Cas scaffolding protein family member 1) [Source:UniProtKB/Swiss-Prot;Acc:P56945]</t>
  </si>
  <si>
    <t>GO:0005886 plasma membrane,GO:0016021 integral to membrane,GO:0016020 membrane,GO:0005783 endoplasmic reticulum,GO:0005789 endoplasmic reticulum membrane</t>
  </si>
  <si>
    <t>AHsV10003349</t>
  </si>
  <si>
    <t>NM_001457.2</t>
  </si>
  <si>
    <t>FLNB</t>
  </si>
  <si>
    <t>CHsGV10000971</t>
  </si>
  <si>
    <t>NM_004064.3</t>
  </si>
  <si>
    <t>CDKN1B</t>
  </si>
  <si>
    <t>Cyclin-dependent kinase inhibitor 1B (Cyclin-dependent kinase inhibitor p27)(p27Kip1) [Source:UniProtKB/Swiss-Prot;Acc:P46527]</t>
  </si>
  <si>
    <t>GO:0001525 angiogenesis,GO:0045944 positive regulation of transcription from RNA polymerase II promoter,GO:0007186 G-protein coupled receptor protein signaling pathway,GO:0048661 positive regulation of smooth muscle cell proliferation,GO:0050927 positive regulation of positive chemotaxis,GO:0030335 positive regulation of cell migration,GO:0007420 brain development,GO:0007165 signal transduction,GO:0030155 regulation of cell adhesion,GO:0051497 negative regulation of stress fiber formation,GO:0007193 inhibition of adenylate cyclase activity by G-protein signaling,GO:0019226 transmission of nerve impulse,GO:0045446 endothelial cell differentiation,GO:0030182 neuron differentiation,GO:0032320 positive regulation of Ras GTPase activity</t>
  </si>
  <si>
    <t>GO:0004872 receptor activity,GO:0004930 G-protein coupled receptor activity,GO:0001619 lysosphingolipid and lysophosphatidic acid receptor activity,GO:0004983 neuropeptide Y receptor activity,GO:0004977 melanocortin receptor activity,GO:0004949 cannabinoid receptor activity,GO:0046625 sphingolipid binding</t>
  </si>
  <si>
    <t>GO:0016021 integral to membrane,GO:0005886 plasma membrane,GO:0009897 external side of plasma membrane</t>
  </si>
  <si>
    <t>GO:0003677 DNA binding,GO:0003676 nucleic acid binding</t>
  </si>
  <si>
    <t>Core-binding factor subunit beta (CBF-beta)(Polyomavirus enhancer-binding protein 2 beta subunit)(PEBP2-beta)(PEA2-beta)(SL3-3 enhancer factor 1 subunit beta)(SL3/AKV core-binding factor beta subunit) [Source:UniProtKB/Swiss-Prot;Acc:Q13951]</t>
  </si>
  <si>
    <t>GO:0006366 transcription from RNA polymerase II promoter,GO:0008150 biological_process</t>
  </si>
  <si>
    <t>GO:0005515 protein binding,GO:0003700 transcription factor activity,GO:0003674 molecular_function,GO:0003702 RNA polymerase II transcription factor activity,GO:0003713 transcription coactivator activity</t>
  </si>
  <si>
    <t>GO:0005634 nucleus,GO:0005575 cellular_component</t>
  </si>
  <si>
    <t>H200019654</t>
  </si>
  <si>
    <t>NM_032641</t>
  </si>
  <si>
    <t>SPSB2</t>
  </si>
  <si>
    <t>SPRY domain-containing SOCS box protein 2 (SSB-2)(Gene-rich cluster protein C9) [Source:UniProtKB/Swiss-Prot;Acc:Q99619]</t>
  </si>
  <si>
    <t>GO:0006511 ubiquitin-dependent protein catabolic process,GO:0008150 biological_process,GO:0007242 intracellular signaling cascade</t>
  </si>
  <si>
    <t>GO:0005634 nucleus,GO:0005667 transcription factor complex</t>
  </si>
  <si>
    <t>H200008385</t>
  </si>
  <si>
    <t>NM_001755</t>
  </si>
  <si>
    <t>CBFB</t>
  </si>
  <si>
    <t>Flavin reductase (FR)(EC 1.5.1.30)(NADPH-dependent diaphorase)(NADPH-flavin reductase)(FLR)(Biliverdin reductase B)(BVR-B)(EC 1.3.1.24)(Biliverdin-IX beta-reductase)(Green heme-binding protein)(GHBP) [Source:UniProtKB/Swiss-Prot;Acc:P30043]</t>
  </si>
  <si>
    <t>GO:0008152 metabolic process,GO:0055114 oxidation reduction,GO:0044237 cellular metabolic process</t>
  </si>
  <si>
    <t>Filamin-B (FLN-B)(Beta-filamin)(Actin-binding-like protein)(Thyroid autoantigen)(Truncated actin-binding protein)(Truncated ABP)(ABP-280 homolog)(ABP-278)(Filamin 3)(Filamin homolog 1)(Fh1) [Source:UniProtKB/Swiss-Prot;Acc:O75369]</t>
  </si>
  <si>
    <t>GO:0007016 cytoskeletal anchoring at plasma membrane,GO:0007165 signal transduction,GO:0007275 multicellular organismal development,GO:0007517 muscle organ development,GO:0030036 actin cytoskeleton organization,GO:0030154 cell differentiation</t>
  </si>
  <si>
    <t>GO:0003779 actin binding,GO:0005515 protein binding</t>
  </si>
  <si>
    <t>GO:0005634 nucleus,GO:0005737 cytoplasm,GO:0015629 actin cytoskeleton,GO:0016021 integral to membrane</t>
  </si>
  <si>
    <t>GO:0004872 receptor activity,GO:0004930 G-protein coupled receptor activity,GO:0015520 tetracycline:hydrogen antiporter activity,GO:0004945 angiotensin type II receptor activity,GO:0015057 thrombin receptor activity,GO:0016493 C-C chemokine receptor activity,GO:0016494 C-X-C chemokine receptor activity,GO:0031727 CCR2 chemokine receptor binding</t>
  </si>
  <si>
    <t>GO:0005886 plasma membrane,GO:0016021 integral to membrane,GO:0005737 cytoplasm,GO:0005887 integral to plasma membrane,GO:0005625 soluble fraction</t>
  </si>
  <si>
    <t>GO:0005622 intracellular,GO:0005737 cytoplasm</t>
  </si>
  <si>
    <t>GO:0005515 protein binding,GO:0004872 receptor activity</t>
  </si>
  <si>
    <t>GO:0016021 integral to membrane,GO:0016020 membrane,GO:0005739 mitochondrion,GO:0005743 mitochondrial inner membrane</t>
  </si>
  <si>
    <t>C-C chemokine receptor type 2 (C-C CKR-2)(CC-CKR-2)(CCR-2)(CCR2)(Monocyte chemoattractant protein 1 receptor)(MCP-1-R)(CD192 antigen) [Source:UniProtKB/Swiss-Prot;Acc:P41597]</t>
  </si>
  <si>
    <t>GO:0007050 cell cycle arrest,GO:0030308 negative regulation of cell growth,GO:0000082 G1/S transition of mitotic cell cycle,GO:0042326 negative regulation of phosphorylation,GO:0000079 regulation of cyclin-dependent protein kinase activity,GO:0006917 induction of apoptosis,GO:0048102 autophagic cell death,GO:0008285 negative regulation of cell proliferation,GO:0007049 cell cycle,GO:0032582 negative regulation of gene-specific transcription,GO:0033673 negative regulation of kinase activity</t>
  </si>
  <si>
    <t>AHsV10003074</t>
  </si>
  <si>
    <t>NM_130842.2</t>
  </si>
  <si>
    <t>PTPRN2</t>
  </si>
  <si>
    <t>Receptor-type tyrosine-protein phosphatase N2 Precursor (R-PTP-N2)(EC 3.1.3.48)(Islet cell autoantigen-related protein)(ICAAR)(IAR)(Phogrin) [Source:UniProtKB/Swiss-Prot;Acc:Q92932]</t>
  </si>
  <si>
    <t>GO:0004725 protein tyrosine phosphatase activity,GO:0016791 phosphatase activity</t>
  </si>
  <si>
    <t>GO:0006750 glutathione biosynthetic process</t>
  </si>
  <si>
    <t>NM_001629</t>
  </si>
  <si>
    <t>ALOX5AP</t>
  </si>
  <si>
    <t>Arachidonate 5-lipoxygenase-activating protein (FLAP)(MK-886-binding protein) [Source:UniProtKB/Swiss-Prot;Acc:P20292]</t>
  </si>
  <si>
    <t>GO:0006954 inflammatory response,GO:0019370 leukotriene biosynthetic process,GO:0006691 leukotriene metabolic process</t>
  </si>
  <si>
    <t>GO:0005488 binding,GO:0008047 enzyme activator activity</t>
  </si>
  <si>
    <t>GO:0005634 nucleus,GO:0005737 cytoplasm,GO:0005829 cytosol</t>
  </si>
  <si>
    <t>opHsV0400005780</t>
  </si>
  <si>
    <t>RP3-423B22.5</t>
  </si>
  <si>
    <t>H200000107</t>
  </si>
  <si>
    <t>NM_001123041</t>
  </si>
  <si>
    <t>AC098613.2</t>
  </si>
  <si>
    <t>GO:0000785 chromatin,GO:0005634 nucleus</t>
  </si>
  <si>
    <t>GO:0005856 cytoskeleton</t>
  </si>
  <si>
    <t>GO:0008152 metabolic process,GO:0006508 proteolysis</t>
  </si>
  <si>
    <t>GO:0005524 ATP binding,GO:0050897 cobalt ion binding,GO:0016887 ATPase activity,GO:0031419 cobalamin binding,GO:0015087 cobalt ion transmembrane transporter activity</t>
  </si>
  <si>
    <t>GO:0005576 extracellular region,GO:0005578 proteinaceous extracellular matrix</t>
  </si>
  <si>
    <t>GO:0008270 zinc ion binding,GO:0046872 metal ion binding</t>
  </si>
  <si>
    <t>GO:0046872 metal ion binding,GO:0005506 iron ion binding,GO:0020037 heme binding,GO:0019825 oxygen binding,GO:0005344 oxygen transporter activity</t>
  </si>
  <si>
    <t>AHsV10002245</t>
  </si>
  <si>
    <t>NM_004348.3</t>
  </si>
  <si>
    <t>RUNX2</t>
  </si>
  <si>
    <t xml:space="preserve">Runt-related transcription factor 2 (Core-binding factor subunit alpha-1)(CBF-alpha-1)(Acute myeloid leukemia 3 protein)(Oncogene AML-3)(Polyomavirus enhancer-binding protein 2 alpha A subunit)(PEBP2-alpha A)(PEA2-alpha A)(SL3-3 enhancer factor 1 alpha A </t>
  </si>
  <si>
    <t>GO:0006355 regulation of transcription, DNA-dependent,GO:0045449 regulation of transcription,GO:0042309 homoiothermy,GO:0050826 response to freezing</t>
  </si>
  <si>
    <t>GO:0003677 DNA binding,GO:0003700 transcription factor activity,GO:0005524 ATP binding,GO:0050825 ice binding</t>
  </si>
  <si>
    <t>GO:0008152 metabolic process</t>
  </si>
  <si>
    <t>DHsGV10001310</t>
  </si>
  <si>
    <t>GO:0005515 protein binding,GO:0005096 GTPase activator activity</t>
  </si>
  <si>
    <t>Chromodomain-helicase-DNA-binding protein 4 (CHD-4)(EC 3.6.1.-)(ATP-dependent helicase CHD4)(Mi-2 autoantigen 218 kDa protein)(Mi2-beta) [Source:UniProtKB/Swiss-Prot;Acc:Q14839]</t>
  </si>
  <si>
    <t>GO:0006333 chromatin assembly or disassembly,GO:0006357 regulation of transcription from RNA polymerase II promoter,GO:0007242 intracellular signaling cascade,GO:0016568 chromatin modification,GO:0045449 regulation of transcription</t>
  </si>
  <si>
    <t>GO:0000166 nucleotide binding,GO:0003676 nucleic acid binding,GO:0003677 DNA binding,GO:0003682 chromatin binding,GO:0004003 ATP-dependent DNA helicase activity,GO:0004386 helicase activity,GO:0005515 protein binding,GO:0005524 ATP binding,GO:0008026 ATP-</t>
  </si>
  <si>
    <t>GO:0006811 ion transport,GO:0006813 potassium ion transport,GO:0015672 monovalent inorganic cation transport</t>
  </si>
  <si>
    <t>GO:0005267 potassium channel activity,GO:0030955 potassium ion binding,GO:0005261 cation channel activity</t>
  </si>
  <si>
    <t>H200020465</t>
  </si>
  <si>
    <t>NM_001035254;NM_001035254;NM_203305;NM_203305</t>
  </si>
  <si>
    <t>FAM102A</t>
  </si>
  <si>
    <t>Protein FAM102A (Early estrogen-induced gene 1 protein) [Source:UniProtKB/Swiss-Prot;Acc:Q5T9C2]</t>
  </si>
  <si>
    <t>GO:0006954 inflammatory response,GO:0007165 signal transduction,GO:0007186 G-protein coupled receptor protein signaling pathway,GO:0006955 immune response,GO:0006968 cellular defense response,GO:0044419 interspecies interaction between organisms,GO:0006935 chemotaxis,GO:0046677 response to antibiotic,GO:0019221 cytokine and chemokine mediated signaling pathway,GO:0015904 tetracycline transport,GO:0007259 JAK-STAT cascade,GO:0007204 elevation of cytosolic calcium ion concentration,GO:0007194 negative regulation of adenylate cyclase activity</t>
  </si>
  <si>
    <t>DHsGV10000273</t>
  </si>
  <si>
    <t>H200000515</t>
  </si>
  <si>
    <t>NM_001062</t>
  </si>
  <si>
    <t>TCN1</t>
  </si>
  <si>
    <t>Transcobalamin-1 Precursor (Transcobalamin I)(TC I)(TCI) [Source:UniProtKB/Swiss-Prot;Acc:P20061]</t>
  </si>
  <si>
    <t>GO:0006811 ion transport,GO:0006824 cobalt ion transport,GO:0015889 cobalamin transport</t>
  </si>
  <si>
    <t>GO:0005886 plasma membrane,GO:0016021 integral to membrane,GO:0005576 extracellular region</t>
  </si>
  <si>
    <t>H200011059</t>
  </si>
  <si>
    <t>GO:0008284 positive regulation of cell proliferation,GO:0007275 multicellular organismal development,GO:0045944 positive regulation of transcription from RNA polymerase II promoter,GO:0033138 positive regulation of peptidyl-serine phosphorylation,GO:0050731 positive regulation of peptidyl-tyrosine phosphorylation,GO:0043410 positive regulation of MAPKKK cascade,GO:0006955 immune response,GO:0045651 positive regulation of macrophage differentiation,GO:0048861 leukemia inhibitory factor signaling pathway,GO:0042517 positive regulation of tyrosine phosphorylation of Stat3 protein,GO:0046888 negative regulation of hormone secretion,GO:0008284 positive regulation of cell proliferation,GO:0019827 stem cell maintenance,GO:0048666 neuron development,GO:0007566 embryo implantation,GO:0048644 muscle organ morphogenesis,GO:0046697 decidualization,GO:0042503 tyrosine phosphorylation of Stat3 protein,GO:0045835 negative regulation of meiosis,GO:0060135 maternal process involved in female pregnancy,GO:0031100 organ regeneration</t>
  </si>
  <si>
    <t>GO:0008083 growth factor activity,GO:0005125 cytokine activity,GO:0005146 leukemia inhibitory factor receptor binding,GO:0008083 growth factor activity</t>
  </si>
  <si>
    <t>GO:0005615 extracellular space,GO:0005576 extracellular region</t>
  </si>
  <si>
    <t>AHsV10003581</t>
  </si>
  <si>
    <t>NM_001273.2</t>
  </si>
  <si>
    <t>CHD4</t>
  </si>
  <si>
    <t>CHsGV10000250</t>
  </si>
  <si>
    <t>NM_002309.3</t>
  </si>
  <si>
    <t>LIF</t>
  </si>
  <si>
    <t>Leukemia inhibitory factor Precursor (LIF)(Differentiation-stimulating factor)(D factor)(Melanoma-derived LPL inhibitor)(MLPLI)(Emfilermin) [Source:UniProtKB/Swiss-Prot;Acc:P15018]</t>
  </si>
  <si>
    <t>GO:0016021 integral to membrane,GO:0005634 nucleus</t>
  </si>
  <si>
    <t>Protein eyes shut homolog Precursor (Protein spacemaker homolog)(EGF-like domain-containing protein 10)(EGF-like domain-containing protein 11) [Source:UniProtKB/Swiss-Prot;Acc:Q5T1H1]</t>
  </si>
  <si>
    <t>GO:0003677 DNA binding,GO:0005515 protein binding,GO:0003690 double-stranded DNA binding,GO:0016564 transcription repressor activity</t>
  </si>
  <si>
    <t>GO:0007601 visual perception</t>
  </si>
  <si>
    <t>GO:0005488 binding,GO:0005529 sugar binding</t>
  </si>
  <si>
    <t>Gamma-interferon-inducible protein Ifi-16 (Interferon-inducible myeloid differentiation transcriptional activator)(IFI 16) [Source:UniProtKB/Swiss-Prot;Acc:Q16666]</t>
  </si>
  <si>
    <t>GO:0005634 nucleus,GO:0005737 cytoplasm,GO:0005730 nucleolus,GO:0005654 nucleoplasm</t>
  </si>
  <si>
    <t>AHsV10003044</t>
  </si>
  <si>
    <t>NM_004346.3</t>
  </si>
  <si>
    <t>CASP3</t>
  </si>
  <si>
    <t>Caspase-3 Precursor (CASP-3)(EC 3.4.22.56)(Apopain)(Cysteine protease CPP32)(CPP-32)(Yama protein)(SREBP cleavage activity 1)(SCA-1) [Contains Caspase-3 subunit p17;Caspase-3 subunit p12] [Source:UniProtKB/Swiss-Prot;Acc:P42574]</t>
  </si>
  <si>
    <t>GO:0001782 B cell homeostasis,GO:0001836 release of cytochrome c from mitochondria,GO:0006309 DNA fragmentation involved in apoptosis,GO:0006508 proteolysis,GO:0006915 apoptosis,GO:0006974 response to DNA damage stimulus,GO:0007507 heart development,GO:00</t>
  </si>
  <si>
    <t>GO:0005634 nucleus,GO:0005654 nucleoplasm,GO:0005737 cytoplasm,GO:0005739 mitochondrion,GO:0005829 cytosol,GO:0005886 plasma membrane</t>
  </si>
  <si>
    <t>GO:0008270 zinc ion binding,GO:0046872 metal ion binding,GO:0003676 nucleic acid binding</t>
  </si>
  <si>
    <t>GO:0016020 membrane,GO:0005887 integral to plasma membrane</t>
  </si>
  <si>
    <t>H300020876</t>
  </si>
  <si>
    <t>GO:0006350 transcription,GO:0006355 regulation of transcription, DNA-dependent,GO:0008283 cell proliferation,GO:0042771 DNA damage response, signal transduction by p53 class mediator resulting in induction of apoptosis,GO:0009615 response to virus,GO:0030224 monocyte differentiation,GO:0030099 myeloid cell differentiation</t>
  </si>
  <si>
    <t>GO:0004197 cysteine-type endopeptidase activity,GO:0004861 cyclin-dependent protein kinase inhibitor activity,GO:0005515 protein binding,GO:0008233 peptidase activity,GO:0008234 cysteine-type peptidase activity</t>
  </si>
  <si>
    <t>CHsGV10000932</t>
  </si>
  <si>
    <t>NM_002306.2;NR_003225.1</t>
  </si>
  <si>
    <t>LGALS3</t>
  </si>
  <si>
    <t>GO:0005737 cytoplasm,GO:0005634 nucleus,GO:0016021 integral to membrane,GO:0005886 plasma membrane,GO:0005578 proteinaceous extracellular matrix,GO:0005634 nucleus,GO:0005737 cytoplasm,GO:0005578 proteinaceous extracellular matrix</t>
  </si>
  <si>
    <t>GO:0016021 integral to membrane,GO:0005886 plasma membrane</t>
  </si>
  <si>
    <t>GO:0005488 binding</t>
  </si>
  <si>
    <t>H200007913</t>
  </si>
  <si>
    <t>GLUL</t>
  </si>
  <si>
    <t>GO:0005515 protein binding,GO:0003779 actin binding</t>
  </si>
  <si>
    <t>GO:0006810 transport,GO:0022900 electron transport chain</t>
  </si>
  <si>
    <t>Glutamine synthetase (GS)(EC 6.3.1.2)(Glutamate--ammonia ligase) [Source:UniProtKB/Swiss-Prot;Acc:P15104]</t>
  </si>
  <si>
    <t>GO:0009749 response to glucose stimulus,GO:0006807 nitrogen compound metabolic process,GO:0006542 glutamine biosynthetic process</t>
  </si>
  <si>
    <t>GO:0016874 ligase activity,GO:0004356 glutamate-ammonia ligase activity</t>
  </si>
  <si>
    <t>GO:0005622 intracellular,GO:0005737 cytoplasm,GO:0005794 Golgi apparatus,GO:0005739 mitochondrion</t>
  </si>
  <si>
    <t>GO:0007186 G-protein coupled receptor protein signaling pathway,GO:0001501 skeletal system development,GO:0030154 cell differentiation,GO:0030198 extracellular matrix organization,GO:0001501 skeletal system development,GO:0030198 extracellular matrix organization</t>
  </si>
  <si>
    <t>GO:0005515 protein binding,GO:0005529 sugar binding,GO:0019863 IgE binding,GO:0005515 protein binding</t>
  </si>
  <si>
    <t>GO:0006508 proteolysis,GO:0007586 digestion</t>
  </si>
  <si>
    <t>GO:0016020 membrane,GO:0005739 mitochondrion,GO:0005743 mitochondrial inner membrane</t>
  </si>
  <si>
    <t>H200003837</t>
  </si>
  <si>
    <t>NM_181657;NM_181657</t>
  </si>
  <si>
    <t>LTB4R</t>
  </si>
  <si>
    <t>Leukotriene B4 receptor 1 (LTB4-R 1)(P2Y purinoceptor 7)(P2Y7)(Chemoattractant receptor-like 1)(G-protein coupled receptor 16) [Source:UniProtKB/Swiss-Prot;Acc:Q15722]</t>
  </si>
  <si>
    <t>CHsGV10002648</t>
  </si>
  <si>
    <t>NM_001001827.1</t>
  </si>
  <si>
    <t>OR2T35</t>
  </si>
  <si>
    <t>GO:0003677 DNA binding,GO:0003700 transcription factor activity,GO:0043565 sequence-specific DNA binding</t>
  </si>
  <si>
    <t>NM_005531;NM_005531;NM_005531;NM_005531;NM_005531;NM_005531</t>
  </si>
  <si>
    <t>IFI16</t>
  </si>
  <si>
    <t>GO:0005515 protein binding,GO:0005198 structural molecule activity</t>
  </si>
  <si>
    <t>GO:0016021 integral to membrane,GO:0016020 membrane,GO:0005887 integral to plasma membrane</t>
  </si>
  <si>
    <t>GO:0003677 DNA binding,GO:0008270 zinc ion binding,GO:0003676 nucleic acid binding</t>
  </si>
  <si>
    <t>GO:0005515 protein binding,GO:0019901 protein kinase binding,GO:0004861 cyclin-dependent protein kinase inhibitor activity</t>
  </si>
  <si>
    <t>GO:0006954 inflammatory response,GO:0007165 signal transduction,GO:0007186 G-protein coupled receptor protein signaling pathway,GO:0006955 immune response,GO:0006936 muscle contraction,GO:0006928 cell motion,GO:0007200 G-protein signaling, coupled to IP3 second messenger (phospholipase C activating)</t>
  </si>
  <si>
    <t>GO:0000166 nucleotide binding,GO:0004872 receptor activity,GO:0045028 purinergic nucleotide receptor activity, G-protein coupled,GO:0004982 N-formyl peptide receptor activity,GO:0004945 angiotensin type II receptor activity,GO:0004966 galanin receptor activity,GO:0001632 leukotriene B4 receptor activity,GO:0004974 leukotriene receptor activity</t>
  </si>
  <si>
    <t>GO:0004930 G-protein coupled receptor activity,GO:0004984 olfactory receptor activity,GO:0004977 melanocortin receptor activity</t>
  </si>
  <si>
    <t>GO:0005515 protein binding,GO:0000166 nucleotide binding,GO:0005525 GTP binding,GO:0003924 GTPase activity,GO:0004871 signal transducer activity,GO:0019001 guanyl nucleotide binding</t>
  </si>
  <si>
    <t>GO:0005622 intracellular,GO:0005737 cytoplasm,GO:0005794 Golgi apparatus</t>
  </si>
  <si>
    <t>GO:0005515 protein binding,GO:0008270 zinc ion binding,GO:0046872 metal ion binding,GO:0016874 ligase activity</t>
  </si>
  <si>
    <t>AHsV10002818</t>
  </si>
  <si>
    <t>NM_005165.2</t>
  </si>
  <si>
    <t>ALDOC</t>
  </si>
  <si>
    <t>GO:0005739 mitochondrion,GO:0005856 cytoskeleton</t>
  </si>
  <si>
    <t>GO:0007155 cell adhesion,GO:0007229 integrin-mediated signaling pathway</t>
  </si>
  <si>
    <t>Galectin-3 (Galactose-specific lectin 3)(Mac-2 antigen)(IgE-binding protein)(35 kDa lectin)(Carbohydrate-binding protein 35)(CBP 35)(Laminin-binding protein)(Lectin L-29)(L-31)(Galactoside-binding protein)(GALBP) [Source:UniProtKB/Swiss-Prot;Acc:P17931]</t>
  </si>
  <si>
    <t>H200005866</t>
  </si>
  <si>
    <t>NM_006496</t>
  </si>
  <si>
    <t>GNAI3</t>
  </si>
  <si>
    <t>Guanine nucleotide-binding protein G(k) subunit alpha (G(i) alpha-3) [Source:UniProtKB/Swiss-Prot;Acc:P08754]</t>
  </si>
  <si>
    <t>GO:0007165 signal transduction,GO:0007186 G-protein coupled receptor protein signaling pathway,GO:0006810 transport,GO:0007264 small GTPase mediated signal transduction,GO:0007194 negative regulation of adenylate cyclase activity</t>
  </si>
  <si>
    <t>GO:0007165 signal transduction,GO:0007186 G-protein coupled receptor protein signaling pathway</t>
  </si>
  <si>
    <t>AHsV10003223</t>
  </si>
  <si>
    <t>NM_004546.2</t>
  </si>
  <si>
    <t>NDUFB2</t>
  </si>
  <si>
    <t>NADH dehydrogenase [ubiquinone] 1 beta subcomplex subunit 2, mitochondrial Precursor (NADH-ubiquinone oxidoreductase AGGG subunit)(Complex I-AGGG)(CI-AGGG) [Source:UniProtKB/Swiss-Prot;Acc:O95178]</t>
  </si>
  <si>
    <t>GO:0006120 mitochondrial electron transport, NADH to ubiquinone,GO:0006810 transport,GO:0022900 electron transport chain</t>
  </si>
  <si>
    <t>GO:0008137 NADH dehydrogenase (ubiquinone) activity</t>
  </si>
  <si>
    <t>GO:0005739 mitochondrion,GO:0005743 mitochondrial inner membrane,GO:0005747 mitochondrial respiratory chain complex I,GO:0016020 membrane,GO:0070469 respiratory chain</t>
  </si>
  <si>
    <t>Fructose-bisphosphate aldolase C (EC 4.1.2.13)(Brain-type aldolase) [Source:UniProtKB/Swiss-Prot;Acc:P09972]</t>
  </si>
  <si>
    <t>GO:0006096 glycolysis,GO:0008152 metabolic process,GO:0030388 fructose 1,6-bisphosphate metabolic process</t>
  </si>
  <si>
    <t>GO:0004332 fructose-bisphosphate aldolase activity,GO:0008092 cytoskeletal protein binding,GO:0016829 lyase activity</t>
  </si>
  <si>
    <t>Integrin alpha-IIb Precursor (Platelet membrane glycoprotein IIb)(GPalpha IIb)(GPIIb)(CD41 antigen) [Contains Integrin alpha-IIb heavy chain;Integrin alpha-IIb light chain, form 1;Integrin alpha-IIb light chain, form 2] [Source:UniProtKB/Swiss-Prot;Acc:P0</t>
  </si>
  <si>
    <t>Olfactory receptor 2T35 (Olfactory receptor OR1-66) [Source:UniProtKB/Swiss-Prot;Acc:Q8NGX2]</t>
  </si>
  <si>
    <t>GO:0007186 G-protein coupled receptor protein signaling pathway,GO:0007608 sensory perception of smell,GO:0007165 signal transduction,GO:0050896 response to stimulus</t>
  </si>
  <si>
    <t>GO:0005515 protein binding,GO:0016491 oxidoreductase activity,GO:0046914 transition metal ion binding,GO:0004322 ferroxidase activity,GO:0008199 ferric iron binding</t>
  </si>
  <si>
    <t>GO:0008043 ferritin complex</t>
  </si>
  <si>
    <t>GO:0005634 nucleus,GO:0005635 nuclear envelope</t>
  </si>
  <si>
    <t>GO:0008233 peptidase activity,GO:0004190 aspartic-type endopeptidase activity</t>
  </si>
  <si>
    <t>GO:0005886 plasma membrane,GO:0016021 integral to membrane,GO:0016020 membrane,GO:0005887 integral to plasma membrane</t>
  </si>
  <si>
    <t>AHsV10002402</t>
  </si>
  <si>
    <t>NM_000419.3</t>
  </si>
  <si>
    <t>ITGA2B</t>
  </si>
  <si>
    <t>GO:0005634 nucleus,GO:0005643 nuclear pore,GO:0005737 cytoplasm</t>
  </si>
  <si>
    <t>H200005505</t>
  </si>
  <si>
    <t>NM_002032</t>
  </si>
  <si>
    <t>FTH1</t>
  </si>
  <si>
    <t>Ferritin heavy chain (Ferritin H subunit)(EC 1.16.3.1)(Cell proliferation-inducing gene 15 protein) [Source:UniProtKB/Swiss-Prot;Acc:P02794]</t>
  </si>
  <si>
    <t>GO:0015031 protein transport</t>
  </si>
  <si>
    <t>NM_015621</t>
  </si>
  <si>
    <t>CCDC69</t>
  </si>
  <si>
    <t>Coiled-coil domain-containing protein 69  [Source:UniProtKB/Swiss-Prot;Acc:A6NI79]</t>
  </si>
  <si>
    <t>GO:0016021 integral to membrane,GO:0016020 membrane,GO:0005576 extracellular region</t>
  </si>
  <si>
    <t>AHsV10003331</t>
  </si>
  <si>
    <t>NM_004330.2</t>
  </si>
  <si>
    <t>BNIP2</t>
  </si>
  <si>
    <t>BCL2/adenovirus E1B 19 kDa protein-interacting protein 2  [Source:UniProtKB/Swiss-Prot;Acc:Q12982]</t>
  </si>
  <si>
    <t>GO:0006915 apoptosis,GO:0006916 anti-apoptosis</t>
  </si>
  <si>
    <t>GO:0004896 hematopoietin/interferon-class (D200-domain) cytokine receptor activity</t>
  </si>
  <si>
    <t>GO:0009058 biosynthetic process,GO:0015937 coenzyme A biosynthetic process</t>
  </si>
  <si>
    <t>GO:0016740 transferase activity,GO:0000166 nucleotide binding,GO:0005524 ATP binding,GO:0003824 catalytic activity,GO:0016779 nucleotidyltransferase activity,GO:0004140 dephospho-CoA kinase activity,GO:0004595 pantetheine-phosphate adenylyltransferase activity</t>
  </si>
  <si>
    <t>GO:0005515 protein binding,GO:0000166 nucleotide binding,GO:0005525 GTP binding,GO:0003924 GTPase activity</t>
  </si>
  <si>
    <t>GO:0004872 receptor activity,GO:0005509 calcium ion binding,GO:0042802 identical protein binding</t>
  </si>
  <si>
    <t>GO:0005886 plasma membrane,GO:0008305 integrin complex,GO:0031092 platelet alpha granule membrane</t>
  </si>
  <si>
    <t>GO:0005215 transporter activity</t>
  </si>
  <si>
    <t>GO:0005886 plasma membrane,GO:0016021 integral to membrane,GO:0005575 cellular_component</t>
  </si>
  <si>
    <t>GO:0005096 GTPase activator activity,GO:0005509 calcium ion binding,GO:0005515 protein binding</t>
  </si>
  <si>
    <t>GO:0005635 nuclear envelope,GO:0005737 cytoplasm,GO:0043231 intracellular membrane-bounded organelle</t>
  </si>
  <si>
    <t>GO:0016021 integral to membrane,GO:0016020 membrane,GO:0005794 Golgi apparatus</t>
  </si>
  <si>
    <t>AHsV10002660</t>
  </si>
  <si>
    <t>NM_003037.2</t>
  </si>
  <si>
    <t>SLAMF1</t>
  </si>
  <si>
    <t>Signaling lymphocytic activation molecule Precursor (IPO-3)(CDw150)(CD150 antigen) [Source:UniProtKB/Swiss-Prot;Acc:Q13291]</t>
  </si>
  <si>
    <t>GO:0008284 positive regulation of cell proliferation,GO:0044419 interspecies interaction between organisms,GO:0046649 lymphocyte activation</t>
  </si>
  <si>
    <t>GO:0003823 antigen binding,GO:0004872 receptor activity,GO:0004888 transmembrane receptor activity</t>
  </si>
  <si>
    <t>GO:0005886 plasma membrane,GO:0009986 cell surface,GO:0016021 integral to membrane</t>
  </si>
  <si>
    <t>GO:0007165 signal transduction,GO:0006511 ubiquitin-dependent protein catabolic process,GO:0015031 protein transport,GO:0007242 intracellular signaling cascade,GO:0007264 small GTPase mediated signal transduction,GO:0006886 intracellular protein transport,GO:0006913 nucleocytoplasmic transport</t>
  </si>
  <si>
    <t>GO:0008270 zinc ion binding,GO:0046872 metal ion binding,GO:0003700 transcription factor activity,GO:0043565 sequence-specific DNA binding</t>
  </si>
  <si>
    <t>H200009684</t>
  </si>
  <si>
    <t>NM_025233</t>
  </si>
  <si>
    <t>COASY</t>
  </si>
  <si>
    <t>Bifunctional coenzyme A synthase (CoA synthase)(NBP)(POV-2) [Includes Phosphopantetheine adenylyltransferase(EC 2.7.7.3)(Pantetheine-phosphate adenylyltransferase)(PPAT)(Dephospho-CoA pyrophosphorylase);Dephospho-CoA kinase(DPCK)(EC 2.7.1.24)(Dephosphocoenzyme A kinase)(DPCOAK)] [Source:UniProtKB/Swiss-Prot;Acc:Q13057]</t>
  </si>
  <si>
    <t>GO:0008285 negative regulation of cell proliferation,GO:0055114 oxidation reduction,GO:0006955 immune response,GO:0006879 cellular iron ion homeostasis,GO:0006826 iron ion transport,GO:0006880 intracellular sequestering of iron ion</t>
  </si>
  <si>
    <t>GO:0005524 ATP binding,GO:0003824 catalytic activity,GO:0005388 calcium-transporting ATPase activity,GO:0016820 hydrolase activity, acting on acid anhydrides, catalyzing transmembrane movement of substances,GO:0015662 ATPase activity, coupled to transmembrane movement of ions, phosphorylative mechanism,GO:0015085 calcium ion transmembrane transporter activity</t>
  </si>
  <si>
    <t>GO:0045449 regulation of transcription</t>
  </si>
  <si>
    <t>GO:0030528 transcription regulator activity</t>
  </si>
  <si>
    <t>GO:0008152 metabolic process,GO:0006812 cation transport,GO:0006816 calcium ion transport,GO:0006754 ATP biosynthetic process</t>
  </si>
  <si>
    <t>GO:0015629 actin cytoskeleton</t>
  </si>
  <si>
    <t>GO:0005102 receptor binding</t>
  </si>
  <si>
    <t>GO:0005886 plasma membrane,GO:0031225 anchored to membrane</t>
  </si>
  <si>
    <t>AHsV10001329</t>
  </si>
  <si>
    <t>NM_015002.2</t>
  </si>
  <si>
    <t>FBXO21</t>
  </si>
  <si>
    <t>F-box only protein 21  [Source:UniProtKB/Swiss-Prot;Acc:O94952]</t>
  </si>
  <si>
    <t>H200013994</t>
  </si>
  <si>
    <t>NM_002613;NM_002613</t>
  </si>
  <si>
    <t>PDPK1</t>
  </si>
  <si>
    <t>3-phosphoinositide-dependent protein kinase 1 (hPDK1)(EC 2.7.11.1) [Source:UniProtKB/Swiss-Prot;Acc:O15530]</t>
  </si>
  <si>
    <t>GO:0005524 ATP binding,GO:0004674 protein serine/threonine kinase activity,GO:0004713 protein tyrosine kinase activity,GO:0004672 protein kinase activity</t>
  </si>
  <si>
    <t>GO:0008201 heparin binding,GO:0004867 serine-type endopeptidase inhibitor activity</t>
  </si>
  <si>
    <t>H200000628</t>
  </si>
  <si>
    <t>NM_033292;NM_033292;NM_033295;NM_033295</t>
  </si>
  <si>
    <t>CASP1</t>
  </si>
  <si>
    <t>Caspase-1 Precursor (CASP-1)(EC 3.4.22.36)(Interleukin-1 beta convertase)(IL-1BC)(Interleukin-1 beta-converting enzyme)(IL-1 beta-converting enzyme)(ICE)(p45) [Contains Caspase-1 subunit p20;Caspase-1 subunit p10] [Source:UniProtKB/Swiss-Prot;Acc:P29466]</t>
  </si>
  <si>
    <t>GO:0006508 proteolysis,GO:0006915 apoptosis</t>
  </si>
  <si>
    <t>GO:0008234 cysteine-type peptidase activity,GO:0004197 cysteine-type endopeptidase activity</t>
  </si>
  <si>
    <t>GO:0007165 signal transduction,GO:0008150 biological_process,GO:0007186 G-protein coupled receptor protein signaling pathway</t>
  </si>
  <si>
    <t>GO:0004872 receptor activity,GO:0004930 G-protein coupled receptor activity</t>
  </si>
  <si>
    <t>GO:0005886 plasma membrane,GO:0005622 intracellular</t>
  </si>
  <si>
    <t>GO:0005886 plasma membrane,GO:0016021 integral to membrane,GO:0016020 membrane,GO:0005634 nucleus,GO:0005737 cytoplasm,GO:0005615 extracellular space,GO:0009897 external side of plasma membrane</t>
  </si>
  <si>
    <t>H300003006</t>
  </si>
  <si>
    <t>NM_032717</t>
  </si>
  <si>
    <t>AGPAT9</t>
  </si>
  <si>
    <t>1-acyl-sn-glycerol-3-phosphate acyltransferase theta (EC 2.3.1.51)(1-AGP acyltransferase 9)(1-AGPAT 9)(Lysophosphatidic acid acyltransferase theta)(LPAAT-theta)(Acyl-CoA:glycerol-3-phosphate acyltransferase 3)(hGPAT3)(Lung cancer metastasis-associated protein 1)(MAG-1) [Source:UniProtKB/Swiss-Prot;Acc:Q53EU6]</t>
  </si>
  <si>
    <t>GO:0008152 metabolic process,GO:0008654 phospholipid biosynthetic process,GO:0009306 protein secretion</t>
  </si>
  <si>
    <t>GO:0008415 acyltransferase activity,GO:0016740 transferase activity,GO:0003841 1-acylglycerol-3-phosphate O-acyltransferase activity</t>
  </si>
  <si>
    <t>GO:0005737 cytoplasm,GO:0005575 cellular_component</t>
  </si>
  <si>
    <t>H300008322</t>
  </si>
  <si>
    <t>NM_001042459;NM_001042459;NM_001042459</t>
  </si>
  <si>
    <t>FILIP1L</t>
  </si>
  <si>
    <t>Filamin A-interacting protein 1-like (130 kDa GPBP-interacting protein)(90 kDa GPBP-interacting protein)(Protein down-regulated in ovarian cancer-1)(DOC-1) [Source:UniProtKB/Swiss-Prot;Acc:Q4L180]</t>
  </si>
  <si>
    <t>H200006848</t>
  </si>
  <si>
    <t>NM_000222</t>
  </si>
  <si>
    <t>GO:0007165 signal transduction,GO:0006468 protein amino acid phosphorylation,GO:0007243 protein kinase cascade,GO:0048066 pigmentation during development,GO:0007283 spermatogenesis,GO:0008284 positive regulation of cell proliferation,GO:0019221 cytokine and chemokine mediated signaling pathway,GO:0007169 transmembrane receptor protein tyrosine kinase signaling pathway,GO:0018108 peptidyl-tyrosine phosphorylation,GO:0030097 hemopoiesis,GO:0009314 response to radiation,GO:0050673 epithelial cell proliferation,GO:0043406 positive regulation of MAP kinase activity,GO:0007283 spermatogenesis,GO:0050673 epithelial cell proliferation</t>
  </si>
  <si>
    <t>GO:0016740 transferase activity,GO:0005515 protein binding,GO:0000166 nucleotide binding,GO:0005524 ATP binding,GO:0004872 receptor activity,GO:0004674 protein serine/threonine kinase activity,GO:0004713 protein tyrosine kinase activity,GO:0005021 vascular endothelial growth factor receptor activity,GO:0004672 protein kinase activity,GO:0004714 transmembrane receptor protein tyrosine kinase activity,GO:0004716 receptor signaling protein tyrosine kinase activity,GO:0005020 stem cell factor receptor activity,GO:0004714 transmembrane receptor protein tyrosine kinase activity</t>
  </si>
  <si>
    <t>GO:0016021 integral to membrane,GO:0016020 membrane,GO:0005737 cytoplasm,GO:0005794 Golgi apparatus,GO:0000139 Golgi membrane</t>
  </si>
  <si>
    <t>GO:0005576 extracellular region,GO:0005625 soluble fraction</t>
  </si>
  <si>
    <t>GO:0005515 protein binding,GO:0042803 protein homodimerization activity</t>
  </si>
  <si>
    <t>GO:0000186 activation of MAPKK activity,GO:0001973 adenosine receptor signaling pathway,GO:0007165 signal transduction,GO:0007186 G-protein coupled receptor protein signaling pathway,GO:0007193 inhibition of adenylate cyclase activity by G-protein signali</t>
  </si>
  <si>
    <t>GO:0000166 nucleotide binding,GO:0003924 GTPase activity,GO:0004871 signal transducer activity,GO:0005515 protein binding,GO:0005525 GTP binding,GO:0019001 guanyl nucleotide binding</t>
  </si>
  <si>
    <t>GO:0005622 intracellular,GO:0005624 membrane fraction,GO:0005634 nucleus,GO:0005829 cytosol,GO:0005886 plasma membrane,GO:0045121 membrane raft,GO:0005829 cytosol,GO:0005634 nucleus,GO:0005624 membrane fraction,GO:0005886 plasma membrane,GO:0045121 membra</t>
  </si>
  <si>
    <t>GO:0003677 DNA binding,GO:0008270 zinc ion binding,GO:0046872 metal ion binding,GO:0003700 transcription factor activity,GO:0003676 nucleic acid binding</t>
  </si>
  <si>
    <t>GO:0007155 cell adhesion,GO:0007160 cell-matrix adhesion,GO:0007229 integrin-mediated signaling pathway</t>
  </si>
  <si>
    <t>GO:0016021 integral to membrane,GO:0016020 membrane,GO:0008305 integrin complex</t>
  </si>
  <si>
    <t>AHsV10003054</t>
  </si>
  <si>
    <t>NM_002070.2</t>
  </si>
  <si>
    <t>GNAI2</t>
  </si>
  <si>
    <t>Guanine nucleotide-binding protein G(i), alpha-2 subunit (Adenylate cyclase-inhibiting G alpha protein) [Source:UniProtKB/Swiss-Prot;Acc:P04899]</t>
  </si>
  <si>
    <t>AHsV10002870</t>
  </si>
  <si>
    <t>NM_016639.2</t>
  </si>
  <si>
    <t>TNFRSF12A</t>
  </si>
  <si>
    <t>Tumor necrosis factor receptor superfamily member 12A Precursor (Fibroblast growth factor-inducible immediate-early response protein 14)(FGF-inducible 14)(Tweak-receptor)(TweakR)(CD266 antigen) [Source:UniProtKB/Swiss-Prot;Acc:Q9NP84]</t>
  </si>
  <si>
    <t>GO:0001525 angiogenesis,GO:0006915 apoptosis,GO:0006928 cell motion,GO:0006931 substrate-bound cell migration, cell attachment to substrate,GO:0007155 cell adhesion,GO:0007275 multicellular organismal development,GO:0008219 cell death,GO:0030154 cell diff</t>
  </si>
  <si>
    <t>GO:0004872 receptor activity,GO:0005515 protein binding</t>
  </si>
  <si>
    <t>GO:0001726 ruffle,GO:0005886 plasma membrane,GO:0009986 cell surface,GO:0016021 integral to membrane</t>
  </si>
  <si>
    <t>H200013841</t>
  </si>
  <si>
    <t>NM_014622</t>
  </si>
  <si>
    <t>VWA5A</t>
  </si>
  <si>
    <t>Loss of heterozygosity 11 chromosomal region 2 gene A protein (Breast cancer suppressor candidate 1)(BCSC-1) [Source:UniProtKB/Swiss-Prot;Acc:O00534]</t>
  </si>
  <si>
    <t>GO:0045786 negative regulation of cell cycle</t>
  </si>
  <si>
    <t>GO:0004190 aspartic-type endopeptidase activity</t>
  </si>
  <si>
    <t>GO:0003700 transcription factor activity,GO:0043565 sequence-specific DNA binding</t>
  </si>
  <si>
    <t>GO:0005634 nucleus</t>
  </si>
  <si>
    <t>GO:0006470 protein amino acid dephosphorylation,GO:0016311 dephosphorylation</t>
  </si>
  <si>
    <t>GO:0005856 cytoskeleton,GO:0005737 cytoplasm</t>
  </si>
  <si>
    <t>Trypsin-3 Precursor (EC 3.4.21.4)(Trypsin III)(Brain trypsinogen)(Mesotrypsinogen)(Trypsin IV)(Serine protease 3)(Serine protease 4) [Source:UniProtKB/Swiss-Prot;Acc:P35030]</t>
  </si>
  <si>
    <t>CHsGV10002628</t>
  </si>
  <si>
    <t>NM_000061.2</t>
  </si>
  <si>
    <t>BTK</t>
  </si>
  <si>
    <t>GO:0007165 signal transduction</t>
  </si>
  <si>
    <t>GO:0019722 calcium-mediated signaling,GO:0008624 induction of apoptosis by extracellular signals,GO:0006468 protein amino acid phosphorylation,GO:0007498 mesoderm development,GO:0007242 intracellular signaling cascade,GO:0006468 protein amino acid phosphorylation,GO:0007249 I-kappaB kinase/NF-kappaB cascade,GO:0048469 cell maturation,GO:0018108 peptidyl-tyrosine phosphorylation</t>
  </si>
  <si>
    <t>GO:0005515 protein binding,GO:0004672 protein kinase activity,GO:0005524 ATP binding,GO:0042802 identical protein binding,GO:0008270 zinc ion binding,GO:0004713 protein tyrosine kinase activity,GO:0000166 nucleotide binding,GO:0004674 protein serine/threonine kinase activity,GO:0016740 transferase activity,GO:0046872 metal ion binding,GO:0004715 non-membrane spanning protein tyrosine kinase activity,GO:0005515 protein binding,GO:0004713 protein tyrosine kinase activity</t>
  </si>
  <si>
    <t>GO:0005737 cytoplasm,GO:0005634 nucleus,GO:0045121 membrane raft,GO:0016020 membrane,GO:0005634 nucleus,GO:0005737 cytoplasm,GO:0031410 cytoplasmic vesicle</t>
  </si>
  <si>
    <t>H300018413</t>
  </si>
  <si>
    <t>NM_002771;NM_002771;NM_002771</t>
  </si>
  <si>
    <t>PRSS3</t>
  </si>
  <si>
    <t>GO:0031424 keratinization</t>
  </si>
  <si>
    <t>Synaptotagmin-like protein 3 (Exophilin-6) [Source:UniProtKB/Swiss-Prot;Acc:Q4VX76]</t>
  </si>
  <si>
    <t>GO:0006886 intracellular protein transport</t>
  </si>
  <si>
    <t>GO:0005515 protein binding,GO:0008270 zinc ion binding,GO:0017137 Rab GTPase binding</t>
  </si>
  <si>
    <t>Tyrosine-protein kinase BTK (EC 2.7.10.2)(Bruton tyrosine kinase)(Agammaglobulinaemia tyrosine kinase)(ATK)(B-cell progenitor kinase)(BPK) [Source:UniProtKB/Swiss-Prot;Acc:Q06187]</t>
  </si>
  <si>
    <t>GO:0006468 protein amino acid phosphorylation,GO:0007242 intracellular signaling cascade</t>
  </si>
  <si>
    <t>GO:0016740 transferase activity,GO:0008270 zinc ion binding,GO:0000166 nucleotide binding,GO:0004697 protein kinase C activity,GO:0005524 ATP binding,GO:0046872 metal ion binding,GO:0004674 protein serine/threonine kinase activity,GO:0004713 protein tyrosine kinase activity,GO:0019992 diacylglycerol binding,GO:0004672 protein kinase activity</t>
  </si>
  <si>
    <t>GO:0016021 integral to membrane,GO:0016020 membrane,GO:0005783 endoplasmic reticulum,GO:0005789 endoplasmic reticulum membrane</t>
  </si>
  <si>
    <t>GO:0005515 protein binding,GO:0008270 zinc ion binding</t>
  </si>
  <si>
    <t>GO:0006350 transcription,GO:0006355 regulation of transcription, DNA-dependent</t>
  </si>
  <si>
    <t>GO:0003677 DNA binding,GO:0008270 zinc ion binding,GO:0046872 metal ion binding,GO:0003676 nucleic acid binding</t>
  </si>
  <si>
    <t>H300014854</t>
  </si>
  <si>
    <t>NM_001009991;NM_001009991;NM_001009991</t>
  </si>
  <si>
    <t>SYTL3</t>
  </si>
  <si>
    <t>GO:0005886 plasma membrane,GO:0016020 membrane,GO:0016021 integral to membrane</t>
  </si>
  <si>
    <t>GO:0007186 G-protein coupled receptor protein signaling pathway,GO:0007218 neuropeptide signaling pathway</t>
  </si>
  <si>
    <t>GO:0004930 G-protein coupled receptor activity</t>
  </si>
  <si>
    <t>GO:0005886 plasma membrane,GO:0016021 integral to membrane,GO:0016020 membrane</t>
  </si>
  <si>
    <t>GO:0045087 innate immune response</t>
  </si>
  <si>
    <t>H300014661</t>
  </si>
  <si>
    <t>NM_001025100;NM_001025100;NM_001025100</t>
  </si>
  <si>
    <t>MBP</t>
  </si>
  <si>
    <t>Myelin basic protein (MBP)(Myelin A1 protein)(Myelin membrane encephalitogenic protein) [Source:UniProtKB/Swiss-Prot;Acc:P02686]</t>
  </si>
  <si>
    <t>GO:0019911 structural constituent of myelin sheath</t>
  </si>
  <si>
    <t>opHsV0400005498</t>
  </si>
  <si>
    <t>AL117340.3</t>
  </si>
  <si>
    <t>Putative UPF0607 protein FLJ37424  [Source:UniProtKB/Swiss-Prot;Acc:Q8N9G6]</t>
  </si>
  <si>
    <t>GO:0000166 nucleotide binding,GO:0003924 GTPase activity,GO:0005525 GTP binding</t>
  </si>
  <si>
    <t>GO:0006511 ubiquitin-dependent protein catabolic process</t>
  </si>
  <si>
    <t>GO:0004872 receptor activity,GO:0004984 olfactory receptor activity,GO:0004977 melanocortin receptor activity</t>
  </si>
  <si>
    <t>GO:0016740 transferase activity,GO:0000287 magnesium ion binding,GO:0005515 protein binding,GO:0000166 nucleotide binding,GO:0005524 ATP binding,GO:0004674 protein serine/threonine kinase activity,GO:0004713 protein tyrosine kinase activity,GO:0004672 protein kinase activity</t>
  </si>
  <si>
    <t>NM_001093772.1</t>
  </si>
  <si>
    <t>KIT</t>
  </si>
  <si>
    <t>Mast/stem cell growth factor receptor Precursor (SCFR)(EC 2.7.10.1)(Proto-oncogene tyrosine-protein kinase Kit)(c-kit)(CD117 antigen) [Source:UniProtKB/Swiss-Prot;Acc:P10721]</t>
  </si>
  <si>
    <t>GO:0004672 protein kinase activity,GO:0004674 protein serine/threonine kinase activity,GO:0004713 protein tyrosine kinase activity,GO:0004714 transmembrane receptor protein tyrosine kinase activity,GO:0005021 vascular endothelial growth factor receptor ac</t>
  </si>
  <si>
    <t>GO:0004872 receptor activity</t>
  </si>
  <si>
    <t>GO:0005634 nucleus,GO:0005737 cytoplasm</t>
  </si>
  <si>
    <t>GO:0005515 protein binding,GO:0008270 zinc ion binding,GO:0046872 metal ion binding</t>
  </si>
  <si>
    <t>GO:0005634 nucleus,GO:0005622 intracellular,GO:0005737 cytoplasm</t>
  </si>
  <si>
    <t>GO:0003824 catalytic activity,GO:0004252 serine-type endopeptidase activity</t>
  </si>
  <si>
    <t>GO:0005488 binding,GO:0008092 cytoskeletal protein binding</t>
  </si>
  <si>
    <t>opHsV0400006263</t>
  </si>
  <si>
    <t>NM_013358</t>
  </si>
  <si>
    <t>PADI1</t>
  </si>
  <si>
    <t>Protein-arginine deiminase type-1 (EC 3.5.3.15)(Protein-arginine deiminase type I)(Peptidylarginine deiminase I) [Source:UniProtKB/Swiss-Prot;Acc:Q9ULC6]</t>
  </si>
  <si>
    <t>GO:0006464 protein modification process,GO:0018101 peptidyl-citrulline biosynthetic process from peptidyl-arginine</t>
  </si>
  <si>
    <t>GO:0005509 calcium ion binding,GO:0016787 hydrolase activity,GO:0004668 protein-arginine deiminase activity</t>
  </si>
  <si>
    <t>GO:0005737 cytoplasm</t>
  </si>
  <si>
    <t>AHsV10001552</t>
  </si>
  <si>
    <t>GO:0003824 catalytic activity,GO:0004252 serine-type endopeptidase activity,GO:0008233 peptidase activity</t>
  </si>
  <si>
    <t>GO:0005634 nucleus,GO:0005622 intracellular</t>
  </si>
  <si>
    <t>GO:0006508 proteolysis</t>
  </si>
  <si>
    <t>GO:0006915 apoptosis,GO:0006917 induction of apoptosis,GO:0042981 regulation of apoptosis,GO:0006508 proteolysis</t>
  </si>
  <si>
    <t>GO:0005515 protein binding,GO:0008233 peptidase activity,GO:0004197 cysteine-type endopeptidase activity,GO:0008234 cysteine-type peptidase activity</t>
  </si>
  <si>
    <t>GO:0005509 calcium ion binding,GO:0005515 protein binding</t>
  </si>
  <si>
    <t>GO:0005576 extracellular region,GO:0005615 extracellular space</t>
  </si>
  <si>
    <t>GO:0007155 cell adhesion</t>
  </si>
  <si>
    <t>CHsGV10003973</t>
  </si>
  <si>
    <t>NM_033306.2;NM_001225.3</t>
  </si>
  <si>
    <t>CASP4</t>
  </si>
  <si>
    <t>Caspase-4 Precursor (CASP-4)(EC 3.4.22.57)(ICH-2 protease)(TX protease)(ICE(rel)-II) [Contains Caspase-4 subunit 1;Caspase-4 subunit 2] [Source:UniProtKB/Swiss-Prot;Acc:P49662]</t>
  </si>
  <si>
    <t>H200001752</t>
  </si>
  <si>
    <t>NM_005009;NM_005009</t>
  </si>
  <si>
    <t>NME4</t>
  </si>
  <si>
    <t>Nucleoside diphosphate kinase, mitochondrial Precursor (NDP kinase, mitochondrial)(NDK)(EC 2.7.4.6)(nm23-H4)(Nucleoside diphosphate kinase D)(NDPKD) [Source:UniProtKB/Swiss-Prot;Acc:O00746]</t>
  </si>
  <si>
    <t>GO:0006183 GTP biosynthetic process,GO:0006228 UTP biosynthetic process,GO:0006241 CTP biosynthetic process</t>
  </si>
  <si>
    <t>GO:0005524 ATP binding,GO:0004550 nucleoside diphosphate kinase activity</t>
  </si>
  <si>
    <t>GO:0005739 mitochondrion</t>
  </si>
  <si>
    <t>GO:0032012 regulation of ARF protein signal transduction</t>
  </si>
  <si>
    <t>GO:0005086 ARF guanyl-nucleotide exchange factor activity</t>
  </si>
  <si>
    <t>GO:0016787 hydrolase activity,GO:0003824 catalytic activity,GO:0004114 3',5'-cyclic-nucleotide phosphodiesterase activity,GO:0047555 3',5'-cyclic-GMP phosphodiesterase activity</t>
  </si>
  <si>
    <t>H300002052</t>
  </si>
  <si>
    <t>NM_004986;NM_004986;NM_001079521;NM_001079521</t>
  </si>
  <si>
    <t>KTN1</t>
  </si>
  <si>
    <t>Kinectin (Kinesin receptor)(CG-1 antigen) [Source:UniProtKB/Swiss-Prot;Acc:Q86UP2]</t>
  </si>
  <si>
    <t>GO:0007018 microtubule-based movement</t>
  </si>
  <si>
    <t>GO:0003674 molecular_function</t>
  </si>
  <si>
    <t>GO:0016020 membrane,GO:0005624 membrane fraction,GO:0005887 integral to plasma membrane,GO:0005783 endoplasmic reticulum,GO:0005789 endoplasmic reticulum membrane</t>
  </si>
  <si>
    <t>H200005826</t>
  </si>
  <si>
    <t>NM_001841</t>
  </si>
  <si>
    <t>CNR2</t>
  </si>
  <si>
    <t>Cannabinoid receptor 2 (CB-2)(CB2)(CX5) [Source:UniProtKB/Swiss-Prot;Acc:P34972]</t>
  </si>
  <si>
    <t>GO:0007165 signal transduction,GO:0007186 G-protein coupled receptor protein signaling pathway,GO:0006955 immune response,GO:0007610 behavior,GO:0007187 G-protein signaling, coupled to cyclic nucleotide second messenger</t>
  </si>
  <si>
    <t>GO:0004872 receptor activity,GO:0004949 cannabinoid receptor activity</t>
  </si>
  <si>
    <t>GO:0006468 protein amino acid phosphorylation</t>
  </si>
  <si>
    <t>GO:0016021 integral to membrane,GO:0016020 membrane,GO:0008076 voltage-gated potassium channel complex</t>
  </si>
  <si>
    <t>CHsGV10002291</t>
  </si>
  <si>
    <t>NM_032983.2;NM_032982.2</t>
  </si>
  <si>
    <t>GO:0005886 plasma membrane</t>
  </si>
  <si>
    <t>GO:0004872 receptor activity,GO:0004984 olfactory receptor activity,GO:0004949 cannabinoid receptor activity,GO:0004977 melanocortin receptor activity</t>
  </si>
  <si>
    <t>CASP2</t>
  </si>
  <si>
    <t>Caspase-2 Precursor (CASP-2)(EC 3.4.22.55)(ICH-1 protease)(Neural precursor cell expressed developmentally down-regulated protein 2)(NEDD-2) [Contains Caspase-2 subunit p18;Caspase-2 subunit p13;Caspase-2 subunit p12] [Source:UniProtKB/Swiss-Prot;Acc:P42575]</t>
  </si>
  <si>
    <t>GO:0042981 regulation of apoptosis</t>
  </si>
  <si>
    <t>GO:0005515 protein binding</t>
  </si>
  <si>
    <t>GO:0005615 extracellular space</t>
  </si>
  <si>
    <t>GO:0005886 plasma membrane,GO:0016021 integral to membrane,GO:0005887 integral to plasma membrane</t>
  </si>
  <si>
    <t>GO:0007186 G-protein coupled receptor protein signaling pathway</t>
  </si>
  <si>
    <t>GO:0016021 integral to membrane</t>
  </si>
  <si>
    <t>GO:0006811 ion transport,GO:0006813 potassium ion transport</t>
  </si>
  <si>
    <t>GO:0006457 protein folding</t>
  </si>
  <si>
    <t>GO:0031072 heat shock protein binding,GO:0051082 unfolded protein binding</t>
  </si>
  <si>
    <t>GO:0006355 regulation of transcription, DNA-dependent,GO:0045449 regulation of transcription</t>
  </si>
  <si>
    <t>CHsGV10002986</t>
  </si>
  <si>
    <t>NM_002284.3</t>
  </si>
  <si>
    <t>KRT86</t>
  </si>
  <si>
    <t>Keratin, type II cuticular Hb6 (Type II hair keratin Hb6)(Keratin-86)(K86)(K2.11) [Source:UniProtKB/Swiss-Prot;Acc:O43790]</t>
  </si>
  <si>
    <t>GO:0007010 cytoskeleton organization</t>
  </si>
  <si>
    <t>GO:0005198 structural molecule activity</t>
  </si>
  <si>
    <t>GO:0045095 keratin filament</t>
  </si>
  <si>
    <t>GO:0006334 nucleosome assembly</t>
  </si>
  <si>
    <t>GO:0003677 DNA binding</t>
  </si>
  <si>
    <t>GO:0005634 nucleus,GO:0005694 chromosome,GO:0000786 nucleosome</t>
  </si>
  <si>
    <t>GO:0005509 calcium ion binding</t>
  </si>
  <si>
    <t>GO:0003700 transcription factor activity,GO:0008270 zinc ion binding,GO:0003676 nucleic acid binding,GO:0046872 metal ion binding</t>
  </si>
  <si>
    <t>GO:0005737 cytoplasm,GO:0005634 nucleus,GO:0005622 intracellular</t>
  </si>
  <si>
    <t>GO:0006468 protein amino acid phosphorylation,GO:0007169 transmembrane receptor protein tyrosine kinase signaling pathway</t>
  </si>
  <si>
    <t>GO:0005576 extracellular region,GO:0005886 plasma membrane,GO:0016020 membrane,GO:0016021 integral to membrane</t>
  </si>
  <si>
    <t>GO:0005886 plasma membrane,GO:0016021 integral to membrane,GO:0005737 cytoplasm</t>
  </si>
  <si>
    <t>GO:0055114 oxidation reduction</t>
  </si>
  <si>
    <t>GO:0016020 membrane</t>
  </si>
  <si>
    <t>GO:0005515 protein binding,GO:0003674 molecular_function</t>
  </si>
  <si>
    <t>DHsGV10004129</t>
  </si>
  <si>
    <t>H300020489</t>
  </si>
  <si>
    <t>NM_005687</t>
  </si>
  <si>
    <t>FARSLB</t>
  </si>
  <si>
    <t>GO:0005887 integral to plasma membrane,GO:0016020 membrane</t>
  </si>
  <si>
    <t>GO:0016021 integral to membrane,GO:0016020 membrane</t>
  </si>
  <si>
    <t>GO:0007165 signal transduction,GO:0007186 G-protein coupled receptor protein signaling pathway,GO:0050896 response to stimulus,GO:0007608 sensory perception of smell</t>
  </si>
  <si>
    <t>GO:0004872 receptor activity,GO:0004984 olfactory receptor activity</t>
  </si>
  <si>
    <t>GO:0005886 plasma membrane,GO:0016021 integral to membrane</t>
  </si>
  <si>
    <t>GO:0005737 cytoplasm,GO:0005829 cytosol</t>
  </si>
  <si>
    <t>Phenylalanyl-tRNA synthetase beta chain (EC 6.1.1.20)(Phenylalanine--tRNA ligase beta chain)(PheRS) [Source:UniProtKB/Swiss-Prot;Acc:Q9NSD9]</t>
  </si>
  <si>
    <t>GO:0006412 translation,GO:0006432 phenylalanyl-tRNA aminoacylation</t>
  </si>
  <si>
    <t>GO:0015031 protein transport,GO:0007264 small GTPase mediated signal transduction,GO:0006886 intracellular protein transport</t>
  </si>
  <si>
    <t>GO:0005525 GTP binding</t>
  </si>
  <si>
    <t>GO:0005622 intracellular</t>
  </si>
  <si>
    <t>CASP8</t>
  </si>
  <si>
    <t>Name</t>
  </si>
  <si>
    <t>ID</t>
  </si>
  <si>
    <t>ensembl_id</t>
  </si>
  <si>
    <t>RefSeq_id</t>
  </si>
  <si>
    <t>Enterz_id</t>
  </si>
  <si>
    <t>symbol</t>
  </si>
  <si>
    <t>description</t>
  </si>
  <si>
    <t>GO_biological_process</t>
  </si>
  <si>
    <t>GO_molecular_function</t>
  </si>
  <si>
    <t>GO_cellular_component</t>
  </si>
  <si>
    <t>ratio</t>
    <phoneticPr fontId="1"/>
  </si>
  <si>
    <t>ALB</t>
  </si>
  <si>
    <t>Serum albumin Precursor  [Source:UniProtKB/Swiss-Prot;Acc:P02768]</t>
  </si>
  <si>
    <t>GO:0006811 ion transport,GO:0006829 zinc ion transport,GO:0030001 metal ion transport</t>
  </si>
  <si>
    <t>GO:0008270 zinc ion binding,GO:0046873 metal ion transmembrane transporter activity</t>
  </si>
  <si>
    <t>GO:0000287 magnesium ion binding,GO:0000166 nucleotide binding,GO:0005524 ATP binding,GO:0016874 ligase activity,GO:0003723 RNA binding,GO:0004826 phenylalanine-tRNA ligase activity</t>
  </si>
  <si>
    <t>GO:0005737 cytoplasm,GO:0005625 soluble fraction</t>
  </si>
  <si>
    <t>GO:0005634 nucleus,GO:0005737 cytoplasm,GO:0005730 nucleolus</t>
  </si>
  <si>
    <t>GO:0030154 cell differentiation</t>
  </si>
  <si>
    <t>-</t>
  </si>
  <si>
    <t>GO:0005576 extracellular region,GO:0005737 cytoplasm</t>
  </si>
  <si>
    <t>GO:0006955 immune response</t>
  </si>
  <si>
    <t>GO:0005576 extracellular region</t>
  </si>
  <si>
    <t>DHsGV10005373</t>
  </si>
  <si>
    <t>LOC728622</t>
  </si>
  <si>
    <t>GO:0006810 transport</t>
  </si>
</sst>
</file>

<file path=xl/styles.xml><?xml version="1.0" encoding="utf-8"?>
<styleSheet xmlns="http://schemas.openxmlformats.org/spreadsheetml/2006/main">
  <numFmts count="1">
    <numFmt numFmtId="176" formatCode="0.00_ "/>
  </numFmts>
  <fonts count="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3" borderId="12" xfId="0" applyFont="1" applyFill="1" applyBorder="1"/>
    <xf numFmtId="0" fontId="2" fillId="3" borderId="10" xfId="0" applyFont="1" applyFill="1" applyBorder="1"/>
    <xf numFmtId="176" fontId="2" fillId="4" borderId="12" xfId="0" applyNumberFormat="1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" fontId="2" fillId="0" borderId="8" xfId="0" applyNumberFormat="1" applyFont="1" applyBorder="1"/>
    <xf numFmtId="1" fontId="2" fillId="0" borderId="6" xfId="0" applyNumberFormat="1" applyFont="1" applyBorder="1"/>
    <xf numFmtId="176" fontId="2" fillId="0" borderId="6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" fontId="2" fillId="0" borderId="4" xfId="0" applyNumberFormat="1" applyFont="1" applyBorder="1"/>
    <xf numFmtId="1" fontId="2" fillId="0" borderId="2" xfId="0" applyNumberFormat="1" applyFont="1" applyBorder="1"/>
    <xf numFmtId="176" fontId="2" fillId="0" borderId="2" xfId="0" applyNumberFormat="1" applyFont="1" applyBorder="1"/>
    <xf numFmtId="0" fontId="2" fillId="0" borderId="2" xfId="0" applyNumberFormat="1" applyFont="1" applyBorder="1"/>
    <xf numFmtId="0" fontId="2" fillId="0" borderId="3" xfId="0" applyNumberFormat="1" applyFont="1" applyBorder="1"/>
    <xf numFmtId="1" fontId="2" fillId="0" borderId="4" xfId="0" applyNumberFormat="1" applyFont="1" applyFill="1" applyBorder="1"/>
    <xf numFmtId="1" fontId="2" fillId="0" borderId="2" xfId="0" applyNumberFormat="1" applyFont="1" applyFill="1" applyBorder="1"/>
    <xf numFmtId="176" fontId="2" fillId="0" borderId="2" xfId="0" applyNumberFormat="1" applyFont="1" applyFill="1" applyBorder="1"/>
    <xf numFmtId="0" fontId="2" fillId="0" borderId="2" xfId="0" applyFont="1" applyFill="1" applyBorder="1"/>
    <xf numFmtId="0" fontId="2" fillId="0" borderId="2" xfId="0" applyNumberFormat="1" applyFont="1" applyFill="1" applyBorder="1"/>
    <xf numFmtId="0" fontId="2" fillId="0" borderId="1" xfId="0" applyFont="1" applyFill="1" applyBorder="1"/>
    <xf numFmtId="0" fontId="2" fillId="0" borderId="3" xfId="0" applyFont="1" applyFill="1" applyBorder="1"/>
    <xf numFmtId="1" fontId="2" fillId="0" borderId="8" xfId="0" applyNumberFormat="1" applyFont="1" applyFill="1" applyBorder="1"/>
  </cellXfs>
  <cellStyles count="1">
    <cellStyle name="標準" xfId="0" builtinId="0"/>
  </cellStyles>
  <dxfs count="2">
    <dxf>
      <fill>
        <patternFill>
          <bgColor indexed="51"/>
        </patternFill>
      </fill>
    </dxf>
    <dxf>
      <fill>
        <patternFill>
          <bgColor indexed="51"/>
        </patternFill>
      </fill>
    </dxf>
  </dxf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127"/>
  <sheetViews>
    <sheetView topLeftCell="A1106" workbookViewId="0">
      <selection activeCell="G21" sqref="G21"/>
    </sheetView>
  </sheetViews>
  <sheetFormatPr baseColWidth="12" defaultRowHeight="17"/>
  <sheetData>
    <row r="1" spans="1:13" ht="18" thickBot="1">
      <c r="A1" s="1" t="s">
        <v>8709</v>
      </c>
      <c r="B1" s="2" t="s">
        <v>8710</v>
      </c>
      <c r="C1" s="2" t="s">
        <v>8711</v>
      </c>
      <c r="D1" s="2" t="s">
        <v>8712</v>
      </c>
      <c r="E1" s="2" t="s">
        <v>8713</v>
      </c>
      <c r="F1" s="2" t="s">
        <v>8714</v>
      </c>
      <c r="G1" s="2" t="s">
        <v>8715</v>
      </c>
      <c r="H1" s="2" t="s">
        <v>8716</v>
      </c>
      <c r="I1" s="2" t="s">
        <v>8717</v>
      </c>
      <c r="J1" s="3" t="s">
        <v>8718</v>
      </c>
      <c r="K1" s="4" t="s">
        <v>9</v>
      </c>
      <c r="L1" s="5" t="s">
        <v>8</v>
      </c>
      <c r="M1" s="6" t="s">
        <v>8719</v>
      </c>
    </row>
    <row r="2" spans="1:13" ht="18" thickTop="1">
      <c r="A2" s="7" t="s">
        <v>8732</v>
      </c>
      <c r="B2" s="8" t="s">
        <v>8732</v>
      </c>
      <c r="C2" s="8" t="str">
        <f>HYPERLINK("http://uswest.ensembl.org/Homo_sapiens/Gene/Summary?g=","-")</f>
        <v>-</v>
      </c>
      <c r="D2" s="8" t="s">
        <v>8728</v>
      </c>
      <c r="E2" s="8" t="str">
        <f>HYPERLINK("http://www.ncbi.nlm.nih.gov/sites/entrez?db=gene&amp;cmd=Retrieve&amp;dopt=full_report&amp;list_uids=728622","728622")</f>
        <v>728622</v>
      </c>
      <c r="F2" s="8" t="s">
        <v>8733</v>
      </c>
      <c r="G2" s="8" t="s">
        <v>8728</v>
      </c>
      <c r="H2" s="8" t="s">
        <v>8728</v>
      </c>
      <c r="I2" s="8" t="s">
        <v>8728</v>
      </c>
      <c r="J2" s="9" t="s">
        <v>8728</v>
      </c>
      <c r="K2" s="28">
        <v>142.85686100000001</v>
      </c>
      <c r="L2" s="11">
        <v>29.489086</v>
      </c>
      <c r="M2" s="12">
        <f t="shared" ref="M2:M65" si="0">L2/K2</f>
        <v>0.20642400927457027</v>
      </c>
    </row>
    <row r="3" spans="1:13">
      <c r="A3" s="13" t="s">
        <v>8693</v>
      </c>
      <c r="B3" s="14" t="s">
        <v>8693</v>
      </c>
      <c r="C3" s="14" t="str">
        <f>HYPERLINK("http://uswest.ensembl.org/Homo_sapiens/Gene/Summary?g=","-")</f>
        <v>-</v>
      </c>
      <c r="D3" s="14" t="s">
        <v>8728</v>
      </c>
      <c r="E3" s="14" t="str">
        <f>HYPERLINK("http://www.ncbi.nlm.nih.gov/sites/entrez?db=gene&amp;cmd=Retrieve&amp;dopt=full_report&amp;list_uids=100293160","100293160")</f>
        <v>100293160</v>
      </c>
      <c r="F3" s="14" t="s">
        <v>8728</v>
      </c>
      <c r="G3" s="14" t="s">
        <v>8728</v>
      </c>
      <c r="H3" s="14" t="s">
        <v>8728</v>
      </c>
      <c r="I3" s="14" t="s">
        <v>8728</v>
      </c>
      <c r="J3" s="15" t="s">
        <v>8728</v>
      </c>
      <c r="K3" s="16">
        <v>309.71121399999998</v>
      </c>
      <c r="L3" s="17">
        <v>83.565650000000005</v>
      </c>
      <c r="M3" s="18">
        <f t="shared" si="0"/>
        <v>0.26981796661712099</v>
      </c>
    </row>
    <row r="4" spans="1:13">
      <c r="A4" s="13" t="s">
        <v>8694</v>
      </c>
      <c r="B4" s="14" t="s">
        <v>8694</v>
      </c>
      <c r="C4" s="14" t="str">
        <f>HYPERLINK("http://uswest.ensembl.org/Homo_sapiens/Gene/Summary?g=ENSG00000116120","ENSG00000116120")</f>
        <v>ENSG00000116120</v>
      </c>
      <c r="D4" s="14" t="s">
        <v>8695</v>
      </c>
      <c r="E4" s="14" t="str">
        <f>HYPERLINK("http://www.ncbi.nlm.nih.gov/sites/entrez?db=gene&amp;cmd=Retrieve&amp;dopt=full_report&amp;list_uids=10056","10056")</f>
        <v>10056</v>
      </c>
      <c r="F4" s="14" t="s">
        <v>8696</v>
      </c>
      <c r="G4" s="14" t="s">
        <v>8703</v>
      </c>
      <c r="H4" s="14" t="s">
        <v>8704</v>
      </c>
      <c r="I4" s="14" t="s">
        <v>8724</v>
      </c>
      <c r="J4" s="15" t="s">
        <v>8725</v>
      </c>
      <c r="K4" s="16">
        <v>118.496831</v>
      </c>
      <c r="L4" s="17">
        <v>32.113211999999997</v>
      </c>
      <c r="M4" s="18">
        <f t="shared" si="0"/>
        <v>0.27100481699801743</v>
      </c>
    </row>
    <row r="5" spans="1:13">
      <c r="A5" s="13" t="s">
        <v>8674</v>
      </c>
      <c r="B5" s="14" t="s">
        <v>8674</v>
      </c>
      <c r="C5" s="14" t="str">
        <f>HYPERLINK("http://uswest.ensembl.org/Homo_sapiens/Gene/Summary?g=","-")</f>
        <v>-</v>
      </c>
      <c r="D5" s="14" t="s">
        <v>8675</v>
      </c>
      <c r="E5" s="14" t="str">
        <f>HYPERLINK("http://www.ncbi.nlm.nih.gov/sites/entrez?db=gene&amp;cmd=Retrieve&amp;dopt=full_report&amp;list_uids=3892","3892")</f>
        <v>3892</v>
      </c>
      <c r="F5" s="14" t="s">
        <v>8676</v>
      </c>
      <c r="G5" s="14" t="s">
        <v>8677</v>
      </c>
      <c r="H5" s="14" t="s">
        <v>8678</v>
      </c>
      <c r="I5" s="14" t="s">
        <v>8679</v>
      </c>
      <c r="J5" s="15" t="s">
        <v>8680</v>
      </c>
      <c r="K5" s="16">
        <v>227.46598499999999</v>
      </c>
      <c r="L5" s="17">
        <v>72.923558</v>
      </c>
      <c r="M5" s="18">
        <f t="shared" si="0"/>
        <v>0.32059104573371711</v>
      </c>
    </row>
    <row r="6" spans="1:13">
      <c r="A6" s="13" t="s">
        <v>8658</v>
      </c>
      <c r="B6" s="14" t="s">
        <v>8658</v>
      </c>
      <c r="C6" s="14" t="str">
        <f>HYPERLINK("http://uswest.ensembl.org/Homo_sapiens/Gene/Summary?g=","-")</f>
        <v>-</v>
      </c>
      <c r="D6" s="14" t="s">
        <v>8659</v>
      </c>
      <c r="E6" s="14" t="str">
        <f>HYPERLINK("http://www.ncbi.nlm.nih.gov/sites/entrez?db=gene&amp;cmd=Retrieve&amp;dopt=full_report&amp;list_uids=835","835")</f>
        <v>835</v>
      </c>
      <c r="F6" s="14" t="s">
        <v>8662</v>
      </c>
      <c r="G6" s="19" t="s">
        <v>8663</v>
      </c>
      <c r="H6" s="14" t="s">
        <v>8664</v>
      </c>
      <c r="I6" s="14" t="s">
        <v>8665</v>
      </c>
      <c r="J6" s="15" t="s">
        <v>8707</v>
      </c>
      <c r="K6" s="16">
        <v>98.147720000000007</v>
      </c>
      <c r="L6" s="17">
        <v>32.888883</v>
      </c>
      <c r="M6" s="18">
        <f t="shared" si="0"/>
        <v>0.33509574139878134</v>
      </c>
    </row>
    <row r="7" spans="1:13">
      <c r="A7" s="13" t="s">
        <v>8650</v>
      </c>
      <c r="B7" s="14" t="s">
        <v>8650</v>
      </c>
      <c r="C7" s="14" t="str">
        <f>HYPERLINK("http://uswest.ensembl.org/Homo_sapiens/Gene/Summary?g=ENSG00000188822","ENSG00000188822")</f>
        <v>ENSG00000188822</v>
      </c>
      <c r="D7" s="14" t="s">
        <v>8651</v>
      </c>
      <c r="E7" s="14" t="str">
        <f>HYPERLINK("http://www.ncbi.nlm.nih.gov/sites/entrez?db=gene&amp;cmd=Retrieve&amp;dopt=full_report&amp;list_uids=1269","1269")</f>
        <v>1269</v>
      </c>
      <c r="F7" s="14" t="s">
        <v>8652</v>
      </c>
      <c r="G7" s="14" t="s">
        <v>8653</v>
      </c>
      <c r="H7" s="14" t="s">
        <v>8654</v>
      </c>
      <c r="I7" s="14" t="s">
        <v>8655</v>
      </c>
      <c r="J7" s="15" t="s">
        <v>8667</v>
      </c>
      <c r="K7" s="16">
        <v>155.167224</v>
      </c>
      <c r="L7" s="17">
        <v>53.745373999999998</v>
      </c>
      <c r="M7" s="18">
        <f t="shared" si="0"/>
        <v>0.34637066137111533</v>
      </c>
    </row>
    <row r="8" spans="1:13">
      <c r="A8" s="13" t="s">
        <v>8643</v>
      </c>
      <c r="B8" s="14" t="s">
        <v>8643</v>
      </c>
      <c r="C8" s="14" t="str">
        <f>HYPERLINK("http://uswest.ensembl.org/Homo_sapiens/Gene/Summary?g=ENSG00000126777","ENSG00000126777")</f>
        <v>ENSG00000126777</v>
      </c>
      <c r="D8" s="14" t="s">
        <v>8644</v>
      </c>
      <c r="E8" s="14" t="str">
        <f>HYPERLINK("http://www.ncbi.nlm.nih.gov/sites/entrez?db=gene&amp;cmd=Retrieve&amp;dopt=full_report&amp;list_uids=3895","3895")</f>
        <v>3895</v>
      </c>
      <c r="F8" s="14" t="s">
        <v>8645</v>
      </c>
      <c r="G8" s="14" t="s">
        <v>8646</v>
      </c>
      <c r="H8" s="14" t="s">
        <v>8647</v>
      </c>
      <c r="I8" s="14" t="s">
        <v>8648</v>
      </c>
      <c r="J8" s="15" t="s">
        <v>8649</v>
      </c>
      <c r="K8" s="16">
        <v>112.548799</v>
      </c>
      <c r="L8" s="17">
        <v>39.375765000000001</v>
      </c>
      <c r="M8" s="18">
        <f t="shared" si="0"/>
        <v>0.34985504376639326</v>
      </c>
    </row>
    <row r="9" spans="1:13">
      <c r="A9" s="13" t="s">
        <v>8633</v>
      </c>
      <c r="B9" s="14" t="s">
        <v>8633</v>
      </c>
      <c r="C9" s="14" t="str">
        <f>HYPERLINK("http://uswest.ensembl.org/Homo_sapiens/Gene/Summary?g=ENSG00000103200","ENSG00000103200")</f>
        <v>ENSG00000103200</v>
      </c>
      <c r="D9" s="14" t="s">
        <v>8634</v>
      </c>
      <c r="E9" s="14" t="str">
        <f>HYPERLINK("http://www.ncbi.nlm.nih.gov/sites/entrez?db=gene&amp;cmd=Retrieve&amp;dopt=full_report&amp;list_uids=","-")</f>
        <v>-</v>
      </c>
      <c r="F9" s="14" t="s">
        <v>8635</v>
      </c>
      <c r="G9" s="14" t="s">
        <v>8636</v>
      </c>
      <c r="H9" s="14" t="s">
        <v>8637</v>
      </c>
      <c r="I9" s="14" t="s">
        <v>8638</v>
      </c>
      <c r="J9" s="15" t="s">
        <v>8639</v>
      </c>
      <c r="K9" s="16">
        <v>159.40634900000001</v>
      </c>
      <c r="L9" s="17">
        <v>56.135257000000003</v>
      </c>
      <c r="M9" s="18">
        <f t="shared" si="0"/>
        <v>0.35215195224124984</v>
      </c>
    </row>
    <row r="10" spans="1:13">
      <c r="A10" s="13" t="s">
        <v>8629</v>
      </c>
      <c r="B10" s="14" t="s">
        <v>8629</v>
      </c>
      <c r="C10" s="14" t="str">
        <f>HYPERLINK("http://uswest.ensembl.org/Homo_sapiens/Gene/Summary?g=","-")</f>
        <v>-</v>
      </c>
      <c r="D10" s="14" t="s">
        <v>8630</v>
      </c>
      <c r="E10" s="14" t="str">
        <f>HYPERLINK("http://www.ncbi.nlm.nih.gov/sites/entrez?db=gene&amp;cmd=Retrieve&amp;dopt=full_report&amp;list_uids=837","837")</f>
        <v>837</v>
      </c>
      <c r="F10" s="14" t="s">
        <v>8631</v>
      </c>
      <c r="G10" s="14" t="s">
        <v>8632</v>
      </c>
      <c r="H10" s="14" t="s">
        <v>8624</v>
      </c>
      <c r="I10" s="14" t="s">
        <v>8625</v>
      </c>
      <c r="J10" s="15" t="s">
        <v>8707</v>
      </c>
      <c r="K10" s="16">
        <v>394.78852499999999</v>
      </c>
      <c r="L10" s="17">
        <v>140.93963400000001</v>
      </c>
      <c r="M10" s="18">
        <f t="shared" si="0"/>
        <v>0.35700033074669535</v>
      </c>
    </row>
    <row r="11" spans="1:13">
      <c r="A11" s="13" t="s">
        <v>8613</v>
      </c>
      <c r="B11" s="14" t="s">
        <v>8613</v>
      </c>
      <c r="C11" s="14" t="str">
        <f>HYPERLINK("http://uswest.ensembl.org/Homo_sapiens/Gene/Summary?g=ENSG00000142623","ENSG00000142623")</f>
        <v>ENSG00000142623</v>
      </c>
      <c r="D11" s="14" t="s">
        <v>8614</v>
      </c>
      <c r="E11" s="14" t="str">
        <f>HYPERLINK("http://www.ncbi.nlm.nih.gov/sites/entrez?db=gene&amp;cmd=Retrieve&amp;dopt=full_report&amp;list_uids=29943","29943")</f>
        <v>29943</v>
      </c>
      <c r="F11" s="14" t="s">
        <v>8615</v>
      </c>
      <c r="G11" s="14" t="s">
        <v>8616</v>
      </c>
      <c r="H11" s="14" t="s">
        <v>8617</v>
      </c>
      <c r="I11" s="14" t="s">
        <v>8618</v>
      </c>
      <c r="J11" s="15" t="s">
        <v>8619</v>
      </c>
      <c r="K11" s="16">
        <v>73.474911000000006</v>
      </c>
      <c r="L11" s="17">
        <v>26.50027</v>
      </c>
      <c r="M11" s="18">
        <f t="shared" si="0"/>
        <v>0.36067100509995853</v>
      </c>
    </row>
    <row r="12" spans="1:13">
      <c r="A12" s="13" t="s">
        <v>8620</v>
      </c>
      <c r="B12" s="14" t="s">
        <v>8620</v>
      </c>
      <c r="C12" s="14" t="str">
        <f>HYPERLINK("http://uswest.ensembl.org/Homo_sapiens/Gene/Summary?g=","-")</f>
        <v>-</v>
      </c>
      <c r="D12" s="14" t="s">
        <v>8603</v>
      </c>
      <c r="E12" s="14" t="str">
        <f>HYPERLINK("http://www.ncbi.nlm.nih.gov/sites/entrez?db=gene&amp;cmd=Retrieve&amp;dopt=full_report&amp;list_uids=3815","3815")</f>
        <v>3815</v>
      </c>
      <c r="F12" s="24" t="s">
        <v>8604</v>
      </c>
      <c r="G12" s="24" t="s">
        <v>8605</v>
      </c>
      <c r="H12" s="14" t="s">
        <v>8687</v>
      </c>
      <c r="I12" s="14" t="s">
        <v>8606</v>
      </c>
      <c r="J12" s="15" t="s">
        <v>8691</v>
      </c>
      <c r="K12" s="16">
        <v>821.72806100000003</v>
      </c>
      <c r="L12" s="17">
        <v>299.67948200000001</v>
      </c>
      <c r="M12" s="18">
        <f t="shared" si="0"/>
        <v>0.36469422942099089</v>
      </c>
    </row>
    <row r="13" spans="1:13">
      <c r="A13" s="13" t="s">
        <v>8596</v>
      </c>
      <c r="B13" s="14" t="s">
        <v>8596</v>
      </c>
      <c r="C13" s="14" t="str">
        <f>HYPERLINK("http://uswest.ensembl.org/Homo_sapiens/Gene/Summary?g=ENSG00000196960","ENSG00000196960")</f>
        <v>ENSG00000196960</v>
      </c>
      <c r="D13" s="14" t="s">
        <v>8728</v>
      </c>
      <c r="E13" s="14" t="str">
        <f>HYPERLINK("http://www.ncbi.nlm.nih.gov/sites/entrez?db=gene&amp;cmd=Retrieve&amp;dopt=full_report&amp;list_uids=","-")</f>
        <v>-</v>
      </c>
      <c r="F13" s="24" t="s">
        <v>8597</v>
      </c>
      <c r="G13" s="24" t="s">
        <v>8598</v>
      </c>
      <c r="H13" s="14" t="s">
        <v>8728</v>
      </c>
      <c r="I13" s="14" t="s">
        <v>8728</v>
      </c>
      <c r="J13" s="15" t="s">
        <v>8728</v>
      </c>
      <c r="K13" s="16">
        <v>2649.7348270000002</v>
      </c>
      <c r="L13" s="17">
        <v>974.77188200000001</v>
      </c>
      <c r="M13" s="18">
        <f t="shared" si="0"/>
        <v>0.36787525757950112</v>
      </c>
    </row>
    <row r="14" spans="1:13">
      <c r="A14" s="13" t="s">
        <v>8591</v>
      </c>
      <c r="B14" s="14" t="s">
        <v>8591</v>
      </c>
      <c r="C14" s="14" t="str">
        <f>HYPERLINK("http://uswest.ensembl.org/Homo_sapiens/Gene/Summary?g=ENSG00000197971","ENSG00000197971")</f>
        <v>ENSG00000197971</v>
      </c>
      <c r="D14" s="14" t="s">
        <v>8592</v>
      </c>
      <c r="E14" s="14" t="str">
        <f>HYPERLINK("http://www.ncbi.nlm.nih.gov/sites/entrez?db=gene&amp;cmd=Retrieve&amp;dopt=full_report&amp;list_uids=4155","4155")</f>
        <v>4155</v>
      </c>
      <c r="F14" s="24" t="s">
        <v>8593</v>
      </c>
      <c r="G14" s="24" t="s">
        <v>8594</v>
      </c>
      <c r="H14" s="14" t="s">
        <v>8728</v>
      </c>
      <c r="I14" s="14" t="s">
        <v>8595</v>
      </c>
      <c r="J14" s="15" t="s">
        <v>8728</v>
      </c>
      <c r="K14" s="16">
        <v>237.70423299999999</v>
      </c>
      <c r="L14" s="17">
        <v>89.617744000000002</v>
      </c>
      <c r="M14" s="18">
        <f t="shared" si="0"/>
        <v>0.37701366470827641</v>
      </c>
    </row>
    <row r="15" spans="1:13">
      <c r="A15" s="13" t="s">
        <v>8583</v>
      </c>
      <c r="B15" s="14" t="s">
        <v>8583</v>
      </c>
      <c r="C15" s="14" t="str">
        <f>HYPERLINK("http://uswest.ensembl.org/Homo_sapiens/Gene/Summary?g=ENSG00000164674","ENSG00000164674")</f>
        <v>ENSG00000164674</v>
      </c>
      <c r="D15" s="14" t="s">
        <v>8584</v>
      </c>
      <c r="E15" s="14" t="str">
        <f>HYPERLINK("http://www.ncbi.nlm.nih.gov/sites/entrez?db=gene&amp;cmd=Retrieve&amp;dopt=full_report&amp;list_uids=94120","94120")</f>
        <v>94120</v>
      </c>
      <c r="F15" s="24" t="s">
        <v>8585</v>
      </c>
      <c r="G15" s="24" t="s">
        <v>8573</v>
      </c>
      <c r="H15" s="14" t="s">
        <v>8574</v>
      </c>
      <c r="I15" s="14" t="s">
        <v>8575</v>
      </c>
      <c r="J15" s="15" t="s">
        <v>8728</v>
      </c>
      <c r="K15" s="16">
        <v>135.77497</v>
      </c>
      <c r="L15" s="17">
        <v>51.83446</v>
      </c>
      <c r="M15" s="18">
        <f t="shared" si="0"/>
        <v>0.38176742001857927</v>
      </c>
    </row>
    <row r="16" spans="1:13">
      <c r="A16" s="13" t="s">
        <v>8562</v>
      </c>
      <c r="B16" s="14" t="s">
        <v>8562</v>
      </c>
      <c r="C16" s="14" t="str">
        <f>HYPERLINK("http://uswest.ensembl.org/Homo_sapiens/Gene/Summary?g=","-")</f>
        <v>-</v>
      </c>
      <c r="D16" s="14" t="s">
        <v>8563</v>
      </c>
      <c r="E16" s="14" t="str">
        <f>HYPERLINK("http://www.ncbi.nlm.nih.gov/sites/entrez?db=gene&amp;cmd=Retrieve&amp;dopt=full_report&amp;list_uids=695","695")</f>
        <v>695</v>
      </c>
      <c r="F16" s="24" t="s">
        <v>8564</v>
      </c>
      <c r="G16" s="24" t="s">
        <v>8576</v>
      </c>
      <c r="H16" s="19" t="s">
        <v>8566</v>
      </c>
      <c r="I16" s="19" t="s">
        <v>8567</v>
      </c>
      <c r="J16" s="15" t="s">
        <v>8568</v>
      </c>
      <c r="K16" s="16">
        <v>1151.7638959999999</v>
      </c>
      <c r="L16" s="17">
        <v>446.59287499999999</v>
      </c>
      <c r="M16" s="18">
        <f t="shared" si="0"/>
        <v>0.38774689548004376</v>
      </c>
    </row>
    <row r="17" spans="1:13">
      <c r="A17" s="13" t="s">
        <v>8569</v>
      </c>
      <c r="B17" s="14" t="s">
        <v>8569</v>
      </c>
      <c r="C17" s="14" t="str">
        <f>HYPERLINK("http://uswest.ensembl.org/Homo_sapiens/Gene/Summary?g=ENSG00000010438","ENSG00000010438")</f>
        <v>ENSG00000010438</v>
      </c>
      <c r="D17" s="14" t="s">
        <v>8570</v>
      </c>
      <c r="E17" s="14" t="str">
        <f>HYPERLINK("http://www.ncbi.nlm.nih.gov/sites/entrez?db=gene&amp;cmd=Retrieve&amp;dopt=full_report&amp;list_uids=","-")</f>
        <v>-</v>
      </c>
      <c r="F17" s="24" t="s">
        <v>8571</v>
      </c>
      <c r="G17" s="24" t="s">
        <v>8561</v>
      </c>
      <c r="H17" s="14" t="s">
        <v>8623</v>
      </c>
      <c r="I17" s="14" t="s">
        <v>8621</v>
      </c>
      <c r="J17" s="15" t="s">
        <v>8728</v>
      </c>
      <c r="K17" s="16">
        <v>62.385010999999999</v>
      </c>
      <c r="L17" s="17">
        <v>24.337174999999998</v>
      </c>
      <c r="M17" s="18">
        <f t="shared" si="0"/>
        <v>0.39011253841086924</v>
      </c>
    </row>
    <row r="18" spans="1:13">
      <c r="A18" s="13" t="s">
        <v>8544</v>
      </c>
      <c r="B18" s="14" t="s">
        <v>8544</v>
      </c>
      <c r="C18" s="14" t="str">
        <f>HYPERLINK("http://uswest.ensembl.org/Homo_sapiens/Gene/Summary?g=","-")</f>
        <v>-</v>
      </c>
      <c r="D18" s="14" t="s">
        <v>8545</v>
      </c>
      <c r="E18" s="14" t="str">
        <f>HYPERLINK("http://www.ncbi.nlm.nih.gov/sites/entrez?db=gene&amp;cmd=Retrieve&amp;dopt=full_report&amp;list_uids=51330","51330")</f>
        <v>51330</v>
      </c>
      <c r="F18" s="24" t="s">
        <v>8546</v>
      </c>
      <c r="G18" s="24" t="s">
        <v>8547</v>
      </c>
      <c r="H18" s="14" t="s">
        <v>8548</v>
      </c>
      <c r="I18" s="14" t="s">
        <v>8549</v>
      </c>
      <c r="J18" s="15" t="s">
        <v>8550</v>
      </c>
      <c r="K18" s="16">
        <v>69.716238000000004</v>
      </c>
      <c r="L18" s="17">
        <v>27.575963999999999</v>
      </c>
      <c r="M18" s="18">
        <f t="shared" si="0"/>
        <v>0.39554578375270333</v>
      </c>
    </row>
    <row r="19" spans="1:13">
      <c r="A19" s="13" t="s">
        <v>8551</v>
      </c>
      <c r="B19" s="14" t="s">
        <v>8551</v>
      </c>
      <c r="C19" s="14" t="str">
        <f>HYPERLINK("http://uswest.ensembl.org/Homo_sapiens/Gene/Summary?g=ENSG00000110002","ENSG00000110002")</f>
        <v>ENSG00000110002</v>
      </c>
      <c r="D19" s="14" t="s">
        <v>8552</v>
      </c>
      <c r="E19" s="14" t="str">
        <f>HYPERLINK("http://www.ncbi.nlm.nih.gov/sites/entrez?db=gene&amp;cmd=Retrieve&amp;dopt=full_report&amp;list_uids=4013","4013")</f>
        <v>4013</v>
      </c>
      <c r="F19" s="24" t="s">
        <v>8553</v>
      </c>
      <c r="G19" s="24" t="s">
        <v>8554</v>
      </c>
      <c r="H19" s="14" t="s">
        <v>8555</v>
      </c>
      <c r="I19" s="14" t="s">
        <v>8728</v>
      </c>
      <c r="J19" s="15" t="s">
        <v>8728</v>
      </c>
      <c r="K19" s="16">
        <v>83.939637000000005</v>
      </c>
      <c r="L19" s="17">
        <v>33.226039</v>
      </c>
      <c r="M19" s="18">
        <f t="shared" si="0"/>
        <v>0.39583253141778535</v>
      </c>
    </row>
    <row r="20" spans="1:13">
      <c r="A20" s="13" t="s">
        <v>8540</v>
      </c>
      <c r="B20" s="14" t="s">
        <v>8540</v>
      </c>
      <c r="C20" s="14" t="str">
        <f>HYPERLINK("http://uswest.ensembl.org/Homo_sapiens/Gene/Summary?g=","-")</f>
        <v>-</v>
      </c>
      <c r="D20" s="14" t="s">
        <v>8541</v>
      </c>
      <c r="E20" s="14" t="str">
        <f>HYPERLINK("http://www.ncbi.nlm.nih.gov/sites/entrez?db=gene&amp;cmd=Retrieve&amp;dopt=full_report&amp;list_uids=2771","2771")</f>
        <v>2771</v>
      </c>
      <c r="F20" s="24" t="s">
        <v>8542</v>
      </c>
      <c r="G20" s="24" t="s">
        <v>8543</v>
      </c>
      <c r="H20" s="14" t="s">
        <v>8534</v>
      </c>
      <c r="I20" s="14" t="s">
        <v>8535</v>
      </c>
      <c r="J20" s="15" t="s">
        <v>8536</v>
      </c>
      <c r="K20" s="16">
        <v>464.68813499999999</v>
      </c>
      <c r="L20" s="17">
        <v>185.65912800000001</v>
      </c>
      <c r="M20" s="18">
        <f t="shared" si="0"/>
        <v>0.39953490097180988</v>
      </c>
    </row>
    <row r="21" spans="1:13">
      <c r="A21" s="13" t="s">
        <v>8527</v>
      </c>
      <c r="B21" s="14" t="s">
        <v>8527</v>
      </c>
      <c r="C21" s="14" t="str">
        <f>HYPERLINK("http://uswest.ensembl.org/Homo_sapiens/Gene/Summary?g=ENSG00000157404","ENSG00000157404")</f>
        <v>ENSG00000157404</v>
      </c>
      <c r="D21" s="14" t="s">
        <v>8528</v>
      </c>
      <c r="E21" s="14" t="str">
        <f>HYPERLINK("http://www.ncbi.nlm.nih.gov/sites/entrez?db=gene&amp;cmd=Retrieve&amp;dopt=full_report&amp;list_uids=653882","653882")</f>
        <v>653882</v>
      </c>
      <c r="F21" s="24" t="s">
        <v>8604</v>
      </c>
      <c r="G21" s="24" t="s">
        <v>8605</v>
      </c>
      <c r="H21" s="19" t="s">
        <v>8529</v>
      </c>
      <c r="I21" s="19" t="s">
        <v>8530</v>
      </c>
      <c r="J21" s="15" t="s">
        <v>8515</v>
      </c>
      <c r="K21" s="16">
        <v>450.37597399999999</v>
      </c>
      <c r="L21" s="17">
        <v>183.52454700000001</v>
      </c>
      <c r="M21" s="18">
        <f t="shared" si="0"/>
        <v>0.40749186811639293</v>
      </c>
    </row>
    <row r="22" spans="1:13">
      <c r="A22" s="13" t="s">
        <v>8516</v>
      </c>
      <c r="B22" s="14" t="s">
        <v>8516</v>
      </c>
      <c r="C22" s="14" t="str">
        <f>HYPERLINK("http://uswest.ensembl.org/Homo_sapiens/Gene/Summary?g=ENSG00000138678","ENSG00000138678")</f>
        <v>ENSG00000138678</v>
      </c>
      <c r="D22" s="14" t="s">
        <v>8517</v>
      </c>
      <c r="E22" s="14" t="str">
        <f>HYPERLINK("http://www.ncbi.nlm.nih.gov/sites/entrez?db=gene&amp;cmd=Retrieve&amp;dopt=full_report&amp;list_uids=84803","84803")</f>
        <v>84803</v>
      </c>
      <c r="F22" s="24" t="s">
        <v>8518</v>
      </c>
      <c r="G22" s="25" t="s">
        <v>8519</v>
      </c>
      <c r="H22" s="14" t="s">
        <v>8520</v>
      </c>
      <c r="I22" s="14" t="s">
        <v>8521</v>
      </c>
      <c r="J22" s="15" t="s">
        <v>8579</v>
      </c>
      <c r="K22" s="16">
        <v>239.18226200000001</v>
      </c>
      <c r="L22" s="17">
        <v>97.571696000000003</v>
      </c>
      <c r="M22" s="18">
        <f t="shared" si="0"/>
        <v>0.40793867899785979</v>
      </c>
    </row>
    <row r="23" spans="1:13">
      <c r="A23" s="13" t="s">
        <v>8523</v>
      </c>
      <c r="B23" s="14" t="s">
        <v>8523</v>
      </c>
      <c r="C23" s="14" t="str">
        <f>HYPERLINK("http://uswest.ensembl.org/Homo_sapiens/Gene/Summary?g=ENSG00000168386","ENSG00000168386")</f>
        <v>ENSG00000168386</v>
      </c>
      <c r="D23" s="14" t="s">
        <v>8524</v>
      </c>
      <c r="E23" s="14" t="str">
        <f>HYPERLINK("http://www.ncbi.nlm.nih.gov/sites/entrez?db=gene&amp;cmd=Retrieve&amp;dopt=full_report&amp;list_uids=11259","11259")</f>
        <v>11259</v>
      </c>
      <c r="F23" s="24" t="s">
        <v>8525</v>
      </c>
      <c r="G23" s="24" t="s">
        <v>8526</v>
      </c>
      <c r="H23" s="14" t="s">
        <v>8728</v>
      </c>
      <c r="I23" s="14" t="s">
        <v>8728</v>
      </c>
      <c r="J23" s="15" t="s">
        <v>8728</v>
      </c>
      <c r="K23" s="16">
        <v>106.35316400000001</v>
      </c>
      <c r="L23" s="17">
        <v>43.567829000000003</v>
      </c>
      <c r="M23" s="18">
        <f t="shared" si="0"/>
        <v>0.40965240112649587</v>
      </c>
    </row>
    <row r="24" spans="1:13">
      <c r="A24" s="13" t="s">
        <v>8506</v>
      </c>
      <c r="B24" s="14" t="s">
        <v>8506</v>
      </c>
      <c r="C24" s="14" t="str">
        <f>HYPERLINK("http://uswest.ensembl.org/Homo_sapiens/Gene/Summary?g=ENSG00000137752","ENSG00000137752")</f>
        <v>ENSG00000137752</v>
      </c>
      <c r="D24" s="14" t="s">
        <v>8507</v>
      </c>
      <c r="E24" s="14" t="str">
        <f>HYPERLINK("http://www.ncbi.nlm.nih.gov/sites/entrez?db=gene&amp;cmd=Retrieve&amp;dopt=full_report&amp;list_uids=834","834")</f>
        <v>834</v>
      </c>
      <c r="F24" s="24" t="s">
        <v>8508</v>
      </c>
      <c r="G24" s="24" t="s">
        <v>8509</v>
      </c>
      <c r="H24" s="14" t="s">
        <v>8510</v>
      </c>
      <c r="I24" s="14" t="s">
        <v>8511</v>
      </c>
      <c r="J24" s="15" t="s">
        <v>8728</v>
      </c>
      <c r="K24" s="16">
        <v>456.62302399999999</v>
      </c>
      <c r="L24" s="17">
        <v>187.57554999999999</v>
      </c>
      <c r="M24" s="18">
        <f t="shared" si="0"/>
        <v>0.41078863776260216</v>
      </c>
    </row>
    <row r="25" spans="1:13">
      <c r="A25" s="13" t="s">
        <v>8496</v>
      </c>
      <c r="B25" s="14" t="s">
        <v>8496</v>
      </c>
      <c r="C25" s="14" t="str">
        <f>HYPERLINK("http://uswest.ensembl.org/Homo_sapiens/Gene/Summary?g=","-")</f>
        <v>-</v>
      </c>
      <c r="D25" s="14" t="s">
        <v>8497</v>
      </c>
      <c r="E25" s="14" t="str">
        <f>HYPERLINK("http://www.ncbi.nlm.nih.gov/sites/entrez?db=gene&amp;cmd=Retrieve&amp;dopt=full_report&amp;list_uids=23014","23014")</f>
        <v>23014</v>
      </c>
      <c r="F25" s="24" t="s">
        <v>8498</v>
      </c>
      <c r="G25" s="24" t="s">
        <v>8499</v>
      </c>
      <c r="H25" s="14" t="s">
        <v>8728</v>
      </c>
      <c r="I25" s="14" t="s">
        <v>8728</v>
      </c>
      <c r="J25" s="15" t="s">
        <v>8728</v>
      </c>
      <c r="K25" s="16">
        <v>241.2664</v>
      </c>
      <c r="L25" s="17">
        <v>99.648229999999998</v>
      </c>
      <c r="M25" s="18">
        <f t="shared" si="0"/>
        <v>0.41302158112360443</v>
      </c>
    </row>
    <row r="26" spans="1:13">
      <c r="A26" s="13" t="s">
        <v>8500</v>
      </c>
      <c r="B26" s="14" t="s">
        <v>8500</v>
      </c>
      <c r="C26" s="14" t="str">
        <f>HYPERLINK("http://uswest.ensembl.org/Homo_sapiens/Gene/Summary?g=ENSG00000140992","ENSG00000140992")</f>
        <v>ENSG00000140992</v>
      </c>
      <c r="D26" s="14" t="s">
        <v>8501</v>
      </c>
      <c r="E26" s="14" t="str">
        <f>HYPERLINK("http://www.ncbi.nlm.nih.gov/sites/entrez?db=gene&amp;cmd=Retrieve&amp;dopt=full_report&amp;list_uids=","-")</f>
        <v>-</v>
      </c>
      <c r="F26" s="24" t="s">
        <v>8502</v>
      </c>
      <c r="G26" s="24" t="s">
        <v>8503</v>
      </c>
      <c r="H26" s="14" t="s">
        <v>8656</v>
      </c>
      <c r="I26" s="14" t="s">
        <v>8504</v>
      </c>
      <c r="J26" s="15" t="s">
        <v>8728</v>
      </c>
      <c r="K26" s="16">
        <v>82.101996</v>
      </c>
      <c r="L26" s="17">
        <v>33.964086000000002</v>
      </c>
      <c r="M26" s="18">
        <f t="shared" si="0"/>
        <v>0.41368161134596537</v>
      </c>
    </row>
    <row r="27" spans="1:13">
      <c r="A27" s="13" t="s">
        <v>8484</v>
      </c>
      <c r="B27" s="14" t="s">
        <v>8484</v>
      </c>
      <c r="C27" s="14" t="str">
        <f>HYPERLINK("http://uswest.ensembl.org/Homo_sapiens/Gene/Summary?g=ENSG00000068120","ENSG00000068120")</f>
        <v>ENSG00000068120</v>
      </c>
      <c r="D27" s="14" t="s">
        <v>8485</v>
      </c>
      <c r="E27" s="14" t="str">
        <f>HYPERLINK("http://www.ncbi.nlm.nih.gov/sites/entrez?db=gene&amp;cmd=Retrieve&amp;dopt=full_report&amp;list_uids=80347","80347")</f>
        <v>80347</v>
      </c>
      <c r="F27" s="24" t="s">
        <v>8486</v>
      </c>
      <c r="G27" s="25" t="s">
        <v>8487</v>
      </c>
      <c r="H27" s="14" t="s">
        <v>8465</v>
      </c>
      <c r="I27" s="19" t="s">
        <v>8466</v>
      </c>
      <c r="J27" s="15" t="s">
        <v>8522</v>
      </c>
      <c r="K27" s="16">
        <v>89.117902999999998</v>
      </c>
      <c r="L27" s="17">
        <v>37.432884000000001</v>
      </c>
      <c r="M27" s="18">
        <f t="shared" si="0"/>
        <v>0.4200377560499825</v>
      </c>
    </row>
    <row r="28" spans="1:13">
      <c r="A28" s="13" t="s">
        <v>8459</v>
      </c>
      <c r="B28" s="14" t="s">
        <v>8459</v>
      </c>
      <c r="C28" s="14" t="str">
        <f>HYPERLINK("http://uswest.ensembl.org/Homo_sapiens/Gene/Summary?g=","-")</f>
        <v>-</v>
      </c>
      <c r="D28" s="14" t="s">
        <v>8460</v>
      </c>
      <c r="E28" s="14" t="str">
        <f>HYPERLINK("http://www.ncbi.nlm.nih.gov/sites/entrez?db=gene&amp;cmd=Retrieve&amp;dopt=full_report&amp;list_uids=663","663")</f>
        <v>663</v>
      </c>
      <c r="F28" s="24" t="s">
        <v>8461</v>
      </c>
      <c r="G28" s="24" t="s">
        <v>8462</v>
      </c>
      <c r="H28" s="14" t="s">
        <v>8463</v>
      </c>
      <c r="I28" s="14" t="s">
        <v>8472</v>
      </c>
      <c r="J28" s="15" t="s">
        <v>8473</v>
      </c>
      <c r="K28" s="16">
        <v>799.34623799999997</v>
      </c>
      <c r="L28" s="17">
        <v>336.09311700000001</v>
      </c>
      <c r="M28" s="18">
        <f t="shared" si="0"/>
        <v>0.42045999721087074</v>
      </c>
    </row>
    <row r="29" spans="1:13">
      <c r="A29" s="13" t="s">
        <v>8475</v>
      </c>
      <c r="B29" s="14" t="s">
        <v>8475</v>
      </c>
      <c r="C29" s="14" t="str">
        <f>HYPERLINK("http://uswest.ensembl.org/Homo_sapiens/Gene/Summary?g=","-")</f>
        <v>-</v>
      </c>
      <c r="D29" s="14" t="s">
        <v>8476</v>
      </c>
      <c r="E29" s="14" t="str">
        <f>HYPERLINK("http://www.ncbi.nlm.nih.gov/sites/entrez?db=gene&amp;cmd=Retrieve&amp;dopt=full_report&amp;list_uids=6504","6504")</f>
        <v>6504</v>
      </c>
      <c r="F29" s="24" t="s">
        <v>8477</v>
      </c>
      <c r="G29" s="24" t="s">
        <v>8478</v>
      </c>
      <c r="H29" s="14" t="s">
        <v>8479</v>
      </c>
      <c r="I29" s="14" t="s">
        <v>8480</v>
      </c>
      <c r="J29" s="15" t="s">
        <v>8481</v>
      </c>
      <c r="K29" s="16">
        <v>194.39287200000001</v>
      </c>
      <c r="L29" s="17">
        <v>81.912817000000004</v>
      </c>
      <c r="M29" s="18">
        <f t="shared" si="0"/>
        <v>0.4213776778811108</v>
      </c>
    </row>
    <row r="30" spans="1:13">
      <c r="A30" s="13" t="s">
        <v>8450</v>
      </c>
      <c r="B30" s="14" t="s">
        <v>8450</v>
      </c>
      <c r="C30" s="14" t="str">
        <f>HYPERLINK("http://uswest.ensembl.org/Homo_sapiens/Gene/Summary?g=ENSG00000167996","ENSG00000167996")</f>
        <v>ENSG00000167996</v>
      </c>
      <c r="D30" s="14" t="s">
        <v>8451</v>
      </c>
      <c r="E30" s="14" t="str">
        <f>HYPERLINK("http://www.ncbi.nlm.nih.gov/sites/entrez?db=gene&amp;cmd=Retrieve&amp;dopt=full_report&amp;list_uids=2495","2495")</f>
        <v>2495</v>
      </c>
      <c r="F30" s="24" t="s">
        <v>8452</v>
      </c>
      <c r="G30" s="24" t="s">
        <v>8453</v>
      </c>
      <c r="H30" s="14" t="s">
        <v>8488</v>
      </c>
      <c r="I30" s="14" t="s">
        <v>8441</v>
      </c>
      <c r="J30" s="15" t="s">
        <v>8442</v>
      </c>
      <c r="K30" s="16">
        <v>14505.497969</v>
      </c>
      <c r="L30" s="17">
        <v>6165.5627780000004</v>
      </c>
      <c r="M30" s="18">
        <f t="shared" si="0"/>
        <v>0.42505005972056609</v>
      </c>
    </row>
    <row r="31" spans="1:13">
      <c r="A31" s="13" t="s">
        <v>8428</v>
      </c>
      <c r="B31" s="14" t="s">
        <v>8428</v>
      </c>
      <c r="C31" s="14" t="str">
        <f>HYPERLINK("http://uswest.ensembl.org/Homo_sapiens/Gene/Summary?g=","-")</f>
        <v>-</v>
      </c>
      <c r="D31" s="14" t="s">
        <v>8429</v>
      </c>
      <c r="E31" s="14" t="str">
        <f>HYPERLINK("http://www.ncbi.nlm.nih.gov/sites/entrez?db=gene&amp;cmd=Retrieve&amp;dopt=full_report&amp;list_uids=4708","4708")</f>
        <v>4708</v>
      </c>
      <c r="F31" s="24" t="s">
        <v>8430</v>
      </c>
      <c r="G31" s="24" t="s">
        <v>8431</v>
      </c>
      <c r="H31" s="14" t="s">
        <v>8432</v>
      </c>
      <c r="I31" s="14" t="s">
        <v>8433</v>
      </c>
      <c r="J31" s="15" t="s">
        <v>8434</v>
      </c>
      <c r="K31" s="16">
        <v>641.29642100000001</v>
      </c>
      <c r="L31" s="17">
        <v>274.45631400000002</v>
      </c>
      <c r="M31" s="18">
        <f t="shared" si="0"/>
        <v>0.42797106768821341</v>
      </c>
    </row>
    <row r="32" spans="1:13">
      <c r="A32" s="13" t="s">
        <v>8446</v>
      </c>
      <c r="B32" s="14" t="s">
        <v>8446</v>
      </c>
      <c r="C32" s="14" t="str">
        <f>HYPERLINK("http://uswest.ensembl.org/Homo_sapiens/Gene/Summary?g=","-")</f>
        <v>-</v>
      </c>
      <c r="D32" s="14" t="s">
        <v>8447</v>
      </c>
      <c r="E32" s="14" t="str">
        <f>HYPERLINK("http://www.ncbi.nlm.nih.gov/sites/entrez?db=gene&amp;cmd=Retrieve&amp;dopt=full_report&amp;list_uids=3674","3674")</f>
        <v>3674</v>
      </c>
      <c r="F32" s="24" t="s">
        <v>8448</v>
      </c>
      <c r="G32" s="24" t="s">
        <v>8438</v>
      </c>
      <c r="H32" s="14" t="s">
        <v>8420</v>
      </c>
      <c r="I32" s="14" t="s">
        <v>8468</v>
      </c>
      <c r="J32" s="15" t="s">
        <v>8469</v>
      </c>
      <c r="K32" s="16">
        <v>116.33691399999999</v>
      </c>
      <c r="L32" s="17">
        <v>49.897578000000003</v>
      </c>
      <c r="M32" s="18">
        <f t="shared" si="0"/>
        <v>0.42890580714561505</v>
      </c>
    </row>
    <row r="33" spans="1:13">
      <c r="A33" s="13" t="s">
        <v>8416</v>
      </c>
      <c r="B33" s="14" t="s">
        <v>8416</v>
      </c>
      <c r="C33" s="14" t="str">
        <f>HYPERLINK("http://uswest.ensembl.org/Homo_sapiens/Gene/Summary?g=","-")</f>
        <v>-</v>
      </c>
      <c r="D33" s="14" t="s">
        <v>8417</v>
      </c>
      <c r="E33" s="14" t="str">
        <f>HYPERLINK("http://www.ncbi.nlm.nih.gov/sites/entrez?db=gene&amp;cmd=Retrieve&amp;dopt=full_report&amp;list_uids=230","230")</f>
        <v>230</v>
      </c>
      <c r="F33" s="24" t="s">
        <v>8418</v>
      </c>
      <c r="G33" s="24" t="s">
        <v>8435</v>
      </c>
      <c r="H33" s="14" t="s">
        <v>8436</v>
      </c>
      <c r="I33" s="14" t="s">
        <v>8437</v>
      </c>
      <c r="J33" s="15" t="s">
        <v>8419</v>
      </c>
      <c r="K33" s="16">
        <v>187.25233299999999</v>
      </c>
      <c r="L33" s="17">
        <v>80.544686999999996</v>
      </c>
      <c r="M33" s="18">
        <f t="shared" si="0"/>
        <v>0.43013983168903963</v>
      </c>
    </row>
    <row r="34" spans="1:13">
      <c r="A34" s="13" t="s">
        <v>8422</v>
      </c>
      <c r="B34" s="14" t="s">
        <v>8422</v>
      </c>
      <c r="C34" s="14" t="str">
        <f>HYPERLINK("http://uswest.ensembl.org/Homo_sapiens/Gene/Summary?g=ENSG00000065135","ENSG00000065135")</f>
        <v>ENSG00000065135</v>
      </c>
      <c r="D34" s="14" t="s">
        <v>8423</v>
      </c>
      <c r="E34" s="14" t="str">
        <f>HYPERLINK("http://www.ncbi.nlm.nih.gov/sites/entrez?db=gene&amp;cmd=Retrieve&amp;dopt=full_report&amp;list_uids=2773","2773")</f>
        <v>2773</v>
      </c>
      <c r="F34" s="24" t="s">
        <v>8424</v>
      </c>
      <c r="G34" s="24" t="s">
        <v>8425</v>
      </c>
      <c r="H34" s="14" t="s">
        <v>8426</v>
      </c>
      <c r="I34" s="14" t="s">
        <v>8413</v>
      </c>
      <c r="J34" s="15" t="s">
        <v>8414</v>
      </c>
      <c r="K34" s="16">
        <v>74.514259999999993</v>
      </c>
      <c r="L34" s="17">
        <v>32.165959999999998</v>
      </c>
      <c r="M34" s="18">
        <f t="shared" si="0"/>
        <v>0.43167522565479416</v>
      </c>
    </row>
    <row r="35" spans="1:13">
      <c r="A35" s="13" t="s">
        <v>8396</v>
      </c>
      <c r="B35" s="14" t="s">
        <v>8396</v>
      </c>
      <c r="C35" s="14" t="str">
        <f>HYPERLINK("http://uswest.ensembl.org/Homo_sapiens/Gene/Summary?g=ENSG00000213903","ENSG00000213903")</f>
        <v>ENSG00000213903</v>
      </c>
      <c r="D35" s="14" t="s">
        <v>8397</v>
      </c>
      <c r="E35" s="14" t="str">
        <f>HYPERLINK("http://www.ncbi.nlm.nih.gov/sites/entrez?db=gene&amp;cmd=Retrieve&amp;dopt=full_report&amp;list_uids=1241","1241")</f>
        <v>1241</v>
      </c>
      <c r="F35" s="24" t="s">
        <v>8398</v>
      </c>
      <c r="G35" s="24" t="s">
        <v>8399</v>
      </c>
      <c r="H35" s="19" t="s">
        <v>8410</v>
      </c>
      <c r="I35" s="19" t="s">
        <v>8411</v>
      </c>
      <c r="J35" s="15" t="s">
        <v>8667</v>
      </c>
      <c r="K35" s="16">
        <v>64.938840999999996</v>
      </c>
      <c r="L35" s="17">
        <v>28.143308000000001</v>
      </c>
      <c r="M35" s="18">
        <f t="shared" si="0"/>
        <v>0.43338174144500058</v>
      </c>
    </row>
    <row r="36" spans="1:13">
      <c r="A36" s="13" t="s">
        <v>8400</v>
      </c>
      <c r="B36" s="14" t="s">
        <v>8400</v>
      </c>
      <c r="C36" s="14" t="str">
        <f>HYPERLINK("http://uswest.ensembl.org/Homo_sapiens/Gene/Summary?g=","-")</f>
        <v>-</v>
      </c>
      <c r="D36" s="14" t="s">
        <v>8401</v>
      </c>
      <c r="E36" s="14" t="str">
        <f>HYPERLINK("http://www.ncbi.nlm.nih.gov/sites/entrez?db=gene&amp;cmd=Retrieve&amp;dopt=full_report&amp;list_uids=403244","403244")</f>
        <v>403244</v>
      </c>
      <c r="F36" s="24" t="s">
        <v>8402</v>
      </c>
      <c r="G36" s="24" t="s">
        <v>8439</v>
      </c>
      <c r="H36" s="14" t="s">
        <v>8440</v>
      </c>
      <c r="I36" s="14" t="s">
        <v>8700</v>
      </c>
      <c r="J36" s="15" t="s">
        <v>8382</v>
      </c>
      <c r="K36" s="16">
        <v>86.377053000000004</v>
      </c>
      <c r="L36" s="17">
        <v>37.593254000000002</v>
      </c>
      <c r="M36" s="18">
        <f t="shared" si="0"/>
        <v>0.43522269739857877</v>
      </c>
    </row>
    <row r="37" spans="1:13">
      <c r="A37" s="13" t="s">
        <v>8384</v>
      </c>
      <c r="B37" s="14" t="s">
        <v>8384</v>
      </c>
      <c r="C37" s="14" t="str">
        <f>HYPERLINK("http://uswest.ensembl.org/Homo_sapiens/Gene/Summary?g=ENSG00000135821","ENSG00000135821")</f>
        <v>ENSG00000135821</v>
      </c>
      <c r="D37" s="14" t="s">
        <v>8728</v>
      </c>
      <c r="E37" s="14" t="str">
        <f>HYPERLINK("http://www.ncbi.nlm.nih.gov/sites/entrez?db=gene&amp;cmd=Retrieve&amp;dopt=full_report&amp;list_uids=2752","2752")</f>
        <v>2752</v>
      </c>
      <c r="F37" s="24" t="s">
        <v>8385</v>
      </c>
      <c r="G37" s="24" t="s">
        <v>8388</v>
      </c>
      <c r="H37" s="14" t="s">
        <v>8389</v>
      </c>
      <c r="I37" s="14" t="s">
        <v>8390</v>
      </c>
      <c r="J37" s="15" t="s">
        <v>8391</v>
      </c>
      <c r="K37" s="16">
        <v>2908.051833</v>
      </c>
      <c r="L37" s="17">
        <v>1268.856685</v>
      </c>
      <c r="M37" s="18">
        <f t="shared" si="0"/>
        <v>0.43632533320117062</v>
      </c>
    </row>
    <row r="38" spans="1:13">
      <c r="A38" s="13" t="s">
        <v>8378</v>
      </c>
      <c r="B38" s="14" t="s">
        <v>8378</v>
      </c>
      <c r="C38" s="14" t="str">
        <f>HYPERLINK("http://uswest.ensembl.org/Homo_sapiens/Gene/Summary?g=","-")</f>
        <v>-</v>
      </c>
      <c r="D38" s="14" t="s">
        <v>8379</v>
      </c>
      <c r="E38" s="14" t="str">
        <f>HYPERLINK("http://www.ncbi.nlm.nih.gov/sites/entrez?db=gene&amp;cmd=Retrieve&amp;dopt=full_report&amp;list_uids=3958","3958")</f>
        <v>3958</v>
      </c>
      <c r="F38" s="24" t="s">
        <v>8380</v>
      </c>
      <c r="G38" s="24" t="s">
        <v>8421</v>
      </c>
      <c r="H38" s="19" t="s">
        <v>8392</v>
      </c>
      <c r="I38" s="14" t="s">
        <v>8393</v>
      </c>
      <c r="J38" s="15" t="s">
        <v>8381</v>
      </c>
      <c r="K38" s="16">
        <v>97.461048000000005</v>
      </c>
      <c r="L38" s="17">
        <v>42.645114</v>
      </c>
      <c r="M38" s="18">
        <f t="shared" si="0"/>
        <v>0.43756059343831394</v>
      </c>
    </row>
    <row r="39" spans="1:13">
      <c r="A39" s="13" t="s">
        <v>8375</v>
      </c>
      <c r="B39" s="14" t="s">
        <v>8375</v>
      </c>
      <c r="C39" s="14" t="str">
        <f>HYPERLINK("http://uswest.ensembl.org/Homo_sapiens/Gene/Summary?g=ENSG00000163565","ENSG00000163565")</f>
        <v>ENSG00000163565</v>
      </c>
      <c r="D39" s="14" t="s">
        <v>8404</v>
      </c>
      <c r="E39" s="14" t="str">
        <f>HYPERLINK("http://www.ncbi.nlm.nih.gov/sites/entrez?db=gene&amp;cmd=Retrieve&amp;dopt=full_report&amp;list_uids=","-")</f>
        <v>-</v>
      </c>
      <c r="F39" s="24" t="s">
        <v>8405</v>
      </c>
      <c r="G39" s="24" t="s">
        <v>8365</v>
      </c>
      <c r="H39" s="19" t="s">
        <v>8376</v>
      </c>
      <c r="I39" s="14" t="s">
        <v>8362</v>
      </c>
      <c r="J39" s="15" t="s">
        <v>8366</v>
      </c>
      <c r="K39" s="16">
        <v>72.678554000000005</v>
      </c>
      <c r="L39" s="17">
        <v>32.088456000000001</v>
      </c>
      <c r="M39" s="18">
        <f t="shared" si="0"/>
        <v>0.44151203118322907</v>
      </c>
    </row>
    <row r="40" spans="1:13">
      <c r="A40" s="13" t="s">
        <v>8367</v>
      </c>
      <c r="B40" s="14" t="s">
        <v>8367</v>
      </c>
      <c r="C40" s="14" t="str">
        <f>HYPERLINK("http://uswest.ensembl.org/Homo_sapiens/Gene/Summary?g=","-")</f>
        <v>-</v>
      </c>
      <c r="D40" s="14" t="s">
        <v>8368</v>
      </c>
      <c r="E40" s="14" t="str">
        <f>HYPERLINK("http://www.ncbi.nlm.nih.gov/sites/entrez?db=gene&amp;cmd=Retrieve&amp;dopt=full_report&amp;list_uids=836","836")</f>
        <v>836</v>
      </c>
      <c r="F40" s="24" t="s">
        <v>8369</v>
      </c>
      <c r="G40" s="24" t="s">
        <v>8370</v>
      </c>
      <c r="H40" s="14" t="s">
        <v>8371</v>
      </c>
      <c r="I40" s="14" t="s">
        <v>8377</v>
      </c>
      <c r="J40" s="15" t="s">
        <v>8372</v>
      </c>
      <c r="K40" s="16">
        <v>904.17126699999994</v>
      </c>
      <c r="L40" s="17">
        <v>399.47323399999999</v>
      </c>
      <c r="M40" s="18">
        <f t="shared" si="0"/>
        <v>0.44181146711887276</v>
      </c>
    </row>
    <row r="41" spans="1:13">
      <c r="A41" s="13" t="s">
        <v>8356</v>
      </c>
      <c r="B41" s="14" t="s">
        <v>8356</v>
      </c>
      <c r="C41" s="14" t="str">
        <f>HYPERLINK("http://uswest.ensembl.org/Homo_sapiens/Gene/Summary?g=","-")</f>
        <v>-</v>
      </c>
      <c r="D41" s="14" t="s">
        <v>8357</v>
      </c>
      <c r="E41" s="14" t="str">
        <f>HYPERLINK("http://www.ncbi.nlm.nih.gov/sites/entrez?db=gene&amp;cmd=Retrieve&amp;dopt=full_report&amp;list_uids=3976","3976")</f>
        <v>3976</v>
      </c>
      <c r="F41" s="24" t="s">
        <v>8358</v>
      </c>
      <c r="G41" s="24" t="s">
        <v>8359</v>
      </c>
      <c r="H41" s="19" t="s">
        <v>8350</v>
      </c>
      <c r="I41" s="14" t="s">
        <v>8351</v>
      </c>
      <c r="J41" s="15" t="s">
        <v>8352</v>
      </c>
      <c r="K41" s="16">
        <v>54.636406999999998</v>
      </c>
      <c r="L41" s="17">
        <v>24.530704</v>
      </c>
      <c r="M41" s="18">
        <f t="shared" si="0"/>
        <v>0.44898091486872482</v>
      </c>
    </row>
    <row r="42" spans="1:13">
      <c r="A42" s="13" t="s">
        <v>8353</v>
      </c>
      <c r="B42" s="14" t="s">
        <v>8353</v>
      </c>
      <c r="C42" s="14" t="str">
        <f>HYPERLINK("http://uswest.ensembl.org/Homo_sapiens/Gene/Summary?g=","-")</f>
        <v>-</v>
      </c>
      <c r="D42" s="14" t="s">
        <v>8354</v>
      </c>
      <c r="E42" s="14" t="str">
        <f>HYPERLINK("http://www.ncbi.nlm.nih.gov/sites/entrez?db=gene&amp;cmd=Retrieve&amp;dopt=full_report&amp;list_uids=1108","1108")</f>
        <v>1108</v>
      </c>
      <c r="F42" s="24" t="s">
        <v>8355</v>
      </c>
      <c r="G42" s="24" t="s">
        <v>8332</v>
      </c>
      <c r="H42" s="14" t="s">
        <v>8333</v>
      </c>
      <c r="I42" s="14" t="s">
        <v>8334</v>
      </c>
      <c r="J42" s="15" t="s">
        <v>8316</v>
      </c>
      <c r="K42" s="16">
        <v>187.62913599999999</v>
      </c>
      <c r="L42" s="17">
        <v>84.291335000000004</v>
      </c>
      <c r="M42" s="18">
        <f t="shared" si="0"/>
        <v>0.44924438068083417</v>
      </c>
    </row>
    <row r="43" spans="1:13">
      <c r="A43" s="13" t="s">
        <v>8311</v>
      </c>
      <c r="B43" s="14" t="s">
        <v>8311</v>
      </c>
      <c r="C43" s="14" t="str">
        <f>HYPERLINK("http://uswest.ensembl.org/Homo_sapiens/Gene/Summary?g=ENSG00000218002","ENSG00000218002")</f>
        <v>ENSG00000218002</v>
      </c>
      <c r="D43" s="14" t="s">
        <v>8728</v>
      </c>
      <c r="E43" s="14" t="str">
        <f>HYPERLINK("http://www.ncbi.nlm.nih.gov/sites/entrez?db=gene&amp;cmd=Retrieve&amp;dopt=full_report&amp;list_uids=","-")</f>
        <v>-</v>
      </c>
      <c r="F43" s="24" t="s">
        <v>8312</v>
      </c>
      <c r="G43" s="24" t="s">
        <v>8728</v>
      </c>
      <c r="H43" s="14" t="s">
        <v>8728</v>
      </c>
      <c r="I43" s="14" t="s">
        <v>8728</v>
      </c>
      <c r="J43" s="15" t="s">
        <v>8728</v>
      </c>
      <c r="K43" s="16">
        <v>6671.9749840000004</v>
      </c>
      <c r="L43" s="17">
        <v>3008.3613399999999</v>
      </c>
      <c r="M43" s="18">
        <f t="shared" si="0"/>
        <v>0.45089517679762325</v>
      </c>
    </row>
    <row r="44" spans="1:13">
      <c r="A44" s="13" t="s">
        <v>8337</v>
      </c>
      <c r="B44" s="14" t="s">
        <v>8337</v>
      </c>
      <c r="C44" s="14" t="str">
        <f>HYPERLINK("http://uswest.ensembl.org/Homo_sapiens/Gene/Summary?g=ENSG00000167106","ENSG00000167106")</f>
        <v>ENSG00000167106</v>
      </c>
      <c r="D44" s="14" t="s">
        <v>8338</v>
      </c>
      <c r="E44" s="14" t="str">
        <f>HYPERLINK("http://www.ncbi.nlm.nih.gov/sites/entrez?db=gene&amp;cmd=Retrieve&amp;dopt=full_report&amp;list_uids=399665","399665")</f>
        <v>399665</v>
      </c>
      <c r="F44" s="24" t="s">
        <v>8339</v>
      </c>
      <c r="G44" s="24" t="s">
        <v>8340</v>
      </c>
      <c r="H44" s="14" t="s">
        <v>8728</v>
      </c>
      <c r="I44" s="14" t="s">
        <v>8728</v>
      </c>
      <c r="J44" s="15" t="s">
        <v>8728</v>
      </c>
      <c r="K44" s="16">
        <v>96.598191999999997</v>
      </c>
      <c r="L44" s="17">
        <v>43.588234999999997</v>
      </c>
      <c r="M44" s="18">
        <f t="shared" si="0"/>
        <v>0.45123241022978977</v>
      </c>
    </row>
    <row r="45" spans="1:13">
      <c r="A45" s="13" t="s">
        <v>8342</v>
      </c>
      <c r="B45" s="14" t="s">
        <v>8342</v>
      </c>
      <c r="C45" s="14" t="str">
        <f>HYPERLINK("http://uswest.ensembl.org/Homo_sapiens/Gene/Summary?g=","-")</f>
        <v>-</v>
      </c>
      <c r="D45" s="14" t="s">
        <v>8728</v>
      </c>
      <c r="E45" s="14" t="str">
        <f>HYPERLINK("http://www.ncbi.nlm.nih.gov/sites/entrez?db=gene&amp;cmd=Retrieve&amp;dopt=full_report&amp;list_uids=644450","644450")</f>
        <v>644450</v>
      </c>
      <c r="F45" s="24" t="s">
        <v>8728</v>
      </c>
      <c r="G45" s="24" t="s">
        <v>8728</v>
      </c>
      <c r="H45" s="14" t="s">
        <v>8728</v>
      </c>
      <c r="I45" s="14" t="s">
        <v>8728</v>
      </c>
      <c r="J45" s="15" t="s">
        <v>8728</v>
      </c>
      <c r="K45" s="16">
        <v>56.918557999999997</v>
      </c>
      <c r="L45" s="17">
        <v>25.725726999999999</v>
      </c>
      <c r="M45" s="18">
        <f t="shared" si="0"/>
        <v>0.45197432795117543</v>
      </c>
    </row>
    <row r="46" spans="1:13">
      <c r="A46" s="13" t="s">
        <v>8343</v>
      </c>
      <c r="B46" s="14" t="s">
        <v>8343</v>
      </c>
      <c r="C46" s="14" t="str">
        <f>HYPERLINK("http://uswest.ensembl.org/Homo_sapiens/Gene/Summary?g=ENSG00000134827","ENSG00000134827")</f>
        <v>ENSG00000134827</v>
      </c>
      <c r="D46" s="14" t="s">
        <v>8344</v>
      </c>
      <c r="E46" s="14" t="str">
        <f>HYPERLINK("http://www.ncbi.nlm.nih.gov/sites/entrez?db=gene&amp;cmd=Retrieve&amp;dopt=full_report&amp;list_uids=6947","6947")</f>
        <v>6947</v>
      </c>
      <c r="F46" s="24" t="s">
        <v>8345</v>
      </c>
      <c r="G46" s="24" t="s">
        <v>8346</v>
      </c>
      <c r="H46" s="14" t="s">
        <v>8347</v>
      </c>
      <c r="I46" s="14" t="s">
        <v>8319</v>
      </c>
      <c r="J46" s="15" t="s">
        <v>8731</v>
      </c>
      <c r="K46" s="16">
        <v>974.48418300000003</v>
      </c>
      <c r="L46" s="17">
        <v>440.64923499999998</v>
      </c>
      <c r="M46" s="18">
        <f t="shared" si="0"/>
        <v>0.45218715981970942</v>
      </c>
    </row>
    <row r="47" spans="1:13">
      <c r="A47" s="13" t="s">
        <v>8349</v>
      </c>
      <c r="B47" s="14" t="s">
        <v>8349</v>
      </c>
      <c r="C47" s="14" t="str">
        <f>HYPERLINK("http://uswest.ensembl.org/Homo_sapiens/Gene/Summary?g=ENSG00000132965","ENSG00000132965")</f>
        <v>ENSG00000132965</v>
      </c>
      <c r="D47" s="14" t="s">
        <v>8305</v>
      </c>
      <c r="E47" s="14" t="str">
        <f>HYPERLINK("http://www.ncbi.nlm.nih.gov/sites/entrez?db=gene&amp;cmd=Retrieve&amp;dopt=full_report&amp;list_uids=241","241")</f>
        <v>241</v>
      </c>
      <c r="F47" s="24" t="s">
        <v>8306</v>
      </c>
      <c r="G47" s="24" t="s">
        <v>8307</v>
      </c>
      <c r="H47" s="14" t="s">
        <v>8308</v>
      </c>
      <c r="I47" s="14" t="s">
        <v>8309</v>
      </c>
      <c r="J47" s="15" t="s">
        <v>8698</v>
      </c>
      <c r="K47" s="16">
        <v>7142.0090879999998</v>
      </c>
      <c r="L47" s="17">
        <v>3232.5273510000002</v>
      </c>
      <c r="M47" s="18">
        <f t="shared" si="0"/>
        <v>0.45260756618628378</v>
      </c>
    </row>
    <row r="48" spans="1:13">
      <c r="A48" s="13" t="s">
        <v>8313</v>
      </c>
      <c r="B48" s="14" t="s">
        <v>8313</v>
      </c>
      <c r="C48" s="14" t="str">
        <f>HYPERLINK("http://uswest.ensembl.org/Homo_sapiens/Gene/Summary?g=ENSG00000121807","ENSG00000121807")</f>
        <v>ENSG00000121807</v>
      </c>
      <c r="D48" s="14" t="s">
        <v>8314</v>
      </c>
      <c r="E48" s="14" t="str">
        <f>HYPERLINK("http://www.ncbi.nlm.nih.gov/sites/entrez?db=gene&amp;cmd=Retrieve&amp;dopt=full_report&amp;list_uids=729230","729230")</f>
        <v>729230</v>
      </c>
      <c r="F48" s="24" t="s">
        <v>8315</v>
      </c>
      <c r="G48" s="24" t="s">
        <v>8297</v>
      </c>
      <c r="H48" s="19" t="s">
        <v>8341</v>
      </c>
      <c r="I48" s="19" t="s">
        <v>8292</v>
      </c>
      <c r="J48" s="15" t="s">
        <v>8293</v>
      </c>
      <c r="K48" s="16">
        <v>141.38242399999999</v>
      </c>
      <c r="L48" s="17">
        <v>64.119129999999998</v>
      </c>
      <c r="M48" s="18">
        <f t="shared" si="0"/>
        <v>0.4535155656971902</v>
      </c>
    </row>
    <row r="49" spans="1:13">
      <c r="A49" s="13" t="s">
        <v>8330</v>
      </c>
      <c r="B49" s="14" t="s">
        <v>8330</v>
      </c>
      <c r="C49" s="14" t="str">
        <f>HYPERLINK("http://uswest.ensembl.org/Homo_sapiens/Gene/Summary?g=","-")</f>
        <v>-</v>
      </c>
      <c r="D49" s="14" t="s">
        <v>8728</v>
      </c>
      <c r="E49" s="14" t="str">
        <f>HYPERLINK("http://www.ncbi.nlm.nih.gov/sites/entrez?db=gene&amp;cmd=Retrieve&amp;dopt=full_report&amp;list_uids=100294049","100294049")</f>
        <v>100294049</v>
      </c>
      <c r="F49" s="24" t="s">
        <v>8728</v>
      </c>
      <c r="G49" s="24" t="s">
        <v>8728</v>
      </c>
      <c r="H49" s="14" t="s">
        <v>8728</v>
      </c>
      <c r="I49" s="14" t="s">
        <v>8728</v>
      </c>
      <c r="J49" s="15" t="s">
        <v>8728</v>
      </c>
      <c r="K49" s="16">
        <v>65.446409000000003</v>
      </c>
      <c r="L49" s="17">
        <v>29.894425999999999</v>
      </c>
      <c r="M49" s="18">
        <f t="shared" si="0"/>
        <v>0.45677717779748617</v>
      </c>
    </row>
    <row r="50" spans="1:13">
      <c r="A50" s="13" t="s">
        <v>8323</v>
      </c>
      <c r="B50" s="14" t="s">
        <v>8323</v>
      </c>
      <c r="C50" s="14" t="str">
        <f>HYPERLINK("http://uswest.ensembl.org/Homo_sapiens/Gene/Summary?g=","-")</f>
        <v>-</v>
      </c>
      <c r="D50" s="14" t="s">
        <v>8324</v>
      </c>
      <c r="E50" s="14" t="str">
        <f>HYPERLINK("http://www.ncbi.nlm.nih.gov/sites/entrez?db=gene&amp;cmd=Retrieve&amp;dopt=full_report&amp;list_uids=860","860")</f>
        <v>860</v>
      </c>
      <c r="F50" s="24" t="s">
        <v>8325</v>
      </c>
      <c r="G50" s="24" t="s">
        <v>8326</v>
      </c>
      <c r="H50" s="14" t="s">
        <v>8327</v>
      </c>
      <c r="I50" s="14" t="s">
        <v>8328</v>
      </c>
      <c r="J50" s="15" t="s">
        <v>8558</v>
      </c>
      <c r="K50" s="16">
        <v>96.512416000000002</v>
      </c>
      <c r="L50" s="17">
        <v>44.155137000000003</v>
      </c>
      <c r="M50" s="18">
        <f t="shared" si="0"/>
        <v>0.4575073221667148</v>
      </c>
    </row>
    <row r="51" spans="1:13">
      <c r="A51" s="13" t="s">
        <v>8277</v>
      </c>
      <c r="B51" s="14" t="s">
        <v>8277</v>
      </c>
      <c r="C51" s="14" t="str">
        <f>HYPERLINK("http://uswest.ensembl.org/Homo_sapiens/Gene/Summary?g=ENSG00000111671","ENSG00000111671")</f>
        <v>ENSG00000111671</v>
      </c>
      <c r="D51" s="14" t="s">
        <v>8278</v>
      </c>
      <c r="E51" s="14" t="str">
        <f>HYPERLINK("http://www.ncbi.nlm.nih.gov/sites/entrez?db=gene&amp;cmd=Retrieve&amp;dopt=full_report&amp;list_uids=84727","84727")</f>
        <v>84727</v>
      </c>
      <c r="F51" s="24" t="s">
        <v>8279</v>
      </c>
      <c r="G51" s="24" t="s">
        <v>8280</v>
      </c>
      <c r="H51" s="14" t="s">
        <v>8281</v>
      </c>
      <c r="I51" s="14" t="s">
        <v>8648</v>
      </c>
      <c r="J51" s="15" t="s">
        <v>8522</v>
      </c>
      <c r="K51" s="16">
        <v>245.508137</v>
      </c>
      <c r="L51" s="17">
        <v>112.331388</v>
      </c>
      <c r="M51" s="18">
        <f t="shared" si="0"/>
        <v>0.45754649671754055</v>
      </c>
    </row>
    <row r="52" spans="1:13">
      <c r="A52" s="13" t="s">
        <v>8283</v>
      </c>
      <c r="B52" s="14" t="s">
        <v>8283</v>
      </c>
      <c r="C52" s="14" t="str">
        <f>HYPERLINK("http://uswest.ensembl.org/Homo_sapiens/Gene/Summary?g=ENSG00000067955","ENSG00000067955")</f>
        <v>ENSG00000067955</v>
      </c>
      <c r="D52" s="14" t="s">
        <v>8284</v>
      </c>
      <c r="E52" s="14" t="str">
        <f>HYPERLINK("http://www.ncbi.nlm.nih.gov/sites/entrez?db=gene&amp;cmd=Retrieve&amp;dopt=full_report&amp;list_uids=865","865")</f>
        <v>865</v>
      </c>
      <c r="F52" s="24" t="s">
        <v>8285</v>
      </c>
      <c r="G52" s="24" t="s">
        <v>8273</v>
      </c>
      <c r="H52" s="14" t="s">
        <v>8274</v>
      </c>
      <c r="I52" s="14" t="s">
        <v>8275</v>
      </c>
      <c r="J52" s="15" t="s">
        <v>8276</v>
      </c>
      <c r="K52" s="16">
        <v>558.86938499999997</v>
      </c>
      <c r="L52" s="17">
        <v>256.17259300000001</v>
      </c>
      <c r="M52" s="18">
        <f t="shared" si="0"/>
        <v>0.45837650062008678</v>
      </c>
    </row>
    <row r="53" spans="1:13">
      <c r="A53" s="13" t="s">
        <v>8299</v>
      </c>
      <c r="B53" s="14" t="s">
        <v>8299</v>
      </c>
      <c r="C53" s="14" t="str">
        <f>HYPERLINK("http://uswest.ensembl.org/Homo_sapiens/Gene/Summary?g=","-")</f>
        <v>-</v>
      </c>
      <c r="D53" s="14" t="s">
        <v>8300</v>
      </c>
      <c r="E53" s="14" t="str">
        <f>HYPERLINK("http://www.ncbi.nlm.nih.gov/sites/entrez?db=gene&amp;cmd=Retrieve&amp;dopt=full_report&amp;list_uids=5799","5799")</f>
        <v>5799</v>
      </c>
      <c r="F53" s="24" t="s">
        <v>8301</v>
      </c>
      <c r="G53" s="24" t="s">
        <v>8302</v>
      </c>
      <c r="H53" s="14" t="s">
        <v>8559</v>
      </c>
      <c r="I53" s="14" t="s">
        <v>8303</v>
      </c>
      <c r="J53" s="15" t="s">
        <v>8728</v>
      </c>
      <c r="K53" s="16">
        <v>72.791982000000004</v>
      </c>
      <c r="L53" s="17">
        <v>33.766044999999998</v>
      </c>
      <c r="M53" s="18">
        <f t="shared" si="0"/>
        <v>0.46387038891178972</v>
      </c>
    </row>
    <row r="54" spans="1:13">
      <c r="A54" s="13" t="s">
        <v>8265</v>
      </c>
      <c r="B54" s="14" t="s">
        <v>8265</v>
      </c>
      <c r="C54" s="14" t="str">
        <f>HYPERLINK("http://uswest.ensembl.org/Homo_sapiens/Gene/Summary?g=","-")</f>
        <v>-</v>
      </c>
      <c r="D54" s="14" t="s">
        <v>8266</v>
      </c>
      <c r="E54" s="14" t="str">
        <f>HYPERLINK("http://www.ncbi.nlm.nih.gov/sites/entrez?db=gene&amp;cmd=Retrieve&amp;dopt=full_report&amp;list_uids=1027","1027")</f>
        <v>1027</v>
      </c>
      <c r="F54" s="24" t="s">
        <v>8267</v>
      </c>
      <c r="G54" s="24" t="s">
        <v>8268</v>
      </c>
      <c r="H54" s="19" t="s">
        <v>8298</v>
      </c>
      <c r="I54" s="14" t="s">
        <v>8257</v>
      </c>
      <c r="J54" s="15" t="s">
        <v>8258</v>
      </c>
      <c r="K54" s="16">
        <v>94.579204000000004</v>
      </c>
      <c r="L54" s="17">
        <v>43.887441000000003</v>
      </c>
      <c r="M54" s="18">
        <f t="shared" si="0"/>
        <v>0.46402844540751265</v>
      </c>
    </row>
    <row r="55" spans="1:13">
      <c r="A55" s="13" t="s">
        <v>8262</v>
      </c>
      <c r="B55" s="14" t="s">
        <v>8262</v>
      </c>
      <c r="C55" s="14" t="str">
        <f>HYPERLINK("http://uswest.ensembl.org/Homo_sapiens/Gene/Summary?g=","-")</f>
        <v>-</v>
      </c>
      <c r="D55" s="14" t="s">
        <v>8263</v>
      </c>
      <c r="E55" s="14" t="str">
        <f>HYPERLINK("http://www.ncbi.nlm.nih.gov/sites/entrez?db=gene&amp;cmd=Retrieve&amp;dopt=full_report&amp;list_uids=2317","2317")</f>
        <v>2317</v>
      </c>
      <c r="F55" s="24" t="s">
        <v>8264</v>
      </c>
      <c r="G55" s="24" t="s">
        <v>8288</v>
      </c>
      <c r="H55" s="14" t="s">
        <v>8289</v>
      </c>
      <c r="I55" s="14" t="s">
        <v>8290</v>
      </c>
      <c r="J55" s="15" t="s">
        <v>8291</v>
      </c>
      <c r="K55" s="16">
        <v>207.62474599999999</v>
      </c>
      <c r="L55" s="17">
        <v>96.538497000000007</v>
      </c>
      <c r="M55" s="18">
        <f t="shared" si="0"/>
        <v>0.46496623769500006</v>
      </c>
    </row>
    <row r="56" spans="1:13">
      <c r="A56" s="13" t="s">
        <v>8244</v>
      </c>
      <c r="B56" s="14" t="s">
        <v>8244</v>
      </c>
      <c r="C56" s="14" t="str">
        <f>HYPERLINK("http://uswest.ensembl.org/Homo_sapiens/Gene/Summary?g=ENSG00000090013","ENSG00000090013")</f>
        <v>ENSG00000090013</v>
      </c>
      <c r="D56" s="14" t="s">
        <v>8245</v>
      </c>
      <c r="E56" s="14" t="str">
        <f>HYPERLINK("http://www.ncbi.nlm.nih.gov/sites/entrez?db=gene&amp;cmd=Retrieve&amp;dopt=full_report&amp;list_uids=645","645")</f>
        <v>645</v>
      </c>
      <c r="F56" s="24" t="s">
        <v>8246</v>
      </c>
      <c r="G56" s="24" t="s">
        <v>8286</v>
      </c>
      <c r="H56" s="14" t="s">
        <v>8287</v>
      </c>
      <c r="I56" s="14" t="s">
        <v>8243</v>
      </c>
      <c r="J56" s="15" t="s">
        <v>8619</v>
      </c>
      <c r="K56" s="16">
        <v>242.05812499999999</v>
      </c>
      <c r="L56" s="17">
        <v>112.67206</v>
      </c>
      <c r="M56" s="18">
        <f t="shared" si="0"/>
        <v>0.46547522418427395</v>
      </c>
    </row>
    <row r="57" spans="1:13">
      <c r="A57" s="13" t="s">
        <v>8241</v>
      </c>
      <c r="B57" s="14" t="s">
        <v>8241</v>
      </c>
      <c r="C57" s="14" t="str">
        <f>HYPERLINK("http://uswest.ensembl.org/Homo_sapiens/Gene/Summary?g=ENSG00000163631","ENSG00000163631")</f>
        <v>ENSG00000163631</v>
      </c>
      <c r="D57" s="14" t="s">
        <v>8242</v>
      </c>
      <c r="E57" s="14" t="str">
        <f>HYPERLINK("http://www.ncbi.nlm.nih.gov/sites/entrez?db=gene&amp;cmd=Retrieve&amp;dopt=full_report&amp;list_uids=","-")</f>
        <v>-</v>
      </c>
      <c r="F57" s="24" t="s">
        <v>8720</v>
      </c>
      <c r="G57" s="24" t="s">
        <v>8721</v>
      </c>
      <c r="H57" s="14" t="s">
        <v>8734</v>
      </c>
      <c r="I57" s="14" t="s">
        <v>8728</v>
      </c>
      <c r="J57" s="15" t="s">
        <v>8666</v>
      </c>
      <c r="K57" s="16">
        <v>137.421783</v>
      </c>
      <c r="L57" s="17">
        <v>64.210025000000002</v>
      </c>
      <c r="M57" s="18">
        <f t="shared" si="0"/>
        <v>0.46724779433257679</v>
      </c>
    </row>
    <row r="58" spans="1:13">
      <c r="A58" s="13" t="s">
        <v>8237</v>
      </c>
      <c r="B58" s="14" t="s">
        <v>8237</v>
      </c>
      <c r="C58" s="14" t="str">
        <f>HYPERLINK("http://uswest.ensembl.org/Homo_sapiens/Gene/Summary?g=","-")</f>
        <v>-</v>
      </c>
      <c r="D58" s="14" t="s">
        <v>8238</v>
      </c>
      <c r="E58" s="14" t="str">
        <f>HYPERLINK("http://www.ncbi.nlm.nih.gov/sites/entrez?db=gene&amp;cmd=Retrieve&amp;dopt=full_report&amp;list_uids=1901","1901")</f>
        <v>1901</v>
      </c>
      <c r="F58" s="24" t="s">
        <v>8239</v>
      </c>
      <c r="G58" s="24" t="s">
        <v>8229</v>
      </c>
      <c r="H58" s="19" t="s">
        <v>8269</v>
      </c>
      <c r="I58" s="19" t="s">
        <v>8270</v>
      </c>
      <c r="J58" s="15" t="s">
        <v>8271</v>
      </c>
      <c r="K58" s="16">
        <v>145.25952699999999</v>
      </c>
      <c r="L58" s="17">
        <v>68.285605000000004</v>
      </c>
      <c r="M58" s="18">
        <f t="shared" si="0"/>
        <v>0.47009381353692559</v>
      </c>
    </row>
    <row r="59" spans="1:13">
      <c r="A59" s="13" t="s">
        <v>8230</v>
      </c>
      <c r="B59" s="14" t="s">
        <v>8230</v>
      </c>
      <c r="C59" s="14" t="str">
        <f>HYPERLINK("http://uswest.ensembl.org/Homo_sapiens/Gene/Summary?g=ENSG00000170776","ENSG00000170776")</f>
        <v>ENSG00000170776</v>
      </c>
      <c r="D59" s="14" t="s">
        <v>8231</v>
      </c>
      <c r="E59" s="14" t="str">
        <f>HYPERLINK("http://www.ncbi.nlm.nih.gov/sites/entrez?db=gene&amp;cmd=Retrieve&amp;dopt=full_report&amp;list_uids=11214","11214")</f>
        <v>11214</v>
      </c>
      <c r="F59" s="24" t="s">
        <v>8232</v>
      </c>
      <c r="G59" s="25" t="s">
        <v>8252</v>
      </c>
      <c r="H59" s="14" t="s">
        <v>8253</v>
      </c>
      <c r="I59" s="14" t="s">
        <v>8254</v>
      </c>
      <c r="J59" s="15" t="s">
        <v>8707</v>
      </c>
      <c r="K59" s="16">
        <v>235.398921</v>
      </c>
      <c r="L59" s="17">
        <v>110.96629900000001</v>
      </c>
      <c r="M59" s="18">
        <f t="shared" si="0"/>
        <v>0.47139680389614025</v>
      </c>
    </row>
    <row r="60" spans="1:13">
      <c r="A60" s="13" t="s">
        <v>8247</v>
      </c>
      <c r="B60" s="14" t="s">
        <v>8247</v>
      </c>
      <c r="C60" s="14" t="str">
        <f>HYPERLINK("http://uswest.ensembl.org/Homo_sapiens/Gene/Summary?g=ENSG00000100292","ENSG00000100292")</f>
        <v>ENSG00000100292</v>
      </c>
      <c r="D60" s="14" t="s">
        <v>8248</v>
      </c>
      <c r="E60" s="14" t="str">
        <f>HYPERLINK("http://www.ncbi.nlm.nih.gov/sites/entrez?db=gene&amp;cmd=Retrieve&amp;dopt=full_report&amp;list_uids=3162","3162")</f>
        <v>3162</v>
      </c>
      <c r="F60" s="24" t="s">
        <v>8249</v>
      </c>
      <c r="G60" s="24" t="s">
        <v>8250</v>
      </c>
      <c r="H60" s="19" t="s">
        <v>8228</v>
      </c>
      <c r="I60" s="19" t="s">
        <v>8211</v>
      </c>
      <c r="J60" s="15" t="s">
        <v>8212</v>
      </c>
      <c r="K60" s="16">
        <v>116.871533</v>
      </c>
      <c r="L60" s="17">
        <v>55.210496999999997</v>
      </c>
      <c r="M60" s="18">
        <f t="shared" si="0"/>
        <v>0.47240329259649566</v>
      </c>
    </row>
    <row r="61" spans="1:13">
      <c r="A61" s="13" t="s">
        <v>8184</v>
      </c>
      <c r="B61" s="14" t="s">
        <v>8184</v>
      </c>
      <c r="C61" s="14" t="str">
        <f>HYPERLINK("http://uswest.ensembl.org/Homo_sapiens/Gene/Summary?g=ENSG00000173917","ENSG00000173917")</f>
        <v>ENSG00000173917</v>
      </c>
      <c r="D61" s="14" t="s">
        <v>8185</v>
      </c>
      <c r="E61" s="14" t="str">
        <f>HYPERLINK("http://www.ncbi.nlm.nih.gov/sites/entrez?db=gene&amp;cmd=Retrieve&amp;dopt=full_report&amp;list_uids=","-")</f>
        <v>-</v>
      </c>
      <c r="F61" s="24" t="s">
        <v>8186</v>
      </c>
      <c r="G61" s="24" t="s">
        <v>8187</v>
      </c>
      <c r="H61" s="14" t="s">
        <v>8188</v>
      </c>
      <c r="I61" s="14" t="s">
        <v>8557</v>
      </c>
      <c r="J61" s="15" t="s">
        <v>8558</v>
      </c>
      <c r="K61" s="16">
        <v>159.704994</v>
      </c>
      <c r="L61" s="17">
        <v>75.881798000000003</v>
      </c>
      <c r="M61" s="18">
        <f t="shared" si="0"/>
        <v>0.47513728969552449</v>
      </c>
    </row>
    <row r="62" spans="1:13">
      <c r="A62" s="13" t="s">
        <v>8189</v>
      </c>
      <c r="B62" s="14" t="s">
        <v>8189</v>
      </c>
      <c r="C62" s="14" t="str">
        <f>HYPERLINK("http://uswest.ensembl.org/Homo_sapiens/Gene/Summary?g=ENSG00000100884","ENSG00000100884")</f>
        <v>ENSG00000100884</v>
      </c>
      <c r="D62" s="14" t="s">
        <v>8190</v>
      </c>
      <c r="E62" s="14" t="str">
        <f>HYPERLINK("http://www.ncbi.nlm.nih.gov/sites/entrez?db=gene&amp;cmd=Retrieve&amp;dopt=full_report&amp;list_uids=9362","9362")</f>
        <v>9362</v>
      </c>
      <c r="F62" s="24" t="s">
        <v>8191</v>
      </c>
      <c r="G62" s="24" t="s">
        <v>8192</v>
      </c>
      <c r="H62" s="14" t="s">
        <v>8193</v>
      </c>
      <c r="I62" s="14" t="s">
        <v>8208</v>
      </c>
      <c r="J62" s="15" t="s">
        <v>8728</v>
      </c>
      <c r="K62" s="16">
        <v>250.961895</v>
      </c>
      <c r="L62" s="17">
        <v>119.313867</v>
      </c>
      <c r="M62" s="18">
        <f t="shared" si="0"/>
        <v>0.4754262275553825</v>
      </c>
    </row>
    <row r="63" spans="1:13">
      <c r="A63" s="13" t="s">
        <v>8217</v>
      </c>
      <c r="B63" s="14" t="s">
        <v>8217</v>
      </c>
      <c r="C63" s="14" t="str">
        <f>HYPERLINK("http://uswest.ensembl.org/Homo_sapiens/Gene/Summary?g=ENSG00000123096","ENSG00000123096")</f>
        <v>ENSG00000123096</v>
      </c>
      <c r="D63" s="14" t="s">
        <v>8218</v>
      </c>
      <c r="E63" s="14" t="str">
        <f>HYPERLINK("http://www.ncbi.nlm.nih.gov/sites/entrez?db=gene&amp;cmd=Retrieve&amp;dopt=full_report&amp;list_uids=8082","8082")</f>
        <v>8082</v>
      </c>
      <c r="F63" s="24" t="s">
        <v>8219</v>
      </c>
      <c r="G63" s="24" t="s">
        <v>8220</v>
      </c>
      <c r="H63" s="14" t="s">
        <v>8221</v>
      </c>
      <c r="I63" s="14" t="s">
        <v>8728</v>
      </c>
      <c r="J63" s="15" t="s">
        <v>8222</v>
      </c>
      <c r="K63" s="16">
        <v>52.870038999999998</v>
      </c>
      <c r="L63" s="17">
        <v>25.189876000000002</v>
      </c>
      <c r="M63" s="18">
        <f t="shared" si="0"/>
        <v>0.47644897708511247</v>
      </c>
    </row>
    <row r="64" spans="1:13">
      <c r="A64" s="13" t="s">
        <v>8223</v>
      </c>
      <c r="B64" s="14" t="s">
        <v>8223</v>
      </c>
      <c r="C64" s="14" t="str">
        <f>HYPERLINK("http://uswest.ensembl.org/Homo_sapiens/Gene/Summary?g=ENSG00000163295","ENSG00000163295")</f>
        <v>ENSG00000163295</v>
      </c>
      <c r="D64" s="14" t="s">
        <v>8224</v>
      </c>
      <c r="E64" s="14" t="str">
        <f>HYPERLINK("http://www.ncbi.nlm.nih.gov/sites/entrez?db=gene&amp;cmd=Retrieve&amp;dopt=full_report&amp;list_uids=248","248")</f>
        <v>248</v>
      </c>
      <c r="F64" s="24" t="s">
        <v>8225</v>
      </c>
      <c r="G64" s="24" t="s">
        <v>8226</v>
      </c>
      <c r="H64" s="14" t="s">
        <v>8227</v>
      </c>
      <c r="I64" s="14" t="s">
        <v>8181</v>
      </c>
      <c r="J64" s="15" t="s">
        <v>8182</v>
      </c>
      <c r="K64" s="16">
        <v>177.69096200000001</v>
      </c>
      <c r="L64" s="17">
        <v>84.660995999999997</v>
      </c>
      <c r="M64" s="18">
        <f t="shared" si="0"/>
        <v>0.47645077187437362</v>
      </c>
    </row>
    <row r="65" spans="1:13">
      <c r="A65" s="13" t="s">
        <v>8165</v>
      </c>
      <c r="B65" s="14" t="s">
        <v>8165</v>
      </c>
      <c r="C65" s="14" t="str">
        <f>HYPERLINK("http://uswest.ensembl.org/Homo_sapiens/Gene/Summary?g=ENSG00000166126","ENSG00000166126")</f>
        <v>ENSG00000166126</v>
      </c>
      <c r="D65" s="14" t="s">
        <v>8166</v>
      </c>
      <c r="E65" s="14" t="str">
        <f>HYPERLINK("http://www.ncbi.nlm.nih.gov/sites/entrez?db=gene&amp;cmd=Retrieve&amp;dopt=full_report&amp;list_uids=81693","81693")</f>
        <v>81693</v>
      </c>
      <c r="F65" s="24" t="s">
        <v>8167</v>
      </c>
      <c r="G65" s="24" t="s">
        <v>8213</v>
      </c>
      <c r="H65" s="14" t="s">
        <v>8214</v>
      </c>
      <c r="I65" s="14" t="s">
        <v>8728</v>
      </c>
      <c r="J65" s="15" t="s">
        <v>8215</v>
      </c>
      <c r="K65" s="16">
        <v>51.825840999999997</v>
      </c>
      <c r="L65" s="17">
        <v>24.758130000000001</v>
      </c>
      <c r="M65" s="18">
        <f t="shared" si="0"/>
        <v>0.47771786279358214</v>
      </c>
    </row>
    <row r="66" spans="1:13">
      <c r="A66" s="13" t="s">
        <v>8155</v>
      </c>
      <c r="B66" s="14" t="s">
        <v>8155</v>
      </c>
      <c r="C66" s="14" t="str">
        <f>HYPERLINK("http://uswest.ensembl.org/Homo_sapiens/Gene/Summary?g=ENSG00000146757","ENSG00000146757")</f>
        <v>ENSG00000146757</v>
      </c>
      <c r="D66" s="14" t="s">
        <v>8156</v>
      </c>
      <c r="E66" s="14" t="str">
        <f>HYPERLINK("http://www.ncbi.nlm.nih.gov/sites/entrez?db=gene&amp;cmd=Retrieve&amp;dopt=full_report&amp;list_uids=168374","168374")</f>
        <v>168374</v>
      </c>
      <c r="F66" s="24" t="s">
        <v>8157</v>
      </c>
      <c r="G66" s="24" t="s">
        <v>8158</v>
      </c>
      <c r="H66" s="14" t="s">
        <v>8581</v>
      </c>
      <c r="I66" s="14" t="s">
        <v>8164</v>
      </c>
      <c r="J66" s="15" t="s">
        <v>8622</v>
      </c>
      <c r="K66" s="16">
        <v>66.487697999999995</v>
      </c>
      <c r="L66" s="17">
        <v>31.890594</v>
      </c>
      <c r="M66" s="18">
        <f t="shared" ref="M66:M129" si="1">L66/K66</f>
        <v>0.4796465355139834</v>
      </c>
    </row>
    <row r="67" spans="1:13">
      <c r="A67" s="13" t="s">
        <v>8159</v>
      </c>
      <c r="B67" s="14" t="s">
        <v>8159</v>
      </c>
      <c r="C67" s="14" t="str">
        <f>HYPERLINK("http://uswest.ensembl.org/Homo_sapiens/Gene/Summary?g=ENSG00000164463","ENSG00000164463")</f>
        <v>ENSG00000164463</v>
      </c>
      <c r="D67" s="14" t="s">
        <v>8160</v>
      </c>
      <c r="E67" s="14" t="str">
        <f>HYPERLINK("http://www.ncbi.nlm.nih.gov/sites/entrez?db=gene&amp;cmd=Retrieve&amp;dopt=full_report&amp;list_uids=153222","153222")</f>
        <v>153222</v>
      </c>
      <c r="F67" s="24" t="s">
        <v>8161</v>
      </c>
      <c r="G67" s="24" t="s">
        <v>8162</v>
      </c>
      <c r="H67" s="14" t="s">
        <v>8163</v>
      </c>
      <c r="I67" s="14" t="s">
        <v>8154</v>
      </c>
      <c r="J67" s="15" t="s">
        <v>8558</v>
      </c>
      <c r="K67" s="16">
        <v>80.156604999999999</v>
      </c>
      <c r="L67" s="17">
        <v>38.617001000000002</v>
      </c>
      <c r="M67" s="18">
        <f t="shared" si="1"/>
        <v>0.48176941875220392</v>
      </c>
    </row>
    <row r="68" spans="1:13">
      <c r="A68" s="13" t="s">
        <v>8148</v>
      </c>
      <c r="B68" s="14" t="s">
        <v>8148</v>
      </c>
      <c r="C68" s="14" t="str">
        <f>HYPERLINK("http://uswest.ensembl.org/Homo_sapiens/Gene/Summary?g=ENSG00000198762","ENSG00000198762")</f>
        <v>ENSG00000198762</v>
      </c>
      <c r="D68" s="14" t="s">
        <v>8728</v>
      </c>
      <c r="E68" s="14" t="str">
        <f>HYPERLINK("http://www.ncbi.nlm.nih.gov/sites/entrez?db=gene&amp;cmd=Retrieve&amp;dopt=full_report&amp;list_uids=","-")</f>
        <v>-</v>
      </c>
      <c r="F68" s="24" t="s">
        <v>8149</v>
      </c>
      <c r="G68" s="24" t="s">
        <v>8728</v>
      </c>
      <c r="H68" s="14" t="s">
        <v>8728</v>
      </c>
      <c r="I68" s="14" t="s">
        <v>8728</v>
      </c>
      <c r="J68" s="15" t="s">
        <v>8728</v>
      </c>
      <c r="K68" s="16">
        <v>174.00409099999999</v>
      </c>
      <c r="L68" s="17">
        <v>84.144259000000005</v>
      </c>
      <c r="M68" s="18">
        <f t="shared" si="1"/>
        <v>0.48357632580029403</v>
      </c>
    </row>
    <row r="69" spans="1:13">
      <c r="A69" s="13" t="s">
        <v>8150</v>
      </c>
      <c r="B69" s="14" t="s">
        <v>8150</v>
      </c>
      <c r="C69" s="14" t="str">
        <f>HYPERLINK("http://uswest.ensembl.org/Homo_sapiens/Gene/Summary?g=ENSG00000177688","ENSG00000177688")</f>
        <v>ENSG00000177688</v>
      </c>
      <c r="D69" s="14" t="s">
        <v>8151</v>
      </c>
      <c r="E69" s="14" t="str">
        <f>HYPERLINK("http://www.ncbi.nlm.nih.gov/sites/entrez?db=gene&amp;cmd=Retrieve&amp;dopt=full_report&amp;list_uids=387082","387082")</f>
        <v>387082</v>
      </c>
      <c r="F69" s="24" t="s">
        <v>8152</v>
      </c>
      <c r="G69" s="24" t="s">
        <v>8194</v>
      </c>
      <c r="H69" s="14" t="s">
        <v>8195</v>
      </c>
      <c r="I69" s="14" t="s">
        <v>8196</v>
      </c>
      <c r="J69" s="15" t="s">
        <v>8728</v>
      </c>
      <c r="K69" s="16">
        <v>49.783690999999997</v>
      </c>
      <c r="L69" s="17">
        <v>24.141895000000002</v>
      </c>
      <c r="M69" s="18">
        <f t="shared" si="1"/>
        <v>0.48493581964422855</v>
      </c>
    </row>
    <row r="70" spans="1:13">
      <c r="A70" s="13" t="s">
        <v>8199</v>
      </c>
      <c r="B70" s="14" t="s">
        <v>8199</v>
      </c>
      <c r="C70" s="14" t="str">
        <f>HYPERLINK("http://uswest.ensembl.org/Homo_sapiens/Gene/Summary?g=ENSG00000164190","ENSG00000164190")</f>
        <v>ENSG00000164190</v>
      </c>
      <c r="D70" s="14" t="s">
        <v>8200</v>
      </c>
      <c r="E70" s="14" t="str">
        <f>HYPERLINK("http://www.ncbi.nlm.nih.gov/sites/entrez?db=gene&amp;cmd=Retrieve&amp;dopt=full_report&amp;list_uids=25836","25836")</f>
        <v>25836</v>
      </c>
      <c r="F70" s="24" t="s">
        <v>8201</v>
      </c>
      <c r="G70" s="24" t="s">
        <v>8202</v>
      </c>
      <c r="H70" s="14" t="s">
        <v>8203</v>
      </c>
      <c r="I70" s="14" t="s">
        <v>8383</v>
      </c>
      <c r="J70" s="15" t="s">
        <v>8558</v>
      </c>
      <c r="K70" s="16">
        <v>195.57791399999999</v>
      </c>
      <c r="L70" s="17">
        <v>94.962988999999993</v>
      </c>
      <c r="M70" s="18">
        <f t="shared" si="1"/>
        <v>0.48555067930625334</v>
      </c>
    </row>
    <row r="71" spans="1:13">
      <c r="A71" s="13" t="s">
        <v>8171</v>
      </c>
      <c r="B71" s="14" t="s">
        <v>8171</v>
      </c>
      <c r="C71" s="14" t="str">
        <f>HYPERLINK("http://uswest.ensembl.org/Homo_sapiens/Gene/Summary?g=ENSG00000100351","ENSG00000100351")</f>
        <v>ENSG00000100351</v>
      </c>
      <c r="D71" s="14" t="s">
        <v>8172</v>
      </c>
      <c r="E71" s="14" t="str">
        <f>HYPERLINK("http://www.ncbi.nlm.nih.gov/sites/entrez?db=gene&amp;cmd=Retrieve&amp;dopt=full_report&amp;list_uids=9402","9402")</f>
        <v>9402</v>
      </c>
      <c r="F71" s="24" t="s">
        <v>8173</v>
      </c>
      <c r="G71" s="25" t="s">
        <v>8174</v>
      </c>
      <c r="H71" s="14" t="s">
        <v>8175</v>
      </c>
      <c r="I71" s="14" t="s">
        <v>8176</v>
      </c>
      <c r="J71" s="15" t="s">
        <v>8310</v>
      </c>
      <c r="K71" s="16">
        <v>198.60778500000001</v>
      </c>
      <c r="L71" s="17">
        <v>96.728969000000006</v>
      </c>
      <c r="M71" s="18">
        <f t="shared" si="1"/>
        <v>0.48703513308906798</v>
      </c>
    </row>
    <row r="72" spans="1:13">
      <c r="A72" s="13" t="s">
        <v>8177</v>
      </c>
      <c r="B72" s="14" t="s">
        <v>8177</v>
      </c>
      <c r="C72" s="14" t="str">
        <f>HYPERLINK("http://uswest.ensembl.org/Homo_sapiens/Gene/Summary?g=ENSG00000065154","ENSG00000065154")</f>
        <v>ENSG00000065154</v>
      </c>
      <c r="D72" s="14" t="s">
        <v>8178</v>
      </c>
      <c r="E72" s="14" t="str">
        <f>HYPERLINK("http://www.ncbi.nlm.nih.gov/sites/entrez?db=gene&amp;cmd=Retrieve&amp;dopt=full_report&amp;list_uids=4942","4942")</f>
        <v>4942</v>
      </c>
      <c r="F72" s="24" t="s">
        <v>8179</v>
      </c>
      <c r="G72" s="24" t="s">
        <v>8180</v>
      </c>
      <c r="H72" s="14" t="s">
        <v>8363</v>
      </c>
      <c r="I72" s="14" t="s">
        <v>8124</v>
      </c>
      <c r="J72" s="15" t="s">
        <v>8125</v>
      </c>
      <c r="K72" s="16">
        <v>204.045323</v>
      </c>
      <c r="L72" s="17">
        <v>99.443809999999999</v>
      </c>
      <c r="M72" s="18">
        <f t="shared" si="1"/>
        <v>0.48736137902067966</v>
      </c>
    </row>
    <row r="73" spans="1:13">
      <c r="A73" s="13" t="s">
        <v>8126</v>
      </c>
      <c r="B73" s="14" t="s">
        <v>8126</v>
      </c>
      <c r="C73" s="14" t="str">
        <f>HYPERLINK("http://uswest.ensembl.org/Homo_sapiens/Gene/Summary?g=ENSG00000136842","ENSG00000136842")</f>
        <v>ENSG00000136842</v>
      </c>
      <c r="D73" s="14" t="s">
        <v>8127</v>
      </c>
      <c r="E73" s="14" t="str">
        <f>HYPERLINK("http://www.ncbi.nlm.nih.gov/sites/entrez?db=gene&amp;cmd=Retrieve&amp;dopt=full_report&amp;list_uids=7111","7111")</f>
        <v>7111</v>
      </c>
      <c r="F73" s="24" t="s">
        <v>8128</v>
      </c>
      <c r="G73" s="24" t="s">
        <v>8204</v>
      </c>
      <c r="H73" s="14" t="s">
        <v>8129</v>
      </c>
      <c r="I73" s="14" t="s">
        <v>8130</v>
      </c>
      <c r="J73" s="15" t="s">
        <v>8205</v>
      </c>
      <c r="K73" s="16">
        <v>53.280177000000002</v>
      </c>
      <c r="L73" s="17">
        <v>25.972463000000001</v>
      </c>
      <c r="M73" s="18">
        <f t="shared" si="1"/>
        <v>0.48746953299348084</v>
      </c>
    </row>
    <row r="74" spans="1:13">
      <c r="A74" s="13" t="s">
        <v>8144</v>
      </c>
      <c r="B74" s="14" t="s">
        <v>8144</v>
      </c>
      <c r="C74" s="14" t="str">
        <f>HYPERLINK("http://uswest.ensembl.org/Homo_sapiens/Gene/Summary?g=ENSG00000172183","ENSG00000172183")</f>
        <v>ENSG00000172183</v>
      </c>
      <c r="D74" s="14" t="s">
        <v>8145</v>
      </c>
      <c r="E74" s="14" t="str">
        <f>HYPERLINK("http://www.ncbi.nlm.nih.gov/sites/entrez?db=gene&amp;cmd=Retrieve&amp;dopt=full_report&amp;list_uids=3669","3669")</f>
        <v>3669</v>
      </c>
      <c r="F74" s="24" t="s">
        <v>8146</v>
      </c>
      <c r="G74" s="24" t="s">
        <v>8110</v>
      </c>
      <c r="H74" s="14" t="s">
        <v>8111</v>
      </c>
      <c r="I74" s="19" t="s">
        <v>8112</v>
      </c>
      <c r="J74" s="15" t="s">
        <v>8113</v>
      </c>
      <c r="K74" s="16">
        <v>50.150264999999997</v>
      </c>
      <c r="L74" s="17">
        <v>24.462340000000001</v>
      </c>
      <c r="M74" s="18">
        <f t="shared" si="1"/>
        <v>0.48778087214494287</v>
      </c>
    </row>
    <row r="75" spans="1:13">
      <c r="A75" s="13" t="s">
        <v>8114</v>
      </c>
      <c r="B75" s="14" t="s">
        <v>8114</v>
      </c>
      <c r="C75" s="14" t="str">
        <f>HYPERLINK("http://uswest.ensembl.org/Homo_sapiens/Gene/Summary?g=ENSG00000213331","ENSG00000213331")</f>
        <v>ENSG00000213331</v>
      </c>
      <c r="D75" s="14" t="s">
        <v>8728</v>
      </c>
      <c r="E75" s="14" t="str">
        <f>HYPERLINK("http://www.ncbi.nlm.nih.gov/sites/entrez?db=gene&amp;cmd=Retrieve&amp;dopt=full_report&amp;list_uids=","-")</f>
        <v>-</v>
      </c>
      <c r="F75" s="24" t="s">
        <v>8115</v>
      </c>
      <c r="G75" s="24" t="s">
        <v>8728</v>
      </c>
      <c r="H75" s="14" t="s">
        <v>8728</v>
      </c>
      <c r="I75" s="14" t="s">
        <v>8728</v>
      </c>
      <c r="J75" s="15" t="s">
        <v>8728</v>
      </c>
      <c r="K75" s="16">
        <v>51.390379000000003</v>
      </c>
      <c r="L75" s="17">
        <v>25.105618</v>
      </c>
      <c r="M75" s="18">
        <f t="shared" si="1"/>
        <v>0.48852758995998063</v>
      </c>
    </row>
    <row r="76" spans="1:13">
      <c r="A76" s="13" t="s">
        <v>8135</v>
      </c>
      <c r="B76" s="14" t="s">
        <v>8135</v>
      </c>
      <c r="C76" s="14" t="str">
        <f>HYPERLINK("http://uswest.ensembl.org/Homo_sapiens/Gene/Summary?g=ENSG00000219815","ENSG00000219815")</f>
        <v>ENSG00000219815</v>
      </c>
      <c r="D76" s="14" t="s">
        <v>8728</v>
      </c>
      <c r="E76" s="14" t="str">
        <f>HYPERLINK("http://www.ncbi.nlm.nih.gov/sites/entrez?db=gene&amp;cmd=Retrieve&amp;dopt=full_report&amp;list_uids=","-")</f>
        <v>-</v>
      </c>
      <c r="F76" s="24" t="s">
        <v>8136</v>
      </c>
      <c r="G76" s="24" t="s">
        <v>8728</v>
      </c>
      <c r="H76" s="14" t="s">
        <v>8728</v>
      </c>
      <c r="I76" s="14" t="s">
        <v>8728</v>
      </c>
      <c r="J76" s="15" t="s">
        <v>8728</v>
      </c>
      <c r="K76" s="16">
        <v>3967.3543719999998</v>
      </c>
      <c r="L76" s="17">
        <v>1939.633106</v>
      </c>
      <c r="M76" s="18">
        <f t="shared" si="1"/>
        <v>0.48889837512100121</v>
      </c>
    </row>
    <row r="77" spans="1:13">
      <c r="A77" s="13" t="s">
        <v>8137</v>
      </c>
      <c r="B77" s="14" t="s">
        <v>8137</v>
      </c>
      <c r="C77" s="14" t="str">
        <f>HYPERLINK("http://uswest.ensembl.org/Homo_sapiens/Gene/Summary?g=ENSG00000163285","ENSG00000163285")</f>
        <v>ENSG00000163285</v>
      </c>
      <c r="D77" s="14" t="s">
        <v>8138</v>
      </c>
      <c r="E77" s="14" t="str">
        <f>HYPERLINK("http://www.ncbi.nlm.nih.gov/sites/entrez?db=gene&amp;cmd=Retrieve&amp;dopt=full_report&amp;list_uids=2565","2565")</f>
        <v>2565</v>
      </c>
      <c r="F77" s="24" t="s">
        <v>8139</v>
      </c>
      <c r="G77" s="24" t="s">
        <v>8140</v>
      </c>
      <c r="H77" s="14" t="s">
        <v>8141</v>
      </c>
      <c r="I77" s="14" t="s">
        <v>8142</v>
      </c>
      <c r="J77" s="15" t="s">
        <v>8143</v>
      </c>
      <c r="K77" s="16">
        <v>55.724316999999999</v>
      </c>
      <c r="L77" s="17">
        <v>27.247474</v>
      </c>
      <c r="M77" s="18">
        <f t="shared" si="1"/>
        <v>0.48896918736572403</v>
      </c>
    </row>
    <row r="78" spans="1:13">
      <c r="A78" s="13" t="s">
        <v>8118</v>
      </c>
      <c r="B78" s="14" t="s">
        <v>8118</v>
      </c>
      <c r="C78" s="14" t="str">
        <f>HYPERLINK("http://uswest.ensembl.org/Homo_sapiens/Gene/Summary?g=ENSG00000179639","ENSG00000179639")</f>
        <v>ENSG00000179639</v>
      </c>
      <c r="D78" s="14" t="s">
        <v>8728</v>
      </c>
      <c r="E78" s="14" t="str">
        <f>HYPERLINK("http://www.ncbi.nlm.nih.gov/sites/entrez?db=gene&amp;cmd=Retrieve&amp;dopt=full_report&amp;list_uids=2205","2205")</f>
        <v>2205</v>
      </c>
      <c r="F78" s="24" t="s">
        <v>8119</v>
      </c>
      <c r="G78" s="24" t="s">
        <v>8120</v>
      </c>
      <c r="H78" s="19" t="s">
        <v>8089</v>
      </c>
      <c r="I78" s="14" t="s">
        <v>8133</v>
      </c>
      <c r="J78" s="15" t="s">
        <v>8134</v>
      </c>
      <c r="K78" s="16">
        <v>2602.0746300000001</v>
      </c>
      <c r="L78" s="17">
        <v>1272.9328029999999</v>
      </c>
      <c r="M78" s="18">
        <f t="shared" si="1"/>
        <v>0.4891991906473489</v>
      </c>
    </row>
    <row r="79" spans="1:13">
      <c r="A79" s="13" t="s">
        <v>8066</v>
      </c>
      <c r="B79" s="14" t="s">
        <v>8066</v>
      </c>
      <c r="C79" s="14" t="str">
        <f>HYPERLINK("http://uswest.ensembl.org/Homo_sapiens/Gene/Summary?g=ENSG00000164120","ENSG00000164120")</f>
        <v>ENSG00000164120</v>
      </c>
      <c r="D79" s="14" t="s">
        <v>8067</v>
      </c>
      <c r="E79" s="14" t="str">
        <f>HYPERLINK("http://www.ncbi.nlm.nih.gov/sites/entrez?db=gene&amp;cmd=Retrieve&amp;dopt=full_report&amp;list_uids=3248","3248")</f>
        <v>3248</v>
      </c>
      <c r="F79" s="24" t="s">
        <v>8068</v>
      </c>
      <c r="G79" s="24" t="s">
        <v>8069</v>
      </c>
      <c r="H79" s="19" t="s">
        <v>8116</v>
      </c>
      <c r="I79" s="19" t="s">
        <v>8117</v>
      </c>
      <c r="J79" s="15" t="s">
        <v>8310</v>
      </c>
      <c r="K79" s="16">
        <v>2402.890116</v>
      </c>
      <c r="L79" s="17">
        <v>1176.688654</v>
      </c>
      <c r="M79" s="18">
        <f t="shared" si="1"/>
        <v>0.48969723840671875</v>
      </c>
    </row>
    <row r="80" spans="1:13">
      <c r="A80" s="13" t="s">
        <v>8121</v>
      </c>
      <c r="B80" s="14" t="s">
        <v>8121</v>
      </c>
      <c r="C80" s="14" t="str">
        <f>HYPERLINK("http://uswest.ensembl.org/Homo_sapiens/Gene/Summary?g=ENSG00000143217","ENSG00000143217")</f>
        <v>ENSG00000143217</v>
      </c>
      <c r="D80" s="14" t="s">
        <v>8122</v>
      </c>
      <c r="E80" s="14" t="str">
        <f>HYPERLINK("http://www.ncbi.nlm.nih.gov/sites/entrez?db=gene&amp;cmd=Retrieve&amp;dopt=full_report&amp;list_uids=81607","81607")</f>
        <v>81607</v>
      </c>
      <c r="F80" s="24" t="s">
        <v>8123</v>
      </c>
      <c r="G80" s="24" t="s">
        <v>8087</v>
      </c>
      <c r="H80" s="14" t="s">
        <v>8628</v>
      </c>
      <c r="I80" s="14" t="s">
        <v>8665</v>
      </c>
      <c r="J80" s="15" t="s">
        <v>8088</v>
      </c>
      <c r="K80" s="16">
        <v>85.915288000000004</v>
      </c>
      <c r="L80" s="17">
        <v>42.226384000000003</v>
      </c>
      <c r="M80" s="18">
        <f t="shared" si="1"/>
        <v>0.49148859281016438</v>
      </c>
    </row>
    <row r="81" spans="1:13">
      <c r="A81" s="13" t="s">
        <v>8107</v>
      </c>
      <c r="B81" s="14" t="s">
        <v>8107</v>
      </c>
      <c r="C81" s="14" t="str">
        <f>HYPERLINK("http://uswest.ensembl.org/Homo_sapiens/Gene/Summary?g=ENSG00000136834","ENSG00000136834")</f>
        <v>ENSG00000136834</v>
      </c>
      <c r="D81" s="14" t="s">
        <v>8108</v>
      </c>
      <c r="E81" s="14" t="str">
        <f>HYPERLINK("http://www.ncbi.nlm.nih.gov/sites/entrez?db=gene&amp;cmd=Retrieve&amp;dopt=full_report&amp;list_uids=347168","347168")</f>
        <v>347168</v>
      </c>
      <c r="F81" s="24" t="s">
        <v>8109</v>
      </c>
      <c r="G81" s="24" t="s">
        <v>8059</v>
      </c>
      <c r="H81" s="14" t="s">
        <v>8699</v>
      </c>
      <c r="I81" s="14" t="s">
        <v>8661</v>
      </c>
      <c r="J81" s="15" t="s">
        <v>8701</v>
      </c>
      <c r="K81" s="16">
        <v>1649.909267</v>
      </c>
      <c r="L81" s="17">
        <v>812.61209399999996</v>
      </c>
      <c r="M81" s="18">
        <f t="shared" si="1"/>
        <v>0.49251926166676896</v>
      </c>
    </row>
    <row r="82" spans="1:13">
      <c r="A82" s="13" t="s">
        <v>8060</v>
      </c>
      <c r="B82" s="14" t="s">
        <v>8060</v>
      </c>
      <c r="C82" s="14" t="str">
        <f>HYPERLINK("http://uswest.ensembl.org/Homo_sapiens/Gene/Summary?g=ENSG00000204899","ENSG00000204899")</f>
        <v>ENSG00000204899</v>
      </c>
      <c r="D82" s="14" t="s">
        <v>8061</v>
      </c>
      <c r="E82" s="14" t="str">
        <f>HYPERLINK("http://www.ncbi.nlm.nih.gov/sites/entrez?db=gene&amp;cmd=Retrieve&amp;dopt=full_report&amp;list_uids=440145","440145")</f>
        <v>440145</v>
      </c>
      <c r="F82" s="24" t="s">
        <v>8102</v>
      </c>
      <c r="G82" s="24" t="s">
        <v>8103</v>
      </c>
      <c r="H82" s="14" t="s">
        <v>8104</v>
      </c>
      <c r="I82" s="14" t="s">
        <v>8105</v>
      </c>
      <c r="J82" s="15" t="s">
        <v>8728</v>
      </c>
      <c r="K82" s="16">
        <v>117.208439</v>
      </c>
      <c r="L82" s="17">
        <v>57.805992000000003</v>
      </c>
      <c r="M82" s="18">
        <f t="shared" si="1"/>
        <v>0.49318967553181048</v>
      </c>
    </row>
    <row r="83" spans="1:13">
      <c r="A83" s="13" t="s">
        <v>8097</v>
      </c>
      <c r="B83" s="14" t="s">
        <v>8097</v>
      </c>
      <c r="C83" s="14" t="str">
        <f>HYPERLINK("http://uswest.ensembl.org/Homo_sapiens/Gene/Summary?g=ENSG00000170027","ENSG00000170027")</f>
        <v>ENSG00000170027</v>
      </c>
      <c r="D83" s="14" t="s">
        <v>8098</v>
      </c>
      <c r="E83" s="14" t="str">
        <f>HYPERLINK("http://www.ncbi.nlm.nih.gov/sites/entrez?db=gene&amp;cmd=Retrieve&amp;dopt=full_report&amp;list_uids=7532","7532")</f>
        <v>7532</v>
      </c>
      <c r="F83" s="24" t="s">
        <v>8099</v>
      </c>
      <c r="G83" s="24" t="s">
        <v>8100</v>
      </c>
      <c r="H83" s="14" t="s">
        <v>8101</v>
      </c>
      <c r="I83" s="14" t="s">
        <v>8041</v>
      </c>
      <c r="J83" s="15" t="s">
        <v>8619</v>
      </c>
      <c r="K83" s="16">
        <v>301.55516899999998</v>
      </c>
      <c r="L83" s="17">
        <v>149.11187000000001</v>
      </c>
      <c r="M83" s="18">
        <f t="shared" si="1"/>
        <v>0.49447625286768015</v>
      </c>
    </row>
    <row r="84" spans="1:13">
      <c r="A84" s="13" t="s">
        <v>8042</v>
      </c>
      <c r="B84" s="14" t="s">
        <v>8042</v>
      </c>
      <c r="C84" s="14" t="str">
        <f>HYPERLINK("http://uswest.ensembl.org/Homo_sapiens/Gene/Summary?g=","-")</f>
        <v>-</v>
      </c>
      <c r="D84" s="14" t="s">
        <v>8043</v>
      </c>
      <c r="E84" s="14" t="str">
        <f>HYPERLINK("http://www.ncbi.nlm.nih.gov/sites/entrez?db=gene&amp;cmd=Retrieve&amp;dopt=full_report&amp;list_uids=387923","387923")</f>
        <v>387923</v>
      </c>
      <c r="F84" s="24" t="s">
        <v>8044</v>
      </c>
      <c r="G84" s="24" t="s">
        <v>8090</v>
      </c>
      <c r="H84" s="14" t="s">
        <v>8091</v>
      </c>
      <c r="I84" s="14" t="s">
        <v>8728</v>
      </c>
      <c r="J84" s="15" t="s">
        <v>8092</v>
      </c>
      <c r="K84" s="16">
        <v>59.785454000000001</v>
      </c>
      <c r="L84" s="17">
        <v>29.584968</v>
      </c>
      <c r="M84" s="18">
        <f t="shared" si="1"/>
        <v>0.49485227627442618</v>
      </c>
    </row>
    <row r="85" spans="1:13">
      <c r="A85" s="13" t="s">
        <v>8093</v>
      </c>
      <c r="B85" s="14" t="s">
        <v>8093</v>
      </c>
      <c r="C85" s="14" t="str">
        <f>HYPERLINK("http://uswest.ensembl.org/Homo_sapiens/Gene/Summary?g=ENSG00000104899","ENSG00000104899")</f>
        <v>ENSG00000104899</v>
      </c>
      <c r="D85" s="14" t="s">
        <v>8094</v>
      </c>
      <c r="E85" s="14" t="str">
        <f>HYPERLINK("http://www.ncbi.nlm.nih.gov/sites/entrez?db=gene&amp;cmd=Retrieve&amp;dopt=full_report&amp;list_uids=268","268")</f>
        <v>268</v>
      </c>
      <c r="F85" s="24" t="s">
        <v>8095</v>
      </c>
      <c r="G85" s="24" t="s">
        <v>8080</v>
      </c>
      <c r="H85" s="19" t="s">
        <v>8081</v>
      </c>
      <c r="I85" s="14" t="s">
        <v>8082</v>
      </c>
      <c r="J85" s="15" t="s">
        <v>8083</v>
      </c>
      <c r="K85" s="16">
        <v>610.32155</v>
      </c>
      <c r="L85" s="17">
        <v>302.17662899999999</v>
      </c>
      <c r="M85" s="18">
        <f t="shared" si="1"/>
        <v>0.4951105347664686</v>
      </c>
    </row>
    <row r="86" spans="1:13">
      <c r="A86" s="13" t="s">
        <v>8084</v>
      </c>
      <c r="B86" s="14" t="s">
        <v>8084</v>
      </c>
      <c r="C86" s="14" t="str">
        <f>HYPERLINK("http://uswest.ensembl.org/Homo_sapiens/Gene/Summary?g=","-")</f>
        <v>-</v>
      </c>
      <c r="D86" s="14" t="s">
        <v>8085</v>
      </c>
      <c r="E86" s="14" t="str">
        <f>HYPERLINK("http://www.ncbi.nlm.nih.gov/sites/entrez?db=gene&amp;cmd=Retrieve&amp;dopt=full_report&amp;list_uids=3661","3661")</f>
        <v>3661</v>
      </c>
      <c r="F86" s="24" t="s">
        <v>8086</v>
      </c>
      <c r="G86" s="24" t="s">
        <v>8037</v>
      </c>
      <c r="H86" s="14" t="s">
        <v>8038</v>
      </c>
      <c r="I86" s="14" t="s">
        <v>8039</v>
      </c>
      <c r="J86" s="15" t="s">
        <v>8040</v>
      </c>
      <c r="K86" s="16">
        <v>43.713427000000003</v>
      </c>
      <c r="L86" s="17">
        <v>21.646630999999999</v>
      </c>
      <c r="M86" s="18">
        <f t="shared" si="1"/>
        <v>0.49519409677031268</v>
      </c>
    </row>
    <row r="87" spans="1:13">
      <c r="A87" s="13" t="s">
        <v>8077</v>
      </c>
      <c r="B87" s="14" t="s">
        <v>8077</v>
      </c>
      <c r="C87" s="14" t="str">
        <f>HYPERLINK("http://uswest.ensembl.org/Homo_sapiens/Gene/Summary?g=ENSG00000164120","ENSG00000164120")</f>
        <v>ENSG00000164120</v>
      </c>
      <c r="D87" s="14" t="s">
        <v>8078</v>
      </c>
      <c r="E87" s="14" t="str">
        <f>HYPERLINK("http://www.ncbi.nlm.nih.gov/sites/entrez?db=gene&amp;cmd=Retrieve&amp;dopt=full_report&amp;list_uids=","-")</f>
        <v>-</v>
      </c>
      <c r="F87" s="24" t="s">
        <v>8068</v>
      </c>
      <c r="G87" s="24" t="s">
        <v>8069</v>
      </c>
      <c r="H87" s="14" t="s">
        <v>8079</v>
      </c>
      <c r="I87" s="19" t="s">
        <v>8025</v>
      </c>
      <c r="J87" s="15" t="s">
        <v>8070</v>
      </c>
      <c r="K87" s="16">
        <v>1083.7807660000001</v>
      </c>
      <c r="L87" s="17">
        <v>537.95899199999997</v>
      </c>
      <c r="M87" s="18">
        <f t="shared" si="1"/>
        <v>0.49637252189434034</v>
      </c>
    </row>
    <row r="88" spans="1:13">
      <c r="A88" s="13" t="s">
        <v>8071</v>
      </c>
      <c r="B88" s="14" t="s">
        <v>8071</v>
      </c>
      <c r="C88" s="14" t="str">
        <f>HYPERLINK("http://uswest.ensembl.org/Homo_sapiens/Gene/Summary?g=ENSG00000180860","ENSG00000180860")</f>
        <v>ENSG00000180860</v>
      </c>
      <c r="D88" s="14" t="s">
        <v>8072</v>
      </c>
      <c r="E88" s="14" t="str">
        <f>HYPERLINK("http://www.ncbi.nlm.nih.gov/sites/entrez?db=gene&amp;cmd=Retrieve&amp;dopt=full_report&amp;list_uids=649034","649034")</f>
        <v>649034</v>
      </c>
      <c r="F88" s="24" t="s">
        <v>8073</v>
      </c>
      <c r="G88" s="24" t="s">
        <v>8074</v>
      </c>
      <c r="H88" s="14" t="s">
        <v>8623</v>
      </c>
      <c r="I88" s="14" t="s">
        <v>8444</v>
      </c>
      <c r="J88" s="15" t="s">
        <v>8728</v>
      </c>
      <c r="K88" s="16">
        <v>448.05594200000002</v>
      </c>
      <c r="L88" s="17">
        <v>222.694096</v>
      </c>
      <c r="M88" s="18">
        <f t="shared" si="1"/>
        <v>0.4970229721894861</v>
      </c>
    </row>
    <row r="89" spans="1:13">
      <c r="A89" s="13" t="s">
        <v>8054</v>
      </c>
      <c r="B89" s="14" t="s">
        <v>8054</v>
      </c>
      <c r="C89" s="14" t="str">
        <f>HYPERLINK("http://uswest.ensembl.org/Homo_sapiens/Gene/Summary?g=ENSG00000119689","ENSG00000119689")</f>
        <v>ENSG00000119689</v>
      </c>
      <c r="D89" s="14" t="s">
        <v>8055</v>
      </c>
      <c r="E89" s="14" t="str">
        <f>HYPERLINK("http://www.ncbi.nlm.nih.gov/sites/entrez?db=gene&amp;cmd=Retrieve&amp;dopt=full_report&amp;list_uids=1743","1743")</f>
        <v>1743</v>
      </c>
      <c r="F89" s="24" t="s">
        <v>8056</v>
      </c>
      <c r="G89" s="25" t="s">
        <v>8057</v>
      </c>
      <c r="H89" s="14" t="s">
        <v>8058</v>
      </c>
      <c r="I89" s="14" t="s">
        <v>8016</v>
      </c>
      <c r="J89" s="15" t="s">
        <v>8017</v>
      </c>
      <c r="K89" s="16">
        <v>159.004728</v>
      </c>
      <c r="L89" s="17">
        <v>79.113817999999995</v>
      </c>
      <c r="M89" s="18">
        <f t="shared" si="1"/>
        <v>0.49755638712831229</v>
      </c>
    </row>
    <row r="90" spans="1:13">
      <c r="A90" s="13" t="s">
        <v>8018</v>
      </c>
      <c r="B90" s="14" t="s">
        <v>8018</v>
      </c>
      <c r="C90" s="14" t="str">
        <f>HYPERLINK("http://uswest.ensembl.org/Homo_sapiens/Gene/Summary?g=ENSG00000172678","ENSG00000172678")</f>
        <v>ENSG00000172678</v>
      </c>
      <c r="D90" s="14" t="s">
        <v>8019</v>
      </c>
      <c r="E90" s="14" t="str">
        <f>HYPERLINK("http://www.ncbi.nlm.nih.gov/sites/entrez?db=gene&amp;cmd=Retrieve&amp;dopt=full_report&amp;list_uids=","-")</f>
        <v>-</v>
      </c>
      <c r="F90" s="24" t="s">
        <v>8020</v>
      </c>
      <c r="G90" s="24" t="s">
        <v>8021</v>
      </c>
      <c r="H90" s="14" t="s">
        <v>8668</v>
      </c>
      <c r="I90" s="14" t="s">
        <v>8412</v>
      </c>
      <c r="J90" s="15" t="s">
        <v>8669</v>
      </c>
      <c r="K90" s="16">
        <v>70.313467000000003</v>
      </c>
      <c r="L90" s="17">
        <v>34.999867999999999</v>
      </c>
      <c r="M90" s="18">
        <f t="shared" si="1"/>
        <v>0.49776905468194305</v>
      </c>
    </row>
    <row r="91" spans="1:13">
      <c r="A91" s="13" t="s">
        <v>8022</v>
      </c>
      <c r="B91" s="14" t="s">
        <v>8022</v>
      </c>
      <c r="C91" s="14" t="str">
        <f>HYPERLINK("http://uswest.ensembl.org/Homo_sapiens/Gene/Summary?g=","-")</f>
        <v>-</v>
      </c>
      <c r="D91" s="14" t="s">
        <v>8023</v>
      </c>
      <c r="E91" s="14" t="str">
        <f>HYPERLINK("http://www.ncbi.nlm.nih.gov/sites/entrez?db=gene&amp;cmd=Retrieve&amp;dopt=full_report&amp;list_uids=2206","2206")</f>
        <v>2206</v>
      </c>
      <c r="F91" s="24" t="s">
        <v>8024</v>
      </c>
      <c r="G91" s="24" t="s">
        <v>8036</v>
      </c>
      <c r="H91" s="19" t="s">
        <v>8000</v>
      </c>
      <c r="I91" s="14" t="s">
        <v>8001</v>
      </c>
      <c r="J91" s="20" t="s">
        <v>8045</v>
      </c>
      <c r="K91" s="16">
        <v>81.317070999999999</v>
      </c>
      <c r="L91" s="17">
        <v>40.505662000000001</v>
      </c>
      <c r="M91" s="18">
        <f t="shared" si="1"/>
        <v>0.49812003189342619</v>
      </c>
    </row>
    <row r="92" spans="1:13">
      <c r="A92" s="13" t="s">
        <v>8046</v>
      </c>
      <c r="B92" s="14" t="s">
        <v>8046</v>
      </c>
      <c r="C92" s="14" t="str">
        <f>HYPERLINK("http://uswest.ensembl.org/Homo_sapiens/Gene/Summary?g=","-")</f>
        <v>-</v>
      </c>
      <c r="D92" s="14" t="s">
        <v>8047</v>
      </c>
      <c r="E92" s="14" t="str">
        <f>HYPERLINK("http://www.ncbi.nlm.nih.gov/sites/entrez?db=gene&amp;cmd=Retrieve&amp;dopt=full_report&amp;list_uids=5175","5175")</f>
        <v>5175</v>
      </c>
      <c r="F92" s="24" t="s">
        <v>8728</v>
      </c>
      <c r="G92" s="24" t="s">
        <v>8728</v>
      </c>
      <c r="H92" s="14" t="s">
        <v>8728</v>
      </c>
      <c r="I92" s="14" t="s">
        <v>8728</v>
      </c>
      <c r="J92" s="15" t="s">
        <v>8728</v>
      </c>
      <c r="K92" s="16">
        <v>94.391960999999995</v>
      </c>
      <c r="L92" s="17">
        <v>47.026178000000002</v>
      </c>
      <c r="M92" s="18">
        <f t="shared" si="1"/>
        <v>0.49820109151032477</v>
      </c>
    </row>
    <row r="93" spans="1:13">
      <c r="A93" s="13" t="s">
        <v>8049</v>
      </c>
      <c r="B93" s="14" t="s">
        <v>8049</v>
      </c>
      <c r="C93" s="14" t="str">
        <f>HYPERLINK("http://uswest.ensembl.org/Homo_sapiens/Gene/Summary?g=ENSG00000168477","ENSG00000168477")</f>
        <v>ENSG00000168477</v>
      </c>
      <c r="D93" s="14" t="s">
        <v>8050</v>
      </c>
      <c r="E93" s="14" t="str">
        <f>HYPERLINK("http://www.ncbi.nlm.nih.gov/sites/entrez?db=gene&amp;cmd=Retrieve&amp;dopt=full_report&amp;list_uids=7148","7148")</f>
        <v>7148</v>
      </c>
      <c r="F93" s="24" t="s">
        <v>8051</v>
      </c>
      <c r="G93" s="24" t="s">
        <v>8052</v>
      </c>
      <c r="H93" s="14" t="s">
        <v>8565</v>
      </c>
      <c r="I93" s="14" t="s">
        <v>8494</v>
      </c>
      <c r="J93" s="15" t="s">
        <v>8728</v>
      </c>
      <c r="K93" s="16">
        <v>123.197858</v>
      </c>
      <c r="L93" s="17">
        <v>61.419071000000002</v>
      </c>
      <c r="M93" s="18">
        <f t="shared" si="1"/>
        <v>0.49854008825380719</v>
      </c>
    </row>
    <row r="94" spans="1:13">
      <c r="A94" s="13" t="s">
        <v>7990</v>
      </c>
      <c r="B94" s="14" t="s">
        <v>7990</v>
      </c>
      <c r="C94" s="14" t="str">
        <f>HYPERLINK("http://uswest.ensembl.org/Homo_sapiens/Gene/Summary?g=ENSG00000178458","ENSG00000178458")</f>
        <v>ENSG00000178458</v>
      </c>
      <c r="D94" s="14" t="s">
        <v>8026</v>
      </c>
      <c r="E94" s="14" t="str">
        <f>HYPERLINK("http://www.ncbi.nlm.nih.gov/sites/entrez?db=gene&amp;cmd=Retrieve&amp;dopt=full_report&amp;list_uids=8968","8968")</f>
        <v>8968</v>
      </c>
      <c r="F94" s="24" t="s">
        <v>8027</v>
      </c>
      <c r="G94" s="24" t="s">
        <v>8028</v>
      </c>
      <c r="H94" s="14" t="s">
        <v>8681</v>
      </c>
      <c r="I94" s="14" t="s">
        <v>8029</v>
      </c>
      <c r="J94" s="15" t="s">
        <v>8683</v>
      </c>
      <c r="K94" s="16">
        <v>727.35016800000005</v>
      </c>
      <c r="L94" s="17">
        <v>362.69835999999998</v>
      </c>
      <c r="M94" s="18">
        <f t="shared" si="1"/>
        <v>0.49865714748827822</v>
      </c>
    </row>
    <row r="95" spans="1:13">
      <c r="A95" s="13" t="s">
        <v>8030</v>
      </c>
      <c r="B95" s="14" t="s">
        <v>8030</v>
      </c>
      <c r="C95" s="14" t="str">
        <f>HYPERLINK("http://uswest.ensembl.org/Homo_sapiens/Gene/Summary?g=","-")</f>
        <v>-</v>
      </c>
      <c r="D95" s="14" t="s">
        <v>8031</v>
      </c>
      <c r="E95" s="14" t="str">
        <f>HYPERLINK("http://www.ncbi.nlm.nih.gov/sites/entrez?db=gene&amp;cmd=Retrieve&amp;dopt=full_report&amp;list_uids=976","976")</f>
        <v>976</v>
      </c>
      <c r="F95" s="24" t="s">
        <v>8032</v>
      </c>
      <c r="G95" s="24" t="s">
        <v>8033</v>
      </c>
      <c r="H95" s="14" t="s">
        <v>8034</v>
      </c>
      <c r="I95" s="14" t="s">
        <v>8035</v>
      </c>
      <c r="J95" s="15" t="s">
        <v>7988</v>
      </c>
      <c r="K95" s="16">
        <v>394.24629199999998</v>
      </c>
      <c r="L95" s="17">
        <v>196.61572799999999</v>
      </c>
      <c r="M95" s="18">
        <f t="shared" si="1"/>
        <v>0.49871294160453383</v>
      </c>
    </row>
    <row r="96" spans="1:13">
      <c r="A96" s="13" t="s">
        <v>7983</v>
      </c>
      <c r="B96" s="14" t="s">
        <v>7983</v>
      </c>
      <c r="C96" s="14" t="str">
        <f>HYPERLINK("http://uswest.ensembl.org/Homo_sapiens/Gene/Summary?g=ENSG00000185507","ENSG00000185507")</f>
        <v>ENSG00000185507</v>
      </c>
      <c r="D96" s="14" t="s">
        <v>7984</v>
      </c>
      <c r="E96" s="14" t="str">
        <f>HYPERLINK("http://www.ncbi.nlm.nih.gov/sites/entrez?db=gene&amp;cmd=Retrieve&amp;dopt=full_report&amp;list_uids=3665","3665")</f>
        <v>3665</v>
      </c>
      <c r="F96" s="24" t="s">
        <v>7985</v>
      </c>
      <c r="G96" s="24" t="s">
        <v>7986</v>
      </c>
      <c r="H96" s="14" t="s">
        <v>8163</v>
      </c>
      <c r="I96" s="14" t="s">
        <v>7987</v>
      </c>
      <c r="J96" s="15" t="s">
        <v>8558</v>
      </c>
      <c r="K96" s="16">
        <v>83.206642000000002</v>
      </c>
      <c r="L96" s="17">
        <v>41.685265999999999</v>
      </c>
      <c r="M96" s="18">
        <f t="shared" si="1"/>
        <v>0.5009848372441229</v>
      </c>
    </row>
    <row r="97" spans="1:13">
      <c r="A97" s="13" t="s">
        <v>7977</v>
      </c>
      <c r="B97" s="14" t="s">
        <v>7977</v>
      </c>
      <c r="C97" s="14" t="str">
        <f>HYPERLINK("http://uswest.ensembl.org/Homo_sapiens/Gene/Summary?g=","-")</f>
        <v>-</v>
      </c>
      <c r="D97" s="14" t="s">
        <v>7978</v>
      </c>
      <c r="E97" s="14" t="str">
        <f>HYPERLINK("http://www.ncbi.nlm.nih.gov/sites/entrez?db=gene&amp;cmd=Retrieve&amp;dopt=full_report&amp;list_uids=28951","28951")</f>
        <v>28951</v>
      </c>
      <c r="F97" s="24" t="s">
        <v>7979</v>
      </c>
      <c r="G97" s="24" t="s">
        <v>7980</v>
      </c>
      <c r="H97" s="14" t="s">
        <v>8003</v>
      </c>
      <c r="I97" s="14" t="s">
        <v>8004</v>
      </c>
      <c r="J97" s="15" t="s">
        <v>8005</v>
      </c>
      <c r="K97" s="16">
        <v>66.617705000000001</v>
      </c>
      <c r="L97" s="17">
        <v>33.415398000000003</v>
      </c>
      <c r="M97" s="18">
        <f t="shared" si="1"/>
        <v>0.50159935710784398</v>
      </c>
    </row>
    <row r="98" spans="1:13">
      <c r="A98" s="13" t="s">
        <v>8006</v>
      </c>
      <c r="B98" s="14" t="s">
        <v>8006</v>
      </c>
      <c r="C98" s="14" t="str">
        <f>HYPERLINK("http://uswest.ensembl.org/Homo_sapiens/Gene/Summary?g=","-")</f>
        <v>-</v>
      </c>
      <c r="D98" s="14" t="s">
        <v>8007</v>
      </c>
      <c r="E98" s="14" t="str">
        <f>HYPERLINK("http://www.ncbi.nlm.nih.gov/sites/entrez?db=gene&amp;cmd=Retrieve&amp;dopt=full_report&amp;list_uids=50","50")</f>
        <v>50</v>
      </c>
      <c r="F98" s="24" t="s">
        <v>8008</v>
      </c>
      <c r="G98" s="24" t="s">
        <v>8009</v>
      </c>
      <c r="H98" s="14" t="s">
        <v>8010</v>
      </c>
      <c r="I98" s="14" t="s">
        <v>7981</v>
      </c>
      <c r="J98" s="15" t="s">
        <v>8015</v>
      </c>
      <c r="K98" s="16">
        <v>72.857956000000001</v>
      </c>
      <c r="L98" s="17">
        <v>36.553482000000002</v>
      </c>
      <c r="M98" s="18">
        <f t="shared" si="1"/>
        <v>0.50170885935916187</v>
      </c>
    </row>
    <row r="99" spans="1:13">
      <c r="A99" s="13" t="s">
        <v>7956</v>
      </c>
      <c r="B99" s="14" t="s">
        <v>7956</v>
      </c>
      <c r="C99" s="14" t="str">
        <f>HYPERLINK("http://uswest.ensembl.org/Homo_sapiens/Gene/Summary?g=ENSG00000185049","ENSG00000185049")</f>
        <v>ENSG00000185049</v>
      </c>
      <c r="D99" s="14" t="s">
        <v>7957</v>
      </c>
      <c r="E99" s="14" t="str">
        <f>HYPERLINK("http://www.ncbi.nlm.nih.gov/sites/entrez?db=gene&amp;cmd=Retrieve&amp;dopt=full_report&amp;list_uids=","-")</f>
        <v>-</v>
      </c>
      <c r="F99" s="24" t="s">
        <v>7958</v>
      </c>
      <c r="G99" s="24" t="s">
        <v>7959</v>
      </c>
      <c r="H99" s="14" t="s">
        <v>7974</v>
      </c>
      <c r="I99" s="14" t="s">
        <v>8728</v>
      </c>
      <c r="J99" s="15" t="s">
        <v>7975</v>
      </c>
      <c r="K99" s="16">
        <v>46.788494</v>
      </c>
      <c r="L99" s="17">
        <v>23.52854</v>
      </c>
      <c r="M99" s="18">
        <f t="shared" si="1"/>
        <v>0.50287021420266276</v>
      </c>
    </row>
    <row r="100" spans="1:13">
      <c r="A100" s="13" t="s">
        <v>7995</v>
      </c>
      <c r="B100" s="14" t="s">
        <v>7995</v>
      </c>
      <c r="C100" s="14" t="str">
        <f>HYPERLINK("http://uswest.ensembl.org/Homo_sapiens/Gene/Summary?g=ENSG00000197043","ENSG00000197043")</f>
        <v>ENSG00000197043</v>
      </c>
      <c r="D100" s="14" t="s">
        <v>8728</v>
      </c>
      <c r="E100" s="14" t="str">
        <f>HYPERLINK("http://www.ncbi.nlm.nih.gov/sites/entrez?db=gene&amp;cmd=Retrieve&amp;dopt=full_report&amp;list_uids=309","309")</f>
        <v>309</v>
      </c>
      <c r="F100" s="24" t="s">
        <v>7996</v>
      </c>
      <c r="G100" s="24" t="s">
        <v>7997</v>
      </c>
      <c r="H100" s="14" t="s">
        <v>7998</v>
      </c>
      <c r="I100" s="14" t="s">
        <v>7999</v>
      </c>
      <c r="J100" s="15" t="s">
        <v>7945</v>
      </c>
      <c r="K100" s="16">
        <v>484.12163500000003</v>
      </c>
      <c r="L100" s="17">
        <v>243.56666000000001</v>
      </c>
      <c r="M100" s="18">
        <f t="shared" si="1"/>
        <v>0.50311046313804997</v>
      </c>
    </row>
    <row r="101" spans="1:13">
      <c r="A101" s="13" t="s">
        <v>7946</v>
      </c>
      <c r="B101" s="14" t="s">
        <v>7946</v>
      </c>
      <c r="C101" s="14" t="str">
        <f>HYPERLINK("http://uswest.ensembl.org/Homo_sapiens/Gene/Summary?g=ENSG00000144909","ENSG00000144909")</f>
        <v>ENSG00000144909</v>
      </c>
      <c r="D101" s="14" t="s">
        <v>7947</v>
      </c>
      <c r="E101" s="14" t="str">
        <f>HYPERLINK("http://www.ncbi.nlm.nih.gov/sites/entrez?db=gene&amp;cmd=Retrieve&amp;dopt=full_report&amp;list_uids=","-")</f>
        <v>-</v>
      </c>
      <c r="F101" s="24" t="s">
        <v>7948</v>
      </c>
      <c r="G101" s="24" t="s">
        <v>7949</v>
      </c>
      <c r="H101" s="14" t="s">
        <v>7950</v>
      </c>
      <c r="I101" s="14" t="s">
        <v>8728</v>
      </c>
      <c r="J101" s="15" t="s">
        <v>8728</v>
      </c>
      <c r="K101" s="16">
        <v>110.365509</v>
      </c>
      <c r="L101" s="17">
        <v>55.531401000000002</v>
      </c>
      <c r="M101" s="18">
        <f t="shared" si="1"/>
        <v>0.50315901682653408</v>
      </c>
    </row>
    <row r="102" spans="1:13">
      <c r="A102" s="13" t="s">
        <v>8011</v>
      </c>
      <c r="B102" s="14" t="s">
        <v>8011</v>
      </c>
      <c r="C102" s="14" t="str">
        <f>HYPERLINK("http://uswest.ensembl.org/Homo_sapiens/Gene/Summary?g=","-")</f>
        <v>-</v>
      </c>
      <c r="D102" s="14" t="s">
        <v>8012</v>
      </c>
      <c r="E102" s="14" t="str">
        <f>HYPERLINK("http://www.ncbi.nlm.nih.gov/sites/entrez?db=gene&amp;cmd=Retrieve&amp;dopt=full_report&amp;list_uids=221","221")</f>
        <v>221</v>
      </c>
      <c r="F102" s="24" t="s">
        <v>8013</v>
      </c>
      <c r="G102" s="24" t="s">
        <v>8014</v>
      </c>
      <c r="H102" s="14" t="s">
        <v>8728</v>
      </c>
      <c r="I102" s="14" t="s">
        <v>8728</v>
      </c>
      <c r="J102" s="15" t="s">
        <v>8728</v>
      </c>
      <c r="K102" s="16">
        <v>131.71652</v>
      </c>
      <c r="L102" s="17">
        <v>66.298658000000003</v>
      </c>
      <c r="M102" s="18">
        <f t="shared" si="1"/>
        <v>0.50334352896660195</v>
      </c>
    </row>
    <row r="103" spans="1:13">
      <c r="A103" s="13" t="s">
        <v>7951</v>
      </c>
      <c r="B103" s="14" t="s">
        <v>7951</v>
      </c>
      <c r="C103" s="14" t="str">
        <f>HYPERLINK("http://uswest.ensembl.org/Homo_sapiens/Gene/Summary?g=ENSG00000119048","ENSG00000119048")</f>
        <v>ENSG00000119048</v>
      </c>
      <c r="D103" s="14" t="s">
        <v>7952</v>
      </c>
      <c r="E103" s="14" t="str">
        <f>HYPERLINK("http://www.ncbi.nlm.nih.gov/sites/entrez?db=gene&amp;cmd=Retrieve&amp;dopt=full_report&amp;list_uids=7320","7320")</f>
        <v>7320</v>
      </c>
      <c r="F103" s="24" t="s">
        <v>7953</v>
      </c>
      <c r="G103" s="24" t="s">
        <v>7992</v>
      </c>
      <c r="H103" s="19" t="s">
        <v>7993</v>
      </c>
      <c r="I103" s="14" t="s">
        <v>7960</v>
      </c>
      <c r="J103" s="15" t="s">
        <v>8002</v>
      </c>
      <c r="K103" s="16">
        <v>124.63149300000001</v>
      </c>
      <c r="L103" s="17">
        <v>62.776294</v>
      </c>
      <c r="M103" s="18">
        <f t="shared" si="1"/>
        <v>0.50369527387431678</v>
      </c>
    </row>
    <row r="104" spans="1:13">
      <c r="A104" s="13" t="s">
        <v>7971</v>
      </c>
      <c r="B104" s="14" t="s">
        <v>7971</v>
      </c>
      <c r="C104" s="14" t="str">
        <f>HYPERLINK("http://uswest.ensembl.org/Homo_sapiens/Gene/Summary?g=","-")</f>
        <v>-</v>
      </c>
      <c r="D104" s="14" t="s">
        <v>7972</v>
      </c>
      <c r="E104" s="14" t="str">
        <f>HYPERLINK("http://www.ncbi.nlm.nih.gov/sites/entrez?db=gene&amp;cmd=Retrieve&amp;dopt=full_report&amp;list_uids=1495","1495")</f>
        <v>1495</v>
      </c>
      <c r="F104" s="24" t="s">
        <v>7973</v>
      </c>
      <c r="G104" s="24" t="s">
        <v>7917</v>
      </c>
      <c r="H104" s="14" t="s">
        <v>7918</v>
      </c>
      <c r="I104" s="14" t="s">
        <v>7919</v>
      </c>
      <c r="J104" s="15" t="s">
        <v>7920</v>
      </c>
      <c r="K104" s="16">
        <v>271.72374600000001</v>
      </c>
      <c r="L104" s="17">
        <v>136.973705</v>
      </c>
      <c r="M104" s="18">
        <f t="shared" si="1"/>
        <v>0.50409177341460609</v>
      </c>
    </row>
    <row r="105" spans="1:13">
      <c r="A105" s="13" t="s">
        <v>7921</v>
      </c>
      <c r="B105" s="14" t="s">
        <v>7921</v>
      </c>
      <c r="C105" s="14" t="str">
        <f>HYPERLINK("http://uswest.ensembl.org/Homo_sapiens/Gene/Summary?g=ENSG00000124942","ENSG00000124942")</f>
        <v>ENSG00000124942</v>
      </c>
      <c r="D105" s="14" t="s">
        <v>7922</v>
      </c>
      <c r="E105" s="14" t="str">
        <f>HYPERLINK("http://www.ncbi.nlm.nih.gov/sites/entrez?db=gene&amp;cmd=Retrieve&amp;dopt=full_report&amp;list_uids=79026","79026")</f>
        <v>79026</v>
      </c>
      <c r="F105" s="24" t="s">
        <v>7923</v>
      </c>
      <c r="G105" s="24" t="s">
        <v>7924</v>
      </c>
      <c r="H105" s="14" t="s">
        <v>7925</v>
      </c>
      <c r="I105" s="14" t="s">
        <v>8665</v>
      </c>
      <c r="J105" s="15" t="s">
        <v>8558</v>
      </c>
      <c r="K105" s="16">
        <v>147.51082199999999</v>
      </c>
      <c r="L105" s="17">
        <v>74.417771000000002</v>
      </c>
      <c r="M105" s="18">
        <f t="shared" si="1"/>
        <v>0.50449024682406018</v>
      </c>
    </row>
    <row r="106" spans="1:13">
      <c r="A106" s="13" t="s">
        <v>7926</v>
      </c>
      <c r="B106" s="14" t="s">
        <v>7926</v>
      </c>
      <c r="C106" s="14" t="str">
        <f>HYPERLINK("http://uswest.ensembl.org/Homo_sapiens/Gene/Summary?g=ENSG00000048649","ENSG00000048649")</f>
        <v>ENSG00000048649</v>
      </c>
      <c r="D106" s="14" t="s">
        <v>7927</v>
      </c>
      <c r="E106" s="14" t="str">
        <f>HYPERLINK("http://www.ncbi.nlm.nih.gov/sites/entrez?db=gene&amp;cmd=Retrieve&amp;dopt=full_report&amp;list_uids=51773","51773")</f>
        <v>51773</v>
      </c>
      <c r="F106" s="24" t="s">
        <v>7928</v>
      </c>
      <c r="G106" s="24" t="s">
        <v>7929</v>
      </c>
      <c r="H106" s="19" t="s">
        <v>7964</v>
      </c>
      <c r="I106" s="14" t="s">
        <v>7965</v>
      </c>
      <c r="J106" s="15" t="s">
        <v>7966</v>
      </c>
      <c r="K106" s="16">
        <v>67.875979999999998</v>
      </c>
      <c r="L106" s="17">
        <v>34.247497000000003</v>
      </c>
      <c r="M106" s="18">
        <f t="shared" si="1"/>
        <v>0.50455988996401968</v>
      </c>
    </row>
    <row r="107" spans="1:13">
      <c r="A107" s="13" t="s">
        <v>7967</v>
      </c>
      <c r="B107" s="14" t="s">
        <v>7967</v>
      </c>
      <c r="C107" s="14" t="str">
        <f>HYPERLINK("http://uswest.ensembl.org/Homo_sapiens/Gene/Summary?g=ENSG00000182957","ENSG00000182957")</f>
        <v>ENSG00000182957</v>
      </c>
      <c r="D107" s="14" t="s">
        <v>7968</v>
      </c>
      <c r="E107" s="14" t="str">
        <f>HYPERLINK("http://www.ncbi.nlm.nih.gov/sites/entrez?db=gene&amp;cmd=Retrieve&amp;dopt=full_report&amp;list_uids=","-")</f>
        <v>-</v>
      </c>
      <c r="F107" s="24" t="s">
        <v>7969</v>
      </c>
      <c r="G107" s="24" t="s">
        <v>7970</v>
      </c>
      <c r="H107" s="14" t="s">
        <v>8728</v>
      </c>
      <c r="I107" s="14" t="s">
        <v>8728</v>
      </c>
      <c r="J107" s="15" t="s">
        <v>8728</v>
      </c>
      <c r="K107" s="16">
        <v>38.938419000000003</v>
      </c>
      <c r="L107" s="17">
        <v>19.663021000000001</v>
      </c>
      <c r="M107" s="18">
        <f t="shared" si="1"/>
        <v>0.50497738493183297</v>
      </c>
    </row>
    <row r="108" spans="1:13">
      <c r="A108" s="13" t="s">
        <v>7897</v>
      </c>
      <c r="B108" s="14" t="s">
        <v>7897</v>
      </c>
      <c r="C108" s="14" t="str">
        <f>HYPERLINK("http://uswest.ensembl.org/Homo_sapiens/Gene/Summary?g=ENSG00000173826","ENSG00000173826")</f>
        <v>ENSG00000173826</v>
      </c>
      <c r="D108" s="14" t="s">
        <v>7898</v>
      </c>
      <c r="E108" s="14" t="str">
        <f>HYPERLINK("http://www.ncbi.nlm.nih.gov/sites/entrez?db=gene&amp;cmd=Retrieve&amp;dopt=full_report&amp;list_uids=81033","81033")</f>
        <v>81033</v>
      </c>
      <c r="F108" s="24" t="s">
        <v>7899</v>
      </c>
      <c r="G108" s="24" t="s">
        <v>7900</v>
      </c>
      <c r="H108" s="14" t="s">
        <v>7901</v>
      </c>
      <c r="I108" s="14" t="s">
        <v>7961</v>
      </c>
      <c r="J108" s="15" t="s">
        <v>8698</v>
      </c>
      <c r="K108" s="16">
        <v>53.239603000000002</v>
      </c>
      <c r="L108" s="17">
        <v>26.993168000000001</v>
      </c>
      <c r="M108" s="18">
        <f t="shared" si="1"/>
        <v>0.50701294673440744</v>
      </c>
    </row>
    <row r="109" spans="1:13">
      <c r="A109" s="13" t="s">
        <v>7941</v>
      </c>
      <c r="B109" s="14" t="s">
        <v>7941</v>
      </c>
      <c r="C109" s="14" t="str">
        <f>HYPERLINK("http://uswest.ensembl.org/Homo_sapiens/Gene/Summary?g=ENSG00000132517","ENSG00000132517")</f>
        <v>ENSG00000132517</v>
      </c>
      <c r="D109" s="14" t="s">
        <v>7942</v>
      </c>
      <c r="E109" s="14" t="str">
        <f>HYPERLINK("http://www.ncbi.nlm.nih.gov/sites/entrez?db=gene&amp;cmd=Retrieve&amp;dopt=full_report&amp;list_uids=55065","55065")</f>
        <v>55065</v>
      </c>
      <c r="F109" s="24" t="s">
        <v>7943</v>
      </c>
      <c r="G109" s="24" t="s">
        <v>7944</v>
      </c>
      <c r="H109" s="14" t="s">
        <v>8728</v>
      </c>
      <c r="I109" s="14" t="s">
        <v>7892</v>
      </c>
      <c r="J109" s="15" t="s">
        <v>8698</v>
      </c>
      <c r="K109" s="16">
        <v>44.507097000000002</v>
      </c>
      <c r="L109" s="17">
        <v>22.578486000000002</v>
      </c>
      <c r="M109" s="18">
        <f t="shared" si="1"/>
        <v>0.50730080193727312</v>
      </c>
    </row>
    <row r="110" spans="1:13">
      <c r="A110" s="13" t="s">
        <v>7893</v>
      </c>
      <c r="B110" s="14" t="s">
        <v>7893</v>
      </c>
      <c r="C110" s="14" t="str">
        <f>HYPERLINK("http://uswest.ensembl.org/Homo_sapiens/Gene/Summary?g=ENSG00000221960","ENSG00000221960")</f>
        <v>ENSG00000221960</v>
      </c>
      <c r="D110" s="14" t="s">
        <v>7894</v>
      </c>
      <c r="E110" s="14" t="str">
        <f>HYPERLINK("http://www.ncbi.nlm.nih.gov/sites/entrez?db=gene&amp;cmd=Retrieve&amp;dopt=full_report&amp;list_uids=386683","386683")</f>
        <v>386683</v>
      </c>
      <c r="F110" s="24" t="s">
        <v>7895</v>
      </c>
      <c r="G110" s="24" t="s">
        <v>7896</v>
      </c>
      <c r="H110" s="14" t="s">
        <v>8728</v>
      </c>
      <c r="I110" s="14" t="s">
        <v>8728</v>
      </c>
      <c r="J110" s="15" t="s">
        <v>8680</v>
      </c>
      <c r="K110" s="16">
        <v>220.21322000000001</v>
      </c>
      <c r="L110" s="17">
        <v>111.80938500000001</v>
      </c>
      <c r="M110" s="18">
        <f t="shared" si="1"/>
        <v>0.50773239226963762</v>
      </c>
    </row>
    <row r="111" spans="1:13">
      <c r="A111" s="13" t="s">
        <v>7871</v>
      </c>
      <c r="B111" s="14" t="s">
        <v>7871</v>
      </c>
      <c r="C111" s="14" t="str">
        <f>HYPERLINK("http://uswest.ensembl.org/Homo_sapiens/Gene/Summary?g=ENSG00000143387","ENSG00000143387")</f>
        <v>ENSG00000143387</v>
      </c>
      <c r="D111" s="14" t="s">
        <v>7872</v>
      </c>
      <c r="E111" s="14" t="str">
        <f>HYPERLINK("http://www.ncbi.nlm.nih.gov/sites/entrez?db=gene&amp;cmd=Retrieve&amp;dopt=full_report&amp;list_uids=1513","1513")</f>
        <v>1513</v>
      </c>
      <c r="F111" s="24" t="s">
        <v>7873</v>
      </c>
      <c r="G111" s="24" t="s">
        <v>7874</v>
      </c>
      <c r="H111" s="14" t="s">
        <v>8623</v>
      </c>
      <c r="I111" s="14" t="s">
        <v>7930</v>
      </c>
      <c r="J111" s="15" t="s">
        <v>7931</v>
      </c>
      <c r="K111" s="16">
        <v>39.264569999999999</v>
      </c>
      <c r="L111" s="17">
        <v>20.072414999999999</v>
      </c>
      <c r="M111" s="18">
        <f t="shared" si="1"/>
        <v>0.51120934216266722</v>
      </c>
    </row>
    <row r="112" spans="1:13">
      <c r="A112" s="13" t="s">
        <v>7933</v>
      </c>
      <c r="B112" s="14" t="s">
        <v>7933</v>
      </c>
      <c r="C112" s="14" t="str">
        <f>HYPERLINK("http://uswest.ensembl.org/Homo_sapiens/Gene/Summary?g=ENSG00000071794","ENSG00000071794")</f>
        <v>ENSG00000071794</v>
      </c>
      <c r="D112" s="14" t="s">
        <v>7934</v>
      </c>
      <c r="E112" s="14" t="str">
        <f>HYPERLINK("http://www.ncbi.nlm.nih.gov/sites/entrez?db=gene&amp;cmd=Retrieve&amp;dopt=full_report&amp;list_uids=6596","6596")</f>
        <v>6596</v>
      </c>
      <c r="F112" s="24" t="s">
        <v>7935</v>
      </c>
      <c r="G112" s="25" t="s">
        <v>7936</v>
      </c>
      <c r="H112" s="14" t="s">
        <v>7937</v>
      </c>
      <c r="I112" s="19" t="s">
        <v>7860</v>
      </c>
      <c r="J112" s="15" t="s">
        <v>8558</v>
      </c>
      <c r="K112" s="16">
        <v>72.843382000000005</v>
      </c>
      <c r="L112" s="17">
        <v>37.258665000000001</v>
      </c>
      <c r="M112" s="18">
        <f t="shared" si="1"/>
        <v>0.51149004860867109</v>
      </c>
    </row>
    <row r="113" spans="1:13">
      <c r="A113" s="13" t="s">
        <v>7861</v>
      </c>
      <c r="B113" s="14" t="s">
        <v>7861</v>
      </c>
      <c r="C113" s="14" t="str">
        <f>HYPERLINK("http://uswest.ensembl.org/Homo_sapiens/Gene/Summary?g=ENSG00000180913","ENSG00000180913")</f>
        <v>ENSG00000180913</v>
      </c>
      <c r="D113" s="14" t="s">
        <v>8728</v>
      </c>
      <c r="E113" s="14" t="str">
        <f>HYPERLINK("http://www.ncbi.nlm.nih.gov/sites/entrez?db=gene&amp;cmd=Retrieve&amp;dopt=full_report&amp;list_uids=","-")</f>
        <v>-</v>
      </c>
      <c r="F113" s="24" t="s">
        <v>7862</v>
      </c>
      <c r="G113" s="24" t="s">
        <v>7863</v>
      </c>
      <c r="H113" s="14" t="s">
        <v>8668</v>
      </c>
      <c r="I113" s="14" t="s">
        <v>8700</v>
      </c>
      <c r="J113" s="15" t="s">
        <v>8669</v>
      </c>
      <c r="K113" s="16">
        <v>55.400485000000003</v>
      </c>
      <c r="L113" s="17">
        <v>28.371746000000002</v>
      </c>
      <c r="M113" s="18">
        <f t="shared" si="1"/>
        <v>0.51212089569251962</v>
      </c>
    </row>
    <row r="114" spans="1:13">
      <c r="A114" s="13" t="s">
        <v>7864</v>
      </c>
      <c r="B114" s="14" t="s">
        <v>7864</v>
      </c>
      <c r="C114" s="14" t="str">
        <f>HYPERLINK("http://uswest.ensembl.org/Homo_sapiens/Gene/Summary?g=ENSG00000174977","ENSG00000174977")</f>
        <v>ENSG00000174977</v>
      </c>
      <c r="D114" s="14" t="s">
        <v>8728</v>
      </c>
      <c r="E114" s="14" t="str">
        <f>HYPERLINK("http://www.ncbi.nlm.nih.gov/sites/entrez?db=gene&amp;cmd=Retrieve&amp;dopt=full_report&amp;list_uids=","-")</f>
        <v>-</v>
      </c>
      <c r="F114" s="24" t="s">
        <v>7865</v>
      </c>
      <c r="G114" s="24" t="s">
        <v>8728</v>
      </c>
      <c r="H114" s="14" t="s">
        <v>8728</v>
      </c>
      <c r="I114" s="14" t="s">
        <v>8728</v>
      </c>
      <c r="J114" s="15" t="s">
        <v>8728</v>
      </c>
      <c r="K114" s="16">
        <v>95.256908999999993</v>
      </c>
      <c r="L114" s="17">
        <v>48.796132</v>
      </c>
      <c r="M114" s="18">
        <f t="shared" si="1"/>
        <v>0.51225819221154867</v>
      </c>
    </row>
    <row r="115" spans="1:13">
      <c r="A115" s="13" t="s">
        <v>7866</v>
      </c>
      <c r="B115" s="14" t="s">
        <v>7866</v>
      </c>
      <c r="C115" s="14" t="str">
        <f t="shared" ref="C115:C121" si="2">HYPERLINK("http://uswest.ensembl.org/Homo_sapiens/Gene/Summary?g=","-")</f>
        <v>-</v>
      </c>
      <c r="D115" s="14" t="s">
        <v>7867</v>
      </c>
      <c r="E115" s="14" t="str">
        <f>HYPERLINK("http://www.ncbi.nlm.nih.gov/sites/entrez?db=gene&amp;cmd=Retrieve&amp;dopt=full_report&amp;list_uids=51351","51351")</f>
        <v>51351</v>
      </c>
      <c r="F115" s="24" t="s">
        <v>7868</v>
      </c>
      <c r="G115" s="24" t="s">
        <v>7869</v>
      </c>
      <c r="H115" s="14" t="s">
        <v>8728</v>
      </c>
      <c r="I115" s="14" t="s">
        <v>7870</v>
      </c>
      <c r="J115" s="15" t="s">
        <v>8707</v>
      </c>
      <c r="K115" s="16">
        <v>48.318226000000003</v>
      </c>
      <c r="L115" s="17">
        <v>24.753322000000001</v>
      </c>
      <c r="M115" s="18">
        <f t="shared" si="1"/>
        <v>0.51229782318580985</v>
      </c>
    </row>
    <row r="116" spans="1:13">
      <c r="A116" s="13" t="s">
        <v>7910</v>
      </c>
      <c r="B116" s="14" t="s">
        <v>7910</v>
      </c>
      <c r="C116" s="14" t="str">
        <f t="shared" si="2"/>
        <v>-</v>
      </c>
      <c r="D116" s="14" t="s">
        <v>7911</v>
      </c>
      <c r="E116" s="14" t="str">
        <f>HYPERLINK("http://www.ncbi.nlm.nih.gov/sites/entrez?db=gene&amp;cmd=Retrieve&amp;dopt=full_report&amp;list_uids=81544","81544")</f>
        <v>81544</v>
      </c>
      <c r="F116" s="24" t="s">
        <v>7912</v>
      </c>
      <c r="G116" s="24" t="s">
        <v>7913</v>
      </c>
      <c r="H116" s="14" t="s">
        <v>7914</v>
      </c>
      <c r="I116" s="14" t="s">
        <v>7915</v>
      </c>
      <c r="J116" s="15" t="s">
        <v>7916</v>
      </c>
      <c r="K116" s="16">
        <v>80.574805999999995</v>
      </c>
      <c r="L116" s="17">
        <v>41.314951000000001</v>
      </c>
      <c r="M116" s="18">
        <f t="shared" si="1"/>
        <v>0.51275272074499323</v>
      </c>
    </row>
    <row r="117" spans="1:13">
      <c r="A117" s="13" t="s">
        <v>7907</v>
      </c>
      <c r="B117" s="14" t="s">
        <v>7907</v>
      </c>
      <c r="C117" s="14" t="str">
        <f t="shared" si="2"/>
        <v>-</v>
      </c>
      <c r="D117" s="14" t="s">
        <v>7908</v>
      </c>
      <c r="E117" s="14" t="str">
        <f>HYPERLINK("http://www.ncbi.nlm.nih.gov/sites/entrez?db=gene&amp;cmd=Retrieve&amp;dopt=full_report&amp;list_uids=257202","257202")</f>
        <v>257202</v>
      </c>
      <c r="F117" s="24" t="s">
        <v>7909</v>
      </c>
      <c r="G117" s="24" t="s">
        <v>7902</v>
      </c>
      <c r="H117" s="14" t="s">
        <v>7903</v>
      </c>
      <c r="I117" s="14" t="s">
        <v>7904</v>
      </c>
      <c r="J117" s="15" t="s">
        <v>8731</v>
      </c>
      <c r="K117" s="16">
        <v>64.269208000000006</v>
      </c>
      <c r="L117" s="17">
        <v>32.984290000000001</v>
      </c>
      <c r="M117" s="18">
        <f t="shared" si="1"/>
        <v>0.51322073239178545</v>
      </c>
    </row>
    <row r="118" spans="1:13">
      <c r="A118" s="13" t="s">
        <v>7905</v>
      </c>
      <c r="B118" s="14" t="s">
        <v>7905</v>
      </c>
      <c r="C118" s="14" t="str">
        <f t="shared" si="2"/>
        <v>-</v>
      </c>
      <c r="D118" s="14" t="s">
        <v>8728</v>
      </c>
      <c r="E118" s="14" t="str">
        <f>HYPERLINK("http://www.ncbi.nlm.nih.gov/sites/entrez?db=gene&amp;cmd=Retrieve&amp;dopt=full_report&amp;list_uids=389217","389217")</f>
        <v>389217</v>
      </c>
      <c r="F118" s="24" t="s">
        <v>7906</v>
      </c>
      <c r="G118" s="24" t="s">
        <v>8728</v>
      </c>
      <c r="H118" s="14" t="s">
        <v>8681</v>
      </c>
      <c r="I118" s="14" t="s">
        <v>8728</v>
      </c>
      <c r="J118" s="15" t="s">
        <v>8558</v>
      </c>
      <c r="K118" s="16">
        <v>53.202469000000001</v>
      </c>
      <c r="L118" s="17">
        <v>27.361833000000001</v>
      </c>
      <c r="M118" s="18">
        <f t="shared" si="1"/>
        <v>0.51429630079761901</v>
      </c>
    </row>
    <row r="119" spans="1:13">
      <c r="A119" s="13" t="s">
        <v>7849</v>
      </c>
      <c r="B119" s="14" t="s">
        <v>7849</v>
      </c>
      <c r="C119" s="14" t="str">
        <f t="shared" si="2"/>
        <v>-</v>
      </c>
      <c r="D119" s="14" t="s">
        <v>7850</v>
      </c>
      <c r="E119" s="14" t="str">
        <f>HYPERLINK("http://www.ncbi.nlm.nih.gov/sites/entrez?db=gene&amp;cmd=Retrieve&amp;dopt=full_report&amp;list_uids=100287510","100287510")</f>
        <v>100287510</v>
      </c>
      <c r="F119" s="24" t="s">
        <v>8502</v>
      </c>
      <c r="G119" s="24" t="s">
        <v>8503</v>
      </c>
      <c r="H119" s="14" t="s">
        <v>8656</v>
      </c>
      <c r="I119" s="14" t="s">
        <v>7851</v>
      </c>
      <c r="J119" s="15" t="s">
        <v>7852</v>
      </c>
      <c r="K119" s="16">
        <v>41.067692999999998</v>
      </c>
      <c r="L119" s="17">
        <v>21.142468000000001</v>
      </c>
      <c r="M119" s="18">
        <f t="shared" si="1"/>
        <v>0.51481995835509931</v>
      </c>
    </row>
    <row r="120" spans="1:13">
      <c r="A120" s="13" t="s">
        <v>7881</v>
      </c>
      <c r="B120" s="14" t="s">
        <v>7881</v>
      </c>
      <c r="C120" s="14" t="str">
        <f t="shared" si="2"/>
        <v>-</v>
      </c>
      <c r="D120" s="14" t="s">
        <v>7882</v>
      </c>
      <c r="E120" s="14" t="str">
        <f>HYPERLINK("http://www.ncbi.nlm.nih.gov/sites/entrez?db=gene&amp;cmd=Retrieve&amp;dopt=full_report&amp;list_uids=23167","23167")</f>
        <v>23167</v>
      </c>
      <c r="F120" s="24" t="s">
        <v>7883</v>
      </c>
      <c r="G120" s="24" t="s">
        <v>7884</v>
      </c>
      <c r="H120" s="14" t="s">
        <v>8728</v>
      </c>
      <c r="I120" s="14" t="s">
        <v>8383</v>
      </c>
      <c r="J120" s="15" t="s">
        <v>8660</v>
      </c>
      <c r="K120" s="16">
        <v>53.447698000000003</v>
      </c>
      <c r="L120" s="17">
        <v>27.571614</v>
      </c>
      <c r="M120" s="18">
        <f t="shared" si="1"/>
        <v>0.51586158116669489</v>
      </c>
    </row>
    <row r="121" spans="1:13">
      <c r="A121" s="13" t="s">
        <v>7885</v>
      </c>
      <c r="B121" s="14" t="s">
        <v>7885</v>
      </c>
      <c r="C121" s="14" t="str">
        <f t="shared" si="2"/>
        <v>-</v>
      </c>
      <c r="D121" s="14" t="s">
        <v>7886</v>
      </c>
      <c r="E121" s="14" t="str">
        <f>HYPERLINK("http://www.ncbi.nlm.nih.gov/sites/entrez?db=gene&amp;cmd=Retrieve&amp;dopt=full_report&amp;list_uids=115004","115004")</f>
        <v>115004</v>
      </c>
      <c r="F121" s="24" t="s">
        <v>7887</v>
      </c>
      <c r="G121" s="24" t="s">
        <v>7888</v>
      </c>
      <c r="H121" s="14" t="s">
        <v>8728</v>
      </c>
      <c r="I121" s="14" t="s">
        <v>8728</v>
      </c>
      <c r="J121" s="15" t="s">
        <v>8728</v>
      </c>
      <c r="K121" s="16">
        <v>115.4435</v>
      </c>
      <c r="L121" s="17">
        <v>59.564860000000003</v>
      </c>
      <c r="M121" s="18">
        <f t="shared" si="1"/>
        <v>0.51596547228730938</v>
      </c>
    </row>
    <row r="122" spans="1:13">
      <c r="A122" s="13" t="s">
        <v>7889</v>
      </c>
      <c r="B122" s="14" t="s">
        <v>7889</v>
      </c>
      <c r="C122" s="14" t="str">
        <f>HYPERLINK("http://uswest.ensembl.org/Homo_sapiens/Gene/Summary?g=ENSG00000163606","ENSG00000163606")</f>
        <v>ENSG00000163606</v>
      </c>
      <c r="D122" s="14" t="s">
        <v>7890</v>
      </c>
      <c r="E122" s="14" t="str">
        <f>HYPERLINK("http://www.ncbi.nlm.nih.gov/sites/entrez?db=gene&amp;cmd=Retrieve&amp;dopt=full_report&amp;list_uids=131450","131450")</f>
        <v>131450</v>
      </c>
      <c r="F122" s="24" t="s">
        <v>7891</v>
      </c>
      <c r="G122" s="24" t="s">
        <v>7839</v>
      </c>
      <c r="H122" s="14" t="s">
        <v>7840</v>
      </c>
      <c r="I122" s="14" t="s">
        <v>8607</v>
      </c>
      <c r="J122" s="15" t="s">
        <v>7841</v>
      </c>
      <c r="K122" s="16">
        <v>47.542115000000003</v>
      </c>
      <c r="L122" s="17">
        <v>24.532454000000001</v>
      </c>
      <c r="M122" s="18">
        <f t="shared" si="1"/>
        <v>0.51601520041756666</v>
      </c>
    </row>
    <row r="123" spans="1:13">
      <c r="A123" s="13" t="s">
        <v>7844</v>
      </c>
      <c r="B123" s="14" t="s">
        <v>7844</v>
      </c>
      <c r="C123" s="14" t="str">
        <f>HYPERLINK("http://uswest.ensembl.org/Homo_sapiens/Gene/Summary?g=","-")</f>
        <v>-</v>
      </c>
      <c r="D123" s="14" t="s">
        <v>7845</v>
      </c>
      <c r="E123" s="14" t="str">
        <f>HYPERLINK("http://www.ncbi.nlm.nih.gov/sites/entrez?db=gene&amp;cmd=Retrieve&amp;dopt=full_report&amp;list_uids=79862","79862")</f>
        <v>79862</v>
      </c>
      <c r="F123" s="24" t="s">
        <v>7846</v>
      </c>
      <c r="G123" s="24" t="s">
        <v>7847</v>
      </c>
      <c r="H123" s="14" t="s">
        <v>8163</v>
      </c>
      <c r="I123" s="14" t="s">
        <v>7848</v>
      </c>
      <c r="J123" s="15" t="s">
        <v>8707</v>
      </c>
      <c r="K123" s="16">
        <v>43.529322000000001</v>
      </c>
      <c r="L123" s="17">
        <v>22.481313</v>
      </c>
      <c r="M123" s="18">
        <f t="shared" si="1"/>
        <v>0.51646366097776575</v>
      </c>
    </row>
    <row r="124" spans="1:13">
      <c r="A124" s="13" t="s">
        <v>7814</v>
      </c>
      <c r="B124" s="14" t="s">
        <v>7814</v>
      </c>
      <c r="C124" s="14" t="str">
        <f>HYPERLINK("http://uswest.ensembl.org/Homo_sapiens/Gene/Summary?g=","-")</f>
        <v>-</v>
      </c>
      <c r="D124" s="14" t="s">
        <v>7815</v>
      </c>
      <c r="E124" s="14" t="str">
        <f>HYPERLINK("http://www.ncbi.nlm.nih.gov/sites/entrez?db=gene&amp;cmd=Retrieve&amp;dopt=full_report&amp;list_uids=201799","201799")</f>
        <v>201799</v>
      </c>
      <c r="F124" s="24" t="s">
        <v>7816</v>
      </c>
      <c r="G124" s="24" t="s">
        <v>7817</v>
      </c>
      <c r="H124" s="14" t="s">
        <v>8728</v>
      </c>
      <c r="I124" s="14" t="s">
        <v>8728</v>
      </c>
      <c r="J124" s="15" t="s">
        <v>8698</v>
      </c>
      <c r="K124" s="16">
        <v>302.44268799999998</v>
      </c>
      <c r="L124" s="17">
        <v>156.407208</v>
      </c>
      <c r="M124" s="18">
        <f t="shared" si="1"/>
        <v>0.51714660068091978</v>
      </c>
    </row>
    <row r="125" spans="1:13">
      <c r="A125" s="13" t="s">
        <v>7818</v>
      </c>
      <c r="B125" s="14" t="s">
        <v>7818</v>
      </c>
      <c r="C125" s="14" t="str">
        <f>HYPERLINK("http://uswest.ensembl.org/Homo_sapiens/Gene/Summary?g=ENSG00000124399","ENSG00000124399")</f>
        <v>ENSG00000124399</v>
      </c>
      <c r="D125" s="14" t="s">
        <v>8728</v>
      </c>
      <c r="E125" s="14" t="str">
        <f>HYPERLINK("http://www.ncbi.nlm.nih.gov/sites/entrez?db=gene&amp;cmd=Retrieve&amp;dopt=full_report&amp;list_uids=","-")</f>
        <v>-</v>
      </c>
      <c r="F125" s="24" t="s">
        <v>7819</v>
      </c>
      <c r="G125" s="24" t="s">
        <v>7820</v>
      </c>
      <c r="H125" s="14" t="s">
        <v>8728</v>
      </c>
      <c r="I125" s="14" t="s">
        <v>8433</v>
      </c>
      <c r="J125" s="15" t="s">
        <v>8639</v>
      </c>
      <c r="K125" s="16">
        <v>1175.5031759999999</v>
      </c>
      <c r="L125" s="17">
        <v>608.37283300000001</v>
      </c>
      <c r="M125" s="18">
        <f t="shared" si="1"/>
        <v>0.51754248344115072</v>
      </c>
    </row>
    <row r="126" spans="1:13">
      <c r="A126" s="13" t="s">
        <v>7821</v>
      </c>
      <c r="B126" s="14" t="s">
        <v>7821</v>
      </c>
      <c r="C126" s="14" t="str">
        <f>HYPERLINK("http://uswest.ensembl.org/Homo_sapiens/Gene/Summary?g=","-")</f>
        <v>-</v>
      </c>
      <c r="D126" s="14" t="s">
        <v>8728</v>
      </c>
      <c r="E126" s="14" t="str">
        <f>HYPERLINK("http://www.ncbi.nlm.nih.gov/sites/entrez?db=gene&amp;cmd=Retrieve&amp;dopt=full_report&amp;list_uids=390811","390811")</f>
        <v>390811</v>
      </c>
      <c r="F126" s="24" t="s">
        <v>8728</v>
      </c>
      <c r="G126" s="24" t="s">
        <v>8728</v>
      </c>
      <c r="H126" s="14" t="s">
        <v>8728</v>
      </c>
      <c r="I126" s="14" t="s">
        <v>8728</v>
      </c>
      <c r="J126" s="15" t="s">
        <v>8728</v>
      </c>
      <c r="K126" s="16">
        <v>67.645021</v>
      </c>
      <c r="L126" s="17">
        <v>35.035431000000003</v>
      </c>
      <c r="M126" s="18">
        <f t="shared" si="1"/>
        <v>0.51793066928015297</v>
      </c>
    </row>
    <row r="127" spans="1:13">
      <c r="A127" s="13" t="s">
        <v>7823</v>
      </c>
      <c r="B127" s="14" t="s">
        <v>7823</v>
      </c>
      <c r="C127" s="14" t="str">
        <f>HYPERLINK("http://uswest.ensembl.org/Homo_sapiens/Gene/Summary?g=ENSG00000138031","ENSG00000138031")</f>
        <v>ENSG00000138031</v>
      </c>
      <c r="D127" s="14" t="s">
        <v>7824</v>
      </c>
      <c r="E127" s="14" t="str">
        <f>HYPERLINK("http://www.ncbi.nlm.nih.gov/sites/entrez?db=gene&amp;cmd=Retrieve&amp;dopt=full_report&amp;list_uids=109","109")</f>
        <v>109</v>
      </c>
      <c r="F127" s="24" t="s">
        <v>7825</v>
      </c>
      <c r="G127" s="24" t="s">
        <v>7826</v>
      </c>
      <c r="H127" s="14" t="s">
        <v>7875</v>
      </c>
      <c r="I127" s="14" t="s">
        <v>7858</v>
      </c>
      <c r="J127" s="15" t="s">
        <v>7876</v>
      </c>
      <c r="K127" s="16">
        <v>88.238461999999998</v>
      </c>
      <c r="L127" s="17">
        <v>45.720770999999999</v>
      </c>
      <c r="M127" s="18">
        <f t="shared" si="1"/>
        <v>0.51815013502841878</v>
      </c>
    </row>
    <row r="128" spans="1:13">
      <c r="A128" s="13" t="s">
        <v>7877</v>
      </c>
      <c r="B128" s="14" t="s">
        <v>7877</v>
      </c>
      <c r="C128" s="14" t="str">
        <f>HYPERLINK("http://uswest.ensembl.org/Homo_sapiens/Gene/Summary?g=ENSG00000180992","ENSG00000180992")</f>
        <v>ENSG00000180992</v>
      </c>
      <c r="D128" s="14" t="s">
        <v>7878</v>
      </c>
      <c r="E128" s="14" t="str">
        <f>HYPERLINK("http://www.ncbi.nlm.nih.gov/sites/entrez?db=gene&amp;cmd=Retrieve&amp;dopt=full_report&amp;list_uids=64928","64928")</f>
        <v>64928</v>
      </c>
      <c r="F128" s="24" t="s">
        <v>7879</v>
      </c>
      <c r="G128" s="24" t="s">
        <v>7880</v>
      </c>
      <c r="H128" s="14" t="s">
        <v>7806</v>
      </c>
      <c r="I128" s="14" t="s">
        <v>7807</v>
      </c>
      <c r="J128" s="15" t="s">
        <v>7808</v>
      </c>
      <c r="K128" s="16">
        <v>92.505002000000005</v>
      </c>
      <c r="L128" s="17">
        <v>47.938443999999997</v>
      </c>
      <c r="M128" s="18">
        <f t="shared" si="1"/>
        <v>0.51822542525862536</v>
      </c>
    </row>
    <row r="129" spans="1:13">
      <c r="A129" s="13" t="s">
        <v>7809</v>
      </c>
      <c r="B129" s="14" t="s">
        <v>7809</v>
      </c>
      <c r="C129" s="14" t="str">
        <f>HYPERLINK("http://uswest.ensembl.org/Homo_sapiens/Gene/Summary?g=ENSG00000126453","ENSG00000126453")</f>
        <v>ENSG00000126453</v>
      </c>
      <c r="D129" s="14" t="s">
        <v>7810</v>
      </c>
      <c r="E129" s="14" t="str">
        <f>HYPERLINK("http://www.ncbi.nlm.nih.gov/sites/entrez?db=gene&amp;cmd=Retrieve&amp;dopt=full_report&amp;list_uids=83596","83596")</f>
        <v>83596</v>
      </c>
      <c r="F129" s="24" t="s">
        <v>7811</v>
      </c>
      <c r="G129" s="24" t="s">
        <v>7812</v>
      </c>
      <c r="H129" s="14" t="s">
        <v>7813</v>
      </c>
      <c r="I129" s="14" t="s">
        <v>8728</v>
      </c>
      <c r="J129" s="15" t="s">
        <v>8728</v>
      </c>
      <c r="K129" s="16">
        <v>167.97641200000001</v>
      </c>
      <c r="L129" s="17">
        <v>87.062145000000001</v>
      </c>
      <c r="M129" s="18">
        <f t="shared" si="1"/>
        <v>0.51829982533499996</v>
      </c>
    </row>
    <row r="130" spans="1:13">
      <c r="A130" s="13" t="s">
        <v>7787</v>
      </c>
      <c r="B130" s="14" t="s">
        <v>7787</v>
      </c>
      <c r="C130" s="14" t="str">
        <f>HYPERLINK("http://uswest.ensembl.org/Homo_sapiens/Gene/Summary?g=ENSG00000070669","ENSG00000070669")</f>
        <v>ENSG00000070669</v>
      </c>
      <c r="D130" s="14" t="s">
        <v>7788</v>
      </c>
      <c r="E130" s="14" t="str">
        <f>HYPERLINK("http://www.ncbi.nlm.nih.gov/sites/entrez?db=gene&amp;cmd=Retrieve&amp;dopt=full_report&amp;list_uids=440","440")</f>
        <v>440</v>
      </c>
      <c r="F130" s="24" t="s">
        <v>7789</v>
      </c>
      <c r="G130" s="24" t="s">
        <v>7854</v>
      </c>
      <c r="H130" s="19" t="s">
        <v>7855</v>
      </c>
      <c r="I130" s="14" t="s">
        <v>7856</v>
      </c>
      <c r="J130" s="15" t="s">
        <v>7857</v>
      </c>
      <c r="K130" s="16">
        <v>146.774462</v>
      </c>
      <c r="L130" s="17">
        <v>76.415525000000002</v>
      </c>
      <c r="M130" s="18">
        <f t="shared" ref="M130:M193" si="3">L130/K130</f>
        <v>0.52063229501055841</v>
      </c>
    </row>
    <row r="131" spans="1:13">
      <c r="A131" s="13" t="s">
        <v>7859</v>
      </c>
      <c r="B131" s="14" t="s">
        <v>7859</v>
      </c>
      <c r="C131" s="14" t="str">
        <f>HYPERLINK("http://uswest.ensembl.org/Homo_sapiens/Gene/Summary?g=","-")</f>
        <v>-</v>
      </c>
      <c r="D131" s="14" t="s">
        <v>7804</v>
      </c>
      <c r="E131" s="14" t="str">
        <f>HYPERLINK("http://www.ncbi.nlm.nih.gov/sites/entrez?db=gene&amp;cmd=Retrieve&amp;dopt=full_report&amp;list_uids=83871","83871")</f>
        <v>83871</v>
      </c>
      <c r="F131" s="24" t="s">
        <v>7805</v>
      </c>
      <c r="G131" s="24" t="s">
        <v>7779</v>
      </c>
      <c r="H131" s="14" t="s">
        <v>7780</v>
      </c>
      <c r="I131" s="14" t="s">
        <v>7781</v>
      </c>
      <c r="J131" s="15" t="s">
        <v>8707</v>
      </c>
      <c r="K131" s="16">
        <v>41.933090999999997</v>
      </c>
      <c r="L131" s="17">
        <v>21.842369000000001</v>
      </c>
      <c r="M131" s="18">
        <f t="shared" si="3"/>
        <v>0.52088621370649735</v>
      </c>
    </row>
    <row r="132" spans="1:13">
      <c r="A132" s="13" t="s">
        <v>7782</v>
      </c>
      <c r="B132" s="14" t="s">
        <v>7782</v>
      </c>
      <c r="C132" s="14" t="str">
        <f>HYPERLINK("http://uswest.ensembl.org/Homo_sapiens/Gene/Summary?g=ENSG00000215573","ENSG00000215573")</f>
        <v>ENSG00000215573</v>
      </c>
      <c r="D132" s="14" t="s">
        <v>8728</v>
      </c>
      <c r="E132" s="14" t="str">
        <f>HYPERLINK("http://www.ncbi.nlm.nih.gov/sites/entrez?db=gene&amp;cmd=Retrieve&amp;dopt=full_report&amp;list_uids=","-")</f>
        <v>-</v>
      </c>
      <c r="F132" s="24" t="s">
        <v>7783</v>
      </c>
      <c r="G132" s="24" t="s">
        <v>7784</v>
      </c>
      <c r="H132" s="14" t="s">
        <v>8163</v>
      </c>
      <c r="I132" s="14" t="s">
        <v>7987</v>
      </c>
      <c r="J132" s="15" t="s">
        <v>8558</v>
      </c>
      <c r="K132" s="16">
        <v>239.446313</v>
      </c>
      <c r="L132" s="17">
        <v>124.737154</v>
      </c>
      <c r="M132" s="18">
        <f t="shared" si="3"/>
        <v>0.52093996536083642</v>
      </c>
    </row>
    <row r="133" spans="1:13">
      <c r="A133" s="13" t="s">
        <v>7832</v>
      </c>
      <c r="B133" s="14" t="s">
        <v>7832</v>
      </c>
      <c r="C133" s="14" t="str">
        <f>HYPERLINK("http://uswest.ensembl.org/Homo_sapiens/Gene/Summary?g=ENSG00000127920","ENSG00000127920")</f>
        <v>ENSG00000127920</v>
      </c>
      <c r="D133" s="14" t="s">
        <v>7833</v>
      </c>
      <c r="E133" s="14" t="str">
        <f>HYPERLINK("http://www.ncbi.nlm.nih.gov/sites/entrez?db=gene&amp;cmd=Retrieve&amp;dopt=full_report&amp;list_uids=2791","2791")</f>
        <v>2791</v>
      </c>
      <c r="F133" s="24" t="s">
        <v>7834</v>
      </c>
      <c r="G133" s="24" t="s">
        <v>7835</v>
      </c>
      <c r="H133" s="14" t="s">
        <v>7836</v>
      </c>
      <c r="I133" s="14" t="s">
        <v>7837</v>
      </c>
      <c r="J133" s="15" t="s">
        <v>7838</v>
      </c>
      <c r="K133" s="16">
        <v>72.018635000000003</v>
      </c>
      <c r="L133" s="17">
        <v>37.520083</v>
      </c>
      <c r="M133" s="18">
        <f t="shared" si="3"/>
        <v>0.52097742480123366</v>
      </c>
    </row>
    <row r="134" spans="1:13">
      <c r="A134" s="13" t="s">
        <v>7775</v>
      </c>
      <c r="B134" s="14" t="s">
        <v>7775</v>
      </c>
      <c r="C134" s="14" t="str">
        <f>HYPERLINK("http://uswest.ensembl.org/Homo_sapiens/Gene/Summary?g=ENSG00000172086","ENSG00000172086")</f>
        <v>ENSG00000172086</v>
      </c>
      <c r="D134" s="14" t="s">
        <v>7776</v>
      </c>
      <c r="E134" s="14" t="str">
        <f>HYPERLINK("http://www.ncbi.nlm.nih.gov/sites/entrez?db=gene&amp;cmd=Retrieve&amp;dopt=full_report&amp;list_uids=51315","51315")</f>
        <v>51315</v>
      </c>
      <c r="F134" s="24" t="s">
        <v>7777</v>
      </c>
      <c r="G134" s="24" t="s">
        <v>7778</v>
      </c>
      <c r="H134" s="14" t="s">
        <v>8728</v>
      </c>
      <c r="I134" s="14" t="s">
        <v>8728</v>
      </c>
      <c r="J134" s="15" t="s">
        <v>8728</v>
      </c>
      <c r="K134" s="16">
        <v>333.77857499999999</v>
      </c>
      <c r="L134" s="17">
        <v>173.89559</v>
      </c>
      <c r="M134" s="18">
        <f t="shared" si="3"/>
        <v>0.52099086947087603</v>
      </c>
    </row>
    <row r="135" spans="1:13">
      <c r="A135" s="13" t="s">
        <v>7764</v>
      </c>
      <c r="B135" s="14" t="s">
        <v>7764</v>
      </c>
      <c r="C135" s="14" t="str">
        <f>HYPERLINK("http://uswest.ensembl.org/Homo_sapiens/Gene/Summary?g=ENSG00000186448","ENSG00000186448")</f>
        <v>ENSG00000186448</v>
      </c>
      <c r="D135" s="14" t="s">
        <v>7765</v>
      </c>
      <c r="E135" s="14" t="str">
        <f>HYPERLINK("http://www.ncbi.nlm.nih.gov/sites/entrez?db=gene&amp;cmd=Retrieve&amp;dopt=full_report&amp;list_uids=10168","10168")</f>
        <v>10168</v>
      </c>
      <c r="F135" s="24" t="s">
        <v>7766</v>
      </c>
      <c r="G135" s="24" t="s">
        <v>7827</v>
      </c>
      <c r="H135" s="14" t="s">
        <v>7828</v>
      </c>
      <c r="I135" s="14" t="s">
        <v>7829</v>
      </c>
      <c r="J135" s="15" t="s">
        <v>7830</v>
      </c>
      <c r="K135" s="16">
        <v>67.909976999999998</v>
      </c>
      <c r="L135" s="17">
        <v>35.423864000000002</v>
      </c>
      <c r="M135" s="18">
        <f t="shared" si="3"/>
        <v>0.52162974521402061</v>
      </c>
    </row>
    <row r="136" spans="1:13">
      <c r="A136" s="13" t="s">
        <v>7798</v>
      </c>
      <c r="B136" s="14" t="s">
        <v>7798</v>
      </c>
      <c r="C136" s="14" t="str">
        <f>HYPERLINK("http://uswest.ensembl.org/Homo_sapiens/Gene/Summary?g=ENSG00000121691","ENSG00000121691")</f>
        <v>ENSG00000121691</v>
      </c>
      <c r="D136" s="14" t="s">
        <v>7799</v>
      </c>
      <c r="E136" s="14" t="str">
        <f>HYPERLINK("http://www.ncbi.nlm.nih.gov/sites/entrez?db=gene&amp;cmd=Retrieve&amp;dopt=full_report&amp;list_uids=847","847")</f>
        <v>847</v>
      </c>
      <c r="F136" s="24" t="s">
        <v>7800</v>
      </c>
      <c r="G136" s="24" t="s">
        <v>7801</v>
      </c>
      <c r="H136" s="19" t="s">
        <v>7759</v>
      </c>
      <c r="I136" s="14" t="s">
        <v>7760</v>
      </c>
      <c r="J136" s="15" t="s">
        <v>7761</v>
      </c>
      <c r="K136" s="16">
        <v>820.85213099999999</v>
      </c>
      <c r="L136" s="17">
        <v>428.51347299999998</v>
      </c>
      <c r="M136" s="18">
        <f t="shared" si="3"/>
        <v>0.52203491568933991</v>
      </c>
    </row>
    <row r="137" spans="1:13">
      <c r="A137" s="13" t="s">
        <v>7793</v>
      </c>
      <c r="B137" s="14" t="s">
        <v>7793</v>
      </c>
      <c r="C137" s="14" t="str">
        <f>HYPERLINK("http://uswest.ensembl.org/Homo_sapiens/Gene/Summary?g=ENSG00000104915","ENSG00000104915")</f>
        <v>ENSG00000104915</v>
      </c>
      <c r="D137" s="14" t="s">
        <v>7794</v>
      </c>
      <c r="E137" s="14" t="str">
        <f>HYPERLINK("http://www.ncbi.nlm.nih.gov/sites/entrez?db=gene&amp;cmd=Retrieve&amp;dopt=full_report&amp;list_uids=8677","8677")</f>
        <v>8677</v>
      </c>
      <c r="F137" s="24" t="s">
        <v>7795</v>
      </c>
      <c r="G137" s="24" t="s">
        <v>7762</v>
      </c>
      <c r="H137" s="14" t="s">
        <v>7763</v>
      </c>
      <c r="I137" s="14" t="s">
        <v>7797</v>
      </c>
      <c r="J137" s="15" t="s">
        <v>7955</v>
      </c>
      <c r="K137" s="16">
        <v>243.288894</v>
      </c>
      <c r="L137" s="17">
        <v>127.03105600000001</v>
      </c>
      <c r="M137" s="18">
        <f t="shared" si="3"/>
        <v>0.52214079283043646</v>
      </c>
    </row>
    <row r="138" spans="1:13">
      <c r="A138" s="13" t="s">
        <v>7746</v>
      </c>
      <c r="B138" s="14" t="s">
        <v>7746</v>
      </c>
      <c r="C138" s="14" t="str">
        <f>HYPERLINK("http://uswest.ensembl.org/Homo_sapiens/Gene/Summary?g=ENSG00000106211","ENSG00000106211")</f>
        <v>ENSG00000106211</v>
      </c>
      <c r="D138" s="14" t="s">
        <v>7747</v>
      </c>
      <c r="E138" s="14" t="str">
        <f>HYPERLINK("http://www.ncbi.nlm.nih.gov/sites/entrez?db=gene&amp;cmd=Retrieve&amp;dopt=full_report&amp;list_uids=3315","3315")</f>
        <v>3315</v>
      </c>
      <c r="F138" s="24" t="s">
        <v>7748</v>
      </c>
      <c r="G138" s="24" t="s">
        <v>7749</v>
      </c>
      <c r="H138" s="14" t="s">
        <v>7802</v>
      </c>
      <c r="I138" s="14" t="s">
        <v>7822</v>
      </c>
      <c r="J138" s="15" t="s">
        <v>7803</v>
      </c>
      <c r="K138" s="16">
        <v>105.77505600000001</v>
      </c>
      <c r="L138" s="17">
        <v>55.327914</v>
      </c>
      <c r="M138" s="18">
        <f t="shared" si="3"/>
        <v>0.52307146970453977</v>
      </c>
    </row>
    <row r="139" spans="1:13">
      <c r="A139" s="13" t="s">
        <v>7790</v>
      </c>
      <c r="B139" s="14" t="s">
        <v>7790</v>
      </c>
      <c r="C139" s="14" t="str">
        <f>HYPERLINK("http://uswest.ensembl.org/Homo_sapiens/Gene/Summary?g=ENSG00000215179","ENSG00000215179")</f>
        <v>ENSG00000215179</v>
      </c>
      <c r="D139" s="14" t="s">
        <v>8728</v>
      </c>
      <c r="E139" s="14" t="str">
        <f>HYPERLINK("http://www.ncbi.nlm.nih.gov/sites/entrez?db=gene&amp;cmd=Retrieve&amp;dopt=full_report&amp;list_uids=","-")</f>
        <v>-</v>
      </c>
      <c r="F139" s="24" t="s">
        <v>7791</v>
      </c>
      <c r="G139" s="24" t="s">
        <v>8728</v>
      </c>
      <c r="H139" s="14" t="s">
        <v>8728</v>
      </c>
      <c r="I139" s="14" t="s">
        <v>8728</v>
      </c>
      <c r="J139" s="15" t="s">
        <v>8728</v>
      </c>
      <c r="K139" s="16">
        <v>44.728937000000002</v>
      </c>
      <c r="L139" s="17">
        <v>23.425087999999999</v>
      </c>
      <c r="M139" s="18">
        <f t="shared" si="3"/>
        <v>0.52371215528775028</v>
      </c>
    </row>
    <row r="140" spans="1:13">
      <c r="A140" s="13" t="s">
        <v>7737</v>
      </c>
      <c r="B140" s="14" t="s">
        <v>7737</v>
      </c>
      <c r="C140" s="14" t="str">
        <f>HYPERLINK("http://uswest.ensembl.org/Homo_sapiens/Gene/Summary?g=ENSG00000167671","ENSG00000167671")</f>
        <v>ENSG00000167671</v>
      </c>
      <c r="D140" s="14" t="s">
        <v>7738</v>
      </c>
      <c r="E140" s="14" t="str">
        <f>HYPERLINK("http://www.ncbi.nlm.nih.gov/sites/entrez?db=gene&amp;cmd=Retrieve&amp;dopt=full_report&amp;list_uids=","-")</f>
        <v>-</v>
      </c>
      <c r="F140" s="24" t="s">
        <v>7739</v>
      </c>
      <c r="G140" s="24" t="s">
        <v>7740</v>
      </c>
      <c r="H140" s="14" t="s">
        <v>8728</v>
      </c>
      <c r="I140" s="14" t="s">
        <v>8728</v>
      </c>
      <c r="J140" s="15" t="s">
        <v>8728</v>
      </c>
      <c r="K140" s="16">
        <v>120.91638399999999</v>
      </c>
      <c r="L140" s="17">
        <v>63.334792999999998</v>
      </c>
      <c r="M140" s="18">
        <f t="shared" si="3"/>
        <v>0.52379000185781277</v>
      </c>
    </row>
    <row r="141" spans="1:13">
      <c r="A141" s="13" t="s">
        <v>7769</v>
      </c>
      <c r="B141" s="14" t="s">
        <v>7769</v>
      </c>
      <c r="C141" s="14" t="str">
        <f>HYPERLINK("http://uswest.ensembl.org/Homo_sapiens/Gene/Summary?g=ENSG00000088882","ENSG00000088882")</f>
        <v>ENSG00000088882</v>
      </c>
      <c r="D141" s="14" t="s">
        <v>7770</v>
      </c>
      <c r="E141" s="14" t="str">
        <f>HYPERLINK("http://www.ncbi.nlm.nih.gov/sites/entrez?db=gene&amp;cmd=Retrieve&amp;dopt=full_report&amp;list_uids=56265","56265")</f>
        <v>56265</v>
      </c>
      <c r="F141" s="24" t="s">
        <v>7771</v>
      </c>
      <c r="G141" s="24" t="s">
        <v>7741</v>
      </c>
      <c r="H141" s="14" t="s">
        <v>7742</v>
      </c>
      <c r="I141" s="14" t="s">
        <v>7743</v>
      </c>
      <c r="J141" s="15" t="s">
        <v>8627</v>
      </c>
      <c r="K141" s="16">
        <v>90.836815999999999</v>
      </c>
      <c r="L141" s="17">
        <v>47.750197</v>
      </c>
      <c r="M141" s="18">
        <f t="shared" si="3"/>
        <v>0.52567008733551379</v>
      </c>
    </row>
    <row r="142" spans="1:13">
      <c r="A142" s="13" t="s">
        <v>7744</v>
      </c>
      <c r="B142" s="14" t="s">
        <v>7744</v>
      </c>
      <c r="C142" s="14" t="str">
        <f>HYPERLINK("http://uswest.ensembl.org/Homo_sapiens/Gene/Summary?g=ENSG00000177584","ENSG00000177584")</f>
        <v>ENSG00000177584</v>
      </c>
      <c r="D142" s="14" t="s">
        <v>8728</v>
      </c>
      <c r="E142" s="14" t="str">
        <f>HYPERLINK("http://www.ncbi.nlm.nih.gov/sites/entrez?db=gene&amp;cmd=Retrieve&amp;dopt=full_report&amp;list_uids=","-")</f>
        <v>-</v>
      </c>
      <c r="F142" s="24" t="s">
        <v>7745</v>
      </c>
      <c r="G142" s="24" t="s">
        <v>7773</v>
      </c>
      <c r="H142" s="14" t="s">
        <v>8728</v>
      </c>
      <c r="I142" s="14" t="s">
        <v>8728</v>
      </c>
      <c r="J142" s="15" t="s">
        <v>8728</v>
      </c>
      <c r="K142" s="16">
        <v>55.625387000000003</v>
      </c>
      <c r="L142" s="17">
        <v>29.288640999999998</v>
      </c>
      <c r="M142" s="18">
        <f t="shared" si="3"/>
        <v>0.52653370303742775</v>
      </c>
    </row>
    <row r="143" spans="1:13">
      <c r="A143" s="13" t="s">
        <v>7706</v>
      </c>
      <c r="B143" s="14" t="s">
        <v>7706</v>
      </c>
      <c r="C143" s="14" t="str">
        <f>HYPERLINK("http://uswest.ensembl.org/Homo_sapiens/Gene/Summary?g=","-")</f>
        <v>-</v>
      </c>
      <c r="D143" s="14" t="s">
        <v>8728</v>
      </c>
      <c r="E143" s="14" t="str">
        <f>HYPERLINK("http://www.ncbi.nlm.nih.gov/sites/entrez?db=gene&amp;cmd=Retrieve&amp;dopt=full_report&amp;list_uids=100128916","100128916")</f>
        <v>100128916</v>
      </c>
      <c r="F143" s="24" t="s">
        <v>8728</v>
      </c>
      <c r="G143" s="24" t="s">
        <v>8728</v>
      </c>
      <c r="H143" s="14" t="s">
        <v>8728</v>
      </c>
      <c r="I143" s="14" t="s">
        <v>8728</v>
      </c>
      <c r="J143" s="15" t="s">
        <v>8728</v>
      </c>
      <c r="K143" s="16">
        <v>61.592542999999999</v>
      </c>
      <c r="L143" s="17">
        <v>32.475318999999999</v>
      </c>
      <c r="M143" s="18">
        <f t="shared" si="3"/>
        <v>0.52726056464335302</v>
      </c>
    </row>
    <row r="144" spans="1:13">
      <c r="A144" s="13" t="s">
        <v>7707</v>
      </c>
      <c r="B144" s="14" t="s">
        <v>7707</v>
      </c>
      <c r="C144" s="14" t="str">
        <f>HYPERLINK("http://uswest.ensembl.org/Homo_sapiens/Gene/Summary?g=ENSG00000138061","ENSG00000138061")</f>
        <v>ENSG00000138061</v>
      </c>
      <c r="D144" s="14" t="s">
        <v>7708</v>
      </c>
      <c r="E144" s="14" t="str">
        <f>HYPERLINK("http://www.ncbi.nlm.nih.gov/sites/entrez?db=gene&amp;cmd=Retrieve&amp;dopt=full_report&amp;list_uids=1545","1545")</f>
        <v>1545</v>
      </c>
      <c r="F144" s="24" t="s">
        <v>7709</v>
      </c>
      <c r="G144" s="24" t="s">
        <v>7710</v>
      </c>
      <c r="H144" s="19" t="s">
        <v>7774</v>
      </c>
      <c r="I144" s="14" t="s">
        <v>7732</v>
      </c>
      <c r="J144" s="15" t="s">
        <v>7733</v>
      </c>
      <c r="K144" s="16">
        <v>254.166597</v>
      </c>
      <c r="L144" s="17">
        <v>134.064697</v>
      </c>
      <c r="M144" s="18">
        <f t="shared" si="3"/>
        <v>0.52746780490592948</v>
      </c>
    </row>
    <row r="145" spans="1:13">
      <c r="A145" s="13" t="s">
        <v>7734</v>
      </c>
      <c r="B145" s="14" t="s">
        <v>7734</v>
      </c>
      <c r="C145" s="14" t="str">
        <f>HYPERLINK("http://uswest.ensembl.org/Homo_sapiens/Gene/Summary?g=ENSG00000162062","ENSG00000162062")</f>
        <v>ENSG00000162062</v>
      </c>
      <c r="D145" s="14" t="s">
        <v>8728</v>
      </c>
      <c r="E145" s="14" t="str">
        <f>HYPERLINK("http://www.ncbi.nlm.nih.gov/sites/entrez?db=gene&amp;cmd=Retrieve&amp;dopt=full_report&amp;list_uids=80178","80178")</f>
        <v>80178</v>
      </c>
      <c r="F145" s="24" t="s">
        <v>7735</v>
      </c>
      <c r="G145" s="24" t="s">
        <v>7720</v>
      </c>
      <c r="H145" s="14" t="s">
        <v>8728</v>
      </c>
      <c r="I145" s="14" t="s">
        <v>8728</v>
      </c>
      <c r="J145" s="15" t="s">
        <v>8728</v>
      </c>
      <c r="K145" s="16">
        <v>87.582871999999995</v>
      </c>
      <c r="L145" s="17">
        <v>46.226225999999997</v>
      </c>
      <c r="M145" s="18">
        <f t="shared" si="3"/>
        <v>0.52779984195996676</v>
      </c>
    </row>
    <row r="146" spans="1:13">
      <c r="A146" s="13" t="s">
        <v>7721</v>
      </c>
      <c r="B146" s="14" t="s">
        <v>7721</v>
      </c>
      <c r="C146" s="14" t="str">
        <f>HYPERLINK("http://uswest.ensembl.org/Homo_sapiens/Gene/Summary?g=","-")</f>
        <v>-</v>
      </c>
      <c r="D146" s="14" t="s">
        <v>7722</v>
      </c>
      <c r="E146" s="14" t="str">
        <f>HYPERLINK("http://www.ncbi.nlm.nih.gov/sites/entrez?db=gene&amp;cmd=Retrieve&amp;dopt=full_report&amp;list_uids=8690","8690")</f>
        <v>8690</v>
      </c>
      <c r="F146" s="24" t="s">
        <v>7723</v>
      </c>
      <c r="G146" s="24" t="s">
        <v>7767</v>
      </c>
      <c r="H146" s="14" t="s">
        <v>7736</v>
      </c>
      <c r="I146" s="14" t="s">
        <v>7718</v>
      </c>
      <c r="J146" s="15" t="s">
        <v>7719</v>
      </c>
      <c r="K146" s="16">
        <v>42.634706000000001</v>
      </c>
      <c r="L146" s="17">
        <v>22.520392000000001</v>
      </c>
      <c r="M146" s="18">
        <f t="shared" si="3"/>
        <v>0.5282173635722972</v>
      </c>
    </row>
    <row r="147" spans="1:13">
      <c r="A147" s="13" t="s">
        <v>7754</v>
      </c>
      <c r="B147" s="14" t="s">
        <v>7754</v>
      </c>
      <c r="C147" s="14" t="str">
        <f>HYPERLINK("http://uswest.ensembl.org/Homo_sapiens/Gene/Summary?g=ENSG00000114554","ENSG00000114554")</f>
        <v>ENSG00000114554</v>
      </c>
      <c r="D147" s="14" t="s">
        <v>7755</v>
      </c>
      <c r="E147" s="14" t="str">
        <f>HYPERLINK("http://www.ncbi.nlm.nih.gov/sites/entrez?db=gene&amp;cmd=Retrieve&amp;dopt=full_report&amp;list_uids=5361","5361")</f>
        <v>5361</v>
      </c>
      <c r="F147" s="24" t="s">
        <v>7756</v>
      </c>
      <c r="G147" s="24" t="s">
        <v>7757</v>
      </c>
      <c r="H147" s="14" t="s">
        <v>7711</v>
      </c>
      <c r="I147" s="14" t="s">
        <v>8607</v>
      </c>
      <c r="J147" s="15" t="s">
        <v>7712</v>
      </c>
      <c r="K147" s="16">
        <v>128.83250899999999</v>
      </c>
      <c r="L147" s="17">
        <v>68.173649999999995</v>
      </c>
      <c r="M147" s="18">
        <f t="shared" si="3"/>
        <v>0.52916496410079228</v>
      </c>
    </row>
    <row r="148" spans="1:13">
      <c r="A148" s="13" t="s">
        <v>7713</v>
      </c>
      <c r="B148" s="14" t="s">
        <v>7713</v>
      </c>
      <c r="C148" s="14" t="str">
        <f>HYPERLINK("http://uswest.ensembl.org/Homo_sapiens/Gene/Summary?g=ENSG00000141293","ENSG00000141293")</f>
        <v>ENSG00000141293</v>
      </c>
      <c r="D148" s="14" t="s">
        <v>7714</v>
      </c>
      <c r="E148" s="14" t="str">
        <f>HYPERLINK("http://www.ncbi.nlm.nih.gov/sites/entrez?db=gene&amp;cmd=Retrieve&amp;dopt=full_report&amp;list_uids=8631","8631")</f>
        <v>8631</v>
      </c>
      <c r="F148" s="24" t="s">
        <v>7715</v>
      </c>
      <c r="G148" s="24" t="s">
        <v>7716</v>
      </c>
      <c r="H148" s="14" t="s">
        <v>7717</v>
      </c>
      <c r="I148" s="14" t="s">
        <v>7698</v>
      </c>
      <c r="J148" s="15" t="s">
        <v>7699</v>
      </c>
      <c r="K148" s="16">
        <v>45.669350999999999</v>
      </c>
      <c r="L148" s="17">
        <v>24.195298000000001</v>
      </c>
      <c r="M148" s="18">
        <f t="shared" si="3"/>
        <v>0.52979290202744511</v>
      </c>
    </row>
    <row r="149" spans="1:13">
      <c r="A149" s="13" t="s">
        <v>7700</v>
      </c>
      <c r="B149" s="14" t="s">
        <v>7700</v>
      </c>
      <c r="C149" s="14" t="str">
        <f>HYPERLINK("http://uswest.ensembl.org/Homo_sapiens/Gene/Summary?g=","-")</f>
        <v>-</v>
      </c>
      <c r="D149" s="14" t="s">
        <v>8728</v>
      </c>
      <c r="E149" s="14" t="str">
        <f>HYPERLINK("http://www.ncbi.nlm.nih.gov/sites/entrez?db=gene&amp;cmd=Retrieve&amp;dopt=full_report&amp;list_uids=732419","732419")</f>
        <v>732419</v>
      </c>
      <c r="F149" s="24" t="s">
        <v>7680</v>
      </c>
      <c r="G149" s="24" t="s">
        <v>8728</v>
      </c>
      <c r="H149" s="14" t="s">
        <v>8728</v>
      </c>
      <c r="I149" s="14" t="s">
        <v>8728</v>
      </c>
      <c r="J149" s="15" t="s">
        <v>8728</v>
      </c>
      <c r="K149" s="16">
        <v>43.571981999999998</v>
      </c>
      <c r="L149" s="17">
        <v>23.084695</v>
      </c>
      <c r="M149" s="18">
        <f t="shared" si="3"/>
        <v>0.52980594272714054</v>
      </c>
    </row>
    <row r="150" spans="1:13">
      <c r="A150" s="13" t="s">
        <v>7701</v>
      </c>
      <c r="B150" s="14" t="s">
        <v>7701</v>
      </c>
      <c r="C150" s="14" t="str">
        <f>HYPERLINK("http://uswest.ensembl.org/Homo_sapiens/Gene/Summary?g=","-")</f>
        <v>-</v>
      </c>
      <c r="D150" s="14" t="s">
        <v>7702</v>
      </c>
      <c r="E150" s="14" t="str">
        <f>HYPERLINK("http://www.ncbi.nlm.nih.gov/sites/entrez?db=gene&amp;cmd=Retrieve&amp;dopt=full_report&amp;list_uids=91373","91373")</f>
        <v>91373</v>
      </c>
      <c r="F150" s="24" t="s">
        <v>7703</v>
      </c>
      <c r="G150" s="24" t="s">
        <v>7682</v>
      </c>
      <c r="H150" s="14" t="s">
        <v>8329</v>
      </c>
      <c r="I150" s="14" t="s">
        <v>7704</v>
      </c>
      <c r="J150" s="15" t="s">
        <v>8728</v>
      </c>
      <c r="K150" s="16">
        <v>47.755515000000003</v>
      </c>
      <c r="L150" s="17">
        <v>25.313929000000002</v>
      </c>
      <c r="M150" s="18">
        <f t="shared" si="3"/>
        <v>0.53007341665145902</v>
      </c>
    </row>
    <row r="151" spans="1:13">
      <c r="A151" s="13" t="s">
        <v>7753</v>
      </c>
      <c r="B151" s="14" t="s">
        <v>7753</v>
      </c>
      <c r="C151" s="14" t="str">
        <f>HYPERLINK("http://uswest.ensembl.org/Homo_sapiens/Gene/Summary?g=","-")</f>
        <v>-</v>
      </c>
      <c r="D151" s="14" t="s">
        <v>8728</v>
      </c>
      <c r="E151" s="14" t="str">
        <f>HYPERLINK("http://www.ncbi.nlm.nih.gov/sites/entrez?db=gene&amp;cmd=Retrieve&amp;dopt=full_report&amp;list_uids=100294271","100294271")</f>
        <v>100294271</v>
      </c>
      <c r="F151" s="24" t="s">
        <v>8728</v>
      </c>
      <c r="G151" s="24" t="s">
        <v>8728</v>
      </c>
      <c r="H151" s="14" t="s">
        <v>8728</v>
      </c>
      <c r="I151" s="14" t="s">
        <v>8728</v>
      </c>
      <c r="J151" s="15" t="s">
        <v>8728</v>
      </c>
      <c r="K151" s="16">
        <v>50.022717</v>
      </c>
      <c r="L151" s="17">
        <v>26.534541000000001</v>
      </c>
      <c r="M151" s="18">
        <f t="shared" si="3"/>
        <v>0.53044981543085712</v>
      </c>
    </row>
    <row r="152" spans="1:13">
      <c r="A152" s="13" t="s">
        <v>7758</v>
      </c>
      <c r="B152" s="14" t="s">
        <v>7758</v>
      </c>
      <c r="C152" s="14" t="str">
        <f>HYPERLINK("http://uswest.ensembl.org/Homo_sapiens/Gene/Summary?g=","-")</f>
        <v>-</v>
      </c>
      <c r="D152" s="14" t="s">
        <v>8728</v>
      </c>
      <c r="E152" s="14" t="str">
        <f>HYPERLINK("http://www.ncbi.nlm.nih.gov/sites/entrez?db=gene&amp;cmd=Retrieve&amp;dopt=full_report&amp;list_uids=100131320","100131320")</f>
        <v>100131320</v>
      </c>
      <c r="F152" s="24" t="s">
        <v>7697</v>
      </c>
      <c r="G152" s="24" t="s">
        <v>8728</v>
      </c>
      <c r="H152" s="14" t="s">
        <v>8728</v>
      </c>
      <c r="I152" s="14" t="s">
        <v>8728</v>
      </c>
      <c r="J152" s="15" t="s">
        <v>8728</v>
      </c>
      <c r="K152" s="16">
        <v>55.279212000000001</v>
      </c>
      <c r="L152" s="17">
        <v>29.351068000000001</v>
      </c>
      <c r="M152" s="18">
        <f t="shared" si="3"/>
        <v>0.53096031832002233</v>
      </c>
    </row>
    <row r="153" spans="1:13">
      <c r="A153" s="13" t="s">
        <v>7660</v>
      </c>
      <c r="B153" s="14" t="s">
        <v>7660</v>
      </c>
      <c r="C153" s="14" t="str">
        <f>HYPERLINK("http://uswest.ensembl.org/Homo_sapiens/Gene/Summary?g=ENSG00000132906","ENSG00000132906")</f>
        <v>ENSG00000132906</v>
      </c>
      <c r="D153" s="14" t="s">
        <v>7661</v>
      </c>
      <c r="E153" s="14" t="str">
        <f>HYPERLINK("http://www.ncbi.nlm.nih.gov/sites/entrez?db=gene&amp;cmd=Retrieve&amp;dopt=full_report&amp;list_uids=842","842")</f>
        <v>842</v>
      </c>
      <c r="F153" s="24" t="s">
        <v>7662</v>
      </c>
      <c r="G153" s="24" t="s">
        <v>7724</v>
      </c>
      <c r="H153" s="19" t="s">
        <v>7725</v>
      </c>
      <c r="I153" s="14" t="s">
        <v>7683</v>
      </c>
      <c r="J153" s="15" t="s">
        <v>7684</v>
      </c>
      <c r="K153" s="16">
        <v>48.719316999999997</v>
      </c>
      <c r="L153" s="17">
        <v>25.874535999999999</v>
      </c>
      <c r="M153" s="18">
        <f t="shared" si="3"/>
        <v>0.5310939806483741</v>
      </c>
    </row>
    <row r="154" spans="1:13">
      <c r="A154" s="13" t="s">
        <v>7685</v>
      </c>
      <c r="B154" s="14" t="s">
        <v>7685</v>
      </c>
      <c r="C154" s="14" t="str">
        <f>HYPERLINK("http://uswest.ensembl.org/Homo_sapiens/Gene/Summary?g=ENSG00000089234","ENSG00000089234")</f>
        <v>ENSG00000089234</v>
      </c>
      <c r="D154" s="14" t="s">
        <v>7686</v>
      </c>
      <c r="E154" s="14" t="str">
        <f>HYPERLINK("http://www.ncbi.nlm.nih.gov/sites/entrez?db=gene&amp;cmd=Retrieve&amp;dopt=full_report&amp;list_uids=8315","8315")</f>
        <v>8315</v>
      </c>
      <c r="F154" s="24" t="s">
        <v>7687</v>
      </c>
      <c r="G154" s="24" t="s">
        <v>7750</v>
      </c>
      <c r="H154" s="14" t="s">
        <v>7751</v>
      </c>
      <c r="I154" s="14" t="s">
        <v>7752</v>
      </c>
      <c r="J154" s="15" t="s">
        <v>8619</v>
      </c>
      <c r="K154" s="16">
        <v>63.859144999999998</v>
      </c>
      <c r="L154" s="17">
        <v>33.915965999999997</v>
      </c>
      <c r="M154" s="18">
        <f t="shared" si="3"/>
        <v>0.53110585805682176</v>
      </c>
    </row>
    <row r="155" spans="1:13">
      <c r="A155" s="13" t="s">
        <v>7693</v>
      </c>
      <c r="B155" s="14" t="s">
        <v>7693</v>
      </c>
      <c r="C155" s="14" t="str">
        <f>HYPERLINK("http://uswest.ensembl.org/Homo_sapiens/Gene/Summary?g=ENSG00000219186","ENSG00000219186")</f>
        <v>ENSG00000219186</v>
      </c>
      <c r="D155" s="14" t="s">
        <v>8728</v>
      </c>
      <c r="E155" s="14" t="str">
        <f>HYPERLINK("http://www.ncbi.nlm.nih.gov/sites/entrez?db=gene&amp;cmd=Retrieve&amp;dopt=full_report&amp;list_uids=100131266","100131266")</f>
        <v>100131266</v>
      </c>
      <c r="F155" s="24" t="s">
        <v>7694</v>
      </c>
      <c r="G155" s="24" t="s">
        <v>7695</v>
      </c>
      <c r="H155" s="14" t="s">
        <v>7696</v>
      </c>
      <c r="I155" s="14" t="s">
        <v>7644</v>
      </c>
      <c r="J155" s="15" t="s">
        <v>8728</v>
      </c>
      <c r="K155" s="16">
        <v>142.320604</v>
      </c>
      <c r="L155" s="17">
        <v>75.597570000000005</v>
      </c>
      <c r="M155" s="18">
        <f t="shared" si="3"/>
        <v>0.5311779733593599</v>
      </c>
    </row>
    <row r="156" spans="1:13">
      <c r="A156" s="13" t="s">
        <v>7645</v>
      </c>
      <c r="B156" s="14" t="s">
        <v>7645</v>
      </c>
      <c r="C156" s="14" t="str">
        <f>HYPERLINK("http://uswest.ensembl.org/Homo_sapiens/Gene/Summary?g=ENSG00000204422","ENSG00000204422")</f>
        <v>ENSG00000204422</v>
      </c>
      <c r="D156" s="14" t="s">
        <v>8728</v>
      </c>
      <c r="E156" s="14" t="str">
        <f>HYPERLINK("http://www.ncbi.nlm.nih.gov/sites/entrez?db=gene&amp;cmd=Retrieve&amp;dopt=full_report&amp;list_uids=","-")</f>
        <v>-</v>
      </c>
      <c r="F156" s="24" t="s">
        <v>7646</v>
      </c>
      <c r="G156" s="24" t="s">
        <v>7648</v>
      </c>
      <c r="H156" s="14" t="s">
        <v>8728</v>
      </c>
      <c r="I156" s="14" t="s">
        <v>8728</v>
      </c>
      <c r="J156" s="15" t="s">
        <v>8728</v>
      </c>
      <c r="K156" s="16">
        <v>42.484371000000003</v>
      </c>
      <c r="L156" s="17">
        <v>22.584586000000002</v>
      </c>
      <c r="M156" s="18">
        <f t="shared" si="3"/>
        <v>0.53159751382455445</v>
      </c>
    </row>
    <row r="157" spans="1:13">
      <c r="A157" s="13" t="s">
        <v>7649</v>
      </c>
      <c r="B157" s="14" t="s">
        <v>7649</v>
      </c>
      <c r="C157" s="14" t="str">
        <f>HYPERLINK("http://uswest.ensembl.org/Homo_sapiens/Gene/Summary?g=","-")</f>
        <v>-</v>
      </c>
      <c r="D157" s="14" t="s">
        <v>7650</v>
      </c>
      <c r="E157" s="14" t="str">
        <f>HYPERLINK("http://www.ncbi.nlm.nih.gov/sites/entrez?db=gene&amp;cmd=Retrieve&amp;dopt=full_report&amp;list_uids=6809","6809")</f>
        <v>6809</v>
      </c>
      <c r="F157" s="24" t="s">
        <v>7651</v>
      </c>
      <c r="G157" s="24" t="s">
        <v>7652</v>
      </c>
      <c r="H157" s="14" t="s">
        <v>7653</v>
      </c>
      <c r="I157" s="14" t="s">
        <v>7678</v>
      </c>
      <c r="J157" s="15" t="s">
        <v>7679</v>
      </c>
      <c r="K157" s="16">
        <v>219.23147900000001</v>
      </c>
      <c r="L157" s="17">
        <v>116.621099</v>
      </c>
      <c r="M157" s="18">
        <f t="shared" si="3"/>
        <v>0.53195416795048855</v>
      </c>
    </row>
    <row r="158" spans="1:13">
      <c r="A158" s="13" t="s">
        <v>7726</v>
      </c>
      <c r="B158" s="14" t="s">
        <v>7726</v>
      </c>
      <c r="C158" s="14" t="str">
        <f>HYPERLINK("http://uswest.ensembl.org/Homo_sapiens/Gene/Summary?g=ENSG00000135477","ENSG00000135477")</f>
        <v>ENSG00000135477</v>
      </c>
      <c r="D158" s="14" t="s">
        <v>8728</v>
      </c>
      <c r="E158" s="14" t="str">
        <f>HYPERLINK("http://www.ncbi.nlm.nih.gov/sites/entrez?db=gene&amp;cmd=Retrieve&amp;dopt=full_report&amp;list_uids=","-")</f>
        <v>-</v>
      </c>
      <c r="F158" s="24" t="s">
        <v>7727</v>
      </c>
      <c r="G158" s="24" t="s">
        <v>8728</v>
      </c>
      <c r="H158" s="14" t="s">
        <v>8728</v>
      </c>
      <c r="I158" s="14" t="s">
        <v>8679</v>
      </c>
      <c r="J158" s="15" t="s">
        <v>8680</v>
      </c>
      <c r="K158" s="16">
        <v>136.08595600000001</v>
      </c>
      <c r="L158" s="17">
        <v>72.525250999999997</v>
      </c>
      <c r="M158" s="18">
        <f t="shared" si="3"/>
        <v>0.53293707250732025</v>
      </c>
    </row>
    <row r="159" spans="1:13">
      <c r="A159" s="13" t="s">
        <v>7728</v>
      </c>
      <c r="B159" s="14" t="s">
        <v>7728</v>
      </c>
      <c r="C159" s="14" t="str">
        <f>HYPERLINK("http://uswest.ensembl.org/Homo_sapiens/Gene/Summary?g=ENSG00000160789","ENSG00000160789")</f>
        <v>ENSG00000160789</v>
      </c>
      <c r="D159" s="14" t="s">
        <v>7729</v>
      </c>
      <c r="E159" s="14" t="str">
        <f>HYPERLINK("http://www.ncbi.nlm.nih.gov/sites/entrez?db=gene&amp;cmd=Retrieve&amp;dopt=full_report&amp;list_uids=4000","4000")</f>
        <v>4000</v>
      </c>
      <c r="F159" s="24" t="s">
        <v>7730</v>
      </c>
      <c r="G159" s="24" t="s">
        <v>7731</v>
      </c>
      <c r="H159" s="14" t="s">
        <v>7675</v>
      </c>
      <c r="I159" s="14" t="s">
        <v>7676</v>
      </c>
      <c r="J159" s="15" t="s">
        <v>8691</v>
      </c>
      <c r="K159" s="16">
        <v>513.325783</v>
      </c>
      <c r="L159" s="17">
        <v>273.75290200000001</v>
      </c>
      <c r="M159" s="18">
        <f t="shared" si="3"/>
        <v>0.53329271793074928</v>
      </c>
    </row>
    <row r="160" spans="1:13">
      <c r="A160" s="13" t="s">
        <v>7629</v>
      </c>
      <c r="B160" s="14" t="s">
        <v>7629</v>
      </c>
      <c r="C160" s="14" t="str">
        <f>HYPERLINK("http://uswest.ensembl.org/Homo_sapiens/Gene/Summary?g=","-")</f>
        <v>-</v>
      </c>
      <c r="D160" s="14" t="s">
        <v>7630</v>
      </c>
      <c r="E160" s="14" t="str">
        <f>HYPERLINK("http://www.ncbi.nlm.nih.gov/sites/entrez?db=gene&amp;cmd=Retrieve&amp;dopt=full_report&amp;list_uids=2171","2171")</f>
        <v>2171</v>
      </c>
      <c r="F160" s="24" t="s">
        <v>7631</v>
      </c>
      <c r="G160" s="24" t="s">
        <v>7647</v>
      </c>
      <c r="H160" s="14" t="s">
        <v>7688</v>
      </c>
      <c r="I160" s="14" t="s">
        <v>7689</v>
      </c>
      <c r="J160" s="15" t="s">
        <v>8619</v>
      </c>
      <c r="K160" s="16">
        <v>582.79470600000002</v>
      </c>
      <c r="L160" s="17">
        <v>310.99604799999997</v>
      </c>
      <c r="M160" s="18">
        <f t="shared" si="3"/>
        <v>0.53362881439763787</v>
      </c>
    </row>
    <row r="161" spans="1:13">
      <c r="A161" s="13" t="s">
        <v>7654</v>
      </c>
      <c r="B161" s="14" t="s">
        <v>7654</v>
      </c>
      <c r="C161" s="14" t="str">
        <f>HYPERLINK("http://uswest.ensembl.org/Homo_sapiens/Gene/Summary?g=ENSG00000167460","ENSG00000167460")</f>
        <v>ENSG00000167460</v>
      </c>
      <c r="D161" s="14" t="s">
        <v>7655</v>
      </c>
      <c r="E161" s="14" t="str">
        <f>HYPERLINK("http://www.ncbi.nlm.nih.gov/sites/entrez?db=gene&amp;cmd=Retrieve&amp;dopt=full_report&amp;list_uids=7171","7171")</f>
        <v>7171</v>
      </c>
      <c r="F161" s="24" t="s">
        <v>7656</v>
      </c>
      <c r="G161" s="24" t="s">
        <v>7657</v>
      </c>
      <c r="H161" s="14" t="s">
        <v>7658</v>
      </c>
      <c r="I161" s="14" t="s">
        <v>7659</v>
      </c>
      <c r="J161" s="15" t="s">
        <v>7690</v>
      </c>
      <c r="K161" s="16">
        <v>695.567003</v>
      </c>
      <c r="L161" s="17">
        <v>371.33226400000001</v>
      </c>
      <c r="M161" s="18">
        <f t="shared" si="3"/>
        <v>0.53385549112944342</v>
      </c>
    </row>
    <row r="162" spans="1:13">
      <c r="A162" s="13" t="s">
        <v>7664</v>
      </c>
      <c r="B162" s="14" t="s">
        <v>7664</v>
      </c>
      <c r="C162" s="14" t="str">
        <f>HYPERLINK("http://uswest.ensembl.org/Homo_sapiens/Gene/Summary?g=ENSG00000184697","ENSG00000184697")</f>
        <v>ENSG00000184697</v>
      </c>
      <c r="D162" s="14" t="s">
        <v>7665</v>
      </c>
      <c r="E162" s="14" t="str">
        <f>HYPERLINK("http://www.ncbi.nlm.nih.gov/sites/entrez?db=gene&amp;cmd=Retrieve&amp;dopt=full_report&amp;list_uids=9074","9074")</f>
        <v>9074</v>
      </c>
      <c r="F162" s="24" t="s">
        <v>7666</v>
      </c>
      <c r="G162" s="24" t="s">
        <v>7667</v>
      </c>
      <c r="H162" s="14" t="s">
        <v>7668</v>
      </c>
      <c r="I162" s="14" t="s">
        <v>7785</v>
      </c>
      <c r="J162" s="15" t="s">
        <v>7786</v>
      </c>
      <c r="K162" s="16">
        <v>66.677854999999994</v>
      </c>
      <c r="L162" s="17">
        <v>35.706701000000002</v>
      </c>
      <c r="M162" s="18">
        <f t="shared" si="3"/>
        <v>0.53551064292635098</v>
      </c>
    </row>
    <row r="163" spans="1:13">
      <c r="A163" s="13" t="s">
        <v>7626</v>
      </c>
      <c r="B163" s="14" t="s">
        <v>7626</v>
      </c>
      <c r="C163" s="14" t="str">
        <f>HYPERLINK("http://uswest.ensembl.org/Homo_sapiens/Gene/Summary?g=ENSG00000189144","ENSG00000189144")</f>
        <v>ENSG00000189144</v>
      </c>
      <c r="D163" s="14" t="s">
        <v>7627</v>
      </c>
      <c r="E163" s="14" t="str">
        <f>HYPERLINK("http://www.ncbi.nlm.nih.gov/sites/entrez?db=gene&amp;cmd=Retrieve&amp;dopt=full_report&amp;list_uids=","-")</f>
        <v>-</v>
      </c>
      <c r="F163" s="24" t="s">
        <v>7628</v>
      </c>
      <c r="G163" s="24" t="s">
        <v>7673</v>
      </c>
      <c r="H163" s="14" t="s">
        <v>8728</v>
      </c>
      <c r="I163" s="14" t="s">
        <v>8408</v>
      </c>
      <c r="J163" s="15" t="s">
        <v>8622</v>
      </c>
      <c r="K163" s="16">
        <v>49.700006999999999</v>
      </c>
      <c r="L163" s="17">
        <v>26.637176</v>
      </c>
      <c r="M163" s="18">
        <f t="shared" si="3"/>
        <v>0.53595920016671228</v>
      </c>
    </row>
    <row r="164" spans="1:13">
      <c r="A164" s="13" t="s">
        <v>7606</v>
      </c>
      <c r="B164" s="14" t="s">
        <v>7606</v>
      </c>
      <c r="C164" s="14" t="str">
        <f>HYPERLINK("http://uswest.ensembl.org/Homo_sapiens/Gene/Summary?g=ENSG00000206531","ENSG00000206531")</f>
        <v>ENSG00000206531</v>
      </c>
      <c r="D164" s="14" t="s">
        <v>7607</v>
      </c>
      <c r="E164" s="14" t="str">
        <f>HYPERLINK("http://www.ncbi.nlm.nih.gov/sites/entrez?db=gene&amp;cmd=Retrieve&amp;dopt=full_report&amp;list_uids=344807","344807")</f>
        <v>344807</v>
      </c>
      <c r="F164" s="24" t="s">
        <v>7608</v>
      </c>
      <c r="G164" s="25" t="s">
        <v>7609</v>
      </c>
      <c r="H164" s="14" t="s">
        <v>8728</v>
      </c>
      <c r="I164" s="14" t="s">
        <v>8607</v>
      </c>
      <c r="J164" s="15" t="s">
        <v>8698</v>
      </c>
      <c r="K164" s="16">
        <v>178.36851100000001</v>
      </c>
      <c r="L164" s="17">
        <v>95.646816999999999</v>
      </c>
      <c r="M164" s="18">
        <f t="shared" si="3"/>
        <v>0.53623151566253746</v>
      </c>
    </row>
    <row r="165" spans="1:13">
      <c r="A165" s="13" t="s">
        <v>7618</v>
      </c>
      <c r="B165" s="14" t="s">
        <v>7618</v>
      </c>
      <c r="C165" s="14" t="str">
        <f>HYPERLINK("http://uswest.ensembl.org/Homo_sapiens/Gene/Summary?g=ENSG00000183943","ENSG00000183943")</f>
        <v>ENSG00000183943</v>
      </c>
      <c r="D165" s="14" t="s">
        <v>7619</v>
      </c>
      <c r="E165" s="14" t="str">
        <f>HYPERLINK("http://www.ncbi.nlm.nih.gov/sites/entrez?db=gene&amp;cmd=Retrieve&amp;dopt=full_report&amp;list_uids=5613","5613")</f>
        <v>5613</v>
      </c>
      <c r="F165" s="24" t="s">
        <v>7620</v>
      </c>
      <c r="G165" s="24" t="s">
        <v>7621</v>
      </c>
      <c r="H165" s="14" t="s">
        <v>8656</v>
      </c>
      <c r="I165" s="19" t="s">
        <v>7622</v>
      </c>
      <c r="J165" s="15" t="s">
        <v>8728</v>
      </c>
      <c r="K165" s="16">
        <v>141.18807899999999</v>
      </c>
      <c r="L165" s="17">
        <v>75.842360999999997</v>
      </c>
      <c r="M165" s="18">
        <f t="shared" si="3"/>
        <v>0.53717255406527631</v>
      </c>
    </row>
    <row r="166" spans="1:13">
      <c r="A166" s="13" t="s">
        <v>7641</v>
      </c>
      <c r="B166" s="14" t="s">
        <v>7641</v>
      </c>
      <c r="C166" s="14" t="str">
        <f>HYPERLINK("http://uswest.ensembl.org/Homo_sapiens/Gene/Summary?g=","-")</f>
        <v>-</v>
      </c>
      <c r="D166" s="14" t="s">
        <v>7642</v>
      </c>
      <c r="E166" s="14" t="str">
        <f>HYPERLINK("http://www.ncbi.nlm.nih.gov/sites/entrez?db=gene&amp;cmd=Retrieve&amp;dopt=full_report&amp;list_uids=11270","11270")</f>
        <v>11270</v>
      </c>
      <c r="F166" s="24" t="s">
        <v>7643</v>
      </c>
      <c r="G166" s="24" t="s">
        <v>7593</v>
      </c>
      <c r="H166" s="14" t="s">
        <v>8076</v>
      </c>
      <c r="I166" s="14" t="s">
        <v>8648</v>
      </c>
      <c r="J166" s="15" t="s">
        <v>7611</v>
      </c>
      <c r="K166" s="16">
        <v>130.075987</v>
      </c>
      <c r="L166" s="17">
        <v>70.028874000000002</v>
      </c>
      <c r="M166" s="18">
        <f t="shared" si="3"/>
        <v>0.53836896121341749</v>
      </c>
    </row>
    <row r="167" spans="1:13">
      <c r="A167" s="13" t="s">
        <v>7612</v>
      </c>
      <c r="B167" s="14" t="s">
        <v>7612</v>
      </c>
      <c r="C167" s="14" t="str">
        <f>HYPERLINK("http://uswest.ensembl.org/Homo_sapiens/Gene/Summary?g=ENSG00000163106","ENSG00000163106")</f>
        <v>ENSG00000163106</v>
      </c>
      <c r="D167" s="14" t="s">
        <v>7613</v>
      </c>
      <c r="E167" s="14" t="str">
        <f>HYPERLINK("http://www.ncbi.nlm.nih.gov/sites/entrez?db=gene&amp;cmd=Retrieve&amp;dopt=full_report&amp;list_uids=27306","27306")</f>
        <v>27306</v>
      </c>
      <c r="F167" s="24" t="s">
        <v>7614</v>
      </c>
      <c r="G167" s="24" t="s">
        <v>7674</v>
      </c>
      <c r="H167" s="14" t="s">
        <v>7616</v>
      </c>
      <c r="I167" s="14" t="s">
        <v>7617</v>
      </c>
      <c r="J167" s="15" t="s">
        <v>8619</v>
      </c>
      <c r="K167" s="16">
        <v>2128.3344860000002</v>
      </c>
      <c r="L167" s="17">
        <v>1146.112308</v>
      </c>
      <c r="M167" s="18">
        <f t="shared" si="3"/>
        <v>0.53850196740175349</v>
      </c>
    </row>
    <row r="168" spans="1:13">
      <c r="A168" s="13" t="s">
        <v>7669</v>
      </c>
      <c r="B168" s="14" t="s">
        <v>7669</v>
      </c>
      <c r="C168" s="14" t="str">
        <f>HYPERLINK("http://uswest.ensembl.org/Homo_sapiens/Gene/Summary?g=ENSG00000204475","ENSG00000204475")</f>
        <v>ENSG00000204475</v>
      </c>
      <c r="D168" s="14" t="s">
        <v>7670</v>
      </c>
      <c r="E168" s="14" t="str">
        <f>HYPERLINK("http://www.ncbi.nlm.nih.gov/sites/entrez?db=gene&amp;cmd=Retrieve&amp;dopt=full_report&amp;list_uids=","-")</f>
        <v>-</v>
      </c>
      <c r="F168" s="24" t="s">
        <v>7671</v>
      </c>
      <c r="G168" s="24" t="s">
        <v>7672</v>
      </c>
      <c r="H168" s="14" t="s">
        <v>8728</v>
      </c>
      <c r="I168" s="14" t="s">
        <v>8728</v>
      </c>
      <c r="J168" s="15" t="s">
        <v>8728</v>
      </c>
      <c r="K168" s="16">
        <v>63.274171000000003</v>
      </c>
      <c r="L168" s="17">
        <v>34.107728999999999</v>
      </c>
      <c r="M168" s="18">
        <f t="shared" si="3"/>
        <v>0.53904663563272914</v>
      </c>
    </row>
    <row r="169" spans="1:13">
      <c r="A169" s="13" t="s">
        <v>7597</v>
      </c>
      <c r="B169" s="14" t="s">
        <v>7597</v>
      </c>
      <c r="C169" s="14" t="str">
        <f>HYPERLINK("http://uswest.ensembl.org/Homo_sapiens/Gene/Summary?g=ENSG00000166167","ENSG00000166167")</f>
        <v>ENSG00000166167</v>
      </c>
      <c r="D169" s="14" t="s">
        <v>7598</v>
      </c>
      <c r="E169" s="14" t="str">
        <f>HYPERLINK("http://www.ncbi.nlm.nih.gov/sites/entrez?db=gene&amp;cmd=Retrieve&amp;dopt=full_report&amp;list_uids=","-")</f>
        <v>-</v>
      </c>
      <c r="F169" s="24" t="s">
        <v>7599</v>
      </c>
      <c r="G169" s="24" t="s">
        <v>7600</v>
      </c>
      <c r="H169" s="14" t="s">
        <v>8728</v>
      </c>
      <c r="I169" s="14" t="s">
        <v>8665</v>
      </c>
      <c r="J169" s="15" t="s">
        <v>8728</v>
      </c>
      <c r="K169" s="16">
        <v>60.836083000000002</v>
      </c>
      <c r="L169" s="17">
        <v>32.860889999999998</v>
      </c>
      <c r="M169" s="18">
        <f t="shared" si="3"/>
        <v>0.54015459871076832</v>
      </c>
    </row>
    <row r="170" spans="1:13">
      <c r="A170" s="13" t="s">
        <v>7601</v>
      </c>
      <c r="B170" s="14" t="s">
        <v>7601</v>
      </c>
      <c r="C170" s="14" t="str">
        <f>HYPERLINK("http://uswest.ensembl.org/Homo_sapiens/Gene/Summary?g=ENSG00000163751","ENSG00000163751")</f>
        <v>ENSG00000163751</v>
      </c>
      <c r="D170" s="14" t="s">
        <v>7602</v>
      </c>
      <c r="E170" s="14" t="str">
        <f>HYPERLINK("http://www.ncbi.nlm.nih.gov/sites/entrez?db=gene&amp;cmd=Retrieve&amp;dopt=full_report&amp;list_uids=1359","1359")</f>
        <v>1359</v>
      </c>
      <c r="F170" s="24" t="s">
        <v>7603</v>
      </c>
      <c r="G170" s="24" t="s">
        <v>7604</v>
      </c>
      <c r="H170" s="14" t="s">
        <v>8623</v>
      </c>
      <c r="I170" s="14" t="s">
        <v>7681</v>
      </c>
      <c r="J170" s="15" t="s">
        <v>7584</v>
      </c>
      <c r="K170" s="16">
        <v>2852.9052200000001</v>
      </c>
      <c r="L170" s="17">
        <v>1541.417518</v>
      </c>
      <c r="M170" s="18">
        <f t="shared" si="3"/>
        <v>0.54029748594311866</v>
      </c>
    </row>
    <row r="171" spans="1:13">
      <c r="A171" s="13" t="s">
        <v>7605</v>
      </c>
      <c r="B171" s="14" t="s">
        <v>7605</v>
      </c>
      <c r="C171" s="14" t="str">
        <f>HYPERLINK("http://uswest.ensembl.org/Homo_sapiens/Gene/Summary?g=ENSG00000119782","ENSG00000119782")</f>
        <v>ENSG00000119782</v>
      </c>
      <c r="D171" s="14" t="s">
        <v>7636</v>
      </c>
      <c r="E171" s="14" t="str">
        <f>HYPERLINK("http://www.ncbi.nlm.nih.gov/sites/entrez?db=gene&amp;cmd=Retrieve&amp;dopt=full_report&amp;list_uids=2281","2281")</f>
        <v>2281</v>
      </c>
      <c r="F171" s="24" t="s">
        <v>7637</v>
      </c>
      <c r="G171" s="24" t="s">
        <v>7638</v>
      </c>
      <c r="H171" s="14" t="s">
        <v>8671</v>
      </c>
      <c r="I171" s="14" t="s">
        <v>8728</v>
      </c>
      <c r="J171" s="15" t="s">
        <v>8728</v>
      </c>
      <c r="K171" s="16">
        <v>87.302897999999999</v>
      </c>
      <c r="L171" s="17">
        <v>47.262824000000002</v>
      </c>
      <c r="M171" s="18">
        <f t="shared" si="3"/>
        <v>0.54136603804377725</v>
      </c>
    </row>
    <row r="172" spans="1:13">
      <c r="A172" s="13" t="s">
        <v>7594</v>
      </c>
      <c r="B172" s="14" t="s">
        <v>7594</v>
      </c>
      <c r="C172" s="14" t="str">
        <f>HYPERLINK("http://uswest.ensembl.org/Homo_sapiens/Gene/Summary?g=ENSG00000123143","ENSG00000123143")</f>
        <v>ENSG00000123143</v>
      </c>
      <c r="D172" s="14" t="s">
        <v>7595</v>
      </c>
      <c r="E172" s="14" t="str">
        <f>HYPERLINK("http://www.ncbi.nlm.nih.gov/sites/entrez?db=gene&amp;cmd=Retrieve&amp;dopt=full_report&amp;list_uids=5585","5585")</f>
        <v>5585</v>
      </c>
      <c r="F172" s="24" t="s">
        <v>7596</v>
      </c>
      <c r="G172" s="24" t="s">
        <v>7582</v>
      </c>
      <c r="H172" s="14" t="s">
        <v>7583</v>
      </c>
      <c r="I172" s="19" t="s">
        <v>7571</v>
      </c>
      <c r="J172" s="15" t="s">
        <v>7572</v>
      </c>
      <c r="K172" s="16">
        <v>97.259085999999996</v>
      </c>
      <c r="L172" s="17">
        <v>52.702021999999999</v>
      </c>
      <c r="M172" s="18">
        <f t="shared" si="3"/>
        <v>0.54187247862888621</v>
      </c>
    </row>
    <row r="173" spans="1:13">
      <c r="A173" s="13" t="s">
        <v>7576</v>
      </c>
      <c r="B173" s="14" t="s">
        <v>7576</v>
      </c>
      <c r="C173" s="14" t="str">
        <f>HYPERLINK("http://uswest.ensembl.org/Homo_sapiens/Gene/Summary?g=ENSG00000130779","ENSG00000130779")</f>
        <v>ENSG00000130779</v>
      </c>
      <c r="D173" s="14" t="s">
        <v>7577</v>
      </c>
      <c r="E173" s="14" t="str">
        <f>HYPERLINK("http://www.ncbi.nlm.nih.gov/sites/entrez?db=gene&amp;cmd=Retrieve&amp;dopt=full_report&amp;list_uids=","-")</f>
        <v>-</v>
      </c>
      <c r="F173" s="24" t="s">
        <v>7578</v>
      </c>
      <c r="G173" s="24" t="s">
        <v>7633</v>
      </c>
      <c r="H173" s="14" t="s">
        <v>8728</v>
      </c>
      <c r="I173" s="14" t="s">
        <v>7634</v>
      </c>
      <c r="J173" s="15" t="s">
        <v>8728</v>
      </c>
      <c r="K173" s="16">
        <v>47.161119999999997</v>
      </c>
      <c r="L173" s="17">
        <v>25.591878999999999</v>
      </c>
      <c r="M173" s="18">
        <f t="shared" si="3"/>
        <v>0.5426478209168909</v>
      </c>
    </row>
    <row r="174" spans="1:13">
      <c r="A174" s="13" t="s">
        <v>7635</v>
      </c>
      <c r="B174" s="14" t="s">
        <v>7635</v>
      </c>
      <c r="C174" s="14" t="str">
        <f>HYPERLINK("http://uswest.ensembl.org/Homo_sapiens/Gene/Summary?g=ENSG00000139998","ENSG00000139998")</f>
        <v>ENSG00000139998</v>
      </c>
      <c r="D174" s="14" t="s">
        <v>7579</v>
      </c>
      <c r="E174" s="14" t="str">
        <f>HYPERLINK("http://www.ncbi.nlm.nih.gov/sites/entrez?db=gene&amp;cmd=Retrieve&amp;dopt=full_report&amp;list_uids=376267","376267")</f>
        <v>376267</v>
      </c>
      <c r="F174" s="24" t="s">
        <v>7580</v>
      </c>
      <c r="G174" s="24" t="s">
        <v>7581</v>
      </c>
      <c r="H174" s="14" t="s">
        <v>7554</v>
      </c>
      <c r="I174" s="14" t="s">
        <v>7555</v>
      </c>
      <c r="J174" s="15" t="s">
        <v>8707</v>
      </c>
      <c r="K174" s="16">
        <v>83.667584000000005</v>
      </c>
      <c r="L174" s="17">
        <v>45.412407999999999</v>
      </c>
      <c r="M174" s="18">
        <f t="shared" si="3"/>
        <v>0.54277183383232386</v>
      </c>
    </row>
    <row r="175" spans="1:13">
      <c r="A175" s="13" t="s">
        <v>7568</v>
      </c>
      <c r="B175" s="14" t="s">
        <v>7568</v>
      </c>
      <c r="C175" s="14" t="str">
        <f>HYPERLINK("http://uswest.ensembl.org/Homo_sapiens/Gene/Summary?g=","-")</f>
        <v>-</v>
      </c>
      <c r="D175" s="14" t="s">
        <v>7569</v>
      </c>
      <c r="E175" s="14" t="str">
        <f>HYPERLINK("http://www.ncbi.nlm.nih.gov/sites/entrez?db=gene&amp;cmd=Retrieve&amp;dopt=full_report&amp;list_uids=7293","7293")</f>
        <v>7293</v>
      </c>
      <c r="F175" s="24" t="s">
        <v>7570</v>
      </c>
      <c r="G175" s="24" t="s">
        <v>7588</v>
      </c>
      <c r="H175" s="14" t="s">
        <v>8730</v>
      </c>
      <c r="I175" s="14" t="s">
        <v>7556</v>
      </c>
      <c r="J175" s="15" t="s">
        <v>8697</v>
      </c>
      <c r="K175" s="16">
        <v>55.723568999999998</v>
      </c>
      <c r="L175" s="17">
        <v>30.459561999999998</v>
      </c>
      <c r="M175" s="18">
        <f t="shared" si="3"/>
        <v>0.54661900783849648</v>
      </c>
    </row>
    <row r="176" spans="1:13">
      <c r="A176" s="13" t="s">
        <v>7557</v>
      </c>
      <c r="B176" s="14" t="s">
        <v>7557</v>
      </c>
      <c r="C176" s="14" t="str">
        <f>HYPERLINK("http://uswest.ensembl.org/Homo_sapiens/Gene/Summary?g=ENSG00000175325","ENSG00000175325")</f>
        <v>ENSG00000175325</v>
      </c>
      <c r="D176" s="14" t="s">
        <v>7558</v>
      </c>
      <c r="E176" s="14" t="str">
        <f>HYPERLINK("http://www.ncbi.nlm.nih.gov/sites/entrez?db=gene&amp;cmd=Retrieve&amp;dopt=full_report&amp;list_uids=5626","5626")</f>
        <v>5626</v>
      </c>
      <c r="F176" s="24" t="s">
        <v>7559</v>
      </c>
      <c r="G176" s="24" t="s">
        <v>7560</v>
      </c>
      <c r="H176" s="19" t="s">
        <v>7615</v>
      </c>
      <c r="I176" s="14" t="s">
        <v>7567</v>
      </c>
      <c r="J176" s="15" t="s">
        <v>8282</v>
      </c>
      <c r="K176" s="16">
        <v>142.57337100000001</v>
      </c>
      <c r="L176" s="17">
        <v>77.940509000000006</v>
      </c>
      <c r="M176" s="18">
        <f t="shared" si="3"/>
        <v>0.54666946887297774</v>
      </c>
    </row>
    <row r="177" spans="1:13">
      <c r="A177" s="13" t="s">
        <v>7550</v>
      </c>
      <c r="B177" s="14" t="s">
        <v>7550</v>
      </c>
      <c r="C177" s="14" t="str">
        <f>HYPERLINK("http://uswest.ensembl.org/Homo_sapiens/Gene/Summary?g=ENSG00000171659","ENSG00000171659")</f>
        <v>ENSG00000171659</v>
      </c>
      <c r="D177" s="14" t="s">
        <v>7551</v>
      </c>
      <c r="E177" s="14" t="str">
        <f>HYPERLINK("http://www.ncbi.nlm.nih.gov/sites/entrez?db=gene&amp;cmd=Retrieve&amp;dopt=full_report&amp;list_uids=2857","2857")</f>
        <v>2857</v>
      </c>
      <c r="F177" s="24" t="s">
        <v>7552</v>
      </c>
      <c r="G177" s="24" t="s">
        <v>7553</v>
      </c>
      <c r="H177" s="14" t="s">
        <v>7530</v>
      </c>
      <c r="I177" s="19" t="s">
        <v>7531</v>
      </c>
      <c r="J177" s="15" t="s">
        <v>8667</v>
      </c>
      <c r="K177" s="16">
        <v>482.27195599999999</v>
      </c>
      <c r="L177" s="17">
        <v>264.30511200000001</v>
      </c>
      <c r="M177" s="18">
        <f t="shared" si="3"/>
        <v>0.54804163649109217</v>
      </c>
    </row>
    <row r="178" spans="1:13">
      <c r="A178" s="13" t="s">
        <v>7526</v>
      </c>
      <c r="B178" s="14" t="s">
        <v>7526</v>
      </c>
      <c r="C178" s="14" t="str">
        <f>HYPERLINK("http://uswest.ensembl.org/Homo_sapiens/Gene/Summary?g=ENSG00000168925","ENSG00000168925")</f>
        <v>ENSG00000168925</v>
      </c>
      <c r="D178" s="14" t="s">
        <v>7527</v>
      </c>
      <c r="E178" s="14" t="str">
        <f>HYPERLINK("http://www.ncbi.nlm.nih.gov/sites/entrez?db=gene&amp;cmd=Retrieve&amp;dopt=full_report&amp;list_uids=1504","1504")</f>
        <v>1504</v>
      </c>
      <c r="F178" s="24" t="s">
        <v>7528</v>
      </c>
      <c r="G178" s="24" t="s">
        <v>7529</v>
      </c>
      <c r="H178" s="14" t="s">
        <v>8394</v>
      </c>
      <c r="I178" s="14" t="s">
        <v>8621</v>
      </c>
      <c r="J178" s="15" t="s">
        <v>8731</v>
      </c>
      <c r="K178" s="16">
        <v>39.804943000000002</v>
      </c>
      <c r="L178" s="17">
        <v>21.822420999999999</v>
      </c>
      <c r="M178" s="18">
        <f t="shared" si="3"/>
        <v>0.54823394672365178</v>
      </c>
    </row>
    <row r="179" spans="1:13">
      <c r="A179" s="13" t="s">
        <v>7589</v>
      </c>
      <c r="B179" s="14" t="s">
        <v>7589</v>
      </c>
      <c r="C179" s="14" t="str">
        <f>HYPERLINK("http://uswest.ensembl.org/Homo_sapiens/Gene/Summary?g=ENSG00000178988","ENSG00000178988")</f>
        <v>ENSG00000178988</v>
      </c>
      <c r="D179" s="14" t="s">
        <v>7590</v>
      </c>
      <c r="E179" s="14" t="str">
        <f>HYPERLINK("http://www.ncbi.nlm.nih.gov/sites/entrez?db=gene&amp;cmd=Retrieve&amp;dopt=full_report&amp;list_uids=114932","114932")</f>
        <v>114932</v>
      </c>
      <c r="F179" s="24" t="s">
        <v>7591</v>
      </c>
      <c r="G179" s="24" t="s">
        <v>7592</v>
      </c>
      <c r="H179" s="14" t="s">
        <v>8728</v>
      </c>
      <c r="I179" s="14" t="s">
        <v>8728</v>
      </c>
      <c r="J179" s="15" t="s">
        <v>8728</v>
      </c>
      <c r="K179" s="16">
        <v>327.37708300000003</v>
      </c>
      <c r="L179" s="17">
        <v>179.57367400000001</v>
      </c>
      <c r="M179" s="18">
        <f t="shared" si="3"/>
        <v>0.54852243276906465</v>
      </c>
    </row>
    <row r="180" spans="1:13">
      <c r="A180" s="13" t="s">
        <v>7532</v>
      </c>
      <c r="B180" s="14" t="s">
        <v>7532</v>
      </c>
      <c r="C180" s="14" t="str">
        <f>HYPERLINK("http://uswest.ensembl.org/Homo_sapiens/Gene/Summary?g=","-")</f>
        <v>-</v>
      </c>
      <c r="D180" s="14" t="s">
        <v>7562</v>
      </c>
      <c r="E180" s="14" t="str">
        <f>HYPERLINK("http://www.ncbi.nlm.nih.gov/sites/entrez?db=gene&amp;cmd=Retrieve&amp;dopt=full_report&amp;list_uids=891","891")</f>
        <v>891</v>
      </c>
      <c r="F180" s="24" t="s">
        <v>7563</v>
      </c>
      <c r="G180" s="24" t="s">
        <v>7564</v>
      </c>
      <c r="H180" s="14" t="s">
        <v>7565</v>
      </c>
      <c r="I180" s="14" t="s">
        <v>8665</v>
      </c>
      <c r="J180" s="15" t="s">
        <v>7566</v>
      </c>
      <c r="K180" s="16">
        <v>607.04662199999996</v>
      </c>
      <c r="L180" s="17">
        <v>333.27392400000002</v>
      </c>
      <c r="M180" s="18">
        <f t="shared" si="3"/>
        <v>0.54900877778049817</v>
      </c>
    </row>
    <row r="181" spans="1:13">
      <c r="A181" s="13" t="s">
        <v>7533</v>
      </c>
      <c r="B181" s="14" t="s">
        <v>7533</v>
      </c>
      <c r="C181" s="14" t="str">
        <f>HYPERLINK("http://uswest.ensembl.org/Homo_sapiens/Gene/Summary?g=ENSG00000148377","ENSG00000148377")</f>
        <v>ENSG00000148377</v>
      </c>
      <c r="D181" s="14" t="s">
        <v>7534</v>
      </c>
      <c r="E181" s="14" t="str">
        <f>HYPERLINK("http://www.ncbi.nlm.nih.gov/sites/entrez?db=gene&amp;cmd=Retrieve&amp;dopt=full_report&amp;list_uids=91734","91734")</f>
        <v>91734</v>
      </c>
      <c r="F181" s="24" t="s">
        <v>7535</v>
      </c>
      <c r="G181" s="24" t="s">
        <v>7536</v>
      </c>
      <c r="H181" s="14" t="s">
        <v>7585</v>
      </c>
      <c r="I181" s="14" t="s">
        <v>7586</v>
      </c>
      <c r="J181" s="15" t="s">
        <v>7587</v>
      </c>
      <c r="K181" s="16">
        <v>51.975802000000002</v>
      </c>
      <c r="L181" s="17">
        <v>28.547715</v>
      </c>
      <c r="M181" s="18">
        <f t="shared" si="3"/>
        <v>0.54925011065726315</v>
      </c>
    </row>
    <row r="182" spans="1:13">
      <c r="A182" s="13" t="s">
        <v>7505</v>
      </c>
      <c r="B182" s="14" t="s">
        <v>7505</v>
      </c>
      <c r="C182" s="14" t="str">
        <f>HYPERLINK("http://uswest.ensembl.org/Homo_sapiens/Gene/Summary?g=","-")</f>
        <v>-</v>
      </c>
      <c r="D182" s="14" t="s">
        <v>7506</v>
      </c>
      <c r="E182" s="14" t="str">
        <f>HYPERLINK("http://www.ncbi.nlm.nih.gov/sites/entrez?db=gene&amp;cmd=Retrieve&amp;dopt=full_report&amp;list_uids=1033","1033")</f>
        <v>1033</v>
      </c>
      <c r="F182" s="24" t="s">
        <v>7507</v>
      </c>
      <c r="G182" s="25" t="s">
        <v>7561</v>
      </c>
      <c r="H182" s="19" t="s">
        <v>7547</v>
      </c>
      <c r="I182" s="19" t="s">
        <v>7548</v>
      </c>
      <c r="J182" s="15" t="s">
        <v>7498</v>
      </c>
      <c r="K182" s="16">
        <v>441.70770900000002</v>
      </c>
      <c r="L182" s="17">
        <v>242.88624799999999</v>
      </c>
      <c r="M182" s="18">
        <f t="shared" si="3"/>
        <v>0.54988002937480995</v>
      </c>
    </row>
    <row r="183" spans="1:13">
      <c r="A183" s="13" t="s">
        <v>7499</v>
      </c>
      <c r="B183" s="14" t="s">
        <v>7499</v>
      </c>
      <c r="C183" s="14" t="str">
        <f>HYPERLINK("http://uswest.ensembl.org/Homo_sapiens/Gene/Summary?g=ENSG00000204982","ENSG00000204982")</f>
        <v>ENSG00000204982</v>
      </c>
      <c r="D183" s="14" t="s">
        <v>8728</v>
      </c>
      <c r="E183" s="14" t="str">
        <f>HYPERLINK("http://www.ncbi.nlm.nih.gov/sites/entrez?db=gene&amp;cmd=Retrieve&amp;dopt=full_report&amp;list_uids=5645","5645")</f>
        <v>5645</v>
      </c>
      <c r="F183" s="24" t="s">
        <v>7500</v>
      </c>
      <c r="G183" s="24" t="s">
        <v>7501</v>
      </c>
      <c r="H183" s="14" t="s">
        <v>7502</v>
      </c>
      <c r="I183" s="14" t="s">
        <v>7503</v>
      </c>
      <c r="J183" s="15" t="s">
        <v>7504</v>
      </c>
      <c r="K183" s="16">
        <v>44.278976999999998</v>
      </c>
      <c r="L183" s="17">
        <v>24.377365999999999</v>
      </c>
      <c r="M183" s="18">
        <f t="shared" si="3"/>
        <v>0.55054040656811021</v>
      </c>
    </row>
    <row r="184" spans="1:13">
      <c r="A184" s="13" t="s">
        <v>7542</v>
      </c>
      <c r="B184" s="14" t="s">
        <v>7542</v>
      </c>
      <c r="C184" s="14" t="str">
        <f>HYPERLINK("http://uswest.ensembl.org/Homo_sapiens/Gene/Summary?g=ENSG00000140987","ENSG00000140987")</f>
        <v>ENSG00000140987</v>
      </c>
      <c r="D184" s="14" t="s">
        <v>7543</v>
      </c>
      <c r="E184" s="14" t="str">
        <f>HYPERLINK("http://www.ncbi.nlm.nih.gov/sites/entrez?db=gene&amp;cmd=Retrieve&amp;dopt=full_report&amp;list_uids=54925","54925")</f>
        <v>54925</v>
      </c>
      <c r="F184" s="24" t="s">
        <v>7544</v>
      </c>
      <c r="G184" s="24" t="s">
        <v>7545</v>
      </c>
      <c r="H184" s="14" t="s">
        <v>8581</v>
      </c>
      <c r="I184" s="14" t="s">
        <v>8537</v>
      </c>
      <c r="J184" s="15" t="s">
        <v>8622</v>
      </c>
      <c r="K184" s="16">
        <v>37.614772000000002</v>
      </c>
      <c r="L184" s="17">
        <v>20.715055</v>
      </c>
      <c r="M184" s="18">
        <f t="shared" si="3"/>
        <v>0.5507159527645149</v>
      </c>
    </row>
    <row r="185" spans="1:13">
      <c r="A185" s="13" t="s">
        <v>7538</v>
      </c>
      <c r="B185" s="14" t="s">
        <v>7538</v>
      </c>
      <c r="C185" s="14" t="str">
        <f>HYPERLINK("http://uswest.ensembl.org/Homo_sapiens/Gene/Summary?g=","-")</f>
        <v>-</v>
      </c>
      <c r="D185" s="14" t="s">
        <v>7539</v>
      </c>
      <c r="E185" s="14" t="str">
        <f>HYPERLINK("http://www.ncbi.nlm.nih.gov/sites/entrez?db=gene&amp;cmd=Retrieve&amp;dopt=full_report&amp;list_uids=57648","57648")</f>
        <v>57648</v>
      </c>
      <c r="F185" s="24" t="s">
        <v>7540</v>
      </c>
      <c r="G185" s="24" t="s">
        <v>7541</v>
      </c>
      <c r="H185" s="14" t="s">
        <v>8728</v>
      </c>
      <c r="I185" s="14" t="s">
        <v>8728</v>
      </c>
      <c r="J185" s="15" t="s">
        <v>8728</v>
      </c>
      <c r="K185" s="16">
        <v>69.719228000000001</v>
      </c>
      <c r="L185" s="17">
        <v>38.455176000000002</v>
      </c>
      <c r="M185" s="18">
        <f t="shared" si="3"/>
        <v>0.55157202830759977</v>
      </c>
    </row>
    <row r="186" spans="1:13">
      <c r="A186" s="13" t="s">
        <v>7522</v>
      </c>
      <c r="B186" s="14" t="s">
        <v>7522</v>
      </c>
      <c r="C186" s="14" t="str">
        <f>HYPERLINK("http://uswest.ensembl.org/Homo_sapiens/Gene/Summary?g=ENSG00000136928","ENSG00000136928")</f>
        <v>ENSG00000136928</v>
      </c>
      <c r="D186" s="14" t="s">
        <v>7523</v>
      </c>
      <c r="E186" s="14" t="str">
        <f>HYPERLINK("http://www.ncbi.nlm.nih.gov/sites/entrez?db=gene&amp;cmd=Retrieve&amp;dopt=full_report&amp;list_uids=9568","9568")</f>
        <v>9568</v>
      </c>
      <c r="F186" s="24" t="s">
        <v>7524</v>
      </c>
      <c r="G186" s="24" t="s">
        <v>7525</v>
      </c>
      <c r="H186" s="19" t="s">
        <v>7479</v>
      </c>
      <c r="I186" s="14" t="s">
        <v>7480</v>
      </c>
      <c r="J186" s="15" t="s">
        <v>7481</v>
      </c>
      <c r="K186" s="16">
        <v>38.679222000000003</v>
      </c>
      <c r="L186" s="17">
        <v>21.357695</v>
      </c>
      <c r="M186" s="18">
        <f t="shared" si="3"/>
        <v>0.55217488604088261</v>
      </c>
    </row>
    <row r="187" spans="1:13">
      <c r="A187" s="13" t="s">
        <v>7482</v>
      </c>
      <c r="B187" s="14" t="s">
        <v>7482</v>
      </c>
      <c r="C187" s="14" t="str">
        <f>HYPERLINK("http://uswest.ensembl.org/Homo_sapiens/Gene/Summary?g=ENSG00000175538","ENSG00000175538")</f>
        <v>ENSG00000175538</v>
      </c>
      <c r="D187" s="14" t="s">
        <v>7483</v>
      </c>
      <c r="E187" s="14" t="str">
        <f>HYPERLINK("http://www.ncbi.nlm.nih.gov/sites/entrez?db=gene&amp;cmd=Retrieve&amp;dopt=full_report&amp;list_uids=10008","10008")</f>
        <v>10008</v>
      </c>
      <c r="F187" s="24" t="s">
        <v>7484</v>
      </c>
      <c r="G187" s="24" t="s">
        <v>7485</v>
      </c>
      <c r="H187" s="14" t="s">
        <v>8670</v>
      </c>
      <c r="I187" s="14" t="s">
        <v>7537</v>
      </c>
      <c r="J187" s="15" t="s">
        <v>8698</v>
      </c>
      <c r="K187" s="16">
        <v>226.62674000000001</v>
      </c>
      <c r="L187" s="17">
        <v>125.15477199999999</v>
      </c>
      <c r="M187" s="18">
        <f t="shared" si="3"/>
        <v>0.55225068321593462</v>
      </c>
    </row>
    <row r="188" spans="1:13">
      <c r="A188" s="13" t="s">
        <v>7516</v>
      </c>
      <c r="B188" s="14" t="s">
        <v>7516</v>
      </c>
      <c r="C188" s="14" t="str">
        <f>HYPERLINK("http://uswest.ensembl.org/Homo_sapiens/Gene/Summary?g=ENSG00000197472","ENSG00000197472")</f>
        <v>ENSG00000197472</v>
      </c>
      <c r="D188" s="14" t="s">
        <v>8728</v>
      </c>
      <c r="E188" s="14" t="str">
        <f>HYPERLINK("http://www.ncbi.nlm.nih.gov/sites/entrez?db=gene&amp;cmd=Retrieve&amp;dopt=full_report&amp;list_uids=","-")</f>
        <v>-</v>
      </c>
      <c r="F188" s="24" t="s">
        <v>7517</v>
      </c>
      <c r="G188" s="24" t="s">
        <v>7518</v>
      </c>
      <c r="H188" s="14" t="s">
        <v>8163</v>
      </c>
      <c r="I188" s="14" t="s">
        <v>8064</v>
      </c>
      <c r="J188" s="15" t="s">
        <v>8707</v>
      </c>
      <c r="K188" s="16">
        <v>40.718907000000002</v>
      </c>
      <c r="L188" s="17">
        <v>22.521863</v>
      </c>
      <c r="M188" s="18">
        <f t="shared" si="3"/>
        <v>0.55310578449465742</v>
      </c>
    </row>
    <row r="189" spans="1:13">
      <c r="A189" s="13" t="s">
        <v>7460</v>
      </c>
      <c r="B189" s="14" t="s">
        <v>7460</v>
      </c>
      <c r="C189" s="14" t="str">
        <f>HYPERLINK("http://uswest.ensembl.org/Homo_sapiens/Gene/Summary?g=ENSG00000110066","ENSG00000110066")</f>
        <v>ENSG00000110066</v>
      </c>
      <c r="D189" s="14" t="s">
        <v>7461</v>
      </c>
      <c r="E189" s="14" t="str">
        <f>HYPERLINK("http://www.ncbi.nlm.nih.gov/sites/entrez?db=gene&amp;cmd=Retrieve&amp;dopt=full_report&amp;list_uids=51111","51111")</f>
        <v>51111</v>
      </c>
      <c r="F189" s="24" t="s">
        <v>7462</v>
      </c>
      <c r="G189" s="24" t="s">
        <v>7463</v>
      </c>
      <c r="H189" s="14" t="s">
        <v>8728</v>
      </c>
      <c r="I189" s="14" t="s">
        <v>8728</v>
      </c>
      <c r="J189" s="15" t="s">
        <v>8558</v>
      </c>
      <c r="K189" s="16">
        <v>80.093914999999996</v>
      </c>
      <c r="L189" s="17">
        <v>44.383395999999998</v>
      </c>
      <c r="M189" s="18">
        <f t="shared" si="3"/>
        <v>0.55414192201742163</v>
      </c>
    </row>
    <row r="190" spans="1:13">
      <c r="A190" s="13" t="s">
        <v>7464</v>
      </c>
      <c r="B190" s="14" t="s">
        <v>7464</v>
      </c>
      <c r="C190" s="14" t="str">
        <f>HYPERLINK("http://uswest.ensembl.org/Homo_sapiens/Gene/Summary?g=ENSG00000005889","ENSG00000005889")</f>
        <v>ENSG00000005889</v>
      </c>
      <c r="D190" s="14" t="s">
        <v>7465</v>
      </c>
      <c r="E190" s="14" t="str">
        <f>HYPERLINK("http://www.ncbi.nlm.nih.gov/sites/entrez?db=gene&amp;cmd=Retrieve&amp;dopt=full_report&amp;list_uids=","-")</f>
        <v>-</v>
      </c>
      <c r="F190" s="24" t="s">
        <v>7466</v>
      </c>
      <c r="G190" s="24" t="s">
        <v>7508</v>
      </c>
      <c r="H190" s="14" t="s">
        <v>8490</v>
      </c>
      <c r="I190" s="14" t="s">
        <v>7509</v>
      </c>
      <c r="J190" s="15" t="s">
        <v>8622</v>
      </c>
      <c r="K190" s="16">
        <v>45.086841999999997</v>
      </c>
      <c r="L190" s="17">
        <v>24.988676000000002</v>
      </c>
      <c r="M190" s="18">
        <f t="shared" si="3"/>
        <v>0.55423433737053496</v>
      </c>
    </row>
    <row r="191" spans="1:13">
      <c r="A191" s="13" t="s">
        <v>7510</v>
      </c>
      <c r="B191" s="14" t="s">
        <v>7510</v>
      </c>
      <c r="C191" s="14" t="str">
        <f>HYPERLINK("http://uswest.ensembl.org/Homo_sapiens/Gene/Summary?g=ENSG00000134365","ENSG00000134365")</f>
        <v>ENSG00000134365</v>
      </c>
      <c r="D191" s="14" t="s">
        <v>7511</v>
      </c>
      <c r="E191" s="14" t="str">
        <f>HYPERLINK("http://www.ncbi.nlm.nih.gov/sites/entrez?db=gene&amp;cmd=Retrieve&amp;dopt=full_report&amp;list_uids=10877","10877")</f>
        <v>10877</v>
      </c>
      <c r="F191" s="24" t="s">
        <v>7512</v>
      </c>
      <c r="G191" s="24" t="s">
        <v>7513</v>
      </c>
      <c r="H191" s="14" t="s">
        <v>8728</v>
      </c>
      <c r="I191" s="14" t="s">
        <v>7514</v>
      </c>
      <c r="J191" s="15" t="s">
        <v>8731</v>
      </c>
      <c r="K191" s="16">
        <v>48.488207000000003</v>
      </c>
      <c r="L191" s="17">
        <v>26.881034</v>
      </c>
      <c r="M191" s="18">
        <f t="shared" si="3"/>
        <v>0.55438292449130977</v>
      </c>
    </row>
    <row r="192" spans="1:13">
      <c r="A192" s="13" t="s">
        <v>7489</v>
      </c>
      <c r="B192" s="14" t="s">
        <v>7489</v>
      </c>
      <c r="C192" s="14" t="str">
        <f>HYPERLINK("http://uswest.ensembl.org/Homo_sapiens/Gene/Summary?g=ENSG00000175182","ENSG00000175182")</f>
        <v>ENSG00000175182</v>
      </c>
      <c r="D192" s="14" t="s">
        <v>7490</v>
      </c>
      <c r="E192" s="14" t="str">
        <f>HYPERLINK("http://www.ncbi.nlm.nih.gov/sites/entrez?db=gene&amp;cmd=Retrieve&amp;dopt=full_report&amp;list_uids=","-")</f>
        <v>-</v>
      </c>
      <c r="F192" s="24" t="s">
        <v>7491</v>
      </c>
      <c r="G192" s="24" t="s">
        <v>7492</v>
      </c>
      <c r="H192" s="14" t="s">
        <v>8728</v>
      </c>
      <c r="I192" s="14" t="s">
        <v>8728</v>
      </c>
      <c r="J192" s="15" t="s">
        <v>8728</v>
      </c>
      <c r="K192" s="16">
        <v>50.152951999999999</v>
      </c>
      <c r="L192" s="17">
        <v>27.861484000000001</v>
      </c>
      <c r="M192" s="18">
        <f t="shared" si="3"/>
        <v>0.55553029061978254</v>
      </c>
    </row>
    <row r="193" spans="1:13">
      <c r="A193" s="13" t="s">
        <v>7493</v>
      </c>
      <c r="B193" s="14" t="s">
        <v>7493</v>
      </c>
      <c r="C193" s="14" t="str">
        <f>HYPERLINK("http://uswest.ensembl.org/Homo_sapiens/Gene/Summary?g=ENSG00000178951","ENSG00000178951")</f>
        <v>ENSG00000178951</v>
      </c>
      <c r="D193" s="14" t="s">
        <v>7494</v>
      </c>
      <c r="E193" s="14" t="str">
        <f>HYPERLINK("http://www.ncbi.nlm.nih.gov/sites/entrez?db=gene&amp;cmd=Retrieve&amp;dopt=full_report&amp;list_uids=51341","51341")</f>
        <v>51341</v>
      </c>
      <c r="F193" s="24" t="s">
        <v>7495</v>
      </c>
      <c r="G193" s="25" t="s">
        <v>7496</v>
      </c>
      <c r="H193" s="14" t="s">
        <v>7497</v>
      </c>
      <c r="I193" s="14" t="s">
        <v>7454</v>
      </c>
      <c r="J193" s="15" t="s">
        <v>8622</v>
      </c>
      <c r="K193" s="16">
        <v>253.73575700000001</v>
      </c>
      <c r="L193" s="17">
        <v>141.02212499999999</v>
      </c>
      <c r="M193" s="18">
        <f t="shared" si="3"/>
        <v>0.55578341289911293</v>
      </c>
    </row>
    <row r="194" spans="1:13">
      <c r="A194" s="13" t="s">
        <v>7455</v>
      </c>
      <c r="B194" s="14" t="s">
        <v>7455</v>
      </c>
      <c r="C194" s="14" t="str">
        <f>HYPERLINK("http://uswest.ensembl.org/Homo_sapiens/Gene/Summary?g=ENSG00000151025","ENSG00000151025")</f>
        <v>ENSG00000151025</v>
      </c>
      <c r="D194" s="14" t="s">
        <v>7456</v>
      </c>
      <c r="E194" s="14" t="str">
        <f>HYPERLINK("http://www.ncbi.nlm.nih.gov/sites/entrez?db=gene&amp;cmd=Retrieve&amp;dopt=full_report&amp;list_uids=57512","57512")</f>
        <v>57512</v>
      </c>
      <c r="F194" s="24" t="s">
        <v>7457</v>
      </c>
      <c r="G194" s="24" t="s">
        <v>7458</v>
      </c>
      <c r="H194" s="14" t="s">
        <v>7459</v>
      </c>
      <c r="I194" s="14" t="s">
        <v>7427</v>
      </c>
      <c r="J194" s="15" t="s">
        <v>8701</v>
      </c>
      <c r="K194" s="16">
        <v>45.986984</v>
      </c>
      <c r="L194" s="17">
        <v>25.560191</v>
      </c>
      <c r="M194" s="18">
        <f t="shared" ref="M194:M257" si="4">L194/K194</f>
        <v>0.5558135971691468</v>
      </c>
    </row>
    <row r="195" spans="1:13">
      <c r="A195" s="13" t="s">
        <v>7428</v>
      </c>
      <c r="B195" s="14" t="s">
        <v>7428</v>
      </c>
      <c r="C195" s="14" t="str">
        <f>HYPERLINK("http://uswest.ensembl.org/Homo_sapiens/Gene/Summary?g=ENSG00000118972","ENSG00000118972")</f>
        <v>ENSG00000118972</v>
      </c>
      <c r="D195" s="14" t="s">
        <v>7429</v>
      </c>
      <c r="E195" s="14" t="str">
        <f>HYPERLINK("http://www.ncbi.nlm.nih.gov/sites/entrez?db=gene&amp;cmd=Retrieve&amp;dopt=full_report&amp;list_uids=8074","8074")</f>
        <v>8074</v>
      </c>
      <c r="F195" s="24" t="s">
        <v>7430</v>
      </c>
      <c r="G195" s="24" t="s">
        <v>7431</v>
      </c>
      <c r="H195" s="14" t="s">
        <v>7486</v>
      </c>
      <c r="I195" s="14" t="s">
        <v>7982</v>
      </c>
      <c r="J195" s="15" t="s">
        <v>8627</v>
      </c>
      <c r="K195" s="16">
        <v>50.588641000000003</v>
      </c>
      <c r="L195" s="17">
        <v>28.119011</v>
      </c>
      <c r="M195" s="18">
        <f t="shared" si="4"/>
        <v>0.55583645743715471</v>
      </c>
    </row>
    <row r="196" spans="1:13">
      <c r="A196" s="13" t="s">
        <v>7474</v>
      </c>
      <c r="B196" s="14" t="s">
        <v>7474</v>
      </c>
      <c r="C196" s="14" t="str">
        <f>HYPERLINK("http://uswest.ensembl.org/Homo_sapiens/Gene/Summary?g=","-")</f>
        <v>-</v>
      </c>
      <c r="D196" s="14" t="s">
        <v>8728</v>
      </c>
      <c r="E196" s="14" t="str">
        <f>HYPERLINK("http://www.ncbi.nlm.nih.gov/sites/entrez?db=gene&amp;cmd=Retrieve&amp;dopt=full_report&amp;list_uids=100287910","100287910")</f>
        <v>100287910</v>
      </c>
      <c r="F196" s="24" t="s">
        <v>8728</v>
      </c>
      <c r="G196" s="24" t="s">
        <v>8728</v>
      </c>
      <c r="H196" s="14" t="s">
        <v>8728</v>
      </c>
      <c r="I196" s="14" t="s">
        <v>8728</v>
      </c>
      <c r="J196" s="15" t="s">
        <v>8728</v>
      </c>
      <c r="K196" s="16">
        <v>41.399521999999997</v>
      </c>
      <c r="L196" s="17">
        <v>23.030017000000001</v>
      </c>
      <c r="M196" s="18">
        <f t="shared" si="4"/>
        <v>0.55628702669562224</v>
      </c>
    </row>
    <row r="197" spans="1:13">
      <c r="A197" s="13" t="s">
        <v>7475</v>
      </c>
      <c r="B197" s="14" t="s">
        <v>7475</v>
      </c>
      <c r="C197" s="14" t="str">
        <f>HYPERLINK("http://uswest.ensembl.org/Homo_sapiens/Gene/Summary?g=ENSG00000162909","ENSG00000162909")</f>
        <v>ENSG00000162909</v>
      </c>
      <c r="D197" s="14" t="s">
        <v>7476</v>
      </c>
      <c r="E197" s="14" t="str">
        <f>HYPERLINK("http://www.ncbi.nlm.nih.gov/sites/entrez?db=gene&amp;cmd=Retrieve&amp;dopt=full_report&amp;list_uids=824","824")</f>
        <v>824</v>
      </c>
      <c r="F197" s="24" t="s">
        <v>7477</v>
      </c>
      <c r="G197" s="24" t="s">
        <v>7478</v>
      </c>
      <c r="H197" s="14" t="s">
        <v>8623</v>
      </c>
      <c r="I197" s="14" t="s">
        <v>7426</v>
      </c>
      <c r="J197" s="15" t="s">
        <v>8132</v>
      </c>
      <c r="K197" s="16">
        <v>126.94286200000001</v>
      </c>
      <c r="L197" s="17">
        <v>70.636589000000001</v>
      </c>
      <c r="M197" s="18">
        <f t="shared" si="4"/>
        <v>0.55644396137846641</v>
      </c>
    </row>
    <row r="198" spans="1:13">
      <c r="A198" s="13" t="s">
        <v>7453</v>
      </c>
      <c r="B198" s="14" t="s">
        <v>7453</v>
      </c>
      <c r="C198" s="14" t="str">
        <f>HYPERLINK("http://uswest.ensembl.org/Homo_sapiens/Gene/Summary?g=","-")</f>
        <v>-</v>
      </c>
      <c r="D198" s="14" t="s">
        <v>7404</v>
      </c>
      <c r="E198" s="14" t="str">
        <f>HYPERLINK("http://www.ncbi.nlm.nih.gov/sites/entrez?db=gene&amp;cmd=Retrieve&amp;dopt=full_report&amp;list_uids=3757","3757")</f>
        <v>3757</v>
      </c>
      <c r="F198" s="14" t="s">
        <v>7405</v>
      </c>
      <c r="G198" s="19" t="s">
        <v>7406</v>
      </c>
      <c r="H198" s="19" t="s">
        <v>7407</v>
      </c>
      <c r="I198" s="19" t="s">
        <v>7467</v>
      </c>
      <c r="J198" s="15" t="s">
        <v>7468</v>
      </c>
      <c r="K198" s="16">
        <v>181.986043</v>
      </c>
      <c r="L198" s="17">
        <v>101.274261</v>
      </c>
      <c r="M198" s="18">
        <f t="shared" si="4"/>
        <v>0.55649465931846209</v>
      </c>
    </row>
    <row r="199" spans="1:13">
      <c r="A199" s="13" t="s">
        <v>7469</v>
      </c>
      <c r="B199" s="14" t="s">
        <v>7469</v>
      </c>
      <c r="C199" s="14" t="str">
        <f>HYPERLINK("http://uswest.ensembl.org/Homo_sapiens/Gene/Summary?g=ENSG00000147400","ENSG00000147400")</f>
        <v>ENSG00000147400</v>
      </c>
      <c r="D199" s="14" t="s">
        <v>7470</v>
      </c>
      <c r="E199" s="14" t="str">
        <f>HYPERLINK("http://www.ncbi.nlm.nih.gov/sites/entrez?db=gene&amp;cmd=Retrieve&amp;dopt=full_report&amp;list_uids=1069","1069")</f>
        <v>1069</v>
      </c>
      <c r="F199" s="14" t="s">
        <v>7471</v>
      </c>
      <c r="G199" s="14" t="s">
        <v>7443</v>
      </c>
      <c r="H199" s="14" t="s">
        <v>7444</v>
      </c>
      <c r="I199" s="14" t="s">
        <v>7472</v>
      </c>
      <c r="J199" s="15" t="s">
        <v>7473</v>
      </c>
      <c r="K199" s="16">
        <v>152.83344700000001</v>
      </c>
      <c r="L199" s="17">
        <v>85.055903999999998</v>
      </c>
      <c r="M199" s="18">
        <f t="shared" si="4"/>
        <v>0.55652676602916629</v>
      </c>
    </row>
    <row r="200" spans="1:13">
      <c r="A200" s="13" t="s">
        <v>7445</v>
      </c>
      <c r="B200" s="14" t="s">
        <v>7445</v>
      </c>
      <c r="C200" s="14" t="str">
        <f>HYPERLINK("http://uswest.ensembl.org/Homo_sapiens/Gene/Summary?g=","-")</f>
        <v>-</v>
      </c>
      <c r="D200" s="14" t="s">
        <v>7446</v>
      </c>
      <c r="E200" s="14" t="str">
        <f>HYPERLINK("http://www.ncbi.nlm.nih.gov/sites/entrez?db=gene&amp;cmd=Retrieve&amp;dopt=full_report&amp;list_uids=7770","7770")</f>
        <v>7770</v>
      </c>
      <c r="F200" s="14" t="s">
        <v>7447</v>
      </c>
      <c r="G200" s="14" t="s">
        <v>7448</v>
      </c>
      <c r="H200" s="14" t="s">
        <v>8581</v>
      </c>
      <c r="I200" s="14" t="s">
        <v>7449</v>
      </c>
      <c r="J200" s="15" t="s">
        <v>8255</v>
      </c>
      <c r="K200" s="16">
        <v>41.734189999999998</v>
      </c>
      <c r="L200" s="17">
        <v>23.233504</v>
      </c>
      <c r="M200" s="18">
        <f t="shared" si="4"/>
        <v>0.55670192712497835</v>
      </c>
    </row>
    <row r="201" spans="1:13">
      <c r="A201" s="13" t="s">
        <v>7451</v>
      </c>
      <c r="B201" s="14" t="s">
        <v>7451</v>
      </c>
      <c r="C201" s="14" t="str">
        <f>HYPERLINK("http://uswest.ensembl.org/Homo_sapiens/Gene/Summary?g=ENSG00000189145","ENSG00000189145")</f>
        <v>ENSG00000189145</v>
      </c>
      <c r="D201" s="14" t="s">
        <v>8728</v>
      </c>
      <c r="E201" s="14" t="str">
        <f>HYPERLINK("http://www.ncbi.nlm.nih.gov/sites/entrez?db=gene&amp;cmd=Retrieve&amp;dopt=full_report&amp;list_uids=","-")</f>
        <v>-</v>
      </c>
      <c r="F201" s="14" t="s">
        <v>7452</v>
      </c>
      <c r="G201" s="14" t="s">
        <v>8728</v>
      </c>
      <c r="H201" s="14" t="s">
        <v>8728</v>
      </c>
      <c r="I201" s="14" t="s">
        <v>8728</v>
      </c>
      <c r="J201" s="15" t="s">
        <v>8728</v>
      </c>
      <c r="K201" s="16">
        <v>156.83256600000001</v>
      </c>
      <c r="L201" s="17">
        <v>87.310530999999997</v>
      </c>
      <c r="M201" s="18">
        <f t="shared" si="4"/>
        <v>0.55671174187126404</v>
      </c>
    </row>
    <row r="202" spans="1:13">
      <c r="A202" s="13" t="s">
        <v>7439</v>
      </c>
      <c r="B202" s="14" t="s">
        <v>7439</v>
      </c>
      <c r="C202" s="14" t="str">
        <f>HYPERLINK("http://uswest.ensembl.org/Homo_sapiens/Gene/Summary?g=","-")</f>
        <v>-</v>
      </c>
      <c r="D202" s="14" t="s">
        <v>7440</v>
      </c>
      <c r="E202" s="14" t="str">
        <f>HYPERLINK("http://www.ncbi.nlm.nih.gov/sites/entrez?db=gene&amp;cmd=Retrieve&amp;dopt=full_report&amp;list_uids=4736","4736")</f>
        <v>4736</v>
      </c>
      <c r="F202" s="14" t="s">
        <v>7441</v>
      </c>
      <c r="G202" s="14" t="s">
        <v>7442</v>
      </c>
      <c r="H202" s="14" t="s">
        <v>8728</v>
      </c>
      <c r="I202" s="14" t="s">
        <v>8728</v>
      </c>
      <c r="J202" s="15" t="s">
        <v>8728</v>
      </c>
      <c r="K202" s="16">
        <v>3676.9732880000001</v>
      </c>
      <c r="L202" s="17">
        <v>2050.3690499999998</v>
      </c>
      <c r="M202" s="18">
        <f t="shared" si="4"/>
        <v>0.55762413523413112</v>
      </c>
    </row>
    <row r="203" spans="1:13">
      <c r="A203" s="13" t="s">
        <v>7382</v>
      </c>
      <c r="B203" s="14" t="s">
        <v>7382</v>
      </c>
      <c r="C203" s="14" t="str">
        <f>HYPERLINK("http://uswest.ensembl.org/Homo_sapiens/Gene/Summary?g=ENSG00000164039","ENSG00000164039")</f>
        <v>ENSG00000164039</v>
      </c>
      <c r="D203" s="14" t="s">
        <v>7383</v>
      </c>
      <c r="E203" s="14" t="str">
        <f>HYPERLINK("http://www.ncbi.nlm.nih.gov/sites/entrez?db=gene&amp;cmd=Retrieve&amp;dopt=full_report&amp;list_uids=56898","56898")</f>
        <v>56898</v>
      </c>
      <c r="F203" s="14" t="s">
        <v>7384</v>
      </c>
      <c r="G203" s="14" t="s">
        <v>7385</v>
      </c>
      <c r="H203" s="14" t="s">
        <v>7386</v>
      </c>
      <c r="I203" s="19" t="s">
        <v>7432</v>
      </c>
      <c r="J203" s="15" t="s">
        <v>8619</v>
      </c>
      <c r="K203" s="16">
        <v>51.932616000000003</v>
      </c>
      <c r="L203" s="17">
        <v>28.982697999999999</v>
      </c>
      <c r="M203" s="18">
        <f t="shared" si="4"/>
        <v>0.55808276632935261</v>
      </c>
    </row>
    <row r="204" spans="1:13">
      <c r="A204" s="13" t="s">
        <v>7433</v>
      </c>
      <c r="B204" s="14" t="s">
        <v>7433</v>
      </c>
      <c r="C204" s="14" t="str">
        <f>HYPERLINK("http://uswest.ensembl.org/Homo_sapiens/Gene/Summary?g=ENSG00000007923","ENSG00000007923")</f>
        <v>ENSG00000007923</v>
      </c>
      <c r="D204" s="14" t="s">
        <v>7434</v>
      </c>
      <c r="E204" s="14" t="str">
        <f>HYPERLINK("http://www.ncbi.nlm.nih.gov/sites/entrez?db=gene&amp;cmd=Retrieve&amp;dopt=full_report&amp;list_uids=","-")</f>
        <v>-</v>
      </c>
      <c r="F204" s="14" t="s">
        <v>7435</v>
      </c>
      <c r="G204" s="14" t="s">
        <v>7436</v>
      </c>
      <c r="H204" s="14" t="s">
        <v>8728</v>
      </c>
      <c r="I204" s="14" t="s">
        <v>7437</v>
      </c>
      <c r="J204" s="15" t="s">
        <v>8728</v>
      </c>
      <c r="K204" s="16">
        <v>59.157218999999998</v>
      </c>
      <c r="L204" s="17">
        <v>33.017270000000003</v>
      </c>
      <c r="M204" s="18">
        <f t="shared" si="4"/>
        <v>0.55812748736548967</v>
      </c>
    </row>
    <row r="205" spans="1:13">
      <c r="A205" s="13" t="s">
        <v>7413</v>
      </c>
      <c r="B205" s="14" t="s">
        <v>7413</v>
      </c>
      <c r="C205" s="14" t="str">
        <f>HYPERLINK("http://uswest.ensembl.org/Homo_sapiens/Gene/Summary?g=ENSG00000137331","ENSG00000137331")</f>
        <v>ENSG00000137331</v>
      </c>
      <c r="D205" s="14" t="s">
        <v>7414</v>
      </c>
      <c r="E205" s="14" t="str">
        <f>HYPERLINK("http://www.ncbi.nlm.nih.gov/sites/entrez?db=gene&amp;cmd=Retrieve&amp;dopt=full_report&amp;list_uids=8870","8870")</f>
        <v>8870</v>
      </c>
      <c r="F205" s="14" t="s">
        <v>7415</v>
      </c>
      <c r="G205" s="14" t="s">
        <v>7416</v>
      </c>
      <c r="H205" s="14" t="s">
        <v>8728</v>
      </c>
      <c r="I205" s="14" t="s">
        <v>8728</v>
      </c>
      <c r="J205" s="15" t="s">
        <v>7417</v>
      </c>
      <c r="K205" s="16">
        <v>374.80495200000001</v>
      </c>
      <c r="L205" s="17">
        <v>209.324949</v>
      </c>
      <c r="M205" s="18">
        <f t="shared" si="4"/>
        <v>0.55849035046900875</v>
      </c>
    </row>
    <row r="206" spans="1:13">
      <c r="A206" s="13" t="s">
        <v>7418</v>
      </c>
      <c r="B206" s="14" t="s">
        <v>7418</v>
      </c>
      <c r="C206" s="14" t="str">
        <f>HYPERLINK("http://uswest.ensembl.org/Homo_sapiens/Gene/Summary?g=ENSG00000072694","ENSG00000072694")</f>
        <v>ENSG00000072694</v>
      </c>
      <c r="D206" s="14" t="s">
        <v>7419</v>
      </c>
      <c r="E206" s="14" t="str">
        <f>HYPERLINK("http://www.ncbi.nlm.nih.gov/sites/entrez?db=gene&amp;cmd=Retrieve&amp;dopt=full_report&amp;list_uids=9103","9103")</f>
        <v>9103</v>
      </c>
      <c r="F206" s="14" t="s">
        <v>7420</v>
      </c>
      <c r="G206" s="14" t="s">
        <v>7421</v>
      </c>
      <c r="H206" s="14" t="s">
        <v>8728</v>
      </c>
      <c r="I206" s="14" t="s">
        <v>8607</v>
      </c>
      <c r="J206" s="15" t="s">
        <v>8728</v>
      </c>
      <c r="K206" s="16">
        <v>210.31986900000001</v>
      </c>
      <c r="L206" s="17">
        <v>117.477479</v>
      </c>
      <c r="M206" s="18">
        <f t="shared" si="4"/>
        <v>0.55856576726947271</v>
      </c>
    </row>
    <row r="207" spans="1:13">
      <c r="A207" s="13" t="s">
        <v>7422</v>
      </c>
      <c r="B207" s="14" t="s">
        <v>7422</v>
      </c>
      <c r="C207" s="14" t="str">
        <f>HYPERLINK("http://uswest.ensembl.org/Homo_sapiens/Gene/Summary?g=ENSG00000183049","ENSG00000183049")</f>
        <v>ENSG00000183049</v>
      </c>
      <c r="D207" s="14" t="s">
        <v>7423</v>
      </c>
      <c r="E207" s="14" t="str">
        <f>HYPERLINK("http://www.ncbi.nlm.nih.gov/sites/entrez?db=gene&amp;cmd=Retrieve&amp;dopt=full_report&amp;list_uids=57118","57118")</f>
        <v>57118</v>
      </c>
      <c r="F207" s="14" t="s">
        <v>7424</v>
      </c>
      <c r="G207" s="14" t="s">
        <v>7425</v>
      </c>
      <c r="H207" s="14" t="s">
        <v>7381</v>
      </c>
      <c r="I207" s="14" t="s">
        <v>7408</v>
      </c>
      <c r="J207" s="15" t="s">
        <v>7409</v>
      </c>
      <c r="K207" s="16">
        <v>76.028139999999993</v>
      </c>
      <c r="L207" s="17">
        <v>42.472841000000003</v>
      </c>
      <c r="M207" s="18">
        <f t="shared" si="4"/>
        <v>0.55864632490022781</v>
      </c>
    </row>
    <row r="208" spans="1:13">
      <c r="A208" s="13" t="s">
        <v>7400</v>
      </c>
      <c r="B208" s="14" t="s">
        <v>7400</v>
      </c>
      <c r="C208" s="14" t="str">
        <f>HYPERLINK("http://uswest.ensembl.org/Homo_sapiens/Gene/Summary?g=ENSG00000109390","ENSG00000109390")</f>
        <v>ENSG00000109390</v>
      </c>
      <c r="D208" s="14" t="s">
        <v>7401</v>
      </c>
      <c r="E208" s="14" t="str">
        <f>HYPERLINK("http://www.ncbi.nlm.nih.gov/sites/entrez?db=gene&amp;cmd=Retrieve&amp;dopt=full_report&amp;list_uids=4717","4717")</f>
        <v>4717</v>
      </c>
      <c r="F208" s="14" t="s">
        <v>7402</v>
      </c>
      <c r="G208" s="14" t="s">
        <v>7403</v>
      </c>
      <c r="H208" s="14" t="s">
        <v>7349</v>
      </c>
      <c r="I208" s="14" t="s">
        <v>8433</v>
      </c>
      <c r="J208" s="15" t="s">
        <v>7350</v>
      </c>
      <c r="K208" s="16">
        <v>462.15178900000001</v>
      </c>
      <c r="L208" s="17">
        <v>258.74766499999998</v>
      </c>
      <c r="M208" s="18">
        <f t="shared" si="4"/>
        <v>0.55987593504695921</v>
      </c>
    </row>
    <row r="209" spans="1:13">
      <c r="A209" s="13" t="s">
        <v>7351</v>
      </c>
      <c r="B209" s="14" t="s">
        <v>7351</v>
      </c>
      <c r="C209" s="14" t="str">
        <f>HYPERLINK("http://uswest.ensembl.org/Homo_sapiens/Gene/Summary?g=","-")</f>
        <v>-</v>
      </c>
      <c r="D209" s="14" t="s">
        <v>7352</v>
      </c>
      <c r="E209" s="14" t="str">
        <f>HYPERLINK("http://www.ncbi.nlm.nih.gov/sites/entrez?db=gene&amp;cmd=Retrieve&amp;dopt=full_report&amp;list_uids=4001","4001")</f>
        <v>4001</v>
      </c>
      <c r="F209" s="14" t="s">
        <v>7353</v>
      </c>
      <c r="G209" s="14" t="s">
        <v>7354</v>
      </c>
      <c r="H209" s="14" t="s">
        <v>8728</v>
      </c>
      <c r="I209" s="14" t="s">
        <v>8679</v>
      </c>
      <c r="J209" s="15" t="s">
        <v>7355</v>
      </c>
      <c r="K209" s="16">
        <v>287.340282</v>
      </c>
      <c r="L209" s="17">
        <v>160.92470399999999</v>
      </c>
      <c r="M209" s="18">
        <f t="shared" si="4"/>
        <v>0.56004923110641336</v>
      </c>
    </row>
    <row r="210" spans="1:13">
      <c r="A210" s="13" t="s">
        <v>7388</v>
      </c>
      <c r="B210" s="14" t="s">
        <v>7388</v>
      </c>
      <c r="C210" s="14" t="str">
        <f>HYPERLINK("http://uswest.ensembl.org/Homo_sapiens/Gene/Summary?g=ENSG00000179902","ENSG00000179902")</f>
        <v>ENSG00000179902</v>
      </c>
      <c r="D210" s="14" t="s">
        <v>7389</v>
      </c>
      <c r="E210" s="14" t="str">
        <f>HYPERLINK("http://www.ncbi.nlm.nih.gov/sites/entrez?db=gene&amp;cmd=Retrieve&amp;dopt=full_report&amp;list_uids=","-")</f>
        <v>-</v>
      </c>
      <c r="F210" s="14" t="s">
        <v>7390</v>
      </c>
      <c r="G210" s="14" t="s">
        <v>7391</v>
      </c>
      <c r="H210" s="14" t="s">
        <v>8728</v>
      </c>
      <c r="I210" s="14" t="s">
        <v>8728</v>
      </c>
      <c r="J210" s="15" t="s">
        <v>8728</v>
      </c>
      <c r="K210" s="16">
        <v>94.671030999999999</v>
      </c>
      <c r="L210" s="17">
        <v>53.075215</v>
      </c>
      <c r="M210" s="18">
        <f t="shared" si="4"/>
        <v>0.56062783344991773</v>
      </c>
    </row>
    <row r="211" spans="1:13">
      <c r="A211" s="13" t="s">
        <v>7392</v>
      </c>
      <c r="B211" s="14" t="s">
        <v>7392</v>
      </c>
      <c r="C211" s="14" t="str">
        <f>HYPERLINK("http://uswest.ensembl.org/Homo_sapiens/Gene/Summary?g=ENSG00000143126","ENSG00000143126")</f>
        <v>ENSG00000143126</v>
      </c>
      <c r="D211" s="14" t="s">
        <v>7393</v>
      </c>
      <c r="E211" s="14" t="str">
        <f>HYPERLINK("http://www.ncbi.nlm.nih.gov/sites/entrez?db=gene&amp;cmd=Retrieve&amp;dopt=full_report&amp;list_uids=1952","1952")</f>
        <v>1952</v>
      </c>
      <c r="F211" s="14" t="s">
        <v>7394</v>
      </c>
      <c r="G211" s="14" t="s">
        <v>7395</v>
      </c>
      <c r="H211" s="19" t="s">
        <v>7396</v>
      </c>
      <c r="I211" s="14" t="s">
        <v>7397</v>
      </c>
      <c r="J211" s="15" t="s">
        <v>7398</v>
      </c>
      <c r="K211" s="16">
        <v>169.49411000000001</v>
      </c>
      <c r="L211" s="17">
        <v>95.044627000000006</v>
      </c>
      <c r="M211" s="18">
        <f t="shared" si="4"/>
        <v>0.56075474835084238</v>
      </c>
    </row>
    <row r="212" spans="1:13">
      <c r="A212" s="13" t="s">
        <v>7372</v>
      </c>
      <c r="B212" s="14" t="s">
        <v>7372</v>
      </c>
      <c r="C212" s="14" t="str">
        <f>HYPERLINK("http://uswest.ensembl.org/Homo_sapiens/Gene/Summary?g=ENSG00000116977","ENSG00000116977")</f>
        <v>ENSG00000116977</v>
      </c>
      <c r="D212" s="14" t="s">
        <v>7373</v>
      </c>
      <c r="E212" s="14" t="str">
        <f>HYPERLINK("http://www.ncbi.nlm.nih.gov/sites/entrez?db=gene&amp;cmd=Retrieve&amp;dopt=full_report&amp;list_uids=3964","3964")</f>
        <v>3964</v>
      </c>
      <c r="F212" s="14" t="s">
        <v>7399</v>
      </c>
      <c r="G212" s="14" t="s">
        <v>7374</v>
      </c>
      <c r="H212" s="14" t="s">
        <v>8728</v>
      </c>
      <c r="I212" s="14" t="s">
        <v>7932</v>
      </c>
      <c r="J212" s="15" t="s">
        <v>7375</v>
      </c>
      <c r="K212" s="16">
        <v>369.95492899999999</v>
      </c>
      <c r="L212" s="17">
        <v>207.656206</v>
      </c>
      <c r="M212" s="18">
        <f t="shared" si="4"/>
        <v>0.56130136328039026</v>
      </c>
    </row>
    <row r="213" spans="1:13">
      <c r="A213" s="13" t="s">
        <v>7376</v>
      </c>
      <c r="B213" s="14" t="s">
        <v>7376</v>
      </c>
      <c r="C213" s="14" t="str">
        <f>HYPERLINK("http://uswest.ensembl.org/Homo_sapiens/Gene/Summary?g=ENSG00000168610","ENSG00000168610")</f>
        <v>ENSG00000168610</v>
      </c>
      <c r="D213" s="14" t="s">
        <v>7377</v>
      </c>
      <c r="E213" s="14" t="str">
        <f>HYPERLINK("http://www.ncbi.nlm.nih.gov/sites/entrez?db=gene&amp;cmd=Retrieve&amp;dopt=full_report&amp;list_uids=6774","6774")</f>
        <v>6774</v>
      </c>
      <c r="F213" s="14" t="s">
        <v>7378</v>
      </c>
      <c r="G213" s="14" t="s">
        <v>7379</v>
      </c>
      <c r="H213" s="14" t="s">
        <v>7380</v>
      </c>
      <c r="I213" s="14" t="s">
        <v>7334</v>
      </c>
      <c r="J213" s="15" t="s">
        <v>8558</v>
      </c>
      <c r="K213" s="16">
        <v>91.371138000000002</v>
      </c>
      <c r="L213" s="17">
        <v>51.287522000000003</v>
      </c>
      <c r="M213" s="18">
        <f t="shared" si="4"/>
        <v>0.56130987445948199</v>
      </c>
    </row>
    <row r="214" spans="1:13">
      <c r="A214" s="13" t="s">
        <v>7335</v>
      </c>
      <c r="B214" s="14" t="s">
        <v>7335</v>
      </c>
      <c r="C214" s="14" t="str">
        <f>HYPERLINK("http://uswest.ensembl.org/Homo_sapiens/Gene/Summary?g=ENSG00000163297","ENSG00000163297")</f>
        <v>ENSG00000163297</v>
      </c>
      <c r="D214" s="14" t="s">
        <v>8728</v>
      </c>
      <c r="E214" s="14" t="str">
        <f>HYPERLINK("http://www.ncbi.nlm.nih.gov/sites/entrez?db=gene&amp;cmd=Retrieve&amp;dopt=full_report&amp;list_uids=","-")</f>
        <v>-</v>
      </c>
      <c r="F214" s="14" t="s">
        <v>7336</v>
      </c>
      <c r="G214" s="14" t="s">
        <v>7337</v>
      </c>
      <c r="H214" s="14" t="s">
        <v>8728</v>
      </c>
      <c r="I214" s="14" t="s">
        <v>8607</v>
      </c>
      <c r="J214" s="15" t="s">
        <v>8669</v>
      </c>
      <c r="K214" s="16">
        <v>77.955149000000006</v>
      </c>
      <c r="L214" s="17">
        <v>43.773719999999997</v>
      </c>
      <c r="M214" s="18">
        <f t="shared" si="4"/>
        <v>0.56152442220333632</v>
      </c>
    </row>
    <row r="215" spans="1:13">
      <c r="A215" s="13" t="s">
        <v>7338</v>
      </c>
      <c r="B215" s="14" t="s">
        <v>7338</v>
      </c>
      <c r="C215" s="14" t="str">
        <f>HYPERLINK("http://uswest.ensembl.org/Homo_sapiens/Gene/Summary?g=","-")</f>
        <v>-</v>
      </c>
      <c r="D215" s="14" t="s">
        <v>7339</v>
      </c>
      <c r="E215" s="14" t="str">
        <f>HYPERLINK("http://www.ncbi.nlm.nih.gov/sites/entrez?db=gene&amp;cmd=Retrieve&amp;dopt=full_report&amp;list_uids=3303","3303")</f>
        <v>3303</v>
      </c>
      <c r="F215" s="14" t="s">
        <v>7340</v>
      </c>
      <c r="G215" s="14" t="s">
        <v>7341</v>
      </c>
      <c r="H215" s="14" t="s">
        <v>7387</v>
      </c>
      <c r="I215" s="14" t="s">
        <v>7356</v>
      </c>
      <c r="J215" s="15" t="s">
        <v>7357</v>
      </c>
      <c r="K215" s="16">
        <v>1027.026572</v>
      </c>
      <c r="L215" s="17">
        <v>576.78379399999994</v>
      </c>
      <c r="M215" s="18">
        <f t="shared" si="4"/>
        <v>0.5616055219260675</v>
      </c>
    </row>
    <row r="216" spans="1:13">
      <c r="A216" s="13" t="s">
        <v>7358</v>
      </c>
      <c r="B216" s="14" t="s">
        <v>7358</v>
      </c>
      <c r="C216" s="14" t="str">
        <f>HYPERLINK("http://uswest.ensembl.org/Homo_sapiens/Gene/Summary?g=ENSG00000132703","ENSG00000132703")</f>
        <v>ENSG00000132703</v>
      </c>
      <c r="D216" s="14" t="s">
        <v>7359</v>
      </c>
      <c r="E216" s="14" t="str">
        <f>HYPERLINK("http://www.ncbi.nlm.nih.gov/sites/entrez?db=gene&amp;cmd=Retrieve&amp;dopt=full_report&amp;list_uids=325","325")</f>
        <v>325</v>
      </c>
      <c r="F216" s="14" t="s">
        <v>7360</v>
      </c>
      <c r="G216" s="14" t="s">
        <v>7361</v>
      </c>
      <c r="H216" s="14" t="s">
        <v>7362</v>
      </c>
      <c r="I216" s="14" t="s">
        <v>7363</v>
      </c>
      <c r="J216" s="15" t="s">
        <v>8627</v>
      </c>
      <c r="K216" s="16">
        <v>99.567085000000006</v>
      </c>
      <c r="L216" s="17">
        <v>55.921959000000001</v>
      </c>
      <c r="M216" s="18">
        <f t="shared" si="4"/>
        <v>0.56165106169373136</v>
      </c>
    </row>
    <row r="217" spans="1:13">
      <c r="A217" s="13" t="s">
        <v>7364</v>
      </c>
      <c r="B217" s="14" t="s">
        <v>7364</v>
      </c>
      <c r="C217" s="14" t="str">
        <f>HYPERLINK("http://uswest.ensembl.org/Homo_sapiens/Gene/Summary?g=ENSG00000154016","ENSG00000154016")</f>
        <v>ENSG00000154016</v>
      </c>
      <c r="D217" s="14" t="s">
        <v>7365</v>
      </c>
      <c r="E217" s="14" t="str">
        <f>HYPERLINK("http://www.ncbi.nlm.nih.gov/sites/entrez?db=gene&amp;cmd=Retrieve&amp;dopt=full_report&amp;list_uids=","-")</f>
        <v>-</v>
      </c>
      <c r="F217" s="14" t="s">
        <v>7366</v>
      </c>
      <c r="G217" s="14" t="s">
        <v>7367</v>
      </c>
      <c r="H217" s="14" t="s">
        <v>8728</v>
      </c>
      <c r="I217" s="14" t="s">
        <v>8665</v>
      </c>
      <c r="J217" s="15" t="s">
        <v>8728</v>
      </c>
      <c r="K217" s="16">
        <v>36.050522999999998</v>
      </c>
      <c r="L217" s="17">
        <v>20.260303</v>
      </c>
      <c r="M217" s="18">
        <f t="shared" si="4"/>
        <v>0.5619974778174508</v>
      </c>
    </row>
    <row r="218" spans="1:13">
      <c r="A218" s="13" t="s">
        <v>7368</v>
      </c>
      <c r="B218" s="14" t="s">
        <v>7368</v>
      </c>
      <c r="C218" s="14" t="str">
        <f>HYPERLINK("http://uswest.ensembl.org/Homo_sapiens/Gene/Summary?g=ENSG00000213186","ENSG00000213186")</f>
        <v>ENSG00000213186</v>
      </c>
      <c r="D218" s="14" t="s">
        <v>7369</v>
      </c>
      <c r="E218" s="14" t="str">
        <f>HYPERLINK("http://www.ncbi.nlm.nih.gov/sites/entrez?db=gene&amp;cmd=Retrieve&amp;dopt=full_report&amp;list_uids=286827","286827")</f>
        <v>286827</v>
      </c>
      <c r="F218" s="14" t="s">
        <v>7370</v>
      </c>
      <c r="G218" s="14" t="s">
        <v>7371</v>
      </c>
      <c r="H218" s="14" t="s">
        <v>7639</v>
      </c>
      <c r="I218" s="14" t="s">
        <v>7640</v>
      </c>
      <c r="J218" s="15" t="s">
        <v>7343</v>
      </c>
      <c r="K218" s="16">
        <v>53.360422</v>
      </c>
      <c r="L218" s="17">
        <v>29.991599000000001</v>
      </c>
      <c r="M218" s="18">
        <f t="shared" si="4"/>
        <v>0.56205700547120863</v>
      </c>
    </row>
    <row r="219" spans="1:13">
      <c r="A219" s="13" t="s">
        <v>7344</v>
      </c>
      <c r="B219" s="14" t="s">
        <v>7344</v>
      </c>
      <c r="C219" s="14" t="str">
        <f>HYPERLINK("http://uswest.ensembl.org/Homo_sapiens/Gene/Summary?g=ENSG00000160211","ENSG00000160211")</f>
        <v>ENSG00000160211</v>
      </c>
      <c r="D219" s="14" t="s">
        <v>7345</v>
      </c>
      <c r="E219" s="14" t="str">
        <f>HYPERLINK("http://www.ncbi.nlm.nih.gov/sites/entrez?db=gene&amp;cmd=Retrieve&amp;dopt=full_report&amp;list_uids=2539","2539")</f>
        <v>2539</v>
      </c>
      <c r="F219" s="14" t="s">
        <v>7346</v>
      </c>
      <c r="G219" s="14" t="s">
        <v>7347</v>
      </c>
      <c r="H219" s="19" t="s">
        <v>7348</v>
      </c>
      <c r="I219" s="14" t="s">
        <v>7332</v>
      </c>
      <c r="J219" s="15" t="s">
        <v>7333</v>
      </c>
      <c r="K219" s="16">
        <v>659.00920399999995</v>
      </c>
      <c r="L219" s="17">
        <v>370.51994999999999</v>
      </c>
      <c r="M219" s="18">
        <f t="shared" si="4"/>
        <v>0.56223789857721018</v>
      </c>
    </row>
    <row r="220" spans="1:13">
      <c r="A220" s="13" t="s">
        <v>7326</v>
      </c>
      <c r="B220" s="14" t="s">
        <v>7326</v>
      </c>
      <c r="C220" s="14" t="str">
        <f>HYPERLINK("http://uswest.ensembl.org/Homo_sapiens/Gene/Summary?g=ENSG00000163449","ENSG00000163449")</f>
        <v>ENSG00000163449</v>
      </c>
      <c r="D220" s="14" t="s">
        <v>7327</v>
      </c>
      <c r="E220" s="14" t="str">
        <f>HYPERLINK("http://www.ncbi.nlm.nih.gov/sites/entrez?db=gene&amp;cmd=Retrieve&amp;dopt=full_report&amp;list_uids=92691","92691")</f>
        <v>92691</v>
      </c>
      <c r="F220" s="14" t="s">
        <v>7328</v>
      </c>
      <c r="G220" s="14" t="s">
        <v>7329</v>
      </c>
      <c r="H220" s="14" t="s">
        <v>8728</v>
      </c>
      <c r="I220" s="14" t="s">
        <v>8728</v>
      </c>
      <c r="J220" s="15" t="s">
        <v>8698</v>
      </c>
      <c r="K220" s="16">
        <v>39.033687</v>
      </c>
      <c r="L220" s="17">
        <v>21.951740000000001</v>
      </c>
      <c r="M220" s="18">
        <f t="shared" si="4"/>
        <v>0.56237936221602636</v>
      </c>
    </row>
    <row r="221" spans="1:13">
      <c r="A221" s="13" t="s">
        <v>7330</v>
      </c>
      <c r="B221" s="14" t="s">
        <v>7330</v>
      </c>
      <c r="C221" s="14" t="str">
        <f>HYPERLINK("http://uswest.ensembl.org/Homo_sapiens/Gene/Summary?g=ENSG00000164885","ENSG00000164885")</f>
        <v>ENSG00000164885</v>
      </c>
      <c r="D221" s="14" t="s">
        <v>8728</v>
      </c>
      <c r="E221" s="14" t="str">
        <f>HYPERLINK("http://www.ncbi.nlm.nih.gov/sites/entrez?db=gene&amp;cmd=Retrieve&amp;dopt=full_report&amp;list_uids=1020","1020")</f>
        <v>1020</v>
      </c>
      <c r="F221" s="14" t="s">
        <v>7331</v>
      </c>
      <c r="G221" s="14" t="s">
        <v>7342</v>
      </c>
      <c r="H221" s="19" t="s">
        <v>7325</v>
      </c>
      <c r="I221" s="19" t="s">
        <v>7297</v>
      </c>
      <c r="J221" s="20" t="s">
        <v>7309</v>
      </c>
      <c r="K221" s="16">
        <v>44.082991</v>
      </c>
      <c r="L221" s="17">
        <v>24.812349000000001</v>
      </c>
      <c r="M221" s="18">
        <f t="shared" si="4"/>
        <v>0.5628553879204794</v>
      </c>
    </row>
    <row r="222" spans="1:13">
      <c r="A222" s="13" t="s">
        <v>7310</v>
      </c>
      <c r="B222" s="14" t="s">
        <v>7310</v>
      </c>
      <c r="C222" s="14" t="str">
        <f>HYPERLINK("http://uswest.ensembl.org/Homo_sapiens/Gene/Summary?g=ENSG00000069702","ENSG00000069702")</f>
        <v>ENSG00000069702</v>
      </c>
      <c r="D222" s="14" t="s">
        <v>7311</v>
      </c>
      <c r="E222" s="14" t="str">
        <f>HYPERLINK("http://www.ncbi.nlm.nih.gov/sites/entrez?db=gene&amp;cmd=Retrieve&amp;dopt=full_report&amp;list_uids=7049","7049")</f>
        <v>7049</v>
      </c>
      <c r="F222" s="14" t="s">
        <v>7312</v>
      </c>
      <c r="G222" s="14" t="s">
        <v>7313</v>
      </c>
      <c r="H222" s="14" t="s">
        <v>8728</v>
      </c>
      <c r="I222" s="14" t="s">
        <v>8728</v>
      </c>
      <c r="J222" s="15" t="s">
        <v>8728</v>
      </c>
      <c r="K222" s="16">
        <v>90.006238999999994</v>
      </c>
      <c r="L222" s="17">
        <v>50.660854999999998</v>
      </c>
      <c r="M222" s="18">
        <f t="shared" si="4"/>
        <v>0.5628593702265462</v>
      </c>
    </row>
    <row r="223" spans="1:13">
      <c r="A223" s="13" t="s">
        <v>7288</v>
      </c>
      <c r="B223" s="14" t="s">
        <v>7288</v>
      </c>
      <c r="C223" s="14" t="str">
        <f>HYPERLINK("http://uswest.ensembl.org/Homo_sapiens/Gene/Summary?g=ENSG00000173706","ENSG00000173706")</f>
        <v>ENSG00000173706</v>
      </c>
      <c r="D223" s="14" t="s">
        <v>8728</v>
      </c>
      <c r="E223" s="14" t="str">
        <f>HYPERLINK("http://www.ncbi.nlm.nih.gov/sites/entrez?db=gene&amp;cmd=Retrieve&amp;dopt=full_report&amp;list_uids=57493","57493")</f>
        <v>57493</v>
      </c>
      <c r="F223" s="14" t="s">
        <v>7289</v>
      </c>
      <c r="G223" s="14" t="s">
        <v>7314</v>
      </c>
      <c r="H223" s="14" t="s">
        <v>8728</v>
      </c>
      <c r="I223" s="14" t="s">
        <v>8684</v>
      </c>
      <c r="J223" s="15" t="s">
        <v>8458</v>
      </c>
      <c r="K223" s="16">
        <v>155.24985799999999</v>
      </c>
      <c r="L223" s="17">
        <v>87.416207999999997</v>
      </c>
      <c r="M223" s="18">
        <f t="shared" si="4"/>
        <v>0.56306787733100538</v>
      </c>
    </row>
    <row r="224" spans="1:13">
      <c r="A224" s="13" t="s">
        <v>7315</v>
      </c>
      <c r="B224" s="14" t="s">
        <v>7315</v>
      </c>
      <c r="C224" s="14" t="str">
        <f>HYPERLINK("http://uswest.ensembl.org/Homo_sapiens/Gene/Summary?g=ENSG00000213006","ENSG00000213006")</f>
        <v>ENSG00000213006</v>
      </c>
      <c r="D224" s="14" t="s">
        <v>8728</v>
      </c>
      <c r="E224" s="14" t="str">
        <f>HYPERLINK("http://www.ncbi.nlm.nih.gov/sites/entrez?db=gene&amp;cmd=Retrieve&amp;dopt=full_report&amp;list_uids=","-")</f>
        <v>-</v>
      </c>
      <c r="F224" s="14" t="s">
        <v>7316</v>
      </c>
      <c r="G224" s="14" t="s">
        <v>7317</v>
      </c>
      <c r="H224" s="14" t="s">
        <v>8728</v>
      </c>
      <c r="I224" s="14" t="s">
        <v>8728</v>
      </c>
      <c r="J224" s="15" t="s">
        <v>8728</v>
      </c>
      <c r="K224" s="16">
        <v>46.829143999999999</v>
      </c>
      <c r="L224" s="17">
        <v>26.372063000000001</v>
      </c>
      <c r="M224" s="18">
        <f t="shared" si="4"/>
        <v>0.5631549233528591</v>
      </c>
    </row>
    <row r="225" spans="1:13">
      <c r="A225" s="13" t="s">
        <v>7293</v>
      </c>
      <c r="B225" s="14" t="s">
        <v>7293</v>
      </c>
      <c r="C225" s="14" t="str">
        <f>HYPERLINK("http://uswest.ensembl.org/Homo_sapiens/Gene/Summary?g=","-")</f>
        <v>-</v>
      </c>
      <c r="D225" s="14" t="s">
        <v>7294</v>
      </c>
      <c r="E225" s="14" t="str">
        <f>HYPERLINK("http://www.ncbi.nlm.nih.gov/sites/entrez?db=gene&amp;cmd=Retrieve&amp;dopt=full_report&amp;list_uids=408","408")</f>
        <v>408</v>
      </c>
      <c r="F225" s="14" t="s">
        <v>7295</v>
      </c>
      <c r="G225" s="14" t="s">
        <v>7296</v>
      </c>
      <c r="H225" s="19" t="s">
        <v>7324</v>
      </c>
      <c r="I225" s="14" t="s">
        <v>7280</v>
      </c>
      <c r="J225" s="15" t="s">
        <v>7306</v>
      </c>
      <c r="K225" s="16">
        <v>64.000664999999998</v>
      </c>
      <c r="L225" s="17">
        <v>36.089509999999997</v>
      </c>
      <c r="M225" s="18">
        <f t="shared" si="4"/>
        <v>0.56389273455205502</v>
      </c>
    </row>
    <row r="226" spans="1:13">
      <c r="A226" s="13" t="s">
        <v>7307</v>
      </c>
      <c r="B226" s="14" t="s">
        <v>7307</v>
      </c>
      <c r="C226" s="14" t="str">
        <f>HYPERLINK("http://uswest.ensembl.org/Homo_sapiens/Gene/Summary?g=ENSG00000188107","ENSG00000188107")</f>
        <v>ENSG00000188107</v>
      </c>
      <c r="D226" s="14" t="s">
        <v>8728</v>
      </c>
      <c r="E226" s="14" t="str">
        <f>HYPERLINK("http://www.ncbi.nlm.nih.gov/sites/entrez?db=gene&amp;cmd=Retrieve&amp;dopt=full_report&amp;list_uids=","-")</f>
        <v>-</v>
      </c>
      <c r="F226" s="14" t="s">
        <v>7308</v>
      </c>
      <c r="G226" s="14" t="s">
        <v>8361</v>
      </c>
      <c r="H226" s="14" t="s">
        <v>8728</v>
      </c>
      <c r="I226" s="14" t="s">
        <v>8684</v>
      </c>
      <c r="J226" s="15" t="s">
        <v>8728</v>
      </c>
      <c r="K226" s="16">
        <v>42.780929</v>
      </c>
      <c r="L226" s="17">
        <v>24.13063</v>
      </c>
      <c r="M226" s="18">
        <f t="shared" si="4"/>
        <v>0.56405109856310043</v>
      </c>
    </row>
    <row r="227" spans="1:13">
      <c r="A227" s="13" t="s">
        <v>7283</v>
      </c>
      <c r="B227" s="14" t="s">
        <v>7283</v>
      </c>
      <c r="C227" s="14" t="str">
        <f>HYPERLINK("http://uswest.ensembl.org/Homo_sapiens/Gene/Summary?g=ENSG00000213996","ENSG00000213996")</f>
        <v>ENSG00000213996</v>
      </c>
      <c r="D227" s="14" t="s">
        <v>7284</v>
      </c>
      <c r="E227" s="14" t="str">
        <f>HYPERLINK("http://www.ncbi.nlm.nih.gov/sites/entrez?db=gene&amp;cmd=Retrieve&amp;dopt=full_report&amp;list_uids=","-")</f>
        <v>-</v>
      </c>
      <c r="F227" s="14" t="s">
        <v>7285</v>
      </c>
      <c r="G227" s="14" t="s">
        <v>7286</v>
      </c>
      <c r="H227" s="14" t="s">
        <v>8076</v>
      </c>
      <c r="I227" s="14" t="s">
        <v>8648</v>
      </c>
      <c r="J227" s="15" t="s">
        <v>8698</v>
      </c>
      <c r="K227" s="16">
        <v>55.377319</v>
      </c>
      <c r="L227" s="17">
        <v>31.251290999999998</v>
      </c>
      <c r="M227" s="18">
        <f t="shared" si="4"/>
        <v>0.56433376632046772</v>
      </c>
    </row>
    <row r="228" spans="1:13">
      <c r="A228" s="13" t="s">
        <v>7290</v>
      </c>
      <c r="B228" s="14" t="s">
        <v>7290</v>
      </c>
      <c r="C228" s="14" t="str">
        <f>HYPERLINK("http://uswest.ensembl.org/Homo_sapiens/Gene/Summary?g=ENSG00000091039","ENSG00000091039")</f>
        <v>ENSG00000091039</v>
      </c>
      <c r="D228" s="14" t="s">
        <v>7291</v>
      </c>
      <c r="E228" s="14" t="str">
        <f>HYPERLINK("http://www.ncbi.nlm.nih.gov/sites/entrez?db=gene&amp;cmd=Retrieve&amp;dopt=full_report&amp;list_uids=","-")</f>
        <v>-</v>
      </c>
      <c r="F228" s="14" t="s">
        <v>7292</v>
      </c>
      <c r="G228" s="14" t="s">
        <v>7281</v>
      </c>
      <c r="H228" s="14" t="s">
        <v>7950</v>
      </c>
      <c r="I228" s="14" t="s">
        <v>8728</v>
      </c>
      <c r="J228" s="15" t="s">
        <v>8728</v>
      </c>
      <c r="K228" s="16">
        <v>40.000480000000003</v>
      </c>
      <c r="L228" s="17">
        <v>22.581068999999999</v>
      </c>
      <c r="M228" s="18">
        <f t="shared" si="4"/>
        <v>0.56451995076059081</v>
      </c>
    </row>
    <row r="229" spans="1:13">
      <c r="A229" s="13" t="s">
        <v>7300</v>
      </c>
      <c r="B229" s="14" t="s">
        <v>7300</v>
      </c>
      <c r="C229" s="14" t="str">
        <f>HYPERLINK("http://uswest.ensembl.org/Homo_sapiens/Gene/Summary?g=ENSG00000118873","ENSG00000118873")</f>
        <v>ENSG00000118873</v>
      </c>
      <c r="D229" s="14" t="s">
        <v>7301</v>
      </c>
      <c r="E229" s="14" t="str">
        <f>HYPERLINK("http://www.ncbi.nlm.nih.gov/sites/entrez?db=gene&amp;cmd=Retrieve&amp;dopt=full_report&amp;list_uids=25782","25782")</f>
        <v>25782</v>
      </c>
      <c r="F229" s="14" t="s">
        <v>7302</v>
      </c>
      <c r="G229" s="14" t="s">
        <v>7304</v>
      </c>
      <c r="H229" s="14" t="s">
        <v>7305</v>
      </c>
      <c r="I229" s="14" t="s">
        <v>7257</v>
      </c>
      <c r="J229" s="15" t="s">
        <v>8725</v>
      </c>
      <c r="K229" s="16">
        <v>99.079318999999998</v>
      </c>
      <c r="L229" s="17">
        <v>55.996600999999998</v>
      </c>
      <c r="M229" s="18">
        <f t="shared" si="4"/>
        <v>0.56516941744421956</v>
      </c>
    </row>
    <row r="230" spans="1:13">
      <c r="A230" s="13" t="s">
        <v>7258</v>
      </c>
      <c r="B230" s="14" t="s">
        <v>7258</v>
      </c>
      <c r="C230" s="14" t="str">
        <f>HYPERLINK("http://uswest.ensembl.org/Homo_sapiens/Gene/Summary?g=","-")</f>
        <v>-</v>
      </c>
      <c r="D230" s="14" t="s">
        <v>7259</v>
      </c>
      <c r="E230" s="14" t="str">
        <f>HYPERLINK("http://www.ncbi.nlm.nih.gov/sites/entrez?db=gene&amp;cmd=Retrieve&amp;dopt=full_report&amp;list_uids=1024","1024")</f>
        <v>1024</v>
      </c>
      <c r="F230" s="14" t="s">
        <v>7260</v>
      </c>
      <c r="G230" s="14" t="s">
        <v>7261</v>
      </c>
      <c r="H230" s="14" t="s">
        <v>7262</v>
      </c>
      <c r="I230" s="19" t="s">
        <v>7251</v>
      </c>
      <c r="J230" s="15" t="s">
        <v>7252</v>
      </c>
      <c r="K230" s="16">
        <v>87.415649000000002</v>
      </c>
      <c r="L230" s="17">
        <v>49.425103</v>
      </c>
      <c r="M230" s="18">
        <f t="shared" si="4"/>
        <v>0.56540337531555707</v>
      </c>
    </row>
    <row r="231" spans="1:13">
      <c r="A231" s="13" t="s">
        <v>7253</v>
      </c>
      <c r="B231" s="14" t="s">
        <v>7253</v>
      </c>
      <c r="C231" s="14" t="str">
        <f>HYPERLINK("http://uswest.ensembl.org/Homo_sapiens/Gene/Summary?g=","-")</f>
        <v>-</v>
      </c>
      <c r="D231" s="14" t="s">
        <v>7254</v>
      </c>
      <c r="E231" s="14" t="str">
        <f>HYPERLINK("http://www.ncbi.nlm.nih.gov/sites/entrez?db=gene&amp;cmd=Retrieve&amp;dopt=full_report&amp;list_uids=8871","8871")</f>
        <v>8871</v>
      </c>
      <c r="F231" s="14" t="s">
        <v>7255</v>
      </c>
      <c r="G231" s="14" t="s">
        <v>7298</v>
      </c>
      <c r="H231" s="14" t="s">
        <v>8236</v>
      </c>
      <c r="I231" s="14" t="s">
        <v>7263</v>
      </c>
      <c r="J231" s="15" t="s">
        <v>8691</v>
      </c>
      <c r="K231" s="16">
        <v>66.037959999999998</v>
      </c>
      <c r="L231" s="17">
        <v>37.341352000000001</v>
      </c>
      <c r="M231" s="18">
        <f t="shared" si="4"/>
        <v>0.56545283954864745</v>
      </c>
    </row>
    <row r="232" spans="1:13">
      <c r="A232" s="13" t="s">
        <v>7264</v>
      </c>
      <c r="B232" s="14" t="s">
        <v>7264</v>
      </c>
      <c r="C232" s="14" t="str">
        <f>HYPERLINK("http://uswest.ensembl.org/Homo_sapiens/Gene/Summary?g=","-")</f>
        <v>-</v>
      </c>
      <c r="D232" s="14" t="s">
        <v>7265</v>
      </c>
      <c r="E232" s="14" t="str">
        <f>HYPERLINK("http://www.ncbi.nlm.nih.gov/sites/entrez?db=gene&amp;cmd=Retrieve&amp;dopt=full_report&amp;list_uids=93100","93100")</f>
        <v>93100</v>
      </c>
      <c r="F232" s="14" t="s">
        <v>7266</v>
      </c>
      <c r="G232" s="14" t="s">
        <v>7320</v>
      </c>
      <c r="H232" s="14" t="s">
        <v>7321</v>
      </c>
      <c r="I232" s="14" t="s">
        <v>7322</v>
      </c>
      <c r="J232" s="15" t="s">
        <v>8728</v>
      </c>
      <c r="K232" s="16">
        <v>80.347286999999994</v>
      </c>
      <c r="L232" s="17">
        <v>45.478842999999998</v>
      </c>
      <c r="M232" s="18">
        <f t="shared" si="4"/>
        <v>0.56602835886667835</v>
      </c>
    </row>
    <row r="233" spans="1:13">
      <c r="A233" s="13" t="s">
        <v>7272</v>
      </c>
      <c r="B233" s="14" t="s">
        <v>7272</v>
      </c>
      <c r="C233" s="14" t="str">
        <f>HYPERLINK("http://uswest.ensembl.org/Homo_sapiens/Gene/Summary?g=ENSG00000136156","ENSG00000136156")</f>
        <v>ENSG00000136156</v>
      </c>
      <c r="D233" s="14" t="s">
        <v>7273</v>
      </c>
      <c r="E233" s="14" t="str">
        <f>HYPERLINK("http://www.ncbi.nlm.nih.gov/sites/entrez?db=gene&amp;cmd=Retrieve&amp;dopt=full_report&amp;list_uids=","-")</f>
        <v>-</v>
      </c>
      <c r="F233" s="14" t="s">
        <v>7274</v>
      </c>
      <c r="G233" s="14" t="s">
        <v>7303</v>
      </c>
      <c r="H233" s="14" t="s">
        <v>8728</v>
      </c>
      <c r="I233" s="14" t="s">
        <v>8728</v>
      </c>
      <c r="J233" s="15" t="s">
        <v>8728</v>
      </c>
      <c r="K233" s="16">
        <v>1255.9990660000001</v>
      </c>
      <c r="L233" s="17">
        <v>711.15602200000001</v>
      </c>
      <c r="M233" s="18">
        <f t="shared" si="4"/>
        <v>0.56620744493451713</v>
      </c>
    </row>
    <row r="234" spans="1:13">
      <c r="A234" s="13" t="s">
        <v>7276</v>
      </c>
      <c r="B234" s="14" t="s">
        <v>7276</v>
      </c>
      <c r="C234" s="14" t="str">
        <f>HYPERLINK("http://uswest.ensembl.org/Homo_sapiens/Gene/Summary?g=ENSG00000067900","ENSG00000067900")</f>
        <v>ENSG00000067900</v>
      </c>
      <c r="D234" s="14" t="s">
        <v>7277</v>
      </c>
      <c r="E234" s="14" t="str">
        <f>HYPERLINK("http://www.ncbi.nlm.nih.gov/sites/entrez?db=gene&amp;cmd=Retrieve&amp;dopt=full_report&amp;list_uids=732432","732432")</f>
        <v>732432</v>
      </c>
      <c r="F234" s="14" t="s">
        <v>7278</v>
      </c>
      <c r="G234" s="14" t="s">
        <v>7279</v>
      </c>
      <c r="H234" s="19" t="s">
        <v>7256</v>
      </c>
      <c r="I234" s="19" t="s">
        <v>7249</v>
      </c>
      <c r="J234" s="15" t="s">
        <v>7250</v>
      </c>
      <c r="K234" s="16">
        <v>177.73974999999999</v>
      </c>
      <c r="L234" s="17">
        <v>100.710596</v>
      </c>
      <c r="M234" s="18">
        <f t="shared" si="4"/>
        <v>0.56661830569695304</v>
      </c>
    </row>
    <row r="235" spans="1:13">
      <c r="A235" s="13" t="s">
        <v>7244</v>
      </c>
      <c r="B235" s="14" t="s">
        <v>7244</v>
      </c>
      <c r="C235" s="14" t="str">
        <f>HYPERLINK("http://uswest.ensembl.org/Homo_sapiens/Gene/Summary?g=","-")</f>
        <v>-</v>
      </c>
      <c r="D235" s="14" t="s">
        <v>7245</v>
      </c>
      <c r="E235" s="14" t="str">
        <f>HYPERLINK("http://www.ncbi.nlm.nih.gov/sites/entrez?db=gene&amp;cmd=Retrieve&amp;dopt=full_report&amp;list_uids=11314","11314")</f>
        <v>11314</v>
      </c>
      <c r="F235" s="14" t="s">
        <v>7246</v>
      </c>
      <c r="G235" s="14" t="s">
        <v>7247</v>
      </c>
      <c r="H235" s="14" t="s">
        <v>7248</v>
      </c>
      <c r="I235" s="14" t="s">
        <v>7267</v>
      </c>
      <c r="J235" s="15" t="s">
        <v>8586</v>
      </c>
      <c r="K235" s="16">
        <v>302.31647900000002</v>
      </c>
      <c r="L235" s="17">
        <v>171.72373300000001</v>
      </c>
      <c r="M235" s="18">
        <f t="shared" si="4"/>
        <v>0.56802637278664525</v>
      </c>
    </row>
    <row r="236" spans="1:13">
      <c r="A236" s="13" t="s">
        <v>7268</v>
      </c>
      <c r="B236" s="14" t="s">
        <v>7268</v>
      </c>
      <c r="C236" s="14" t="str">
        <f>HYPERLINK("http://uswest.ensembl.org/Homo_sapiens/Gene/Summary?g=ENSG00000069399","ENSG00000069399")</f>
        <v>ENSG00000069399</v>
      </c>
      <c r="D236" s="14" t="s">
        <v>7269</v>
      </c>
      <c r="E236" s="14" t="str">
        <f>HYPERLINK("http://www.ncbi.nlm.nih.gov/sites/entrez?db=gene&amp;cmd=Retrieve&amp;dopt=full_report&amp;list_uids=","-")</f>
        <v>-</v>
      </c>
      <c r="F236" s="14" t="s">
        <v>7270</v>
      </c>
      <c r="G236" s="14" t="s">
        <v>7271</v>
      </c>
      <c r="H236" s="19" t="s">
        <v>7240</v>
      </c>
      <c r="I236" s="14" t="s">
        <v>7241</v>
      </c>
      <c r="J236" s="15" t="s">
        <v>7242</v>
      </c>
      <c r="K236" s="16">
        <v>55.273533999999998</v>
      </c>
      <c r="L236" s="17">
        <v>31.415714999999999</v>
      </c>
      <c r="M236" s="18">
        <f t="shared" si="4"/>
        <v>0.56836812714019702</v>
      </c>
    </row>
    <row r="237" spans="1:13">
      <c r="A237" s="13" t="s">
        <v>7214</v>
      </c>
      <c r="B237" s="14" t="s">
        <v>7214</v>
      </c>
      <c r="C237" s="14" t="str">
        <f>HYPERLINK("http://uswest.ensembl.org/Homo_sapiens/Gene/Summary?g=ENSG00000012048","ENSG00000012048")</f>
        <v>ENSG00000012048</v>
      </c>
      <c r="D237" s="14" t="s">
        <v>7215</v>
      </c>
      <c r="E237" s="14" t="str">
        <f>HYPERLINK("http://www.ncbi.nlm.nih.gov/sites/entrez?db=gene&amp;cmd=Retrieve&amp;dopt=full_report&amp;list_uids=672","672")</f>
        <v>672</v>
      </c>
      <c r="F237" s="14" t="s">
        <v>7216</v>
      </c>
      <c r="G237" s="14" t="s">
        <v>7217</v>
      </c>
      <c r="H237" s="14" t="s">
        <v>7218</v>
      </c>
      <c r="I237" s="14" t="s">
        <v>7219</v>
      </c>
      <c r="J237" s="15" t="s">
        <v>7220</v>
      </c>
      <c r="K237" s="16">
        <v>47.957704</v>
      </c>
      <c r="L237" s="17">
        <v>27.280633000000002</v>
      </c>
      <c r="M237" s="18">
        <f t="shared" si="4"/>
        <v>0.56884777052712954</v>
      </c>
    </row>
    <row r="238" spans="1:13">
      <c r="A238" s="13" t="s">
        <v>7221</v>
      </c>
      <c r="B238" s="14" t="s">
        <v>7221</v>
      </c>
      <c r="C238" s="14" t="str">
        <f>HYPERLINK("http://uswest.ensembl.org/Homo_sapiens/Gene/Summary?g=ENSG00000124097","ENSG00000124097")</f>
        <v>ENSG00000124097</v>
      </c>
      <c r="D238" s="14" t="s">
        <v>7222</v>
      </c>
      <c r="E238" s="14" t="str">
        <f>HYPERLINK("http://www.ncbi.nlm.nih.gov/sites/entrez?db=gene&amp;cmd=Retrieve&amp;dopt=full_report&amp;list_uids=10357","10357")</f>
        <v>10357</v>
      </c>
      <c r="F238" s="14" t="s">
        <v>7223</v>
      </c>
      <c r="G238" s="14" t="s">
        <v>7224</v>
      </c>
      <c r="H238" s="14" t="s">
        <v>8728</v>
      </c>
      <c r="I238" s="14" t="s">
        <v>8682</v>
      </c>
      <c r="J238" s="15" t="s">
        <v>7225</v>
      </c>
      <c r="K238" s="16">
        <v>641.67688599999997</v>
      </c>
      <c r="L238" s="17">
        <v>365.23659400000003</v>
      </c>
      <c r="M238" s="18">
        <f t="shared" si="4"/>
        <v>0.56919082168716306</v>
      </c>
    </row>
    <row r="239" spans="1:13">
      <c r="A239" s="13" t="s">
        <v>7201</v>
      </c>
      <c r="B239" s="14" t="s">
        <v>7201</v>
      </c>
      <c r="C239" s="14" t="str">
        <f>HYPERLINK("http://uswest.ensembl.org/Homo_sapiens/Gene/Summary?g=ENSG00000160213","ENSG00000160213")</f>
        <v>ENSG00000160213</v>
      </c>
      <c r="D239" s="14" t="s">
        <v>7202</v>
      </c>
      <c r="E239" s="14" t="str">
        <f>HYPERLINK("http://www.ncbi.nlm.nih.gov/sites/entrez?db=gene&amp;cmd=Retrieve&amp;dopt=full_report&amp;list_uids=1476","1476")</f>
        <v>1476</v>
      </c>
      <c r="F239" s="14" t="s">
        <v>7203</v>
      </c>
      <c r="G239" s="14" t="s">
        <v>7204</v>
      </c>
      <c r="H239" s="14" t="s">
        <v>7212</v>
      </c>
      <c r="I239" s="14" t="s">
        <v>7213</v>
      </c>
      <c r="J239" s="15" t="s">
        <v>8610</v>
      </c>
      <c r="K239" s="16">
        <v>1419.815108</v>
      </c>
      <c r="L239" s="17">
        <v>809.32442600000002</v>
      </c>
      <c r="M239" s="18">
        <f t="shared" si="4"/>
        <v>0.57002099881867152</v>
      </c>
    </row>
    <row r="240" spans="1:13">
      <c r="A240" s="13" t="s">
        <v>7232</v>
      </c>
      <c r="B240" s="14" t="s">
        <v>7232</v>
      </c>
      <c r="C240" s="14" t="str">
        <f>HYPERLINK("http://uswest.ensembl.org/Homo_sapiens/Gene/Summary?g=","-")</f>
        <v>-</v>
      </c>
      <c r="D240" s="14" t="s">
        <v>7233</v>
      </c>
      <c r="E240" s="14" t="str">
        <f>HYPERLINK("http://www.ncbi.nlm.nih.gov/sites/entrez?db=gene&amp;cmd=Retrieve&amp;dopt=full_report&amp;list_uids=2850","2850")</f>
        <v>2850</v>
      </c>
      <c r="F240" s="14" t="s">
        <v>7234</v>
      </c>
      <c r="G240" s="14" t="s">
        <v>7235</v>
      </c>
      <c r="H240" s="14" t="s">
        <v>7236</v>
      </c>
      <c r="I240" s="14" t="s">
        <v>8513</v>
      </c>
      <c r="J240" s="15" t="s">
        <v>8382</v>
      </c>
      <c r="K240" s="16">
        <v>46.388227000000001</v>
      </c>
      <c r="L240" s="17">
        <v>26.466653000000001</v>
      </c>
      <c r="M240" s="18">
        <f t="shared" si="4"/>
        <v>0.5705467682565234</v>
      </c>
    </row>
    <row r="241" spans="1:13">
      <c r="A241" s="13" t="s">
        <v>7237</v>
      </c>
      <c r="B241" s="14" t="s">
        <v>7237</v>
      </c>
      <c r="C241" s="14" t="str">
        <f>HYPERLINK("http://uswest.ensembl.org/Homo_sapiens/Gene/Summary?g=ENSG00000165806","ENSG00000165806")</f>
        <v>ENSG00000165806</v>
      </c>
      <c r="D241" s="14" t="s">
        <v>7238</v>
      </c>
      <c r="E241" s="14" t="str">
        <f>HYPERLINK("http://www.ncbi.nlm.nih.gov/sites/entrez?db=gene&amp;cmd=Retrieve&amp;dopt=full_report&amp;list_uids=840","840")</f>
        <v>840</v>
      </c>
      <c r="F241" s="14" t="s">
        <v>7239</v>
      </c>
      <c r="G241" s="14" t="s">
        <v>7186</v>
      </c>
      <c r="H241" s="14" t="s">
        <v>8510</v>
      </c>
      <c r="I241" s="14" t="s">
        <v>8511</v>
      </c>
      <c r="J241" s="15" t="s">
        <v>8728</v>
      </c>
      <c r="K241" s="16">
        <v>34.547994000000003</v>
      </c>
      <c r="L241" s="17">
        <v>19.714656999999999</v>
      </c>
      <c r="M241" s="18">
        <f t="shared" si="4"/>
        <v>0.57064549102329931</v>
      </c>
    </row>
    <row r="242" spans="1:13">
      <c r="A242" s="13" t="s">
        <v>7187</v>
      </c>
      <c r="B242" s="14" t="s">
        <v>7187</v>
      </c>
      <c r="C242" s="14" t="str">
        <f>HYPERLINK("http://uswest.ensembl.org/Homo_sapiens/Gene/Summary?g=ENSG00000115355","ENSG00000115355")</f>
        <v>ENSG00000115355</v>
      </c>
      <c r="D242" s="14" t="s">
        <v>7188</v>
      </c>
      <c r="E242" s="14" t="str">
        <f>HYPERLINK("http://www.ncbi.nlm.nih.gov/sites/entrez?db=gene&amp;cmd=Retrieve&amp;dopt=full_report&amp;list_uids=55704","55704")</f>
        <v>55704</v>
      </c>
      <c r="F242" s="14" t="s">
        <v>7189</v>
      </c>
      <c r="G242" s="14" t="s">
        <v>7190</v>
      </c>
      <c r="H242" s="14" t="s">
        <v>7191</v>
      </c>
      <c r="I242" s="14" t="s">
        <v>7192</v>
      </c>
      <c r="J242" s="15" t="s">
        <v>8558</v>
      </c>
      <c r="K242" s="16">
        <v>119.16795399999999</v>
      </c>
      <c r="L242" s="17">
        <v>68.004777000000004</v>
      </c>
      <c r="M242" s="18">
        <f t="shared" si="4"/>
        <v>0.57066329258283655</v>
      </c>
    </row>
    <row r="243" spans="1:13">
      <c r="A243" s="13" t="s">
        <v>7193</v>
      </c>
      <c r="B243" s="14" t="s">
        <v>7193</v>
      </c>
      <c r="C243" s="14" t="str">
        <f>HYPERLINK("http://uswest.ensembl.org/Homo_sapiens/Gene/Summary?g=","-")</f>
        <v>-</v>
      </c>
      <c r="D243" s="14" t="s">
        <v>7194</v>
      </c>
      <c r="E243" s="14" t="str">
        <f>HYPERLINK("http://www.ncbi.nlm.nih.gov/sites/entrez?db=gene&amp;cmd=Retrieve&amp;dopt=full_report&amp;list_uids=90024","90024")</f>
        <v>90024</v>
      </c>
      <c r="F243" s="14" t="s">
        <v>8728</v>
      </c>
      <c r="G243" s="14" t="s">
        <v>8728</v>
      </c>
      <c r="H243" s="14" t="s">
        <v>8728</v>
      </c>
      <c r="I243" s="14" t="s">
        <v>8728</v>
      </c>
      <c r="J243" s="15" t="s">
        <v>8728</v>
      </c>
      <c r="K243" s="16">
        <v>43.067182000000003</v>
      </c>
      <c r="L243" s="17">
        <v>24.579103</v>
      </c>
      <c r="M243" s="18">
        <f t="shared" si="4"/>
        <v>0.57071537673395945</v>
      </c>
    </row>
    <row r="244" spans="1:13">
      <c r="A244" s="13" t="s">
        <v>7228</v>
      </c>
      <c r="B244" s="14" t="s">
        <v>7228</v>
      </c>
      <c r="C244" s="14" t="str">
        <f>HYPERLINK("http://uswest.ensembl.org/Homo_sapiens/Gene/Summary?g=ENSG00000047849","ENSG00000047849")</f>
        <v>ENSG00000047849</v>
      </c>
      <c r="D244" s="14" t="s">
        <v>7195</v>
      </c>
      <c r="E244" s="14" t="str">
        <f>HYPERLINK("http://www.ncbi.nlm.nih.gov/sites/entrez?db=gene&amp;cmd=Retrieve&amp;dopt=full_report&amp;list_uids=4134","4134")</f>
        <v>4134</v>
      </c>
      <c r="F244" s="14" t="s">
        <v>7196</v>
      </c>
      <c r="G244" s="14" t="s">
        <v>7197</v>
      </c>
      <c r="H244" s="14" t="s">
        <v>7198</v>
      </c>
      <c r="I244" s="14" t="s">
        <v>7199</v>
      </c>
      <c r="J244" s="15" t="s">
        <v>7200</v>
      </c>
      <c r="K244" s="16">
        <v>39.893856</v>
      </c>
      <c r="L244" s="17">
        <v>22.776349</v>
      </c>
      <c r="M244" s="18">
        <f t="shared" si="4"/>
        <v>0.57092372820516524</v>
      </c>
    </row>
    <row r="245" spans="1:13">
      <c r="A245" s="13" t="s">
        <v>7229</v>
      </c>
      <c r="B245" s="14" t="s">
        <v>7229</v>
      </c>
      <c r="C245" s="14" t="str">
        <f>HYPERLINK("http://uswest.ensembl.org/Homo_sapiens/Gene/Summary?g=ENSG00000198738","ENSG00000198738")</f>
        <v>ENSG00000198738</v>
      </c>
      <c r="D245" s="14" t="s">
        <v>8728</v>
      </c>
      <c r="E245" s="14" t="str">
        <f>HYPERLINK("http://www.ncbi.nlm.nih.gov/sites/entrez?db=gene&amp;cmd=Retrieve&amp;dopt=full_report&amp;list_uids=100127905","100127905")</f>
        <v>100127905</v>
      </c>
      <c r="F245" s="14" t="s">
        <v>7230</v>
      </c>
      <c r="G245" s="14" t="s">
        <v>7231</v>
      </c>
      <c r="H245" s="14" t="s">
        <v>8728</v>
      </c>
      <c r="I245" s="14" t="s">
        <v>8728</v>
      </c>
      <c r="J245" s="15" t="s">
        <v>8698</v>
      </c>
      <c r="K245" s="16">
        <v>40.661147</v>
      </c>
      <c r="L245" s="17">
        <v>23.217431000000001</v>
      </c>
      <c r="M245" s="18">
        <f t="shared" si="4"/>
        <v>0.57099793569522284</v>
      </c>
    </row>
    <row r="246" spans="1:13">
      <c r="A246" s="13" t="s">
        <v>7176</v>
      </c>
      <c r="B246" s="14" t="s">
        <v>7176</v>
      </c>
      <c r="C246" s="14" t="str">
        <f>HYPERLINK("http://uswest.ensembl.org/Homo_sapiens/Gene/Summary?g=ENSG00000172895","ENSG00000172895")</f>
        <v>ENSG00000172895</v>
      </c>
      <c r="D246" s="14" t="s">
        <v>8728</v>
      </c>
      <c r="E246" s="14" t="str">
        <f>HYPERLINK("http://www.ncbi.nlm.nih.gov/sites/entrez?db=gene&amp;cmd=Retrieve&amp;dopt=full_report&amp;list_uids=","-")</f>
        <v>-</v>
      </c>
      <c r="F246" s="14" t="s">
        <v>7177</v>
      </c>
      <c r="G246" s="14" t="s">
        <v>8728</v>
      </c>
      <c r="H246" s="14" t="s">
        <v>8728</v>
      </c>
      <c r="I246" s="14" t="s">
        <v>8728</v>
      </c>
      <c r="J246" s="15" t="s">
        <v>8728</v>
      </c>
      <c r="K246" s="16">
        <v>617.27896999999996</v>
      </c>
      <c r="L246" s="17">
        <v>352.780124</v>
      </c>
      <c r="M246" s="18">
        <f t="shared" si="4"/>
        <v>0.57150841215277437</v>
      </c>
    </row>
    <row r="247" spans="1:13">
      <c r="A247" s="13" t="s">
        <v>7168</v>
      </c>
      <c r="B247" s="14" t="s">
        <v>7168</v>
      </c>
      <c r="C247" s="14" t="str">
        <f>HYPERLINK("http://uswest.ensembl.org/Homo_sapiens/Gene/Summary?g=ENSG00000169224","ENSG00000169224")</f>
        <v>ENSG00000169224</v>
      </c>
      <c r="D247" s="14" t="s">
        <v>7169</v>
      </c>
      <c r="E247" s="14" t="str">
        <f>HYPERLINK("http://www.ncbi.nlm.nih.gov/sites/entrez?db=gene&amp;cmd=Retrieve&amp;dopt=full_report&amp;list_uids=148823","148823")</f>
        <v>148823</v>
      </c>
      <c r="F247" s="14" t="s">
        <v>7170</v>
      </c>
      <c r="G247" s="14" t="s">
        <v>7171</v>
      </c>
      <c r="H247" s="14" t="s">
        <v>8728</v>
      </c>
      <c r="I247" s="14" t="s">
        <v>8728</v>
      </c>
      <c r="J247" s="15" t="s">
        <v>8728</v>
      </c>
      <c r="K247" s="16">
        <v>1120.821694</v>
      </c>
      <c r="L247" s="17">
        <v>642.57351900000003</v>
      </c>
      <c r="M247" s="18">
        <f t="shared" si="4"/>
        <v>0.5733057474171267</v>
      </c>
    </row>
    <row r="248" spans="1:13">
      <c r="A248" s="13" t="s">
        <v>7172</v>
      </c>
      <c r="B248" s="14" t="s">
        <v>7172</v>
      </c>
      <c r="C248" s="14" t="str">
        <f>HYPERLINK("http://uswest.ensembl.org/Homo_sapiens/Gene/Summary?g=ENSG00000161533","ENSG00000161533")</f>
        <v>ENSG00000161533</v>
      </c>
      <c r="D248" s="14" t="s">
        <v>7173</v>
      </c>
      <c r="E248" s="14" t="str">
        <f>HYPERLINK("http://www.ncbi.nlm.nih.gov/sites/entrez?db=gene&amp;cmd=Retrieve&amp;dopt=full_report&amp;list_uids=51","51")</f>
        <v>51</v>
      </c>
      <c r="F248" s="14" t="s">
        <v>7174</v>
      </c>
      <c r="G248" s="14" t="s">
        <v>7211</v>
      </c>
      <c r="H248" s="19" t="s">
        <v>7175</v>
      </c>
      <c r="I248" s="19" t="s">
        <v>7166</v>
      </c>
      <c r="J248" s="15" t="s">
        <v>7167</v>
      </c>
      <c r="K248" s="16">
        <v>191.39408299999999</v>
      </c>
      <c r="L248" s="17">
        <v>109.73330900000001</v>
      </c>
      <c r="M248" s="18">
        <f t="shared" si="4"/>
        <v>0.57333699809309158</v>
      </c>
    </row>
    <row r="249" spans="1:13">
      <c r="A249" s="13" t="s">
        <v>7209</v>
      </c>
      <c r="B249" s="14" t="s">
        <v>7209</v>
      </c>
      <c r="C249" s="14" t="str">
        <f>HYPERLINK("http://uswest.ensembl.org/Homo_sapiens/Gene/Summary?g=ENSG00000175194","ENSG00000175194")</f>
        <v>ENSG00000175194</v>
      </c>
      <c r="D249" s="14" t="s">
        <v>8728</v>
      </c>
      <c r="E249" s="14" t="str">
        <f>HYPERLINK("http://www.ncbi.nlm.nih.gov/sites/entrez?db=gene&amp;cmd=Retrieve&amp;dopt=full_report&amp;list_uids=","-")</f>
        <v>-</v>
      </c>
      <c r="F249" s="14" t="s">
        <v>7210</v>
      </c>
      <c r="G249" s="14" t="s">
        <v>8728</v>
      </c>
      <c r="H249" s="14" t="s">
        <v>8728</v>
      </c>
      <c r="I249" s="14" t="s">
        <v>8728</v>
      </c>
      <c r="J249" s="15" t="s">
        <v>8728</v>
      </c>
      <c r="K249" s="16">
        <v>63.189734000000001</v>
      </c>
      <c r="L249" s="17">
        <v>36.294663</v>
      </c>
      <c r="M249" s="18">
        <f t="shared" si="4"/>
        <v>0.57437594214275378</v>
      </c>
    </row>
    <row r="250" spans="1:13">
      <c r="A250" s="13" t="s">
        <v>7157</v>
      </c>
      <c r="B250" s="14" t="s">
        <v>7157</v>
      </c>
      <c r="C250" s="14" t="str">
        <f>HYPERLINK("http://uswest.ensembl.org/Homo_sapiens/Gene/Summary?g=ENSG00000186891","ENSG00000186891")</f>
        <v>ENSG00000186891</v>
      </c>
      <c r="D250" s="14" t="s">
        <v>7158</v>
      </c>
      <c r="E250" s="14" t="str">
        <f>HYPERLINK("http://www.ncbi.nlm.nih.gov/sites/entrez?db=gene&amp;cmd=Retrieve&amp;dopt=full_report&amp;list_uids=8784","8784")</f>
        <v>8784</v>
      </c>
      <c r="F250" s="14" t="s">
        <v>7159</v>
      </c>
      <c r="G250" s="14" t="s">
        <v>7205</v>
      </c>
      <c r="H250" s="14" t="s">
        <v>8728</v>
      </c>
      <c r="I250" s="14" t="s">
        <v>8607</v>
      </c>
      <c r="J250" s="15" t="s">
        <v>8728</v>
      </c>
      <c r="K250" s="16">
        <v>94.968716000000001</v>
      </c>
      <c r="L250" s="17">
        <v>54.613214999999997</v>
      </c>
      <c r="M250" s="18">
        <f t="shared" si="4"/>
        <v>0.57506531940476058</v>
      </c>
    </row>
    <row r="251" spans="1:13">
      <c r="A251" s="13" t="s">
        <v>7206</v>
      </c>
      <c r="B251" s="14" t="s">
        <v>7206</v>
      </c>
      <c r="C251" s="14" t="str">
        <f>HYPERLINK("http://uswest.ensembl.org/Homo_sapiens/Gene/Summary?g=ENSG00000220131","ENSG00000220131")</f>
        <v>ENSG00000220131</v>
      </c>
      <c r="D251" s="14" t="s">
        <v>8728</v>
      </c>
      <c r="E251" s="14" t="str">
        <f>HYPERLINK("http://www.ncbi.nlm.nih.gov/sites/entrez?db=gene&amp;cmd=Retrieve&amp;dopt=full_report&amp;list_uids=","-")</f>
        <v>-</v>
      </c>
      <c r="F251" s="14" t="s">
        <v>7207</v>
      </c>
      <c r="G251" s="14" t="s">
        <v>8728</v>
      </c>
      <c r="H251" s="14" t="s">
        <v>8728</v>
      </c>
      <c r="I251" s="14" t="s">
        <v>8728</v>
      </c>
      <c r="J251" s="15" t="s">
        <v>8728</v>
      </c>
      <c r="K251" s="16">
        <v>1128.6791639999999</v>
      </c>
      <c r="L251" s="17">
        <v>649.35466599999995</v>
      </c>
      <c r="M251" s="18">
        <f t="shared" si="4"/>
        <v>0.57532263083400026</v>
      </c>
    </row>
    <row r="252" spans="1:13">
      <c r="A252" s="13" t="s">
        <v>7148</v>
      </c>
      <c r="B252" s="14" t="s">
        <v>7148</v>
      </c>
      <c r="C252" s="14" t="str">
        <f>HYPERLINK("http://uswest.ensembl.org/Homo_sapiens/Gene/Summary?g=ENSG00000117090","ENSG00000117090")</f>
        <v>ENSG00000117090</v>
      </c>
      <c r="D252" s="14" t="s">
        <v>7149</v>
      </c>
      <c r="E252" s="14" t="str">
        <f>HYPERLINK("http://www.ncbi.nlm.nih.gov/sites/entrez?db=gene&amp;cmd=Retrieve&amp;dopt=full_report&amp;list_uids=","-")</f>
        <v>-</v>
      </c>
      <c r="F252" s="14" t="s">
        <v>8477</v>
      </c>
      <c r="G252" s="14" t="s">
        <v>8478</v>
      </c>
      <c r="H252" s="14" t="s">
        <v>7150</v>
      </c>
      <c r="I252" s="14" t="s">
        <v>8607</v>
      </c>
      <c r="J252" s="15" t="s">
        <v>7151</v>
      </c>
      <c r="K252" s="16">
        <v>142.34914599999999</v>
      </c>
      <c r="L252" s="17">
        <v>82.056933999999998</v>
      </c>
      <c r="M252" s="18">
        <f t="shared" si="4"/>
        <v>0.57644837574227525</v>
      </c>
    </row>
    <row r="253" spans="1:13">
      <c r="A253" s="13" t="s">
        <v>7152</v>
      </c>
      <c r="B253" s="14" t="s">
        <v>7152</v>
      </c>
      <c r="C253" s="14" t="str">
        <f>HYPERLINK("http://uswest.ensembl.org/Homo_sapiens/Gene/Summary?g=ENSG00000118689","ENSG00000118689")</f>
        <v>ENSG00000118689</v>
      </c>
      <c r="D253" s="14" t="s">
        <v>7153</v>
      </c>
      <c r="E253" s="14" t="str">
        <f>HYPERLINK("http://www.ncbi.nlm.nih.gov/sites/entrez?db=gene&amp;cmd=Retrieve&amp;dopt=full_report&amp;list_uids=2309","2309")</f>
        <v>2309</v>
      </c>
      <c r="F253" s="14" t="s">
        <v>7154</v>
      </c>
      <c r="G253" s="14" t="s">
        <v>7155</v>
      </c>
      <c r="H253" s="14" t="s">
        <v>7142</v>
      </c>
      <c r="I253" s="14" t="s">
        <v>7143</v>
      </c>
      <c r="J253" s="15" t="s">
        <v>8608</v>
      </c>
      <c r="K253" s="16">
        <v>47.002267000000003</v>
      </c>
      <c r="L253" s="17">
        <v>27.115570999999999</v>
      </c>
      <c r="M253" s="18">
        <f t="shared" si="4"/>
        <v>0.57689921637184005</v>
      </c>
    </row>
    <row r="254" spans="1:13">
      <c r="A254" s="13" t="s">
        <v>7144</v>
      </c>
      <c r="B254" s="14" t="s">
        <v>7144</v>
      </c>
      <c r="C254" s="14" t="str">
        <f>HYPERLINK("http://uswest.ensembl.org/Homo_sapiens/Gene/Summary?g=ENSG00000179772","ENSG00000179772")</f>
        <v>ENSG00000179772</v>
      </c>
      <c r="D254" s="14" t="s">
        <v>7145</v>
      </c>
      <c r="E254" s="14" t="str">
        <f>HYPERLINK("http://www.ncbi.nlm.nih.gov/sites/entrez?db=gene&amp;cmd=Retrieve&amp;dopt=full_report&amp;list_uids=2307","2307")</f>
        <v>2307</v>
      </c>
      <c r="F254" s="14" t="s">
        <v>7146</v>
      </c>
      <c r="G254" s="14" t="s">
        <v>7147</v>
      </c>
      <c r="H254" s="14" t="s">
        <v>7180</v>
      </c>
      <c r="I254" s="14" t="s">
        <v>8557</v>
      </c>
      <c r="J254" s="15" t="s">
        <v>8558</v>
      </c>
      <c r="K254" s="16">
        <v>76.495431999999994</v>
      </c>
      <c r="L254" s="17">
        <v>44.168807000000001</v>
      </c>
      <c r="M254" s="18">
        <f t="shared" si="4"/>
        <v>0.5774045043630841</v>
      </c>
    </row>
    <row r="255" spans="1:13">
      <c r="A255" s="13" t="s">
        <v>7182</v>
      </c>
      <c r="B255" s="14" t="s">
        <v>7182</v>
      </c>
      <c r="C255" s="14" t="str">
        <f>HYPERLINK("http://uswest.ensembl.org/Homo_sapiens/Gene/Summary?g=ENSG00000188508","ENSG00000188508")</f>
        <v>ENSG00000188508</v>
      </c>
      <c r="D255" s="14" t="s">
        <v>7183</v>
      </c>
      <c r="E255" s="14" t="str">
        <f>HYPERLINK("http://www.ncbi.nlm.nih.gov/sites/entrez?db=gene&amp;cmd=Retrieve&amp;dopt=full_report&amp;list_uids=388533","388533")</f>
        <v>388533</v>
      </c>
      <c r="F255" s="14" t="s">
        <v>7184</v>
      </c>
      <c r="G255" s="14" t="s">
        <v>7185</v>
      </c>
      <c r="H255" s="14" t="s">
        <v>8727</v>
      </c>
      <c r="I255" s="14" t="s">
        <v>8728</v>
      </c>
      <c r="J255" s="15" t="s">
        <v>8731</v>
      </c>
      <c r="K255" s="16">
        <v>267.44017200000002</v>
      </c>
      <c r="L255" s="17">
        <v>154.65702300000001</v>
      </c>
      <c r="M255" s="18">
        <f t="shared" si="4"/>
        <v>0.57828643260070889</v>
      </c>
    </row>
    <row r="256" spans="1:13">
      <c r="A256" s="13" t="s">
        <v>7129</v>
      </c>
      <c r="B256" s="14" t="s">
        <v>7129</v>
      </c>
      <c r="C256" s="14" t="str">
        <f>HYPERLINK("http://uswest.ensembl.org/Homo_sapiens/Gene/Summary?g=ENSG00000106348","ENSG00000106348")</f>
        <v>ENSG00000106348</v>
      </c>
      <c r="D256" s="14" t="s">
        <v>7130</v>
      </c>
      <c r="E256" s="14" t="str">
        <f>HYPERLINK("http://www.ncbi.nlm.nih.gov/sites/entrez?db=gene&amp;cmd=Retrieve&amp;dopt=full_report&amp;list_uids=3614","3614")</f>
        <v>3614</v>
      </c>
      <c r="F256" s="14" t="s">
        <v>7131</v>
      </c>
      <c r="G256" s="14" t="s">
        <v>7132</v>
      </c>
      <c r="H256" s="14" t="s">
        <v>7133</v>
      </c>
      <c r="I256" s="14" t="s">
        <v>7134</v>
      </c>
      <c r="J256" s="15" t="s">
        <v>8096</v>
      </c>
      <c r="K256" s="16">
        <v>79.556905999999998</v>
      </c>
      <c r="L256" s="17">
        <v>46.025959999999998</v>
      </c>
      <c r="M256" s="18">
        <f t="shared" si="4"/>
        <v>0.57852878290666554</v>
      </c>
    </row>
    <row r="257" spans="1:13">
      <c r="A257" s="13" t="s">
        <v>7135</v>
      </c>
      <c r="B257" s="14" t="s">
        <v>7135</v>
      </c>
      <c r="C257" s="14" t="str">
        <f>HYPERLINK("http://uswest.ensembl.org/Homo_sapiens/Gene/Summary?g=ENSG00000099769","ENSG00000099769")</f>
        <v>ENSG00000099769</v>
      </c>
      <c r="D257" s="14" t="s">
        <v>7136</v>
      </c>
      <c r="E257" s="14" t="str">
        <f>HYPERLINK("http://www.ncbi.nlm.nih.gov/sites/entrez?db=gene&amp;cmd=Retrieve&amp;dopt=full_report&amp;list_uids=3483","3483")</f>
        <v>3483</v>
      </c>
      <c r="F257" s="14" t="s">
        <v>7137</v>
      </c>
      <c r="G257" s="14" t="s">
        <v>7138</v>
      </c>
      <c r="H257" s="14" t="s">
        <v>7226</v>
      </c>
      <c r="I257" s="14" t="s">
        <v>7179</v>
      </c>
      <c r="J257" s="15" t="s">
        <v>7122</v>
      </c>
      <c r="K257" s="16">
        <v>51.785868000000001</v>
      </c>
      <c r="L257" s="17">
        <v>29.960386</v>
      </c>
      <c r="M257" s="18">
        <f t="shared" si="4"/>
        <v>0.57854366755038267</v>
      </c>
    </row>
    <row r="258" spans="1:13">
      <c r="A258" s="13" t="s">
        <v>7123</v>
      </c>
      <c r="B258" s="14" t="s">
        <v>7123</v>
      </c>
      <c r="C258" s="14" t="str">
        <f>HYPERLINK("http://uswest.ensembl.org/Homo_sapiens/Gene/Summary?g=ENSG00000143620","ENSG00000143620")</f>
        <v>ENSG00000143620</v>
      </c>
      <c r="D258" s="14" t="s">
        <v>7124</v>
      </c>
      <c r="E258" s="14" t="str">
        <f>HYPERLINK("http://www.ncbi.nlm.nih.gov/sites/entrez?db=gene&amp;cmd=Retrieve&amp;dopt=full_report&amp;list_uids=1945","1945")</f>
        <v>1945</v>
      </c>
      <c r="F258" s="14" t="s">
        <v>7125</v>
      </c>
      <c r="G258" s="14" t="s">
        <v>7126</v>
      </c>
      <c r="H258" s="14" t="s">
        <v>8728</v>
      </c>
      <c r="I258" s="14" t="s">
        <v>8728</v>
      </c>
      <c r="J258" s="15" t="s">
        <v>8691</v>
      </c>
      <c r="K258" s="16">
        <v>39.131793999999999</v>
      </c>
      <c r="L258" s="17">
        <v>22.641030000000001</v>
      </c>
      <c r="M258" s="18">
        <f t="shared" ref="M258:M321" si="5">L258/K258</f>
        <v>0.57858400256323539</v>
      </c>
    </row>
    <row r="259" spans="1:13">
      <c r="A259" s="13" t="s">
        <v>7128</v>
      </c>
      <c r="B259" s="14" t="s">
        <v>7128</v>
      </c>
      <c r="C259" s="14" t="str">
        <f>HYPERLINK("http://uswest.ensembl.org/Homo_sapiens/Gene/Summary?g=","-")</f>
        <v>-</v>
      </c>
      <c r="D259" s="14" t="s">
        <v>7103</v>
      </c>
      <c r="E259" s="14" t="str">
        <f>HYPERLINK("http://www.ncbi.nlm.nih.gov/sites/entrez?db=gene&amp;cmd=Retrieve&amp;dopt=full_report&amp;list_uids=3887","3887")</f>
        <v>3887</v>
      </c>
      <c r="F259" s="14" t="s">
        <v>7104</v>
      </c>
      <c r="G259" s="14" t="s">
        <v>7105</v>
      </c>
      <c r="H259" s="14" t="s">
        <v>8728</v>
      </c>
      <c r="I259" s="14" t="s">
        <v>7106</v>
      </c>
      <c r="J259" s="15" t="s">
        <v>8680</v>
      </c>
      <c r="K259" s="16">
        <v>196.88355200000001</v>
      </c>
      <c r="L259" s="17">
        <v>114.086676</v>
      </c>
      <c r="M259" s="18">
        <f t="shared" si="5"/>
        <v>0.57946270697107294</v>
      </c>
    </row>
    <row r="260" spans="1:13">
      <c r="A260" s="13" t="s">
        <v>7107</v>
      </c>
      <c r="B260" s="14" t="s">
        <v>7107</v>
      </c>
      <c r="C260" s="14" t="str">
        <f>HYPERLINK("http://uswest.ensembl.org/Homo_sapiens/Gene/Summary?g=ENSG00000188042","ENSG00000188042")</f>
        <v>ENSG00000188042</v>
      </c>
      <c r="D260" s="14" t="s">
        <v>7108</v>
      </c>
      <c r="E260" s="14" t="str">
        <f>HYPERLINK("http://www.ncbi.nlm.nih.gov/sites/entrez?db=gene&amp;cmd=Retrieve&amp;dopt=full_report&amp;list_uids=10123","10123")</f>
        <v>10123</v>
      </c>
      <c r="F260" s="14" t="s">
        <v>7109</v>
      </c>
      <c r="G260" s="14" t="s">
        <v>7110</v>
      </c>
      <c r="H260" s="14" t="s">
        <v>8705</v>
      </c>
      <c r="I260" s="14" t="s">
        <v>7111</v>
      </c>
      <c r="J260" s="15" t="s">
        <v>8622</v>
      </c>
      <c r="K260" s="16">
        <v>561.85890400000005</v>
      </c>
      <c r="L260" s="17">
        <v>325.63631099999998</v>
      </c>
      <c r="M260" s="18">
        <f t="shared" si="5"/>
        <v>0.57956954794472737</v>
      </c>
    </row>
    <row r="261" spans="1:13">
      <c r="A261" s="13" t="s">
        <v>7098</v>
      </c>
      <c r="B261" s="14" t="s">
        <v>7098</v>
      </c>
      <c r="C261" s="14" t="str">
        <f>HYPERLINK("http://uswest.ensembl.org/Homo_sapiens/Gene/Summary?g=ENSG00000187446","ENSG00000187446")</f>
        <v>ENSG00000187446</v>
      </c>
      <c r="D261" s="14" t="s">
        <v>7099</v>
      </c>
      <c r="E261" s="14" t="str">
        <f>HYPERLINK("http://www.ncbi.nlm.nih.gov/sites/entrez?db=gene&amp;cmd=Retrieve&amp;dopt=full_report&amp;list_uids=11261","11261")</f>
        <v>11261</v>
      </c>
      <c r="F261" s="14" t="s">
        <v>7100</v>
      </c>
      <c r="G261" s="14" t="s">
        <v>7101</v>
      </c>
      <c r="H261" s="14" t="s">
        <v>7102</v>
      </c>
      <c r="I261" s="14" t="s">
        <v>7070</v>
      </c>
      <c r="J261" s="15" t="s">
        <v>7071</v>
      </c>
      <c r="K261" s="16">
        <v>35.635458999999997</v>
      </c>
      <c r="L261" s="17">
        <v>20.678380000000001</v>
      </c>
      <c r="M261" s="18">
        <f t="shared" si="5"/>
        <v>0.58027539367459813</v>
      </c>
    </row>
    <row r="262" spans="1:13">
      <c r="A262" s="13" t="s">
        <v>7072</v>
      </c>
      <c r="B262" s="14" t="s">
        <v>7072</v>
      </c>
      <c r="C262" s="14" t="str">
        <f>HYPERLINK("http://uswest.ensembl.org/Homo_sapiens/Gene/Summary?g=ENSG00000169902","ENSG00000169902")</f>
        <v>ENSG00000169902</v>
      </c>
      <c r="D262" s="14" t="s">
        <v>7073</v>
      </c>
      <c r="E262" s="14" t="str">
        <f>HYPERLINK("http://www.ncbi.nlm.nih.gov/sites/entrez?db=gene&amp;cmd=Retrieve&amp;dopt=full_report&amp;list_uids=8460","8460")</f>
        <v>8460</v>
      </c>
      <c r="F262" s="14" t="s">
        <v>7074</v>
      </c>
      <c r="G262" s="14" t="s">
        <v>7160</v>
      </c>
      <c r="H262" s="14" t="s">
        <v>7161</v>
      </c>
      <c r="I262" s="14" t="s">
        <v>7162</v>
      </c>
      <c r="J262" s="15" t="s">
        <v>7163</v>
      </c>
      <c r="K262" s="16">
        <v>73.013594999999995</v>
      </c>
      <c r="L262" s="17">
        <v>42.375667999999997</v>
      </c>
      <c r="M262" s="18">
        <f t="shared" si="5"/>
        <v>0.58038051680649339</v>
      </c>
    </row>
    <row r="263" spans="1:13">
      <c r="A263" s="13" t="s">
        <v>7164</v>
      </c>
      <c r="B263" s="14" t="s">
        <v>7164</v>
      </c>
      <c r="C263" s="14" t="str">
        <f>HYPERLINK("http://uswest.ensembl.org/Homo_sapiens/Gene/Summary?g=ENSG00000097007","ENSG00000097007")</f>
        <v>ENSG00000097007</v>
      </c>
      <c r="D263" s="14" t="s">
        <v>7165</v>
      </c>
      <c r="E263" s="14" t="str">
        <f>HYPERLINK("http://www.ncbi.nlm.nih.gov/sites/entrez?db=gene&amp;cmd=Retrieve&amp;dopt=full_report&amp;list_uids=25","25")</f>
        <v>25</v>
      </c>
      <c r="F263" s="14" t="s">
        <v>7077</v>
      </c>
      <c r="G263" s="14" t="s">
        <v>7078</v>
      </c>
      <c r="H263" s="14" t="s">
        <v>8656</v>
      </c>
      <c r="I263" s="19" t="s">
        <v>7139</v>
      </c>
      <c r="J263" s="15" t="s">
        <v>7412</v>
      </c>
      <c r="K263" s="16">
        <v>45.265269000000004</v>
      </c>
      <c r="L263" s="17">
        <v>26.278763999999999</v>
      </c>
      <c r="M263" s="18">
        <f t="shared" si="5"/>
        <v>0.58055026691656242</v>
      </c>
    </row>
    <row r="264" spans="1:13">
      <c r="A264" s="13" t="s">
        <v>7119</v>
      </c>
      <c r="B264" s="14" t="s">
        <v>7119</v>
      </c>
      <c r="C264" s="14" t="str">
        <f>HYPERLINK("http://uswest.ensembl.org/Homo_sapiens/Gene/Summary?g=ENSG00000127884","ENSG00000127884")</f>
        <v>ENSG00000127884</v>
      </c>
      <c r="D264" s="14" t="s">
        <v>7120</v>
      </c>
      <c r="E264" s="14" t="str">
        <f>HYPERLINK("http://www.ncbi.nlm.nih.gov/sites/entrez?db=gene&amp;cmd=Retrieve&amp;dopt=full_report&amp;list_uids=1892","1892")</f>
        <v>1892</v>
      </c>
      <c r="F264" s="14" t="s">
        <v>7121</v>
      </c>
      <c r="G264" s="14" t="s">
        <v>7141</v>
      </c>
      <c r="H264" s="14" t="s">
        <v>7091</v>
      </c>
      <c r="I264" s="14" t="s">
        <v>7092</v>
      </c>
      <c r="J264" s="15" t="s">
        <v>7994</v>
      </c>
      <c r="K264" s="16">
        <v>457.01701300000002</v>
      </c>
      <c r="L264" s="17">
        <v>265.42297400000001</v>
      </c>
      <c r="M264" s="18">
        <f t="shared" si="5"/>
        <v>0.58077263307482163</v>
      </c>
    </row>
    <row r="265" spans="1:13">
      <c r="A265" s="13" t="s">
        <v>7093</v>
      </c>
      <c r="B265" s="14" t="s">
        <v>7093</v>
      </c>
      <c r="C265" s="14" t="str">
        <f>HYPERLINK("http://uswest.ensembl.org/Homo_sapiens/Gene/Summary?g=","-")</f>
        <v>-</v>
      </c>
      <c r="D265" s="14" t="s">
        <v>7094</v>
      </c>
      <c r="E265" s="14" t="str">
        <f>HYPERLINK("http://www.ncbi.nlm.nih.gov/sites/entrez?db=gene&amp;cmd=Retrieve&amp;dopt=full_report&amp;list_uids=3150","3150")</f>
        <v>3150</v>
      </c>
      <c r="F265" s="14" t="s">
        <v>7095</v>
      </c>
      <c r="G265" s="14" t="s">
        <v>7066</v>
      </c>
      <c r="H265" s="14" t="s">
        <v>8728</v>
      </c>
      <c r="I265" s="14" t="s">
        <v>8682</v>
      </c>
      <c r="J265" s="15" t="s">
        <v>8316</v>
      </c>
      <c r="K265" s="16">
        <v>2817.9478909999998</v>
      </c>
      <c r="L265" s="17">
        <v>1636.6477990000001</v>
      </c>
      <c r="M265" s="18">
        <f t="shared" si="5"/>
        <v>0.58079420284070826</v>
      </c>
    </row>
    <row r="266" spans="1:13">
      <c r="A266" s="13" t="s">
        <v>7067</v>
      </c>
      <c r="B266" s="14" t="s">
        <v>7067</v>
      </c>
      <c r="C266" s="14" t="str">
        <f>HYPERLINK("http://uswest.ensembl.org/Homo_sapiens/Gene/Summary?g=ENSG00000118017","ENSG00000118017")</f>
        <v>ENSG00000118017</v>
      </c>
      <c r="D266" s="14" t="s">
        <v>7068</v>
      </c>
      <c r="E266" s="14" t="str">
        <f>HYPERLINK("http://www.ncbi.nlm.nih.gov/sites/entrez?db=gene&amp;cmd=Retrieve&amp;dopt=full_report&amp;list_uids=51146","51146")</f>
        <v>51146</v>
      </c>
      <c r="F266" s="14" t="s">
        <v>7069</v>
      </c>
      <c r="G266" s="14" t="s">
        <v>7044</v>
      </c>
      <c r="H266" s="14" t="s">
        <v>7045</v>
      </c>
      <c r="I266" s="14" t="s">
        <v>7046</v>
      </c>
      <c r="J266" s="15" t="s">
        <v>7047</v>
      </c>
      <c r="K266" s="16">
        <v>239.61928499999999</v>
      </c>
      <c r="L266" s="17">
        <v>139.17717099999999</v>
      </c>
      <c r="M266" s="18">
        <f t="shared" si="5"/>
        <v>0.58082625110912922</v>
      </c>
    </row>
    <row r="267" spans="1:13">
      <c r="A267" s="13" t="s">
        <v>7048</v>
      </c>
      <c r="B267" s="14" t="s">
        <v>7048</v>
      </c>
      <c r="C267" s="14" t="str">
        <f>HYPERLINK("http://uswest.ensembl.org/Homo_sapiens/Gene/Summary?g=","-")</f>
        <v>-</v>
      </c>
      <c r="D267" s="14" t="s">
        <v>7049</v>
      </c>
      <c r="E267" s="14" t="str">
        <f>HYPERLINK("http://www.ncbi.nlm.nih.gov/sites/entrez?db=gene&amp;cmd=Retrieve&amp;dopt=full_report&amp;list_uids=2686","2686")</f>
        <v>2686</v>
      </c>
      <c r="F267" s="14" t="s">
        <v>7050</v>
      </c>
      <c r="G267" s="14" t="s">
        <v>7075</v>
      </c>
      <c r="H267" s="14" t="s">
        <v>8304</v>
      </c>
      <c r="I267" s="14" t="s">
        <v>7076</v>
      </c>
      <c r="J267" s="15" t="s">
        <v>7988</v>
      </c>
      <c r="K267" s="16">
        <v>92.103758999999997</v>
      </c>
      <c r="L267" s="17">
        <v>53.501973999999997</v>
      </c>
      <c r="M267" s="18">
        <f t="shared" si="5"/>
        <v>0.58088806125708725</v>
      </c>
    </row>
    <row r="268" spans="1:13">
      <c r="A268" s="13" t="s">
        <v>7055</v>
      </c>
      <c r="B268" s="14" t="s">
        <v>7055</v>
      </c>
      <c r="C268" s="14" t="str">
        <f>HYPERLINK("http://uswest.ensembl.org/Homo_sapiens/Gene/Summary?g=ENSG00000178980","ENSG00000178980")</f>
        <v>ENSG00000178980</v>
      </c>
      <c r="D268" s="14" t="s">
        <v>8728</v>
      </c>
      <c r="E268" s="14" t="str">
        <f>HYPERLINK("http://www.ncbi.nlm.nih.gov/sites/entrez?db=gene&amp;cmd=Retrieve&amp;dopt=full_report&amp;list_uids=6415","6415")</f>
        <v>6415</v>
      </c>
      <c r="F268" s="14" t="s">
        <v>7112</v>
      </c>
      <c r="G268" s="14" t="s">
        <v>7113</v>
      </c>
      <c r="H268" s="14" t="s">
        <v>7114</v>
      </c>
      <c r="I268" s="14" t="s">
        <v>7115</v>
      </c>
      <c r="J268" s="15" t="s">
        <v>8619</v>
      </c>
      <c r="K268" s="16">
        <v>962.95442600000001</v>
      </c>
      <c r="L268" s="17">
        <v>559.67769899999996</v>
      </c>
      <c r="M268" s="18">
        <f t="shared" si="5"/>
        <v>0.58120891694203602</v>
      </c>
    </row>
    <row r="269" spans="1:13">
      <c r="A269" s="13" t="s">
        <v>7079</v>
      </c>
      <c r="B269" s="14" t="s">
        <v>7079</v>
      </c>
      <c r="C269" s="14" t="str">
        <f>HYPERLINK("http://uswest.ensembl.org/Homo_sapiens/Gene/Summary?g=ENSG00000114026","ENSG00000114026")</f>
        <v>ENSG00000114026</v>
      </c>
      <c r="D269" s="14" t="s">
        <v>7080</v>
      </c>
      <c r="E269" s="14" t="str">
        <f>HYPERLINK("http://www.ncbi.nlm.nih.gov/sites/entrez?db=gene&amp;cmd=Retrieve&amp;dopt=full_report&amp;list_uids=4968","4968")</f>
        <v>4968</v>
      </c>
      <c r="F269" s="14" t="s">
        <v>7081</v>
      </c>
      <c r="G269" s="14" t="s">
        <v>7118</v>
      </c>
      <c r="H269" s="14" t="s">
        <v>7117</v>
      </c>
      <c r="I269" s="14" t="s">
        <v>7089</v>
      </c>
      <c r="J269" s="15" t="s">
        <v>8622</v>
      </c>
      <c r="K269" s="16">
        <v>52.734802999999999</v>
      </c>
      <c r="L269" s="17">
        <v>30.684763</v>
      </c>
      <c r="M269" s="18">
        <f t="shared" si="5"/>
        <v>0.58186930175884033</v>
      </c>
    </row>
    <row r="270" spans="1:13">
      <c r="A270" s="13" t="s">
        <v>7051</v>
      </c>
      <c r="B270" s="14" t="s">
        <v>7051</v>
      </c>
      <c r="C270" s="14" t="str">
        <f>HYPERLINK("http://uswest.ensembl.org/Homo_sapiens/Gene/Summary?g=ENSG00000099330","ENSG00000099330")</f>
        <v>ENSG00000099330</v>
      </c>
      <c r="D270" s="14" t="s">
        <v>7052</v>
      </c>
      <c r="E270" s="14" t="str">
        <f>HYPERLINK("http://www.ncbi.nlm.nih.gov/sites/entrez?db=gene&amp;cmd=Retrieve&amp;dopt=full_report&amp;list_uids=79629","79629")</f>
        <v>79629</v>
      </c>
      <c r="F270" s="14" t="s">
        <v>7053</v>
      </c>
      <c r="G270" s="14" t="s">
        <v>7054</v>
      </c>
      <c r="H270" s="14" t="s">
        <v>8728</v>
      </c>
      <c r="I270" s="14" t="s">
        <v>8728</v>
      </c>
      <c r="J270" s="15" t="s">
        <v>8728</v>
      </c>
      <c r="K270" s="16">
        <v>45.418595000000003</v>
      </c>
      <c r="L270" s="17">
        <v>26.470527000000001</v>
      </c>
      <c r="M270" s="18">
        <f t="shared" si="5"/>
        <v>0.58281254627097112</v>
      </c>
    </row>
    <row r="271" spans="1:13">
      <c r="A271" s="13" t="s">
        <v>7031</v>
      </c>
      <c r="B271" s="14" t="s">
        <v>7031</v>
      </c>
      <c r="C271" s="14" t="str">
        <f>HYPERLINK("http://uswest.ensembl.org/Homo_sapiens/Gene/Summary?g=ENSG00000215788","ENSG00000215788")</f>
        <v>ENSG00000215788</v>
      </c>
      <c r="D271" s="14" t="s">
        <v>7082</v>
      </c>
      <c r="E271" s="14" t="str">
        <f>HYPERLINK("http://www.ncbi.nlm.nih.gov/sites/entrez?db=gene&amp;cmd=Retrieve&amp;dopt=full_report&amp;list_uids=8718","8718")</f>
        <v>8718</v>
      </c>
      <c r="F271" s="14" t="s">
        <v>7083</v>
      </c>
      <c r="G271" s="19" t="s">
        <v>7084</v>
      </c>
      <c r="H271" s="14" t="s">
        <v>7085</v>
      </c>
      <c r="I271" s="14" t="s">
        <v>7116</v>
      </c>
      <c r="J271" s="15" t="s">
        <v>8691</v>
      </c>
      <c r="K271" s="16">
        <v>146.70886200000001</v>
      </c>
      <c r="L271" s="17">
        <v>85.515283999999994</v>
      </c>
      <c r="M271" s="18">
        <f t="shared" si="5"/>
        <v>0.58289105943715924</v>
      </c>
    </row>
    <row r="272" spans="1:13">
      <c r="A272" s="13" t="s">
        <v>7057</v>
      </c>
      <c r="B272" s="14" t="s">
        <v>7057</v>
      </c>
      <c r="C272" s="14" t="str">
        <f>HYPERLINK("http://uswest.ensembl.org/Homo_sapiens/Gene/Summary?g=ENSG00000167851","ENSG00000167851")</f>
        <v>ENSG00000167851</v>
      </c>
      <c r="D272" s="14" t="s">
        <v>7058</v>
      </c>
      <c r="E272" s="14" t="str">
        <f>HYPERLINK("http://www.ncbi.nlm.nih.gov/sites/entrez?db=gene&amp;cmd=Retrieve&amp;dopt=full_report&amp;list_uids=","-")</f>
        <v>-</v>
      </c>
      <c r="F272" s="14" t="s">
        <v>7246</v>
      </c>
      <c r="G272" s="14" t="s">
        <v>7247</v>
      </c>
      <c r="H272" s="14" t="s">
        <v>8728</v>
      </c>
      <c r="I272" s="14" t="s">
        <v>8728</v>
      </c>
      <c r="J272" s="15" t="s">
        <v>8728</v>
      </c>
      <c r="K272" s="16">
        <v>204.92469299999999</v>
      </c>
      <c r="L272" s="17">
        <v>119.48632000000001</v>
      </c>
      <c r="M272" s="18">
        <f t="shared" si="5"/>
        <v>0.58307429061269844</v>
      </c>
    </row>
    <row r="273" spans="1:13">
      <c r="A273" s="13" t="s">
        <v>7086</v>
      </c>
      <c r="B273" s="14" t="s">
        <v>7086</v>
      </c>
      <c r="C273" s="14" t="str">
        <f>HYPERLINK("http://uswest.ensembl.org/Homo_sapiens/Gene/Summary?g=","-")</f>
        <v>-</v>
      </c>
      <c r="D273" s="14" t="s">
        <v>7087</v>
      </c>
      <c r="E273" s="14" t="str">
        <f>HYPERLINK("http://www.ncbi.nlm.nih.gov/sites/entrez?db=gene&amp;cmd=Retrieve&amp;dopt=full_report&amp;list_uids=79739","79739")</f>
        <v>79739</v>
      </c>
      <c r="F273" s="14" t="s">
        <v>7088</v>
      </c>
      <c r="G273" s="14" t="s">
        <v>7090</v>
      </c>
      <c r="H273" s="14" t="s">
        <v>7041</v>
      </c>
      <c r="I273" s="14" t="s">
        <v>7042</v>
      </c>
      <c r="J273" s="15" t="s">
        <v>7043</v>
      </c>
      <c r="K273" s="16">
        <v>156.407566</v>
      </c>
      <c r="L273" s="17">
        <v>91.293271000000004</v>
      </c>
      <c r="M273" s="18">
        <f t="shared" si="5"/>
        <v>0.58368833001339593</v>
      </c>
    </row>
    <row r="274" spans="1:13">
      <c r="A274" s="13" t="s">
        <v>7019</v>
      </c>
      <c r="B274" s="14" t="s">
        <v>7019</v>
      </c>
      <c r="C274" s="14" t="str">
        <f>HYPERLINK("http://uswest.ensembl.org/Homo_sapiens/Gene/Summary?g=ENSG00000117400","ENSG00000117400")</f>
        <v>ENSG00000117400</v>
      </c>
      <c r="D274" s="14" t="s">
        <v>7020</v>
      </c>
      <c r="E274" s="14" t="str">
        <f>HYPERLINK("http://www.ncbi.nlm.nih.gov/sites/entrez?db=gene&amp;cmd=Retrieve&amp;dopt=full_report&amp;list_uids=4352","4352")</f>
        <v>4352</v>
      </c>
      <c r="F274" s="24" t="s">
        <v>7021</v>
      </c>
      <c r="G274" s="24" t="s">
        <v>7022</v>
      </c>
      <c r="H274" s="14" t="s">
        <v>7023</v>
      </c>
      <c r="I274" s="14" t="s">
        <v>8464</v>
      </c>
      <c r="J274" s="15" t="s">
        <v>7024</v>
      </c>
      <c r="K274" s="16">
        <v>38.843753</v>
      </c>
      <c r="L274" s="17">
        <v>22.675301000000001</v>
      </c>
      <c r="M274" s="18">
        <f t="shared" si="5"/>
        <v>0.58375669827784149</v>
      </c>
    </row>
    <row r="275" spans="1:13">
      <c r="A275" s="13" t="s">
        <v>7003</v>
      </c>
      <c r="B275" s="14" t="s">
        <v>7003</v>
      </c>
      <c r="C275" s="14" t="str">
        <f>HYPERLINK("http://uswest.ensembl.org/Homo_sapiens/Gene/Summary?g=","-")</f>
        <v>-</v>
      </c>
      <c r="D275" s="14" t="s">
        <v>7004</v>
      </c>
      <c r="E275" s="14" t="str">
        <f>HYPERLINK("http://www.ncbi.nlm.nih.gov/sites/entrez?db=gene&amp;cmd=Retrieve&amp;dopt=full_report&amp;list_uids=7260","7260")</f>
        <v>7260</v>
      </c>
      <c r="F275" s="24" t="s">
        <v>7005</v>
      </c>
      <c r="G275" s="24" t="s">
        <v>7006</v>
      </c>
      <c r="H275" s="14" t="s">
        <v>8728</v>
      </c>
      <c r="I275" s="14" t="s">
        <v>8665</v>
      </c>
      <c r="J275" s="15" t="s">
        <v>8728</v>
      </c>
      <c r="K275" s="16">
        <v>72.771882000000005</v>
      </c>
      <c r="L275" s="17">
        <v>42.487802000000002</v>
      </c>
      <c r="M275" s="18">
        <f t="shared" si="5"/>
        <v>0.58384915756335665</v>
      </c>
    </row>
    <row r="276" spans="1:13">
      <c r="A276" s="13" t="s">
        <v>7007</v>
      </c>
      <c r="B276" s="14" t="s">
        <v>7007</v>
      </c>
      <c r="C276" s="14" t="str">
        <f>HYPERLINK("http://uswest.ensembl.org/Homo_sapiens/Gene/Summary?g=ENSG00000015676","ENSG00000015676")</f>
        <v>ENSG00000015676</v>
      </c>
      <c r="D276" s="14" t="s">
        <v>7008</v>
      </c>
      <c r="E276" s="14" t="str">
        <f>HYPERLINK("http://www.ncbi.nlm.nih.gov/sites/entrez?db=gene&amp;cmd=Retrieve&amp;dopt=full_report&amp;list_uids=23386","23386")</f>
        <v>23386</v>
      </c>
      <c r="F276" s="24" t="s">
        <v>7009</v>
      </c>
      <c r="G276" s="24" t="s">
        <v>7010</v>
      </c>
      <c r="H276" s="14" t="s">
        <v>8728</v>
      </c>
      <c r="I276" s="14" t="s">
        <v>8728</v>
      </c>
      <c r="J276" s="15" t="s">
        <v>8728</v>
      </c>
      <c r="K276" s="16">
        <v>59.612406999999997</v>
      </c>
      <c r="L276" s="17">
        <v>34.817441000000002</v>
      </c>
      <c r="M276" s="18">
        <f t="shared" si="5"/>
        <v>0.58406366647802033</v>
      </c>
    </row>
    <row r="277" spans="1:13">
      <c r="A277" s="13" t="s">
        <v>7025</v>
      </c>
      <c r="B277" s="14" t="s">
        <v>7025</v>
      </c>
      <c r="C277" s="14" t="str">
        <f>HYPERLINK("http://uswest.ensembl.org/Homo_sapiens/Gene/Summary?g=ENSG00000138378","ENSG00000138378")</f>
        <v>ENSG00000138378</v>
      </c>
      <c r="D277" s="14" t="s">
        <v>7026</v>
      </c>
      <c r="E277" s="14" t="str">
        <f>HYPERLINK("http://www.ncbi.nlm.nih.gov/sites/entrez?db=gene&amp;cmd=Retrieve&amp;dopt=full_report&amp;list_uids=6775","6775")</f>
        <v>6775</v>
      </c>
      <c r="F277" s="24" t="s">
        <v>7027</v>
      </c>
      <c r="G277" s="24" t="s">
        <v>7028</v>
      </c>
      <c r="H277" s="14" t="s">
        <v>7029</v>
      </c>
      <c r="I277" s="14" t="s">
        <v>7030</v>
      </c>
      <c r="J277" s="15" t="s">
        <v>8608</v>
      </c>
      <c r="K277" s="16">
        <v>127.814988</v>
      </c>
      <c r="L277" s="17">
        <v>74.687591999999995</v>
      </c>
      <c r="M277" s="18">
        <f t="shared" si="5"/>
        <v>0.58434142324529259</v>
      </c>
    </row>
    <row r="278" spans="1:13">
      <c r="A278" s="13" t="s">
        <v>7014</v>
      </c>
      <c r="B278" s="14" t="s">
        <v>7014</v>
      </c>
      <c r="C278" s="14" t="str">
        <f>HYPERLINK("http://uswest.ensembl.org/Homo_sapiens/Gene/Summary?g=ENSG00000010278","ENSG00000010278")</f>
        <v>ENSG00000010278</v>
      </c>
      <c r="D278" s="14" t="s">
        <v>7015</v>
      </c>
      <c r="E278" s="14" t="str">
        <f>HYPERLINK("http://www.ncbi.nlm.nih.gov/sites/entrez?db=gene&amp;cmd=Retrieve&amp;dopt=full_report&amp;list_uids=928","928")</f>
        <v>928</v>
      </c>
      <c r="F278" s="24" t="s">
        <v>7016</v>
      </c>
      <c r="G278" s="24" t="s">
        <v>7056</v>
      </c>
      <c r="H278" s="14" t="s">
        <v>7032</v>
      </c>
      <c r="I278" s="14" t="s">
        <v>8665</v>
      </c>
      <c r="J278" s="15" t="s">
        <v>7033</v>
      </c>
      <c r="K278" s="16">
        <v>97.674825999999996</v>
      </c>
      <c r="L278" s="17">
        <v>57.090656000000003</v>
      </c>
      <c r="M278" s="18">
        <f t="shared" si="5"/>
        <v>0.5844971354236147</v>
      </c>
    </row>
    <row r="279" spans="1:13">
      <c r="A279" s="13" t="s">
        <v>7034</v>
      </c>
      <c r="B279" s="14" t="s">
        <v>7034</v>
      </c>
      <c r="C279" s="14" t="str">
        <f>HYPERLINK("http://uswest.ensembl.org/Homo_sapiens/Gene/Summary?g=ENSG00000167100","ENSG00000167100")</f>
        <v>ENSG00000167100</v>
      </c>
      <c r="D279" s="14" t="s">
        <v>7035</v>
      </c>
      <c r="E279" s="14" t="str">
        <f>HYPERLINK("http://www.ncbi.nlm.nih.gov/sites/entrez?db=gene&amp;cmd=Retrieve&amp;dopt=full_report&amp;list_uids=201191","201191")</f>
        <v>201191</v>
      </c>
      <c r="F279" s="24" t="s">
        <v>7036</v>
      </c>
      <c r="G279" s="24" t="s">
        <v>7037</v>
      </c>
      <c r="H279" s="14" t="s">
        <v>8728</v>
      </c>
      <c r="I279" s="14" t="s">
        <v>8728</v>
      </c>
      <c r="J279" s="15" t="s">
        <v>8728</v>
      </c>
      <c r="K279" s="16">
        <v>45.219617999999997</v>
      </c>
      <c r="L279" s="17">
        <v>26.434327</v>
      </c>
      <c r="M279" s="18">
        <f t="shared" si="5"/>
        <v>0.58457652163271268</v>
      </c>
    </row>
    <row r="280" spans="1:13">
      <c r="A280" s="13" t="s">
        <v>7038</v>
      </c>
      <c r="B280" s="14" t="s">
        <v>7038</v>
      </c>
      <c r="C280" s="14" t="str">
        <f>HYPERLINK("http://uswest.ensembl.org/Homo_sapiens/Gene/Summary?g=ENSG00000125257","ENSG00000125257")</f>
        <v>ENSG00000125257</v>
      </c>
      <c r="D280" s="14" t="s">
        <v>7039</v>
      </c>
      <c r="E280" s="14" t="str">
        <f>HYPERLINK("http://www.ncbi.nlm.nih.gov/sites/entrez?db=gene&amp;cmd=Retrieve&amp;dopt=full_report&amp;list_uids=10257","10257")</f>
        <v>10257</v>
      </c>
      <c r="F280" s="24" t="s">
        <v>7040</v>
      </c>
      <c r="G280" s="24" t="s">
        <v>7000</v>
      </c>
      <c r="H280" s="14" t="s">
        <v>7065</v>
      </c>
      <c r="I280" s="19" t="s">
        <v>7017</v>
      </c>
      <c r="J280" s="15" t="s">
        <v>7018</v>
      </c>
      <c r="K280" s="16">
        <v>164.88707299999999</v>
      </c>
      <c r="L280" s="17">
        <v>96.390326000000002</v>
      </c>
      <c r="M280" s="18">
        <f t="shared" si="5"/>
        <v>0.58458388669438033</v>
      </c>
    </row>
    <row r="281" spans="1:13">
      <c r="A281" s="13" t="s">
        <v>7001</v>
      </c>
      <c r="B281" s="14" t="s">
        <v>7001</v>
      </c>
      <c r="C281" s="14" t="str">
        <f>HYPERLINK("http://uswest.ensembl.org/Homo_sapiens/Gene/Summary?g=ENSG00000169896","ENSG00000169896")</f>
        <v>ENSG00000169896</v>
      </c>
      <c r="D281" s="14" t="s">
        <v>8728</v>
      </c>
      <c r="E281" s="14" t="str">
        <f>HYPERLINK("http://www.ncbi.nlm.nih.gov/sites/entrez?db=gene&amp;cmd=Retrieve&amp;dopt=full_report&amp;list_uids=3684","3684")</f>
        <v>3684</v>
      </c>
      <c r="F281" s="24" t="s">
        <v>7002</v>
      </c>
      <c r="G281" s="24" t="s">
        <v>7011</v>
      </c>
      <c r="H281" s="14" t="s">
        <v>8420</v>
      </c>
      <c r="I281" s="14" t="s">
        <v>7012</v>
      </c>
      <c r="J281" s="15" t="s">
        <v>7013</v>
      </c>
      <c r="K281" s="16">
        <v>387.21984800000001</v>
      </c>
      <c r="L281" s="17">
        <v>226.386572</v>
      </c>
      <c r="M281" s="18">
        <f t="shared" si="5"/>
        <v>0.58464609489749086</v>
      </c>
    </row>
    <row r="282" spans="1:13">
      <c r="A282" s="13" t="s">
        <v>7059</v>
      </c>
      <c r="B282" s="14" t="s">
        <v>7059</v>
      </c>
      <c r="C282" s="14" t="str">
        <f>HYPERLINK("http://uswest.ensembl.org/Homo_sapiens/Gene/Summary?g=ENSG00000177586","ENSG00000177586")</f>
        <v>ENSG00000177586</v>
      </c>
      <c r="D282" s="14" t="s">
        <v>8728</v>
      </c>
      <c r="E282" s="14" t="str">
        <f>HYPERLINK("http://www.ncbi.nlm.nih.gov/sites/entrez?db=gene&amp;cmd=Retrieve&amp;dopt=full_report&amp;list_uids=","-")</f>
        <v>-</v>
      </c>
      <c r="F282" s="24" t="s">
        <v>7060</v>
      </c>
      <c r="G282" s="24" t="s">
        <v>8728</v>
      </c>
      <c r="H282" s="14" t="s">
        <v>8728</v>
      </c>
      <c r="I282" s="14" t="s">
        <v>8728</v>
      </c>
      <c r="J282" s="15" t="s">
        <v>8728</v>
      </c>
      <c r="K282" s="16">
        <v>44.717354</v>
      </c>
      <c r="L282" s="17">
        <v>26.151195000000001</v>
      </c>
      <c r="M282" s="18">
        <f t="shared" si="5"/>
        <v>0.58481087677951604</v>
      </c>
    </row>
    <row r="283" spans="1:13">
      <c r="A283" s="13" t="s">
        <v>7061</v>
      </c>
      <c r="B283" s="14" t="s">
        <v>7061</v>
      </c>
      <c r="C283" s="14" t="str">
        <f>HYPERLINK("http://uswest.ensembl.org/Homo_sapiens/Gene/Summary?g=","-")</f>
        <v>-</v>
      </c>
      <c r="D283" s="14" t="s">
        <v>7062</v>
      </c>
      <c r="E283" s="14" t="str">
        <f>HYPERLINK("http://www.ncbi.nlm.nih.gov/sites/entrez?db=gene&amp;cmd=Retrieve&amp;dopt=full_report&amp;list_uids=2149","2149")</f>
        <v>2149</v>
      </c>
      <c r="F283" s="24" t="s">
        <v>7063</v>
      </c>
      <c r="G283" s="24" t="s">
        <v>7064</v>
      </c>
      <c r="H283" s="19" t="s">
        <v>6998</v>
      </c>
      <c r="I283" s="14" t="s">
        <v>6999</v>
      </c>
      <c r="J283" s="20" t="s">
        <v>6974</v>
      </c>
      <c r="K283" s="16">
        <v>43.384436999999998</v>
      </c>
      <c r="L283" s="17">
        <v>25.379235000000001</v>
      </c>
      <c r="M283" s="18">
        <f t="shared" si="5"/>
        <v>0.58498477230440959</v>
      </c>
    </row>
    <row r="284" spans="1:13">
      <c r="A284" s="13" t="s">
        <v>6975</v>
      </c>
      <c r="B284" s="14" t="s">
        <v>6975</v>
      </c>
      <c r="C284" s="14" t="str">
        <f>HYPERLINK("http://uswest.ensembl.org/Homo_sapiens/Gene/Summary?g=ENSG00000104368","ENSG00000104368")</f>
        <v>ENSG00000104368</v>
      </c>
      <c r="D284" s="14" t="s">
        <v>6976</v>
      </c>
      <c r="E284" s="14" t="str">
        <f>HYPERLINK("http://www.ncbi.nlm.nih.gov/sites/entrez?db=gene&amp;cmd=Retrieve&amp;dopt=full_report&amp;list_uids=","-")</f>
        <v>-</v>
      </c>
      <c r="F284" s="24" t="s">
        <v>6977</v>
      </c>
      <c r="G284" s="24" t="s">
        <v>6984</v>
      </c>
      <c r="H284" s="14" t="s">
        <v>8728</v>
      </c>
      <c r="I284" s="14" t="s">
        <v>8684</v>
      </c>
      <c r="J284" s="15" t="s">
        <v>8731</v>
      </c>
      <c r="K284" s="16">
        <v>60.985968999999997</v>
      </c>
      <c r="L284" s="17">
        <v>35.684170000000002</v>
      </c>
      <c r="M284" s="18">
        <f t="shared" si="5"/>
        <v>0.58512098086036812</v>
      </c>
    </row>
    <row r="285" spans="1:13">
      <c r="A285" s="13" t="s">
        <v>6985</v>
      </c>
      <c r="B285" s="14" t="s">
        <v>6985</v>
      </c>
      <c r="C285" s="14" t="str">
        <f>HYPERLINK("http://uswest.ensembl.org/Homo_sapiens/Gene/Summary?g=ENSG00000155329","ENSG00000155329")</f>
        <v>ENSG00000155329</v>
      </c>
      <c r="D285" s="14" t="s">
        <v>6986</v>
      </c>
      <c r="E285" s="14" t="str">
        <f>HYPERLINK("http://www.ncbi.nlm.nih.gov/sites/entrez?db=gene&amp;cmd=Retrieve&amp;dopt=full_report&amp;list_uids=","-")</f>
        <v>-</v>
      </c>
      <c r="F285" s="24" t="s">
        <v>6987</v>
      </c>
      <c r="G285" s="24" t="s">
        <v>6988</v>
      </c>
      <c r="H285" s="14" t="s">
        <v>8728</v>
      </c>
      <c r="I285" s="14" t="s">
        <v>8373</v>
      </c>
      <c r="J285" s="15" t="s">
        <v>8728</v>
      </c>
      <c r="K285" s="16">
        <v>65.146411000000001</v>
      </c>
      <c r="L285" s="17">
        <v>38.120882000000002</v>
      </c>
      <c r="M285" s="18">
        <f t="shared" si="5"/>
        <v>0.58515705492970294</v>
      </c>
    </row>
    <row r="286" spans="1:13">
      <c r="A286" s="13" t="s">
        <v>6989</v>
      </c>
      <c r="B286" s="14" t="s">
        <v>6989</v>
      </c>
      <c r="C286" s="14" t="str">
        <f>HYPERLINK("http://uswest.ensembl.org/Homo_sapiens/Gene/Summary?g=ENSG00000215149","ENSG00000215149")</f>
        <v>ENSG00000215149</v>
      </c>
      <c r="D286" s="14" t="s">
        <v>8728</v>
      </c>
      <c r="E286" s="14" t="str">
        <f>HYPERLINK("http://www.ncbi.nlm.nih.gov/sites/entrez?db=gene&amp;cmd=Retrieve&amp;dopt=full_report&amp;list_uids=","-")</f>
        <v>-</v>
      </c>
      <c r="F286" s="24" t="s">
        <v>6990</v>
      </c>
      <c r="G286" s="24" t="s">
        <v>8728</v>
      </c>
      <c r="H286" s="14" t="s">
        <v>8728</v>
      </c>
      <c r="I286" s="14" t="s">
        <v>8728</v>
      </c>
      <c r="J286" s="15" t="s">
        <v>8728</v>
      </c>
      <c r="K286" s="16">
        <v>50.207498999999999</v>
      </c>
      <c r="L286" s="17">
        <v>29.403358000000001</v>
      </c>
      <c r="M286" s="18">
        <f t="shared" si="5"/>
        <v>0.58563677907955547</v>
      </c>
    </row>
    <row r="287" spans="1:13">
      <c r="A287" s="13" t="s">
        <v>6991</v>
      </c>
      <c r="B287" s="14" t="s">
        <v>6991</v>
      </c>
      <c r="C287" s="14" t="str">
        <f>HYPERLINK("http://uswest.ensembl.org/Homo_sapiens/Gene/Summary?g=ENSG00000173846","ENSG00000173846")</f>
        <v>ENSG00000173846</v>
      </c>
      <c r="D287" s="14" t="s">
        <v>6992</v>
      </c>
      <c r="E287" s="14" t="str">
        <f>HYPERLINK("http://www.ncbi.nlm.nih.gov/sites/entrez?db=gene&amp;cmd=Retrieve&amp;dopt=full_report&amp;list_uids=1263","1263")</f>
        <v>1263</v>
      </c>
      <c r="F287" s="24" t="s">
        <v>6993</v>
      </c>
      <c r="G287" s="24" t="s">
        <v>6994</v>
      </c>
      <c r="H287" s="14" t="s">
        <v>6967</v>
      </c>
      <c r="I287" s="19" t="s">
        <v>6968</v>
      </c>
      <c r="J287" s="15" t="s">
        <v>6969</v>
      </c>
      <c r="K287" s="16">
        <v>55.870989999999999</v>
      </c>
      <c r="L287" s="17">
        <v>32.722234</v>
      </c>
      <c r="M287" s="18">
        <f t="shared" si="5"/>
        <v>0.58567485559142596</v>
      </c>
    </row>
    <row r="288" spans="1:13">
      <c r="A288" s="13" t="s">
        <v>6970</v>
      </c>
      <c r="B288" s="14" t="s">
        <v>6970</v>
      </c>
      <c r="C288" s="14" t="str">
        <f>HYPERLINK("http://uswest.ensembl.org/Homo_sapiens/Gene/Summary?g=","-")</f>
        <v>-</v>
      </c>
      <c r="D288" s="14" t="s">
        <v>6971</v>
      </c>
      <c r="E288" s="14" t="str">
        <f>HYPERLINK("http://www.ncbi.nlm.nih.gov/sites/entrez?db=gene&amp;cmd=Retrieve&amp;dopt=full_report&amp;list_uids=1063","1063")</f>
        <v>1063</v>
      </c>
      <c r="F288" s="24" t="s">
        <v>6972</v>
      </c>
      <c r="G288" s="24" t="s">
        <v>6973</v>
      </c>
      <c r="H288" s="19" t="s">
        <v>6983</v>
      </c>
      <c r="I288" s="14" t="s">
        <v>8665</v>
      </c>
      <c r="J288" s="15" t="s">
        <v>6958</v>
      </c>
      <c r="K288" s="16">
        <v>34.698183</v>
      </c>
      <c r="L288" s="17">
        <v>20.325609</v>
      </c>
      <c r="M288" s="18">
        <f t="shared" si="5"/>
        <v>0.58578309417527707</v>
      </c>
    </row>
    <row r="289" spans="1:13">
      <c r="A289" s="13" t="s">
        <v>6959</v>
      </c>
      <c r="B289" s="14" t="s">
        <v>6959</v>
      </c>
      <c r="C289" s="14" t="str">
        <f>HYPERLINK("http://uswest.ensembl.org/Homo_sapiens/Gene/Summary?g=ENSG00000145335","ENSG00000145335")</f>
        <v>ENSG00000145335</v>
      </c>
      <c r="D289" s="14" t="s">
        <v>6995</v>
      </c>
      <c r="E289" s="14" t="str">
        <f>HYPERLINK("http://www.ncbi.nlm.nih.gov/sites/entrez?db=gene&amp;cmd=Retrieve&amp;dopt=full_report&amp;list_uids=6622","6622")</f>
        <v>6622</v>
      </c>
      <c r="F289" s="24" t="s">
        <v>6996</v>
      </c>
      <c r="G289" s="24" t="s">
        <v>6997</v>
      </c>
      <c r="H289" s="19" t="s">
        <v>6965</v>
      </c>
      <c r="I289" s="14" t="s">
        <v>7822</v>
      </c>
      <c r="J289" s="15" t="s">
        <v>6966</v>
      </c>
      <c r="K289" s="16">
        <v>125.185839</v>
      </c>
      <c r="L289" s="17">
        <v>73.375726999999998</v>
      </c>
      <c r="M289" s="18">
        <f t="shared" si="5"/>
        <v>0.58613440294952213</v>
      </c>
    </row>
    <row r="290" spans="1:13">
      <c r="A290" s="13" t="s">
        <v>6953</v>
      </c>
      <c r="B290" s="14" t="s">
        <v>6953</v>
      </c>
      <c r="C290" s="14" t="str">
        <f>HYPERLINK("http://uswest.ensembl.org/Homo_sapiens/Gene/Summary?g=","-")</f>
        <v>-</v>
      </c>
      <c r="D290" s="14" t="s">
        <v>6954</v>
      </c>
      <c r="E290" s="14" t="str">
        <f>HYPERLINK("http://www.ncbi.nlm.nih.gov/sites/entrez?db=gene&amp;cmd=Retrieve&amp;dopt=full_report&amp;list_uids=347736","347736")</f>
        <v>347736</v>
      </c>
      <c r="F290" s="24" t="s">
        <v>6955</v>
      </c>
      <c r="G290" s="24" t="s">
        <v>6932</v>
      </c>
      <c r="H290" s="14" t="s">
        <v>6978</v>
      </c>
      <c r="I290" s="14" t="s">
        <v>6979</v>
      </c>
      <c r="J290" s="15" t="s">
        <v>8728</v>
      </c>
      <c r="K290" s="16">
        <v>52.917119999999997</v>
      </c>
      <c r="L290" s="17">
        <v>31.033839</v>
      </c>
      <c r="M290" s="18">
        <f t="shared" si="5"/>
        <v>0.58646122464714634</v>
      </c>
    </row>
    <row r="291" spans="1:13">
      <c r="A291" s="13" t="s">
        <v>6981</v>
      </c>
      <c r="B291" s="14" t="s">
        <v>6981</v>
      </c>
      <c r="C291" s="14" t="str">
        <f>HYPERLINK("http://uswest.ensembl.org/Homo_sapiens/Gene/Summary?g=ENSG00000088256","ENSG00000088256")</f>
        <v>ENSG00000088256</v>
      </c>
      <c r="D291" s="14" t="s">
        <v>6982</v>
      </c>
      <c r="E291" s="14" t="str">
        <f>HYPERLINK("http://www.ncbi.nlm.nih.gov/sites/entrez?db=gene&amp;cmd=Retrieve&amp;dopt=full_report&amp;list_uids=2767","2767")</f>
        <v>2767</v>
      </c>
      <c r="F291" s="24" t="s">
        <v>6940</v>
      </c>
      <c r="G291" s="24" t="s">
        <v>6957</v>
      </c>
      <c r="H291" s="19" t="s">
        <v>6941</v>
      </c>
      <c r="I291" s="14" t="s">
        <v>6942</v>
      </c>
      <c r="J291" s="15" t="s">
        <v>6943</v>
      </c>
      <c r="K291" s="16">
        <v>38.379072000000001</v>
      </c>
      <c r="L291" s="17">
        <v>22.535353000000001</v>
      </c>
      <c r="M291" s="18">
        <f t="shared" si="5"/>
        <v>0.58717816314057825</v>
      </c>
    </row>
    <row r="292" spans="1:13">
      <c r="A292" s="13" t="s">
        <v>6923</v>
      </c>
      <c r="B292" s="14" t="s">
        <v>6923</v>
      </c>
      <c r="C292" s="14" t="str">
        <f>HYPERLINK("http://uswest.ensembl.org/Homo_sapiens/Gene/Summary?g=ENSG00000016391","ENSG00000016391")</f>
        <v>ENSG00000016391</v>
      </c>
      <c r="D292" s="14" t="s">
        <v>6924</v>
      </c>
      <c r="E292" s="14" t="str">
        <f>HYPERLINK("http://www.ncbi.nlm.nih.gov/sites/entrez?db=gene&amp;cmd=Retrieve&amp;dopt=full_report&amp;list_uids=55349","55349")</f>
        <v>55349</v>
      </c>
      <c r="F292" s="24" t="s">
        <v>6925</v>
      </c>
      <c r="G292" s="24" t="s">
        <v>6926</v>
      </c>
      <c r="H292" s="14" t="s">
        <v>6927</v>
      </c>
      <c r="I292" s="14" t="s">
        <v>6928</v>
      </c>
      <c r="J292" s="15" t="s">
        <v>6929</v>
      </c>
      <c r="K292" s="16">
        <v>63.977573999999997</v>
      </c>
      <c r="L292" s="17">
        <v>37.569952999999998</v>
      </c>
      <c r="M292" s="18">
        <f t="shared" si="5"/>
        <v>0.58723628689015306</v>
      </c>
    </row>
    <row r="293" spans="1:13">
      <c r="A293" s="13" t="s">
        <v>6944</v>
      </c>
      <c r="B293" s="14" t="s">
        <v>6944</v>
      </c>
      <c r="C293" s="14" t="str">
        <f>HYPERLINK("http://uswest.ensembl.org/Homo_sapiens/Gene/Summary?g=","-")</f>
        <v>-</v>
      </c>
      <c r="D293" s="14" t="s">
        <v>8728</v>
      </c>
      <c r="E293" s="14" t="str">
        <f>HYPERLINK("http://www.ncbi.nlm.nih.gov/sites/entrez?db=gene&amp;cmd=Retrieve&amp;dopt=full_report&amp;list_uids=100293608","100293608")</f>
        <v>100293608</v>
      </c>
      <c r="F293" s="24" t="s">
        <v>6945</v>
      </c>
      <c r="G293" s="24" t="s">
        <v>6946</v>
      </c>
      <c r="H293" s="14" t="s">
        <v>8728</v>
      </c>
      <c r="I293" s="14" t="s">
        <v>8728</v>
      </c>
      <c r="J293" s="15" t="s">
        <v>8728</v>
      </c>
      <c r="K293" s="16">
        <v>81.111890000000002</v>
      </c>
      <c r="L293" s="17">
        <v>47.632142999999999</v>
      </c>
      <c r="M293" s="18">
        <f t="shared" si="5"/>
        <v>0.58723995951764896</v>
      </c>
    </row>
    <row r="294" spans="1:13">
      <c r="A294" s="13" t="s">
        <v>6947</v>
      </c>
      <c r="B294" s="14" t="s">
        <v>6947</v>
      </c>
      <c r="C294" s="14" t="str">
        <f>HYPERLINK("http://uswest.ensembl.org/Homo_sapiens/Gene/Summary?g=","-")</f>
        <v>-</v>
      </c>
      <c r="D294" s="14" t="s">
        <v>6948</v>
      </c>
      <c r="E294" s="14" t="str">
        <f>HYPERLINK("http://www.ncbi.nlm.nih.gov/sites/entrez?db=gene&amp;cmd=Retrieve&amp;dopt=full_report&amp;list_uids=4775","4775")</f>
        <v>4775</v>
      </c>
      <c r="F294" s="24" t="s">
        <v>6949</v>
      </c>
      <c r="G294" s="24" t="s">
        <v>6950</v>
      </c>
      <c r="H294" s="14" t="s">
        <v>8490</v>
      </c>
      <c r="I294" s="14" t="s">
        <v>7987</v>
      </c>
      <c r="J294" s="15" t="s">
        <v>8558</v>
      </c>
      <c r="K294" s="16">
        <v>89.858890000000002</v>
      </c>
      <c r="L294" s="17">
        <v>52.772789000000003</v>
      </c>
      <c r="M294" s="18">
        <f t="shared" si="5"/>
        <v>0.58728512003653732</v>
      </c>
    </row>
    <row r="295" spans="1:13">
      <c r="A295" s="13" t="s">
        <v>6951</v>
      </c>
      <c r="B295" s="14" t="s">
        <v>6951</v>
      </c>
      <c r="C295" s="14" t="str">
        <f>HYPERLINK("http://uswest.ensembl.org/Homo_sapiens/Gene/Summary?g=ENSG00000183020","ENSG00000183020")</f>
        <v>ENSG00000183020</v>
      </c>
      <c r="D295" s="14" t="s">
        <v>8728</v>
      </c>
      <c r="E295" s="14" t="str">
        <f>HYPERLINK("http://www.ncbi.nlm.nih.gov/sites/entrez?db=gene&amp;cmd=Retrieve&amp;dopt=full_report&amp;list_uids=161","161")</f>
        <v>161</v>
      </c>
      <c r="F295" s="24" t="s">
        <v>6952</v>
      </c>
      <c r="G295" s="25" t="s">
        <v>6930</v>
      </c>
      <c r="H295" s="14" t="s">
        <v>6931</v>
      </c>
      <c r="I295" s="14" t="s">
        <v>6920</v>
      </c>
      <c r="J295" s="15" t="s">
        <v>6960</v>
      </c>
      <c r="K295" s="16">
        <v>61.202131999999999</v>
      </c>
      <c r="L295" s="17">
        <v>35.951687</v>
      </c>
      <c r="M295" s="18">
        <f t="shared" si="5"/>
        <v>0.58742540210854088</v>
      </c>
    </row>
    <row r="296" spans="1:13">
      <c r="A296" s="13" t="s">
        <v>6961</v>
      </c>
      <c r="B296" s="14" t="s">
        <v>6961</v>
      </c>
      <c r="C296" s="14" t="str">
        <f>HYPERLINK("http://uswest.ensembl.org/Homo_sapiens/Gene/Summary?g=ENSG00000023330","ENSG00000023330")</f>
        <v>ENSG00000023330</v>
      </c>
      <c r="D296" s="14" t="s">
        <v>6962</v>
      </c>
      <c r="E296" s="14" t="str">
        <f>HYPERLINK("http://www.ncbi.nlm.nih.gov/sites/entrez?db=gene&amp;cmd=Retrieve&amp;dopt=full_report&amp;list_uids=211","211")</f>
        <v>211</v>
      </c>
      <c r="F296" s="24" t="s">
        <v>6963</v>
      </c>
      <c r="G296" s="24" t="s">
        <v>6964</v>
      </c>
      <c r="H296" s="14" t="s">
        <v>6922</v>
      </c>
      <c r="I296" s="14" t="s">
        <v>6980</v>
      </c>
      <c r="J296" s="15" t="s">
        <v>7994</v>
      </c>
      <c r="K296" s="16">
        <v>467.71972399999999</v>
      </c>
      <c r="L296" s="17">
        <v>274.78971200000001</v>
      </c>
      <c r="M296" s="18">
        <f t="shared" si="5"/>
        <v>0.587509352075133</v>
      </c>
    </row>
    <row r="297" spans="1:13">
      <c r="A297" s="13" t="s">
        <v>6916</v>
      </c>
      <c r="B297" s="14" t="s">
        <v>6916</v>
      </c>
      <c r="C297" s="14" t="str">
        <f>HYPERLINK("http://uswest.ensembl.org/Homo_sapiens/Gene/Summary?g=ENSG00000171396","ENSG00000171396")</f>
        <v>ENSG00000171396</v>
      </c>
      <c r="D297" s="14" t="s">
        <v>6917</v>
      </c>
      <c r="E297" s="14" t="str">
        <f>HYPERLINK("http://www.ncbi.nlm.nih.gov/sites/entrez?db=gene&amp;cmd=Retrieve&amp;dopt=full_report&amp;list_uids=84616","84616")</f>
        <v>84616</v>
      </c>
      <c r="F297" s="24" t="s">
        <v>6918</v>
      </c>
      <c r="G297" s="25" t="s">
        <v>6919</v>
      </c>
      <c r="H297" s="14" t="s">
        <v>8728</v>
      </c>
      <c r="I297" s="14" t="s">
        <v>8607</v>
      </c>
      <c r="J297" s="15" t="s">
        <v>8680</v>
      </c>
      <c r="K297" s="16">
        <v>116.99302900000001</v>
      </c>
      <c r="L297" s="17">
        <v>68.823205999999999</v>
      </c>
      <c r="M297" s="18">
        <f t="shared" si="5"/>
        <v>0.58826757960083242</v>
      </c>
    </row>
    <row r="298" spans="1:13">
      <c r="A298" s="13" t="s">
        <v>6915</v>
      </c>
      <c r="B298" s="14" t="s">
        <v>6915</v>
      </c>
      <c r="C298" s="14" t="str">
        <f>HYPERLINK("http://uswest.ensembl.org/Homo_sapiens/Gene/Summary?g=","-")</f>
        <v>-</v>
      </c>
      <c r="D298" s="14" t="s">
        <v>8728</v>
      </c>
      <c r="E298" s="14" t="str">
        <f>HYPERLINK("http://www.ncbi.nlm.nih.gov/sites/entrez?db=gene&amp;cmd=Retrieve&amp;dopt=full_report&amp;list_uids=100292648","100292648")</f>
        <v>100292648</v>
      </c>
      <c r="F298" s="24" t="s">
        <v>8728</v>
      </c>
      <c r="G298" s="24" t="s">
        <v>8728</v>
      </c>
      <c r="H298" s="14" t="s">
        <v>8728</v>
      </c>
      <c r="I298" s="14" t="s">
        <v>8728</v>
      </c>
      <c r="J298" s="15" t="s">
        <v>8728</v>
      </c>
      <c r="K298" s="16">
        <v>68.077270999999996</v>
      </c>
      <c r="L298" s="17">
        <v>40.151600000000002</v>
      </c>
      <c r="M298" s="18">
        <f t="shared" si="5"/>
        <v>0.58979449984121723</v>
      </c>
    </row>
    <row r="299" spans="1:13">
      <c r="A299" s="13" t="s">
        <v>6911</v>
      </c>
      <c r="B299" s="14" t="s">
        <v>6911</v>
      </c>
      <c r="C299" s="14" t="str">
        <f>HYPERLINK("http://uswest.ensembl.org/Homo_sapiens/Gene/Summary?g=ENSG00000048740","ENSG00000048740")</f>
        <v>ENSG00000048740</v>
      </c>
      <c r="D299" s="14" t="s">
        <v>6912</v>
      </c>
      <c r="E299" s="14" t="str">
        <f>HYPERLINK("http://www.ncbi.nlm.nih.gov/sites/entrez?db=gene&amp;cmd=Retrieve&amp;dopt=full_report&amp;list_uids=10659","10659")</f>
        <v>10659</v>
      </c>
      <c r="F299" s="24" t="s">
        <v>6913</v>
      </c>
      <c r="G299" s="25" t="s">
        <v>6914</v>
      </c>
      <c r="H299" s="14" t="s">
        <v>6901</v>
      </c>
      <c r="I299" s="14" t="s">
        <v>6902</v>
      </c>
      <c r="J299" s="15" t="s">
        <v>8608</v>
      </c>
      <c r="K299" s="16">
        <v>228.520872</v>
      </c>
      <c r="L299" s="17">
        <v>134.89135099999999</v>
      </c>
      <c r="M299" s="18">
        <f t="shared" si="5"/>
        <v>0.59028022175584904</v>
      </c>
    </row>
    <row r="300" spans="1:13">
      <c r="A300" s="13" t="s">
        <v>6903</v>
      </c>
      <c r="B300" s="14" t="s">
        <v>6903</v>
      </c>
      <c r="C300" s="14" t="str">
        <f>HYPERLINK("http://uswest.ensembl.org/Homo_sapiens/Gene/Summary?g=ENSG00000165795","ENSG00000165795")</f>
        <v>ENSG00000165795</v>
      </c>
      <c r="D300" s="14" t="s">
        <v>6904</v>
      </c>
      <c r="E300" s="14" t="str">
        <f>HYPERLINK("http://www.ncbi.nlm.nih.gov/sites/entrez?db=gene&amp;cmd=Retrieve&amp;dopt=full_report&amp;list_uids=57447","57447")</f>
        <v>57447</v>
      </c>
      <c r="F300" s="24" t="s">
        <v>6905</v>
      </c>
      <c r="G300" s="24" t="s">
        <v>6906</v>
      </c>
      <c r="H300" s="14" t="s">
        <v>7549</v>
      </c>
      <c r="I300" s="14" t="s">
        <v>8648</v>
      </c>
      <c r="J300" s="15" t="s">
        <v>6907</v>
      </c>
      <c r="K300" s="16">
        <v>36.093784999999997</v>
      </c>
      <c r="L300" s="17">
        <v>21.307988000000002</v>
      </c>
      <c r="M300" s="18">
        <f t="shared" si="5"/>
        <v>0.59035061022278501</v>
      </c>
    </row>
    <row r="301" spans="1:13">
      <c r="A301" s="13" t="s">
        <v>6908</v>
      </c>
      <c r="B301" s="14" t="s">
        <v>6908</v>
      </c>
      <c r="C301" s="14" t="str">
        <f>HYPERLINK("http://uswest.ensembl.org/Homo_sapiens/Gene/Summary?g=ENSG00000172725","ENSG00000172725")</f>
        <v>ENSG00000172725</v>
      </c>
      <c r="D301" s="14" t="s">
        <v>6886</v>
      </c>
      <c r="E301" s="14" t="str">
        <f>HYPERLINK("http://www.ncbi.nlm.nih.gov/sites/entrez?db=gene&amp;cmd=Retrieve&amp;dopt=full_report&amp;list_uids=57175","57175")</f>
        <v>57175</v>
      </c>
      <c r="F301" s="24" t="s">
        <v>6887</v>
      </c>
      <c r="G301" s="24" t="s">
        <v>6888</v>
      </c>
      <c r="H301" s="14" t="s">
        <v>8728</v>
      </c>
      <c r="I301" s="14" t="s">
        <v>8386</v>
      </c>
      <c r="J301" s="15" t="s">
        <v>8560</v>
      </c>
      <c r="K301" s="16">
        <v>110.15524600000001</v>
      </c>
      <c r="L301" s="17">
        <v>65.064375999999996</v>
      </c>
      <c r="M301" s="18">
        <f t="shared" si="5"/>
        <v>0.59066071170137457</v>
      </c>
    </row>
    <row r="302" spans="1:13">
      <c r="A302" s="13" t="s">
        <v>6909</v>
      </c>
      <c r="B302" s="14" t="s">
        <v>6909</v>
      </c>
      <c r="C302" s="14" t="str">
        <f>HYPERLINK("http://uswest.ensembl.org/Homo_sapiens/Gene/Summary?g=","-")</f>
        <v>-</v>
      </c>
      <c r="D302" s="14" t="s">
        <v>8728</v>
      </c>
      <c r="E302" s="14" t="str">
        <f>HYPERLINK("http://www.ncbi.nlm.nih.gov/sites/entrez?db=gene&amp;cmd=Retrieve&amp;dopt=full_report&amp;list_uids=100294462","100294462")</f>
        <v>100294462</v>
      </c>
      <c r="F302" s="24" t="s">
        <v>6910</v>
      </c>
      <c r="G302" s="24" t="s">
        <v>8728</v>
      </c>
      <c r="H302" s="14" t="s">
        <v>8728</v>
      </c>
      <c r="I302" s="14" t="s">
        <v>8728</v>
      </c>
      <c r="J302" s="15" t="s">
        <v>8728</v>
      </c>
      <c r="K302" s="16">
        <v>45.017726000000003</v>
      </c>
      <c r="L302" s="17">
        <v>26.603542000000001</v>
      </c>
      <c r="M302" s="18">
        <f t="shared" si="5"/>
        <v>0.59095703767889118</v>
      </c>
    </row>
    <row r="303" spans="1:13">
      <c r="A303" s="13" t="s">
        <v>6897</v>
      </c>
      <c r="B303" s="14" t="s">
        <v>6897</v>
      </c>
      <c r="C303" s="14" t="str">
        <f>HYPERLINK("http://uswest.ensembl.org/Homo_sapiens/Gene/Summary?g=ENSG00000161031","ENSG00000161031")</f>
        <v>ENSG00000161031</v>
      </c>
      <c r="D303" s="14" t="s">
        <v>6898</v>
      </c>
      <c r="E303" s="14" t="str">
        <f>HYPERLINK("http://www.ncbi.nlm.nih.gov/sites/entrez?db=gene&amp;cmd=Retrieve&amp;dopt=full_report&amp;list_uids=","-")</f>
        <v>-</v>
      </c>
      <c r="F303" s="24" t="s">
        <v>6899</v>
      </c>
      <c r="G303" s="24" t="s">
        <v>6933</v>
      </c>
      <c r="H303" s="14" t="s">
        <v>6934</v>
      </c>
      <c r="I303" s="14" t="s">
        <v>6935</v>
      </c>
      <c r="J303" s="15" t="s">
        <v>8728</v>
      </c>
      <c r="K303" s="16">
        <v>34.293576000000002</v>
      </c>
      <c r="L303" s="17">
        <v>20.300853</v>
      </c>
      <c r="M303" s="18">
        <f t="shared" si="5"/>
        <v>0.5919724732118925</v>
      </c>
    </row>
    <row r="304" spans="1:13">
      <c r="A304" s="13" t="s">
        <v>6936</v>
      </c>
      <c r="B304" s="14" t="s">
        <v>6936</v>
      </c>
      <c r="C304" s="14" t="str">
        <f>HYPERLINK("http://uswest.ensembl.org/Homo_sapiens/Gene/Summary?g=ENSG00000175294","ENSG00000175294")</f>
        <v>ENSG00000175294</v>
      </c>
      <c r="D304" s="14" t="s">
        <v>6937</v>
      </c>
      <c r="E304" s="14" t="str">
        <f>HYPERLINK("http://www.ncbi.nlm.nih.gov/sites/entrez?db=gene&amp;cmd=Retrieve&amp;dopt=full_report&amp;list_uids=117144","117144")</f>
        <v>117144</v>
      </c>
      <c r="F304" s="24" t="s">
        <v>6938</v>
      </c>
      <c r="G304" s="24" t="s">
        <v>6939</v>
      </c>
      <c r="H304" s="19" t="s">
        <v>6884</v>
      </c>
      <c r="I304" s="14" t="s">
        <v>6885</v>
      </c>
      <c r="J304" s="15" t="s">
        <v>6866</v>
      </c>
      <c r="K304" s="16">
        <v>90.812164999999993</v>
      </c>
      <c r="L304" s="17">
        <v>53.767546000000003</v>
      </c>
      <c r="M304" s="18">
        <f t="shared" si="5"/>
        <v>0.59207426670204377</v>
      </c>
    </row>
    <row r="305" spans="1:13">
      <c r="A305" s="13" t="s">
        <v>6867</v>
      </c>
      <c r="B305" s="14" t="s">
        <v>6867</v>
      </c>
      <c r="C305" s="14" t="str">
        <f>HYPERLINK("http://uswest.ensembl.org/Homo_sapiens/Gene/Summary?g=ENSG00000173991","ENSG00000173991")</f>
        <v>ENSG00000173991</v>
      </c>
      <c r="D305" s="14" t="s">
        <v>6868</v>
      </c>
      <c r="E305" s="14" t="str">
        <f>HYPERLINK("http://www.ncbi.nlm.nih.gov/sites/entrez?db=gene&amp;cmd=Retrieve&amp;dopt=full_report&amp;list_uids=8557","8557")</f>
        <v>8557</v>
      </c>
      <c r="F305" s="24" t="s">
        <v>6869</v>
      </c>
      <c r="G305" s="24" t="s">
        <v>6889</v>
      </c>
      <c r="H305" s="19" t="s">
        <v>6890</v>
      </c>
      <c r="I305" s="14" t="s">
        <v>6891</v>
      </c>
      <c r="J305" s="15" t="s">
        <v>6892</v>
      </c>
      <c r="K305" s="16">
        <v>36.322127000000002</v>
      </c>
      <c r="L305" s="17">
        <v>21.510200000000001</v>
      </c>
      <c r="M305" s="18">
        <f t="shared" si="5"/>
        <v>0.59220650817062559</v>
      </c>
    </row>
    <row r="306" spans="1:13">
      <c r="A306" s="13" t="s">
        <v>6893</v>
      </c>
      <c r="B306" s="14" t="s">
        <v>6893</v>
      </c>
      <c r="C306" s="14" t="str">
        <f>HYPERLINK("http://uswest.ensembl.org/Homo_sapiens/Gene/Summary?g=","-")</f>
        <v>-</v>
      </c>
      <c r="D306" s="14" t="s">
        <v>6894</v>
      </c>
      <c r="E306" s="14" t="str">
        <f>HYPERLINK("http://www.ncbi.nlm.nih.gov/sites/entrez?db=gene&amp;cmd=Retrieve&amp;dopt=full_report&amp;list_uids=10611","10611")</f>
        <v>10611</v>
      </c>
      <c r="F306" s="24" t="s">
        <v>6895</v>
      </c>
      <c r="G306" s="24" t="s">
        <v>6870</v>
      </c>
      <c r="H306" s="14" t="s">
        <v>8728</v>
      </c>
      <c r="I306" s="14" t="s">
        <v>6871</v>
      </c>
      <c r="J306" s="15" t="s">
        <v>6872</v>
      </c>
      <c r="K306" s="16">
        <v>100.063525</v>
      </c>
      <c r="L306" s="17">
        <v>59.262892000000001</v>
      </c>
      <c r="M306" s="18">
        <f t="shared" si="5"/>
        <v>0.59225269147773874</v>
      </c>
    </row>
    <row r="307" spans="1:13">
      <c r="A307" s="13" t="s">
        <v>6873</v>
      </c>
      <c r="B307" s="14" t="s">
        <v>6873</v>
      </c>
      <c r="C307" s="14" t="str">
        <f>HYPERLINK("http://uswest.ensembl.org/Homo_sapiens/Gene/Summary?g=ENSG00000087095","ENSG00000087095")</f>
        <v>ENSG00000087095</v>
      </c>
      <c r="D307" s="14" t="s">
        <v>6874</v>
      </c>
      <c r="E307" s="14" t="str">
        <f>HYPERLINK("http://www.ncbi.nlm.nih.gov/sites/entrez?db=gene&amp;cmd=Retrieve&amp;dopt=full_report&amp;list_uids=","-")</f>
        <v>-</v>
      </c>
      <c r="F307" s="24" t="s">
        <v>6875</v>
      </c>
      <c r="G307" s="24" t="s">
        <v>6876</v>
      </c>
      <c r="H307" s="19" t="s">
        <v>6857</v>
      </c>
      <c r="I307" s="19" t="s">
        <v>6921</v>
      </c>
      <c r="J307" s="15" t="s">
        <v>8608</v>
      </c>
      <c r="K307" s="16">
        <v>72.301226</v>
      </c>
      <c r="L307" s="17">
        <v>42.830598999999999</v>
      </c>
      <c r="M307" s="18">
        <f t="shared" si="5"/>
        <v>0.59239104742151949</v>
      </c>
    </row>
    <row r="308" spans="1:13">
      <c r="A308" s="13" t="s">
        <v>6862</v>
      </c>
      <c r="B308" s="14" t="s">
        <v>6862</v>
      </c>
      <c r="C308" s="14" t="str">
        <f>HYPERLINK("http://uswest.ensembl.org/Homo_sapiens/Gene/Summary?g=","-")</f>
        <v>-</v>
      </c>
      <c r="D308" s="14" t="s">
        <v>6863</v>
      </c>
      <c r="E308" s="14" t="str">
        <f>HYPERLINK("http://www.ncbi.nlm.nih.gov/sites/entrez?db=gene&amp;cmd=Retrieve&amp;dopt=full_report&amp;list_uids=374887","374887")</f>
        <v>374887</v>
      </c>
      <c r="F308" s="24" t="s">
        <v>6864</v>
      </c>
      <c r="G308" s="24" t="s">
        <v>6865</v>
      </c>
      <c r="H308" s="14" t="s">
        <v>8728</v>
      </c>
      <c r="I308" s="14" t="s">
        <v>8728</v>
      </c>
      <c r="J308" s="15" t="s">
        <v>8728</v>
      </c>
      <c r="K308" s="16">
        <v>95.347094999999996</v>
      </c>
      <c r="L308" s="17">
        <v>56.504755000000003</v>
      </c>
      <c r="M308" s="18">
        <f t="shared" si="5"/>
        <v>0.59262167347626071</v>
      </c>
    </row>
    <row r="309" spans="1:13">
      <c r="A309" s="13" t="s">
        <v>6852</v>
      </c>
      <c r="B309" s="14" t="s">
        <v>6852</v>
      </c>
      <c r="C309" s="14" t="str">
        <f>HYPERLINK("http://uswest.ensembl.org/Homo_sapiens/Gene/Summary?g=ENSG00000125910","ENSG00000125910")</f>
        <v>ENSG00000125910</v>
      </c>
      <c r="D309" s="14" t="s">
        <v>6853</v>
      </c>
      <c r="E309" s="14" t="str">
        <f>HYPERLINK("http://www.ncbi.nlm.nih.gov/sites/entrez?db=gene&amp;cmd=Retrieve&amp;dopt=full_report&amp;list_uids=8698","8698")</f>
        <v>8698</v>
      </c>
      <c r="F309" s="24" t="s">
        <v>6854</v>
      </c>
      <c r="G309" s="24" t="s">
        <v>6880</v>
      </c>
      <c r="H309" s="19" t="s">
        <v>6900</v>
      </c>
      <c r="I309" s="14" t="s">
        <v>6860</v>
      </c>
      <c r="J309" s="15" t="s">
        <v>8667</v>
      </c>
      <c r="K309" s="16">
        <v>160.582348</v>
      </c>
      <c r="L309" s="17">
        <v>95.248688999999999</v>
      </c>
      <c r="M309" s="18">
        <f t="shared" si="5"/>
        <v>0.59314544958577886</v>
      </c>
    </row>
    <row r="310" spans="1:13">
      <c r="A310" s="13" t="s">
        <v>6881</v>
      </c>
      <c r="B310" s="14" t="s">
        <v>6881</v>
      </c>
      <c r="C310" s="14" t="str">
        <f>HYPERLINK("http://uswest.ensembl.org/Homo_sapiens/Gene/Summary?g=ENSG00000196743","ENSG00000196743")</f>
        <v>ENSG00000196743</v>
      </c>
      <c r="D310" s="14" t="s">
        <v>6882</v>
      </c>
      <c r="E310" s="14" t="str">
        <f>HYPERLINK("http://www.ncbi.nlm.nih.gov/sites/entrez?db=gene&amp;cmd=Retrieve&amp;dopt=full_report&amp;list_uids=2760","2760")</f>
        <v>2760</v>
      </c>
      <c r="F310" s="24" t="s">
        <v>6883</v>
      </c>
      <c r="G310" s="24" t="s">
        <v>6859</v>
      </c>
      <c r="H310" s="19" t="s">
        <v>6850</v>
      </c>
      <c r="I310" s="19" t="s">
        <v>6851</v>
      </c>
      <c r="J310" s="20" t="s">
        <v>6835</v>
      </c>
      <c r="K310" s="16">
        <v>386.98298399999999</v>
      </c>
      <c r="L310" s="17">
        <v>229.745228</v>
      </c>
      <c r="M310" s="18">
        <f t="shared" si="5"/>
        <v>0.59368302354090075</v>
      </c>
    </row>
    <row r="311" spans="1:13">
      <c r="A311" s="13" t="s">
        <v>6836</v>
      </c>
      <c r="B311" s="14" t="s">
        <v>6836</v>
      </c>
      <c r="C311" s="14" t="str">
        <f>HYPERLINK("http://uswest.ensembl.org/Homo_sapiens/Gene/Summary?g=","-")</f>
        <v>-</v>
      </c>
      <c r="D311" s="14" t="s">
        <v>6837</v>
      </c>
      <c r="E311" s="14" t="str">
        <f>HYPERLINK("http://www.ncbi.nlm.nih.gov/sites/entrez?db=gene&amp;cmd=Retrieve&amp;dopt=full_report&amp;list_uids=63027","63027")</f>
        <v>63027</v>
      </c>
      <c r="F311" s="24" t="s">
        <v>6838</v>
      </c>
      <c r="G311" s="24" t="s">
        <v>6839</v>
      </c>
      <c r="H311" s="14" t="s">
        <v>8728</v>
      </c>
      <c r="I311" s="14" t="s">
        <v>8728</v>
      </c>
      <c r="J311" s="15" t="s">
        <v>8728</v>
      </c>
      <c r="K311" s="16">
        <v>233.52781300000001</v>
      </c>
      <c r="L311" s="17">
        <v>138.651014</v>
      </c>
      <c r="M311" s="18">
        <f t="shared" si="5"/>
        <v>0.59372377199455895</v>
      </c>
    </row>
    <row r="312" spans="1:13">
      <c r="A312" s="13" t="s">
        <v>6840</v>
      </c>
      <c r="B312" s="14" t="s">
        <v>6840</v>
      </c>
      <c r="C312" s="14" t="str">
        <f>HYPERLINK("http://uswest.ensembl.org/Homo_sapiens/Gene/Summary?g=","-")</f>
        <v>-</v>
      </c>
      <c r="D312" s="14" t="s">
        <v>6877</v>
      </c>
      <c r="E312" s="14" t="str">
        <f>HYPERLINK("http://www.ncbi.nlm.nih.gov/sites/entrez?db=gene&amp;cmd=Retrieve&amp;dopt=full_report&amp;list_uids=157680","157680")</f>
        <v>157680</v>
      </c>
      <c r="F312" s="24" t="s">
        <v>6878</v>
      </c>
      <c r="G312" s="24" t="s">
        <v>6879</v>
      </c>
      <c r="H312" s="14" t="s">
        <v>8623</v>
      </c>
      <c r="I312" s="14" t="s">
        <v>6855</v>
      </c>
      <c r="J312" s="15" t="s">
        <v>8728</v>
      </c>
      <c r="K312" s="16">
        <v>42.052045999999997</v>
      </c>
      <c r="L312" s="17">
        <v>24.972424</v>
      </c>
      <c r="M312" s="18">
        <f t="shared" si="5"/>
        <v>0.59384563595312345</v>
      </c>
    </row>
    <row r="313" spans="1:13">
      <c r="A313" s="13" t="s">
        <v>6856</v>
      </c>
      <c r="B313" s="14" t="s">
        <v>6856</v>
      </c>
      <c r="C313" s="14" t="str">
        <f>HYPERLINK("http://uswest.ensembl.org/Homo_sapiens/Gene/Summary?g=ENSG00000109107","ENSG00000109107")</f>
        <v>ENSG00000109107</v>
      </c>
      <c r="D313" s="14" t="s">
        <v>6804</v>
      </c>
      <c r="E313" s="14" t="str">
        <f>HYPERLINK("http://www.ncbi.nlm.nih.gov/sites/entrez?db=gene&amp;cmd=Retrieve&amp;dopt=full_report&amp;list_uids=","-")</f>
        <v>-</v>
      </c>
      <c r="F313" s="24" t="s">
        <v>8418</v>
      </c>
      <c r="G313" s="24" t="s">
        <v>8435</v>
      </c>
      <c r="H313" s="14" t="s">
        <v>6805</v>
      </c>
      <c r="I313" s="14" t="s">
        <v>6806</v>
      </c>
      <c r="J313" s="15" t="s">
        <v>8728</v>
      </c>
      <c r="K313" s="16">
        <v>124.476005</v>
      </c>
      <c r="L313" s="17">
        <v>73.923956000000004</v>
      </c>
      <c r="M313" s="18">
        <f t="shared" si="5"/>
        <v>0.59388117412669217</v>
      </c>
    </row>
    <row r="314" spans="1:13">
      <c r="A314" s="13" t="s">
        <v>6814</v>
      </c>
      <c r="B314" s="14" t="s">
        <v>6814</v>
      </c>
      <c r="C314" s="14" t="str">
        <f>HYPERLINK("http://uswest.ensembl.org/Homo_sapiens/Gene/Summary?g=ENSG00000212691","ENSG00000212691")</f>
        <v>ENSG00000212691</v>
      </c>
      <c r="D314" s="14" t="s">
        <v>8728</v>
      </c>
      <c r="E314" s="14" t="str">
        <f>HYPERLINK("http://www.ncbi.nlm.nih.gov/sites/entrez?db=gene&amp;cmd=Retrieve&amp;dopt=full_report&amp;list_uids=","-")</f>
        <v>-</v>
      </c>
      <c r="F314" s="24" t="s">
        <v>6815</v>
      </c>
      <c r="G314" s="24" t="s">
        <v>8728</v>
      </c>
      <c r="H314" s="14" t="s">
        <v>8728</v>
      </c>
      <c r="I314" s="14" t="s">
        <v>8728</v>
      </c>
      <c r="J314" s="15" t="s">
        <v>8728</v>
      </c>
      <c r="K314" s="16">
        <v>151.10750100000001</v>
      </c>
      <c r="L314" s="17">
        <v>89.765262000000007</v>
      </c>
      <c r="M314" s="18">
        <f t="shared" si="5"/>
        <v>0.59404901415185207</v>
      </c>
    </row>
    <row r="315" spans="1:13">
      <c r="A315" s="13" t="s">
        <v>6816</v>
      </c>
      <c r="B315" s="14" t="s">
        <v>6816</v>
      </c>
      <c r="C315" s="14" t="str">
        <f>HYPERLINK("http://uswest.ensembl.org/Homo_sapiens/Gene/Summary?g=ENSG00000177465","ENSG00000177465")</f>
        <v>ENSG00000177465</v>
      </c>
      <c r="D315" s="14" t="s">
        <v>6817</v>
      </c>
      <c r="E315" s="14" t="str">
        <f>HYPERLINK("http://www.ncbi.nlm.nih.gov/sites/entrez?db=gene&amp;cmd=Retrieve&amp;dopt=full_report&amp;list_uids=122970","122970")</f>
        <v>122970</v>
      </c>
      <c r="F315" s="24" t="s">
        <v>6818</v>
      </c>
      <c r="G315" s="24" t="s">
        <v>6858</v>
      </c>
      <c r="H315" s="19" t="s">
        <v>6828</v>
      </c>
      <c r="I315" s="14" t="s">
        <v>6829</v>
      </c>
      <c r="J315" s="15" t="s">
        <v>6830</v>
      </c>
      <c r="K315" s="16">
        <v>104.02662599999999</v>
      </c>
      <c r="L315" s="17">
        <v>61.800472999999997</v>
      </c>
      <c r="M315" s="18">
        <f t="shared" si="5"/>
        <v>0.5940832205785469</v>
      </c>
    </row>
    <row r="316" spans="1:13">
      <c r="A316" s="13" t="s">
        <v>6831</v>
      </c>
      <c r="B316" s="14" t="s">
        <v>6831</v>
      </c>
      <c r="C316" s="14" t="str">
        <f>HYPERLINK("http://uswest.ensembl.org/Homo_sapiens/Gene/Summary?g=ENSG00000181019","ENSG00000181019")</f>
        <v>ENSG00000181019</v>
      </c>
      <c r="D316" s="14" t="s">
        <v>6832</v>
      </c>
      <c r="E316" s="14" t="str">
        <f>HYPERLINK("http://www.ncbi.nlm.nih.gov/sites/entrez?db=gene&amp;cmd=Retrieve&amp;dopt=full_report&amp;list_uids=1728","1728")</f>
        <v>1728</v>
      </c>
      <c r="F316" s="24" t="s">
        <v>6833</v>
      </c>
      <c r="G316" s="24" t="s">
        <v>6834</v>
      </c>
      <c r="H316" s="14" t="s">
        <v>8728</v>
      </c>
      <c r="I316" s="14" t="s">
        <v>6803</v>
      </c>
      <c r="J316" s="15" t="s">
        <v>8728</v>
      </c>
      <c r="K316" s="16">
        <v>177.756708</v>
      </c>
      <c r="L316" s="17">
        <v>105.63889399999999</v>
      </c>
      <c r="M316" s="18">
        <f t="shared" si="5"/>
        <v>0.59428921242173316</v>
      </c>
    </row>
    <row r="317" spans="1:13">
      <c r="A317" s="13" t="s">
        <v>6807</v>
      </c>
      <c r="B317" s="14" t="s">
        <v>6807</v>
      </c>
      <c r="C317" s="14" t="str">
        <f>HYPERLINK("http://uswest.ensembl.org/Homo_sapiens/Gene/Summary?g=ENSG00000167081","ENSG00000167081")</f>
        <v>ENSG00000167081</v>
      </c>
      <c r="D317" s="14" t="s">
        <v>6808</v>
      </c>
      <c r="E317" s="14" t="str">
        <f>HYPERLINK("http://www.ncbi.nlm.nih.gov/sites/entrez?db=gene&amp;cmd=Retrieve&amp;dopt=full_report&amp;list_uids=","-")</f>
        <v>-</v>
      </c>
      <c r="F317" s="24" t="s">
        <v>6809</v>
      </c>
      <c r="G317" s="24" t="s">
        <v>6810</v>
      </c>
      <c r="H317" s="14" t="s">
        <v>8163</v>
      </c>
      <c r="I317" s="14" t="s">
        <v>8557</v>
      </c>
      <c r="J317" s="15" t="s">
        <v>8558</v>
      </c>
      <c r="K317" s="16">
        <v>34.400649999999999</v>
      </c>
      <c r="L317" s="17">
        <v>20.450775</v>
      </c>
      <c r="M317" s="18">
        <f t="shared" si="5"/>
        <v>0.59448804019691492</v>
      </c>
    </row>
    <row r="318" spans="1:13">
      <c r="A318" s="13" t="s">
        <v>6811</v>
      </c>
      <c r="B318" s="14" t="s">
        <v>6811</v>
      </c>
      <c r="C318" s="14" t="str">
        <f>HYPERLINK("http://uswest.ensembl.org/Homo_sapiens/Gene/Summary?g=ENSG00000166527","ENSG00000166527")</f>
        <v>ENSG00000166527</v>
      </c>
      <c r="D318" s="14" t="s">
        <v>6812</v>
      </c>
      <c r="E318" s="14" t="str">
        <f>HYPERLINK("http://www.ncbi.nlm.nih.gov/sites/entrez?db=gene&amp;cmd=Retrieve&amp;dopt=full_report&amp;list_uids=","-")</f>
        <v>-</v>
      </c>
      <c r="F318" s="24" t="s">
        <v>6813</v>
      </c>
      <c r="G318" s="24" t="s">
        <v>6794</v>
      </c>
      <c r="H318" s="14" t="s">
        <v>8728</v>
      </c>
      <c r="I318" s="14" t="s">
        <v>8364</v>
      </c>
      <c r="J318" s="15" t="s">
        <v>8608</v>
      </c>
      <c r="K318" s="16">
        <v>54.973464</v>
      </c>
      <c r="L318" s="17">
        <v>32.684268000000003</v>
      </c>
      <c r="M318" s="18">
        <f t="shared" si="5"/>
        <v>0.59454627054245668</v>
      </c>
    </row>
    <row r="319" spans="1:13">
      <c r="A319" s="13" t="s">
        <v>6795</v>
      </c>
      <c r="B319" s="14" t="s">
        <v>6795</v>
      </c>
      <c r="C319" s="14" t="str">
        <f>HYPERLINK("http://uswest.ensembl.org/Homo_sapiens/Gene/Summary?g=","-")</f>
        <v>-</v>
      </c>
      <c r="D319" s="14" t="s">
        <v>6796</v>
      </c>
      <c r="E319" s="14" t="str">
        <f>HYPERLINK("http://www.ncbi.nlm.nih.gov/sites/entrez?db=gene&amp;cmd=Retrieve&amp;dopt=full_report&amp;list_uids=6813","6813")</f>
        <v>6813</v>
      </c>
      <c r="F319" s="24" t="s">
        <v>6797</v>
      </c>
      <c r="G319" s="24" t="s">
        <v>6798</v>
      </c>
      <c r="H319" s="14" t="s">
        <v>6799</v>
      </c>
      <c r="I319" s="14" t="s">
        <v>8728</v>
      </c>
      <c r="J319" s="15" t="s">
        <v>8728</v>
      </c>
      <c r="K319" s="16">
        <v>151.099287</v>
      </c>
      <c r="L319" s="17">
        <v>89.836845999999994</v>
      </c>
      <c r="M319" s="18">
        <f t="shared" si="5"/>
        <v>0.59455506232799094</v>
      </c>
    </row>
    <row r="320" spans="1:13">
      <c r="A320" s="13" t="s">
        <v>6780</v>
      </c>
      <c r="B320" s="14" t="s">
        <v>6780</v>
      </c>
      <c r="C320" s="14" t="str">
        <f>HYPERLINK("http://uswest.ensembl.org/Homo_sapiens/Gene/Summary?g=ENSG00000163207","ENSG00000163207")</f>
        <v>ENSG00000163207</v>
      </c>
      <c r="D320" s="14" t="s">
        <v>6781</v>
      </c>
      <c r="E320" s="14" t="str">
        <f>HYPERLINK("http://www.ncbi.nlm.nih.gov/sites/entrez?db=gene&amp;cmd=Retrieve&amp;dopt=full_report&amp;list_uids=3713","3713")</f>
        <v>3713</v>
      </c>
      <c r="F320" s="24" t="s">
        <v>6782</v>
      </c>
      <c r="G320" s="24" t="s">
        <v>6783</v>
      </c>
      <c r="H320" s="14" t="s">
        <v>6800</v>
      </c>
      <c r="I320" s="14" t="s">
        <v>6801</v>
      </c>
      <c r="J320" s="15" t="s">
        <v>6802</v>
      </c>
      <c r="K320" s="16">
        <v>48.067166999999998</v>
      </c>
      <c r="L320" s="17">
        <v>28.583099000000001</v>
      </c>
      <c r="M320" s="18">
        <f t="shared" si="5"/>
        <v>0.59464912920705315</v>
      </c>
    </row>
    <row r="321" spans="1:13">
      <c r="A321" s="13" t="s">
        <v>6772</v>
      </c>
      <c r="B321" s="14" t="s">
        <v>6772</v>
      </c>
      <c r="C321" s="14" t="str">
        <f>HYPERLINK("http://uswest.ensembl.org/Homo_sapiens/Gene/Summary?g=ENSG00000219130","ENSG00000219130")</f>
        <v>ENSG00000219130</v>
      </c>
      <c r="D321" s="14" t="s">
        <v>8728</v>
      </c>
      <c r="E321" s="14" t="str">
        <f>HYPERLINK("http://www.ncbi.nlm.nih.gov/sites/entrez?db=gene&amp;cmd=Retrieve&amp;dopt=full_report&amp;list_uids=","-")</f>
        <v>-</v>
      </c>
      <c r="F321" s="24" t="s">
        <v>6773</v>
      </c>
      <c r="G321" s="24" t="s">
        <v>6774</v>
      </c>
      <c r="H321" s="14" t="s">
        <v>8728</v>
      </c>
      <c r="I321" s="14" t="s">
        <v>8728</v>
      </c>
      <c r="J321" s="15" t="s">
        <v>8728</v>
      </c>
      <c r="K321" s="16">
        <v>70.714259999999996</v>
      </c>
      <c r="L321" s="17">
        <v>42.099646999999997</v>
      </c>
      <c r="M321" s="18">
        <f t="shared" si="5"/>
        <v>0.59534875992480163</v>
      </c>
    </row>
    <row r="322" spans="1:13">
      <c r="A322" s="13" t="s">
        <v>6785</v>
      </c>
      <c r="B322" s="14" t="s">
        <v>6785</v>
      </c>
      <c r="C322" s="14" t="str">
        <f>HYPERLINK("http://uswest.ensembl.org/Homo_sapiens/Gene/Summary?g=ENSG00000136141","ENSG00000136141")</f>
        <v>ENSG00000136141</v>
      </c>
      <c r="D322" s="14" t="s">
        <v>6786</v>
      </c>
      <c r="E322" s="14" t="str">
        <f>HYPERLINK("http://www.ncbi.nlm.nih.gov/sites/entrez?db=gene&amp;cmd=Retrieve&amp;dopt=full_report&amp;list_uids=","-")</f>
        <v>-</v>
      </c>
      <c r="F322" s="24" t="s">
        <v>6787</v>
      </c>
      <c r="G322" s="24" t="s">
        <v>6788</v>
      </c>
      <c r="H322" s="14" t="s">
        <v>6789</v>
      </c>
      <c r="I322" s="14" t="s">
        <v>7976</v>
      </c>
      <c r="J322" s="15" t="s">
        <v>8728</v>
      </c>
      <c r="K322" s="16">
        <v>114.82534699999999</v>
      </c>
      <c r="L322" s="17">
        <v>68.386652999999995</v>
      </c>
      <c r="M322" s="18">
        <f t="shared" ref="M322:M385" si="6">L322/K322</f>
        <v>0.59557105453380432</v>
      </c>
    </row>
    <row r="323" spans="1:13">
      <c r="A323" s="13" t="s">
        <v>6790</v>
      </c>
      <c r="B323" s="14" t="s">
        <v>6790</v>
      </c>
      <c r="C323" s="14" t="str">
        <f>HYPERLINK("http://uswest.ensembl.org/Homo_sapiens/Gene/Summary?g=ENSG00000105669","ENSG00000105669")</f>
        <v>ENSG00000105669</v>
      </c>
      <c r="D323" s="14" t="s">
        <v>6791</v>
      </c>
      <c r="E323" s="14" t="str">
        <f>HYPERLINK("http://www.ncbi.nlm.nih.gov/sites/entrez?db=gene&amp;cmd=Retrieve&amp;dopt=full_report&amp;list_uids=11316","11316")</f>
        <v>11316</v>
      </c>
      <c r="F323" s="24" t="s">
        <v>6841</v>
      </c>
      <c r="G323" s="24" t="s">
        <v>6842</v>
      </c>
      <c r="H323" s="14" t="s">
        <v>6843</v>
      </c>
      <c r="I323" s="14" t="s">
        <v>8406</v>
      </c>
      <c r="J323" s="15" t="s">
        <v>6844</v>
      </c>
      <c r="K323" s="16">
        <v>600.53835900000001</v>
      </c>
      <c r="L323" s="17">
        <v>357.69877400000001</v>
      </c>
      <c r="M323" s="18">
        <f t="shared" si="6"/>
        <v>0.59563018521519628</v>
      </c>
    </row>
    <row r="324" spans="1:13">
      <c r="A324" s="13" t="s">
        <v>6846</v>
      </c>
      <c r="B324" s="14" t="s">
        <v>6846</v>
      </c>
      <c r="C324" s="14" t="str">
        <f>HYPERLINK("http://uswest.ensembl.org/Homo_sapiens/Gene/Summary?g=ENSG00000133302","ENSG00000133302")</f>
        <v>ENSG00000133302</v>
      </c>
      <c r="D324" s="14" t="s">
        <v>6847</v>
      </c>
      <c r="E324" s="14" t="str">
        <f>HYPERLINK("http://www.ncbi.nlm.nih.gov/sites/entrez?db=gene&amp;cmd=Retrieve&amp;dopt=full_report&amp;list_uids=","-")</f>
        <v>-</v>
      </c>
      <c r="F324" s="24" t="s">
        <v>6848</v>
      </c>
      <c r="G324" s="24" t="s">
        <v>6849</v>
      </c>
      <c r="H324" s="14" t="s">
        <v>8728</v>
      </c>
      <c r="I324" s="14" t="s">
        <v>8728</v>
      </c>
      <c r="J324" s="15" t="s">
        <v>8707</v>
      </c>
      <c r="K324" s="16">
        <v>47.256538999999997</v>
      </c>
      <c r="L324" s="17">
        <v>28.155864999999999</v>
      </c>
      <c r="M324" s="18">
        <f t="shared" si="6"/>
        <v>0.59580886784789722</v>
      </c>
    </row>
    <row r="325" spans="1:13">
      <c r="A325" s="13" t="s">
        <v>6776</v>
      </c>
      <c r="B325" s="14" t="s">
        <v>6776</v>
      </c>
      <c r="C325" s="14" t="str">
        <f>HYPERLINK("http://uswest.ensembl.org/Homo_sapiens/Gene/Summary?g=ENSG00000063854","ENSG00000063854")</f>
        <v>ENSG00000063854</v>
      </c>
      <c r="D325" s="14" t="s">
        <v>6777</v>
      </c>
      <c r="E325" s="14" t="str">
        <f>HYPERLINK("http://www.ncbi.nlm.nih.gov/sites/entrez?db=gene&amp;cmd=Retrieve&amp;dopt=full_report&amp;list_uids=3029","3029")</f>
        <v>3029</v>
      </c>
      <c r="F325" s="24" t="s">
        <v>6778</v>
      </c>
      <c r="G325" s="24" t="s">
        <v>6779</v>
      </c>
      <c r="H325" s="14" t="s">
        <v>8728</v>
      </c>
      <c r="I325" s="14" t="s">
        <v>6825</v>
      </c>
      <c r="J325" s="15" t="s">
        <v>8728</v>
      </c>
      <c r="K325" s="16">
        <v>162.38009700000001</v>
      </c>
      <c r="L325" s="17">
        <v>96.769159999999999</v>
      </c>
      <c r="M325" s="18">
        <f t="shared" si="6"/>
        <v>0.59594224777436855</v>
      </c>
    </row>
    <row r="326" spans="1:13">
      <c r="A326" s="13" t="s">
        <v>6826</v>
      </c>
      <c r="B326" s="14" t="s">
        <v>6826</v>
      </c>
      <c r="C326" s="14" t="str">
        <f>HYPERLINK("http://uswest.ensembl.org/Homo_sapiens/Gene/Summary?g=ENSG00000188112","ENSG00000188112")</f>
        <v>ENSG00000188112</v>
      </c>
      <c r="D326" s="14" t="s">
        <v>8728</v>
      </c>
      <c r="E326" s="14" t="str">
        <f>HYPERLINK("http://www.ncbi.nlm.nih.gov/sites/entrez?db=gene&amp;cmd=Retrieve&amp;dopt=full_report&amp;list_uids=100128918","100128918")</f>
        <v>100128918</v>
      </c>
      <c r="F326" s="24" t="s">
        <v>6827</v>
      </c>
      <c r="G326" s="24" t="s">
        <v>6784</v>
      </c>
      <c r="H326" s="14" t="s">
        <v>8728</v>
      </c>
      <c r="I326" s="14" t="s">
        <v>8728</v>
      </c>
      <c r="J326" s="15" t="s">
        <v>8728</v>
      </c>
      <c r="K326" s="16">
        <v>42.348680000000002</v>
      </c>
      <c r="L326" s="17">
        <v>25.244095000000002</v>
      </c>
      <c r="M326" s="18">
        <f t="shared" si="6"/>
        <v>0.59610110633908775</v>
      </c>
    </row>
    <row r="327" spans="1:13">
      <c r="A327" s="13" t="s">
        <v>6821</v>
      </c>
      <c r="B327" s="14" t="s">
        <v>6821</v>
      </c>
      <c r="C327" s="14" t="str">
        <f>HYPERLINK("http://uswest.ensembl.org/Homo_sapiens/Gene/Summary?g=","-")</f>
        <v>-</v>
      </c>
      <c r="D327" s="14" t="s">
        <v>8728</v>
      </c>
      <c r="E327" s="14" t="str">
        <f>HYPERLINK("http://www.ncbi.nlm.nih.gov/sites/entrez?db=gene&amp;cmd=Retrieve&amp;dopt=full_report&amp;list_uids=644265","644265")</f>
        <v>644265</v>
      </c>
      <c r="F327" s="24" t="s">
        <v>8728</v>
      </c>
      <c r="G327" s="24" t="s">
        <v>8728</v>
      </c>
      <c r="H327" s="14" t="s">
        <v>8728</v>
      </c>
      <c r="I327" s="14" t="s">
        <v>8728</v>
      </c>
      <c r="J327" s="15" t="s">
        <v>8728</v>
      </c>
      <c r="K327" s="16">
        <v>47.210135000000001</v>
      </c>
      <c r="L327" s="17">
        <v>28.198819</v>
      </c>
      <c r="M327" s="18">
        <f t="shared" si="6"/>
        <v>0.59730435000874282</v>
      </c>
    </row>
    <row r="328" spans="1:13">
      <c r="A328" s="13" t="s">
        <v>6822</v>
      </c>
      <c r="B328" s="14" t="s">
        <v>6822</v>
      </c>
      <c r="C328" s="14" t="str">
        <f>HYPERLINK("http://uswest.ensembl.org/Homo_sapiens/Gene/Summary?g=ENSG00000179111","ENSG00000179111")</f>
        <v>ENSG00000179111</v>
      </c>
      <c r="D328" s="14" t="s">
        <v>6823</v>
      </c>
      <c r="E328" s="14" t="str">
        <f>HYPERLINK("http://www.ncbi.nlm.nih.gov/sites/entrez?db=gene&amp;cmd=Retrieve&amp;dopt=full_report&amp;list_uids=84667","84667")</f>
        <v>84667</v>
      </c>
      <c r="F328" s="24" t="s">
        <v>6824</v>
      </c>
      <c r="G328" s="24" t="s">
        <v>6751</v>
      </c>
      <c r="H328" s="19" t="s">
        <v>6770</v>
      </c>
      <c r="I328" s="14" t="s">
        <v>6771</v>
      </c>
      <c r="J328" s="15" t="s">
        <v>8558</v>
      </c>
      <c r="K328" s="16">
        <v>70.708582000000007</v>
      </c>
      <c r="L328" s="17">
        <v>42.252789999999997</v>
      </c>
      <c r="M328" s="18">
        <f t="shared" si="6"/>
        <v>0.59756240055839327</v>
      </c>
    </row>
    <row r="329" spans="1:13">
      <c r="A329" s="13" t="s">
        <v>6754</v>
      </c>
      <c r="B329" s="14" t="s">
        <v>6754</v>
      </c>
      <c r="C329" s="14" t="str">
        <f>HYPERLINK("http://uswest.ensembl.org/Homo_sapiens/Gene/Summary?g=","-")</f>
        <v>-</v>
      </c>
      <c r="D329" s="14" t="s">
        <v>6755</v>
      </c>
      <c r="E329" s="14" t="str">
        <f>HYPERLINK("http://www.ncbi.nlm.nih.gov/sites/entrez?db=gene&amp;cmd=Retrieve&amp;dopt=full_report&amp;list_uids=2113","2113")</f>
        <v>2113</v>
      </c>
      <c r="F329" s="24" t="s">
        <v>6756</v>
      </c>
      <c r="G329" s="24" t="s">
        <v>6757</v>
      </c>
      <c r="H329" s="14" t="s">
        <v>6758</v>
      </c>
      <c r="I329" s="14" t="s">
        <v>6759</v>
      </c>
      <c r="J329" s="15" t="s">
        <v>8558</v>
      </c>
      <c r="K329" s="16">
        <v>133.07626099999999</v>
      </c>
      <c r="L329" s="17">
        <v>79.549113000000006</v>
      </c>
      <c r="M329" s="18">
        <f t="shared" si="6"/>
        <v>0.59777087515255645</v>
      </c>
    </row>
    <row r="330" spans="1:13">
      <c r="A330" s="13" t="s">
        <v>6760</v>
      </c>
      <c r="B330" s="14" t="s">
        <v>6760</v>
      </c>
      <c r="C330" s="14" t="str">
        <f>HYPERLINK("http://uswest.ensembl.org/Homo_sapiens/Gene/Summary?g=ENSG00000154589","ENSG00000154589")</f>
        <v>ENSG00000154589</v>
      </c>
      <c r="D330" s="14" t="s">
        <v>6761</v>
      </c>
      <c r="E330" s="14" t="str">
        <f>HYPERLINK("http://www.ncbi.nlm.nih.gov/sites/entrez?db=gene&amp;cmd=Retrieve&amp;dopt=full_report&amp;list_uids=23643","23643")</f>
        <v>23643</v>
      </c>
      <c r="F330" s="24" t="s">
        <v>6762</v>
      </c>
      <c r="G330" s="24" t="s">
        <v>6819</v>
      </c>
      <c r="H330" s="14" t="s">
        <v>6820</v>
      </c>
      <c r="I330" s="14" t="s">
        <v>6743</v>
      </c>
      <c r="J330" s="15" t="s">
        <v>6744</v>
      </c>
      <c r="K330" s="16">
        <v>131.24713700000001</v>
      </c>
      <c r="L330" s="17">
        <v>78.482460000000003</v>
      </c>
      <c r="M330" s="18">
        <f t="shared" si="6"/>
        <v>0.59797464382023047</v>
      </c>
    </row>
    <row r="331" spans="1:13">
      <c r="A331" s="13" t="s">
        <v>6745</v>
      </c>
      <c r="B331" s="14" t="s">
        <v>6745</v>
      </c>
      <c r="C331" s="14" t="str">
        <f>HYPERLINK("http://uswest.ensembl.org/Homo_sapiens/Gene/Summary?g=ENSG00000171656","ENSG00000171656")</f>
        <v>ENSG00000171656</v>
      </c>
      <c r="D331" s="14" t="s">
        <v>6746</v>
      </c>
      <c r="E331" s="14" t="str">
        <f>HYPERLINK("http://www.ncbi.nlm.nih.gov/sites/entrez?db=gene&amp;cmd=Retrieve&amp;dopt=full_report&amp;list_uids=2119","2119")</f>
        <v>2119</v>
      </c>
      <c r="F331" s="24" t="s">
        <v>6747</v>
      </c>
      <c r="G331" s="24" t="s">
        <v>6748</v>
      </c>
      <c r="H331" s="14" t="s">
        <v>6749</v>
      </c>
      <c r="I331" s="14" t="s">
        <v>6750</v>
      </c>
      <c r="J331" s="15" t="s">
        <v>8558</v>
      </c>
      <c r="K331" s="16">
        <v>79.028717</v>
      </c>
      <c r="L331" s="17">
        <v>47.270035999999998</v>
      </c>
      <c r="M331" s="18">
        <f t="shared" si="6"/>
        <v>0.59813745932380502</v>
      </c>
    </row>
    <row r="332" spans="1:13">
      <c r="A332" s="13" t="s">
        <v>6752</v>
      </c>
      <c r="B332" s="14" t="s">
        <v>6752</v>
      </c>
      <c r="C332" s="14" t="str">
        <f>HYPERLINK("http://uswest.ensembl.org/Homo_sapiens/Gene/Summary?g=ENSG00000105851","ENSG00000105851")</f>
        <v>ENSG00000105851</v>
      </c>
      <c r="D332" s="14" t="s">
        <v>6753</v>
      </c>
      <c r="E332" s="14" t="str">
        <f>HYPERLINK("http://www.ncbi.nlm.nih.gov/sites/entrez?db=gene&amp;cmd=Retrieve&amp;dopt=full_report&amp;list_uids=5294","5294")</f>
        <v>5294</v>
      </c>
      <c r="F332" s="24" t="s">
        <v>6729</v>
      </c>
      <c r="G332" s="24" t="s">
        <v>6730</v>
      </c>
      <c r="H332" s="14" t="s">
        <v>6731</v>
      </c>
      <c r="I332" s="19" t="s">
        <v>6732</v>
      </c>
      <c r="J332" s="15" t="s">
        <v>7412</v>
      </c>
      <c r="K332" s="16">
        <v>65.397394000000006</v>
      </c>
      <c r="L332" s="17">
        <v>39.126446000000001</v>
      </c>
      <c r="M332" s="18">
        <f t="shared" si="6"/>
        <v>0.59828754032614817</v>
      </c>
    </row>
    <row r="333" spans="1:13">
      <c r="A333" s="13" t="s">
        <v>6733</v>
      </c>
      <c r="B333" s="14" t="s">
        <v>6733</v>
      </c>
      <c r="C333" s="14" t="str">
        <f>HYPERLINK("http://uswest.ensembl.org/Homo_sapiens/Gene/Summary?g=ENSG00000007312","ENSG00000007312")</f>
        <v>ENSG00000007312</v>
      </c>
      <c r="D333" s="14" t="s">
        <v>6734</v>
      </c>
      <c r="E333" s="14" t="str">
        <f>HYPERLINK("http://www.ncbi.nlm.nih.gov/sites/entrez?db=gene&amp;cmd=Retrieve&amp;dopt=full_report&amp;list_uids=974","974")</f>
        <v>974</v>
      </c>
      <c r="F333" s="24" t="s">
        <v>6735</v>
      </c>
      <c r="G333" s="24" t="s">
        <v>6765</v>
      </c>
      <c r="H333" s="14" t="s">
        <v>6766</v>
      </c>
      <c r="I333" s="14" t="s">
        <v>8106</v>
      </c>
      <c r="J333" s="15" t="s">
        <v>8691</v>
      </c>
      <c r="K333" s="16">
        <v>33.053311000000001</v>
      </c>
      <c r="L333" s="17">
        <v>19.776904999999999</v>
      </c>
      <c r="M333" s="18">
        <f t="shared" si="6"/>
        <v>0.59833355272638189</v>
      </c>
    </row>
    <row r="334" spans="1:13">
      <c r="A334" s="13" t="s">
        <v>6767</v>
      </c>
      <c r="B334" s="14" t="s">
        <v>6767</v>
      </c>
      <c r="C334" s="14" t="str">
        <f>HYPERLINK("http://uswest.ensembl.org/Homo_sapiens/Gene/Summary?g=","-")</f>
        <v>-</v>
      </c>
      <c r="D334" s="14" t="s">
        <v>6768</v>
      </c>
      <c r="E334" s="14" t="str">
        <f>HYPERLINK("http://www.ncbi.nlm.nih.gov/sites/entrez?db=gene&amp;cmd=Retrieve&amp;dopt=full_report&amp;list_uids=1019","1019")</f>
        <v>1019</v>
      </c>
      <c r="F334" s="24" t="s">
        <v>6769</v>
      </c>
      <c r="G334" s="24" t="s">
        <v>6736</v>
      </c>
      <c r="H334" s="14" t="s">
        <v>6792</v>
      </c>
      <c r="I334" s="14" t="s">
        <v>6793</v>
      </c>
      <c r="J334" s="15" t="s">
        <v>6742</v>
      </c>
      <c r="K334" s="16">
        <v>413.013822</v>
      </c>
      <c r="L334" s="17">
        <v>247.128624</v>
      </c>
      <c r="M334" s="18">
        <f t="shared" si="6"/>
        <v>0.59835436693932242</v>
      </c>
    </row>
    <row r="335" spans="1:13">
      <c r="A335" s="13" t="s">
        <v>6726</v>
      </c>
      <c r="B335" s="14" t="s">
        <v>6726</v>
      </c>
      <c r="C335" s="14" t="str">
        <f>HYPERLINK("http://uswest.ensembl.org/Homo_sapiens/Gene/Summary?g=ENSG00000124214","ENSG00000124214")</f>
        <v>ENSG00000124214</v>
      </c>
      <c r="D335" s="14" t="s">
        <v>6727</v>
      </c>
      <c r="E335" s="14" t="str">
        <f>HYPERLINK("http://www.ncbi.nlm.nih.gov/sites/entrez?db=gene&amp;cmd=Retrieve&amp;dopt=full_report&amp;list_uids=6780","6780")</f>
        <v>6780</v>
      </c>
      <c r="F335" s="24" t="s">
        <v>6728</v>
      </c>
      <c r="G335" s="24" t="s">
        <v>6763</v>
      </c>
      <c r="H335" s="14" t="s">
        <v>8728</v>
      </c>
      <c r="I335" s="14" t="s">
        <v>6764</v>
      </c>
      <c r="J335" s="15" t="s">
        <v>8707</v>
      </c>
      <c r="K335" s="16">
        <v>45.710374999999999</v>
      </c>
      <c r="L335" s="17">
        <v>27.362487000000002</v>
      </c>
      <c r="M335" s="18">
        <f t="shared" si="6"/>
        <v>0.59860561196446105</v>
      </c>
    </row>
    <row r="336" spans="1:13">
      <c r="A336" s="13" t="s">
        <v>6706</v>
      </c>
      <c r="B336" s="14" t="s">
        <v>6706</v>
      </c>
      <c r="C336" s="14" t="str">
        <f>HYPERLINK("http://uswest.ensembl.org/Homo_sapiens/Gene/Summary?g=ENSG00000115548","ENSG00000115548")</f>
        <v>ENSG00000115548</v>
      </c>
      <c r="D336" s="14" t="s">
        <v>6707</v>
      </c>
      <c r="E336" s="14" t="str">
        <f>HYPERLINK("http://www.ncbi.nlm.nih.gov/sites/entrez?db=gene&amp;cmd=Retrieve&amp;dopt=full_report&amp;list_uids=55818","55818")</f>
        <v>55818</v>
      </c>
      <c r="F336" s="24" t="s">
        <v>6708</v>
      </c>
      <c r="G336" s="24" t="s">
        <v>6709</v>
      </c>
      <c r="H336" s="19" t="s">
        <v>6710</v>
      </c>
      <c r="I336" s="19" t="s">
        <v>6711</v>
      </c>
      <c r="J336" s="15" t="s">
        <v>8558</v>
      </c>
      <c r="K336" s="16">
        <v>193.398053</v>
      </c>
      <c r="L336" s="17">
        <v>115.802948</v>
      </c>
      <c r="M336" s="18">
        <f t="shared" si="6"/>
        <v>0.59878031967571044</v>
      </c>
    </row>
    <row r="337" spans="1:13">
      <c r="A337" s="13" t="s">
        <v>6712</v>
      </c>
      <c r="B337" s="14" t="s">
        <v>6712</v>
      </c>
      <c r="C337" s="14" t="str">
        <f>HYPERLINK("http://uswest.ensembl.org/Homo_sapiens/Gene/Summary?g=","-")</f>
        <v>-</v>
      </c>
      <c r="D337" s="14" t="s">
        <v>6713</v>
      </c>
      <c r="E337" s="14" t="str">
        <f>HYPERLINK("http://www.ncbi.nlm.nih.gov/sites/entrez?db=gene&amp;cmd=Retrieve&amp;dopt=full_report&amp;list_uids=7752","7752")</f>
        <v>7752</v>
      </c>
      <c r="F337" s="24" t="s">
        <v>6714</v>
      </c>
      <c r="G337" s="24" t="s">
        <v>6737</v>
      </c>
      <c r="H337" s="14" t="s">
        <v>6738</v>
      </c>
      <c r="I337" s="14" t="s">
        <v>6739</v>
      </c>
      <c r="J337" s="15" t="s">
        <v>8622</v>
      </c>
      <c r="K337" s="16">
        <v>41.339373000000002</v>
      </c>
      <c r="L337" s="17">
        <v>24.753501</v>
      </c>
      <c r="M337" s="18">
        <f t="shared" si="6"/>
        <v>0.59878752878037111</v>
      </c>
    </row>
    <row r="338" spans="1:13">
      <c r="A338" s="13" t="s">
        <v>6680</v>
      </c>
      <c r="B338" s="14" t="s">
        <v>6680</v>
      </c>
      <c r="C338" s="14" t="str">
        <f>HYPERLINK("http://uswest.ensembl.org/Homo_sapiens/Gene/Summary?g=ENSG00000166166","ENSG00000166166")</f>
        <v>ENSG00000166166</v>
      </c>
      <c r="D338" s="14" t="s">
        <v>6681</v>
      </c>
      <c r="E338" s="14" t="str">
        <f>HYPERLINK("http://www.ncbi.nlm.nih.gov/sites/entrez?db=gene&amp;cmd=Retrieve&amp;dopt=full_report&amp;list_uids=","-")</f>
        <v>-</v>
      </c>
      <c r="F338" s="24" t="s">
        <v>6682</v>
      </c>
      <c r="G338" s="24" t="s">
        <v>6740</v>
      </c>
      <c r="H338" s="14" t="s">
        <v>6741</v>
      </c>
      <c r="I338" s="14" t="s">
        <v>6696</v>
      </c>
      <c r="J338" s="15" t="s">
        <v>8558</v>
      </c>
      <c r="K338" s="16">
        <v>33.373182</v>
      </c>
      <c r="L338" s="17">
        <v>19.99344</v>
      </c>
      <c r="M338" s="18">
        <f t="shared" si="6"/>
        <v>0.5990870154365262</v>
      </c>
    </row>
    <row r="339" spans="1:13">
      <c r="A339" s="13" t="s">
        <v>6697</v>
      </c>
      <c r="B339" s="14" t="s">
        <v>6697</v>
      </c>
      <c r="C339" s="14" t="str">
        <f>HYPERLINK("http://uswest.ensembl.org/Homo_sapiens/Gene/Summary?g=ENSG00000162929","ENSG00000162929")</f>
        <v>ENSG00000162929</v>
      </c>
      <c r="D339" s="14" t="s">
        <v>6698</v>
      </c>
      <c r="E339" s="14" t="str">
        <f>HYPERLINK("http://www.ncbi.nlm.nih.gov/sites/entrez?db=gene&amp;cmd=Retrieve&amp;dopt=full_report&amp;list_uids=84542","84542")</f>
        <v>84542</v>
      </c>
      <c r="F339" s="24" t="s">
        <v>6699</v>
      </c>
      <c r="G339" s="24" t="s">
        <v>6700</v>
      </c>
      <c r="H339" s="14" t="s">
        <v>8728</v>
      </c>
      <c r="I339" s="14" t="s">
        <v>8665</v>
      </c>
      <c r="J339" s="15" t="s">
        <v>8728</v>
      </c>
      <c r="K339" s="16">
        <v>60.575760000000002</v>
      </c>
      <c r="L339" s="17">
        <v>36.29383</v>
      </c>
      <c r="M339" s="18">
        <f t="shared" si="6"/>
        <v>0.59914774490654343</v>
      </c>
    </row>
    <row r="340" spans="1:13">
      <c r="A340" s="13" t="s">
        <v>6701</v>
      </c>
      <c r="B340" s="14" t="s">
        <v>6701</v>
      </c>
      <c r="C340" s="14" t="str">
        <f>HYPERLINK("http://uswest.ensembl.org/Homo_sapiens/Gene/Summary?g=ENSG00000157557","ENSG00000157557")</f>
        <v>ENSG00000157557</v>
      </c>
      <c r="D340" s="14" t="s">
        <v>6702</v>
      </c>
      <c r="E340" s="14" t="str">
        <f>HYPERLINK("http://www.ncbi.nlm.nih.gov/sites/entrez?db=gene&amp;cmd=Retrieve&amp;dopt=full_report&amp;list_uids=2114","2114")</f>
        <v>2114</v>
      </c>
      <c r="F340" s="24" t="s">
        <v>6703</v>
      </c>
      <c r="G340" s="24" t="s">
        <v>6704</v>
      </c>
      <c r="H340" s="14" t="s">
        <v>6705</v>
      </c>
      <c r="I340" s="14" t="s">
        <v>7991</v>
      </c>
      <c r="J340" s="15" t="s">
        <v>8558</v>
      </c>
      <c r="K340" s="16">
        <v>334.06594999999999</v>
      </c>
      <c r="L340" s="17">
        <v>200.190935</v>
      </c>
      <c r="M340" s="18">
        <f t="shared" si="6"/>
        <v>0.59925573079207861</v>
      </c>
    </row>
    <row r="341" spans="1:13">
      <c r="A341" s="13" t="s">
        <v>6686</v>
      </c>
      <c r="B341" s="14" t="s">
        <v>6686</v>
      </c>
      <c r="C341" s="14" t="str">
        <f>HYPERLINK("http://uswest.ensembl.org/Homo_sapiens/Gene/Summary?g=ENSG00000011114","ENSG00000011114")</f>
        <v>ENSG00000011114</v>
      </c>
      <c r="D341" s="14" t="s">
        <v>6687</v>
      </c>
      <c r="E341" s="14" t="str">
        <f>HYPERLINK("http://www.ncbi.nlm.nih.gov/sites/entrez?db=gene&amp;cmd=Retrieve&amp;dopt=full_report&amp;list_uids=55727","55727")</f>
        <v>55727</v>
      </c>
      <c r="F341" s="24" t="s">
        <v>6688</v>
      </c>
      <c r="G341" s="24" t="s">
        <v>6689</v>
      </c>
      <c r="H341" s="14" t="s">
        <v>8104</v>
      </c>
      <c r="I341" s="14" t="s">
        <v>6690</v>
      </c>
      <c r="J341" s="15" t="s">
        <v>8728</v>
      </c>
      <c r="K341" s="16">
        <v>83.042713000000006</v>
      </c>
      <c r="L341" s="17">
        <v>49.797821999999996</v>
      </c>
      <c r="M341" s="18">
        <f t="shared" si="6"/>
        <v>0.59966516267357495</v>
      </c>
    </row>
    <row r="342" spans="1:13">
      <c r="A342" s="13" t="s">
        <v>6723</v>
      </c>
      <c r="B342" s="14" t="s">
        <v>6723</v>
      </c>
      <c r="C342" s="14" t="str">
        <f>HYPERLINK("http://uswest.ensembl.org/Homo_sapiens/Gene/Summary?g=ENSG00000133703","ENSG00000133703")</f>
        <v>ENSG00000133703</v>
      </c>
      <c r="D342" s="14" t="s">
        <v>6676</v>
      </c>
      <c r="E342" s="14" t="str">
        <f>HYPERLINK("http://www.ncbi.nlm.nih.gov/sites/entrez?db=gene&amp;cmd=Retrieve&amp;dopt=full_report&amp;list_uids=3845","3845")</f>
        <v>3845</v>
      </c>
      <c r="F342" s="24" t="s">
        <v>6677</v>
      </c>
      <c r="G342" s="24" t="s">
        <v>6678</v>
      </c>
      <c r="H342" s="19" t="s">
        <v>6691</v>
      </c>
      <c r="I342" s="14" t="s">
        <v>6692</v>
      </c>
      <c r="J342" s="15" t="s">
        <v>6693</v>
      </c>
      <c r="K342" s="16">
        <v>165.88479699999999</v>
      </c>
      <c r="L342" s="17">
        <v>99.490459000000001</v>
      </c>
      <c r="M342" s="18">
        <f t="shared" si="6"/>
        <v>0.59975634174601311</v>
      </c>
    </row>
    <row r="343" spans="1:13">
      <c r="A343" s="13" t="s">
        <v>6683</v>
      </c>
      <c r="B343" s="14" t="s">
        <v>6683</v>
      </c>
      <c r="C343" s="14" t="str">
        <f>HYPERLINK("http://uswest.ensembl.org/Homo_sapiens/Gene/Summary?g=ENSG00000185847","ENSG00000185847")</f>
        <v>ENSG00000185847</v>
      </c>
      <c r="D343" s="14" t="s">
        <v>8728</v>
      </c>
      <c r="E343" s="14" t="str">
        <f>HYPERLINK("http://www.ncbi.nlm.nih.gov/sites/entrez?db=gene&amp;cmd=Retrieve&amp;dopt=full_report&amp;list_uids=100131138","100131138")</f>
        <v>100131138</v>
      </c>
      <c r="F343" s="24" t="s">
        <v>6684</v>
      </c>
      <c r="G343" s="24" t="s">
        <v>6685</v>
      </c>
      <c r="H343" s="14" t="s">
        <v>8728</v>
      </c>
      <c r="I343" s="14" t="s">
        <v>8728</v>
      </c>
      <c r="J343" s="15" t="s">
        <v>8728</v>
      </c>
      <c r="K343" s="16">
        <v>56.705157999999997</v>
      </c>
      <c r="L343" s="17">
        <v>34.028574999999996</v>
      </c>
      <c r="M343" s="18">
        <f t="shared" si="6"/>
        <v>0.6000966437656341</v>
      </c>
    </row>
    <row r="344" spans="1:13">
      <c r="A344" s="13" t="s">
        <v>6719</v>
      </c>
      <c r="B344" s="14" t="s">
        <v>6719</v>
      </c>
      <c r="C344" s="14" t="str">
        <f>HYPERLINK("http://uswest.ensembl.org/Homo_sapiens/Gene/Summary?g=ENSG00000115738","ENSG00000115738")</f>
        <v>ENSG00000115738</v>
      </c>
      <c r="D344" s="14" t="s">
        <v>6720</v>
      </c>
      <c r="E344" s="14" t="str">
        <f>HYPERLINK("http://www.ncbi.nlm.nih.gov/sites/entrez?db=gene&amp;cmd=Retrieve&amp;dopt=full_report&amp;list_uids=3398","3398")</f>
        <v>3398</v>
      </c>
      <c r="F344" s="24" t="s">
        <v>6721</v>
      </c>
      <c r="G344" s="24" t="s">
        <v>6722</v>
      </c>
      <c r="H344" s="19" t="s">
        <v>6653</v>
      </c>
      <c r="I344" s="14" t="s">
        <v>6654</v>
      </c>
      <c r="J344" s="15" t="s">
        <v>8608</v>
      </c>
      <c r="K344" s="16">
        <v>560.03195700000003</v>
      </c>
      <c r="L344" s="17">
        <v>336.17258299999997</v>
      </c>
      <c r="M344" s="18">
        <f t="shared" si="6"/>
        <v>0.60027392865368212</v>
      </c>
    </row>
    <row r="345" spans="1:13">
      <c r="A345" s="13" t="s">
        <v>6640</v>
      </c>
      <c r="B345" s="14" t="s">
        <v>6640</v>
      </c>
      <c r="C345" s="14" t="str">
        <f>HYPERLINK("http://uswest.ensembl.org/Homo_sapiens/Gene/Summary?g=","-")</f>
        <v>-</v>
      </c>
      <c r="D345" s="14" t="s">
        <v>6662</v>
      </c>
      <c r="E345" s="14" t="str">
        <f>HYPERLINK("http://www.ncbi.nlm.nih.gov/sites/entrez?db=gene&amp;cmd=Retrieve&amp;dopt=full_report&amp;list_uids=124936","124936")</f>
        <v>124936</v>
      </c>
      <c r="F345" s="24" t="s">
        <v>6663</v>
      </c>
      <c r="G345" s="24" t="s">
        <v>6664</v>
      </c>
      <c r="H345" s="14" t="s">
        <v>8728</v>
      </c>
      <c r="I345" s="14" t="s">
        <v>6665</v>
      </c>
      <c r="J345" s="15" t="s">
        <v>8698</v>
      </c>
      <c r="K345" s="16">
        <v>33.160086</v>
      </c>
      <c r="L345" s="17">
        <v>19.919910000000002</v>
      </c>
      <c r="M345" s="18">
        <f t="shared" si="6"/>
        <v>0.60071949149950943</v>
      </c>
    </row>
    <row r="346" spans="1:13">
      <c r="A346" s="13" t="s">
        <v>6666</v>
      </c>
      <c r="B346" s="14" t="s">
        <v>6666</v>
      </c>
      <c r="C346" s="14" t="str">
        <f>HYPERLINK("http://uswest.ensembl.org/Homo_sapiens/Gene/Summary?g=","-")</f>
        <v>-</v>
      </c>
      <c r="D346" s="14" t="s">
        <v>6667</v>
      </c>
      <c r="E346" s="14" t="str">
        <f>HYPERLINK("http://www.ncbi.nlm.nih.gov/sites/entrez?db=gene&amp;cmd=Retrieve&amp;dopt=full_report&amp;list_uids=50809","50809")</f>
        <v>50809</v>
      </c>
      <c r="F346" s="24" t="s">
        <v>6668</v>
      </c>
      <c r="G346" s="24" t="s">
        <v>6669</v>
      </c>
      <c r="H346" s="14" t="s">
        <v>8681</v>
      </c>
      <c r="I346" s="14" t="s">
        <v>8682</v>
      </c>
      <c r="J346" s="15" t="s">
        <v>6670</v>
      </c>
      <c r="K346" s="16">
        <v>135.51397499999999</v>
      </c>
      <c r="L346" s="17">
        <v>81.452602999999996</v>
      </c>
      <c r="M346" s="18">
        <f t="shared" si="6"/>
        <v>0.60106422972243267</v>
      </c>
    </row>
    <row r="347" spans="1:13">
      <c r="A347" s="13" t="s">
        <v>6671</v>
      </c>
      <c r="B347" s="14" t="s">
        <v>6671</v>
      </c>
      <c r="C347" s="14" t="str">
        <f>HYPERLINK("http://uswest.ensembl.org/Homo_sapiens/Gene/Summary?g=ENSG00000135047","ENSG00000135047")</f>
        <v>ENSG00000135047</v>
      </c>
      <c r="D347" s="14" t="s">
        <v>6672</v>
      </c>
      <c r="E347" s="14" t="str">
        <f>HYPERLINK("http://www.ncbi.nlm.nih.gov/sites/entrez?db=gene&amp;cmd=Retrieve&amp;dopt=full_report&amp;list_uids=1514","1514")</f>
        <v>1514</v>
      </c>
      <c r="F347" s="24" t="s">
        <v>6673</v>
      </c>
      <c r="G347" s="24" t="s">
        <v>6715</v>
      </c>
      <c r="H347" s="14" t="s">
        <v>8623</v>
      </c>
      <c r="I347" s="14" t="s">
        <v>7930</v>
      </c>
      <c r="J347" s="15" t="s">
        <v>6716</v>
      </c>
      <c r="K347" s="16">
        <v>102.565348</v>
      </c>
      <c r="L347" s="17">
        <v>61.651843</v>
      </c>
      <c r="M347" s="18">
        <f t="shared" si="6"/>
        <v>0.60109817011492028</v>
      </c>
    </row>
    <row r="348" spans="1:13">
      <c r="A348" s="13" t="s">
        <v>6718</v>
      </c>
      <c r="B348" s="14" t="s">
        <v>6718</v>
      </c>
      <c r="C348" s="14" t="str">
        <f>HYPERLINK("http://uswest.ensembl.org/Homo_sapiens/Gene/Summary?g=","-")</f>
        <v>-</v>
      </c>
      <c r="D348" s="14" t="s">
        <v>8728</v>
      </c>
      <c r="E348" s="14" t="str">
        <f>HYPERLINK("http://www.ncbi.nlm.nih.gov/sites/entrez?db=gene&amp;cmd=Retrieve&amp;dopt=full_report&amp;list_uids=100288583","100288583")</f>
        <v>100288583</v>
      </c>
      <c r="F348" s="24" t="s">
        <v>8728</v>
      </c>
      <c r="G348" s="24" t="s">
        <v>8728</v>
      </c>
      <c r="H348" s="14" t="s">
        <v>8728</v>
      </c>
      <c r="I348" s="14" t="s">
        <v>8728</v>
      </c>
      <c r="J348" s="15" t="s">
        <v>8728</v>
      </c>
      <c r="K348" s="16">
        <v>167.82368700000001</v>
      </c>
      <c r="L348" s="17">
        <v>100.894447</v>
      </c>
      <c r="M348" s="18">
        <f t="shared" si="6"/>
        <v>0.6011931259739276</v>
      </c>
    </row>
    <row r="349" spans="1:13">
      <c r="A349" s="13" t="s">
        <v>6628</v>
      </c>
      <c r="B349" s="14" t="s">
        <v>6628</v>
      </c>
      <c r="C349" s="14" t="str">
        <f>HYPERLINK("http://uswest.ensembl.org/Homo_sapiens/Gene/Summary?g=ENSG00000185650","ENSG00000185650")</f>
        <v>ENSG00000185650</v>
      </c>
      <c r="D349" s="14" t="s">
        <v>6629</v>
      </c>
      <c r="E349" s="14" t="str">
        <f>HYPERLINK("http://www.ncbi.nlm.nih.gov/sites/entrez?db=gene&amp;cmd=Retrieve&amp;dopt=full_report&amp;list_uids=677","677")</f>
        <v>677</v>
      </c>
      <c r="F349" s="24" t="s">
        <v>6630</v>
      </c>
      <c r="G349" s="24" t="s">
        <v>6631</v>
      </c>
      <c r="H349" s="14" t="s">
        <v>6632</v>
      </c>
      <c r="I349" s="14" t="s">
        <v>6655</v>
      </c>
      <c r="J349" s="15" t="s">
        <v>6656</v>
      </c>
      <c r="K349" s="16">
        <v>206.71668299999999</v>
      </c>
      <c r="L349" s="17">
        <v>124.298834</v>
      </c>
      <c r="M349" s="18">
        <f t="shared" si="6"/>
        <v>0.60130044753088463</v>
      </c>
    </row>
    <row r="350" spans="1:13">
      <c r="A350" s="13" t="s">
        <v>6657</v>
      </c>
      <c r="B350" s="14" t="s">
        <v>6657</v>
      </c>
      <c r="C350" s="14" t="str">
        <f>HYPERLINK("http://uswest.ensembl.org/Homo_sapiens/Gene/Summary?g=ENSG00000117899","ENSG00000117899")</f>
        <v>ENSG00000117899</v>
      </c>
      <c r="D350" s="14" t="s">
        <v>6658</v>
      </c>
      <c r="E350" s="14" t="str">
        <f>HYPERLINK("http://www.ncbi.nlm.nih.gov/sites/entrez?db=gene&amp;cmd=Retrieve&amp;dopt=full_report&amp;list_uids=23184","23184")</f>
        <v>23184</v>
      </c>
      <c r="F350" s="24" t="s">
        <v>6659</v>
      </c>
      <c r="G350" s="24" t="s">
        <v>6660</v>
      </c>
      <c r="H350" s="14" t="s">
        <v>6661</v>
      </c>
      <c r="I350" s="14" t="s">
        <v>8648</v>
      </c>
      <c r="J350" s="15" t="s">
        <v>7768</v>
      </c>
      <c r="K350" s="16">
        <v>197.42101500000001</v>
      </c>
      <c r="L350" s="17">
        <v>118.72802900000001</v>
      </c>
      <c r="M350" s="18">
        <f t="shared" si="6"/>
        <v>0.60139508957544363</v>
      </c>
    </row>
    <row r="351" spans="1:13">
      <c r="A351" s="13" t="s">
        <v>6641</v>
      </c>
      <c r="B351" s="14" t="s">
        <v>6641</v>
      </c>
      <c r="C351" s="14" t="str">
        <f>HYPERLINK("http://uswest.ensembl.org/Homo_sapiens/Gene/Summary?g=ENSG00000186381","ENSG00000186381")</f>
        <v>ENSG00000186381</v>
      </c>
      <c r="D351" s="14" t="s">
        <v>8728</v>
      </c>
      <c r="E351" s="14" t="str">
        <f>HYPERLINK("http://www.ncbi.nlm.nih.gov/sites/entrez?db=gene&amp;cmd=Retrieve&amp;dopt=full_report&amp;list_uids=","-")</f>
        <v>-</v>
      </c>
      <c r="F351" s="24" t="s">
        <v>6642</v>
      </c>
      <c r="G351" s="24" t="s">
        <v>8728</v>
      </c>
      <c r="H351" s="14" t="s">
        <v>8728</v>
      </c>
      <c r="I351" s="14" t="s">
        <v>8728</v>
      </c>
      <c r="J351" s="15" t="s">
        <v>8728</v>
      </c>
      <c r="K351" s="16">
        <v>363.86598800000002</v>
      </c>
      <c r="L351" s="17">
        <v>218.92342600000001</v>
      </c>
      <c r="M351" s="18">
        <f t="shared" si="6"/>
        <v>0.60165949338469082</v>
      </c>
    </row>
    <row r="352" spans="1:13">
      <c r="A352" s="13" t="s">
        <v>6643</v>
      </c>
      <c r="B352" s="14" t="s">
        <v>6643</v>
      </c>
      <c r="C352" s="14" t="str">
        <f>HYPERLINK("http://uswest.ensembl.org/Homo_sapiens/Gene/Summary?g=ENSG00000188404","ENSG00000188404")</f>
        <v>ENSG00000188404</v>
      </c>
      <c r="D352" s="14" t="s">
        <v>8728</v>
      </c>
      <c r="E352" s="14" t="str">
        <f>HYPERLINK("http://www.ncbi.nlm.nih.gov/sites/entrez?db=gene&amp;cmd=Retrieve&amp;dopt=full_report&amp;list_uids=6402","6402")</f>
        <v>6402</v>
      </c>
      <c r="F352" s="24" t="s">
        <v>6644</v>
      </c>
      <c r="G352" s="25" t="s">
        <v>6694</v>
      </c>
      <c r="H352" s="14" t="s">
        <v>8628</v>
      </c>
      <c r="I352" s="14" t="s">
        <v>6695</v>
      </c>
      <c r="J352" s="15" t="s">
        <v>7024</v>
      </c>
      <c r="K352" s="16">
        <v>145.72107</v>
      </c>
      <c r="L352" s="17">
        <v>87.675026000000003</v>
      </c>
      <c r="M352" s="18">
        <f t="shared" si="6"/>
        <v>0.60166334216458883</v>
      </c>
    </row>
    <row r="353" spans="1:13">
      <c r="A353" s="13" t="s">
        <v>6626</v>
      </c>
      <c r="B353" s="14" t="s">
        <v>6626</v>
      </c>
      <c r="C353" s="14" t="str">
        <f>HYPERLINK("http://uswest.ensembl.org/Homo_sapiens/Gene/Summary?g=ENSG00000214730","ENSG00000214730")</f>
        <v>ENSG00000214730</v>
      </c>
      <c r="D353" s="14" t="s">
        <v>8728</v>
      </c>
      <c r="E353" s="14" t="str">
        <f>HYPERLINK("http://www.ncbi.nlm.nih.gov/sites/entrez?db=gene&amp;cmd=Retrieve&amp;dopt=full_report&amp;list_uids=","-")</f>
        <v>-</v>
      </c>
      <c r="F353" s="24" t="s">
        <v>6627</v>
      </c>
      <c r="G353" s="24" t="s">
        <v>8728</v>
      </c>
      <c r="H353" s="14" t="s">
        <v>8728</v>
      </c>
      <c r="I353" s="14" t="s">
        <v>8728</v>
      </c>
      <c r="J353" s="15" t="s">
        <v>8728</v>
      </c>
      <c r="K353" s="16">
        <v>70.607412999999994</v>
      </c>
      <c r="L353" s="17">
        <v>42.510807999999997</v>
      </c>
      <c r="M353" s="18">
        <f t="shared" si="6"/>
        <v>0.60207287299989309</v>
      </c>
    </row>
    <row r="354" spans="1:13">
      <c r="A354" s="13" t="s">
        <v>6633</v>
      </c>
      <c r="B354" s="14" t="s">
        <v>6633</v>
      </c>
      <c r="C354" s="14" t="str">
        <f>HYPERLINK("http://uswest.ensembl.org/Homo_sapiens/Gene/Summary?g=ENSG00000100226","ENSG00000100226")</f>
        <v>ENSG00000100226</v>
      </c>
      <c r="D354" s="14" t="s">
        <v>6634</v>
      </c>
      <c r="E354" s="14" t="str">
        <f>HYPERLINK("http://www.ncbi.nlm.nih.gov/sites/entrez?db=gene&amp;cmd=Retrieve&amp;dopt=full_report&amp;list_uids=9567","9567")</f>
        <v>9567</v>
      </c>
      <c r="F354" s="24" t="s">
        <v>6635</v>
      </c>
      <c r="G354" s="24" t="s">
        <v>6636</v>
      </c>
      <c r="H354" s="14" t="s">
        <v>6637</v>
      </c>
      <c r="I354" s="14" t="s">
        <v>6638</v>
      </c>
      <c r="J354" s="15" t="s">
        <v>6639</v>
      </c>
      <c r="K354" s="16">
        <v>59.626525999999998</v>
      </c>
      <c r="L354" s="17">
        <v>35.900689</v>
      </c>
      <c r="M354" s="18">
        <f t="shared" si="6"/>
        <v>0.60209258208334993</v>
      </c>
    </row>
    <row r="355" spans="1:13">
      <c r="A355" s="13" t="s">
        <v>6622</v>
      </c>
      <c r="B355" s="14" t="s">
        <v>6622</v>
      </c>
      <c r="C355" s="14" t="str">
        <f>HYPERLINK("http://uswest.ensembl.org/Homo_sapiens/Gene/Summary?g=","-")</f>
        <v>-</v>
      </c>
      <c r="D355" s="14" t="s">
        <v>6623</v>
      </c>
      <c r="E355" s="14" t="str">
        <f>HYPERLINK("http://www.ncbi.nlm.nih.gov/sites/entrez?db=gene&amp;cmd=Retrieve&amp;dopt=full_report&amp;list_uids=23028","23028")</f>
        <v>23028</v>
      </c>
      <c r="F355" s="24" t="s">
        <v>6624</v>
      </c>
      <c r="G355" s="24" t="s">
        <v>6625</v>
      </c>
      <c r="H355" s="14" t="s">
        <v>6675</v>
      </c>
      <c r="I355" s="14" t="s">
        <v>6674</v>
      </c>
      <c r="J355" s="15" t="s">
        <v>8282</v>
      </c>
      <c r="K355" s="16">
        <v>70.382507000000004</v>
      </c>
      <c r="L355" s="17">
        <v>42.409464</v>
      </c>
      <c r="M355" s="18">
        <f t="shared" si="6"/>
        <v>0.60255688249354344</v>
      </c>
    </row>
    <row r="356" spans="1:13">
      <c r="A356" s="13" t="s">
        <v>6602</v>
      </c>
      <c r="B356" s="14" t="s">
        <v>6602</v>
      </c>
      <c r="C356" s="14" t="str">
        <f>HYPERLINK("http://uswest.ensembl.org/Homo_sapiens/Gene/Summary?g=ENSG00000218607","ENSG00000218607")</f>
        <v>ENSG00000218607</v>
      </c>
      <c r="D356" s="14" t="s">
        <v>8728</v>
      </c>
      <c r="E356" s="14" t="str">
        <f>HYPERLINK("http://www.ncbi.nlm.nih.gov/sites/entrez?db=gene&amp;cmd=Retrieve&amp;dopt=full_report&amp;list_uids=","-")</f>
        <v>-</v>
      </c>
      <c r="F356" s="24" t="s">
        <v>6603</v>
      </c>
      <c r="G356" s="24" t="s">
        <v>8728</v>
      </c>
      <c r="H356" s="14" t="s">
        <v>8728</v>
      </c>
      <c r="I356" s="14" t="s">
        <v>8728</v>
      </c>
      <c r="J356" s="15" t="s">
        <v>8728</v>
      </c>
      <c r="K356" s="16">
        <v>388.87278800000001</v>
      </c>
      <c r="L356" s="17">
        <v>234.394105</v>
      </c>
      <c r="M356" s="18">
        <f t="shared" si="6"/>
        <v>0.60275265390902077</v>
      </c>
    </row>
    <row r="357" spans="1:13">
      <c r="A357" s="13" t="s">
        <v>6604</v>
      </c>
      <c r="B357" s="14" t="s">
        <v>6604</v>
      </c>
      <c r="C357" s="14" t="str">
        <f>HYPERLINK("http://uswest.ensembl.org/Homo_sapiens/Gene/Summary?g=ENSG00000184574","ENSG00000184574")</f>
        <v>ENSG00000184574</v>
      </c>
      <c r="D357" s="14" t="s">
        <v>6605</v>
      </c>
      <c r="E357" s="14" t="str">
        <f>HYPERLINK("http://www.ncbi.nlm.nih.gov/sites/entrez?db=gene&amp;cmd=Retrieve&amp;dopt=full_report&amp;list_uids=57121","57121")</f>
        <v>57121</v>
      </c>
      <c r="F357" s="24" t="s">
        <v>6606</v>
      </c>
      <c r="G357" s="24" t="s">
        <v>6607</v>
      </c>
      <c r="H357" s="14" t="s">
        <v>8512</v>
      </c>
      <c r="I357" s="14" t="s">
        <v>6608</v>
      </c>
      <c r="J357" s="15" t="s">
        <v>8471</v>
      </c>
      <c r="K357" s="16">
        <v>53.594895999999999</v>
      </c>
      <c r="L357" s="17">
        <v>32.311548999999999</v>
      </c>
      <c r="M357" s="18">
        <f t="shared" si="6"/>
        <v>0.60288481574812647</v>
      </c>
    </row>
    <row r="358" spans="1:13">
      <c r="A358" s="13" t="s">
        <v>6609</v>
      </c>
      <c r="B358" s="14" t="s">
        <v>6609</v>
      </c>
      <c r="C358" s="14" t="str">
        <f>HYPERLINK("http://uswest.ensembl.org/Homo_sapiens/Gene/Summary?g=ENSG00000204120","ENSG00000204120")</f>
        <v>ENSG00000204120</v>
      </c>
      <c r="D358" s="14" t="s">
        <v>8728</v>
      </c>
      <c r="E358" s="14" t="str">
        <f>HYPERLINK("http://www.ncbi.nlm.nih.gov/sites/entrez?db=gene&amp;cmd=Retrieve&amp;dopt=full_report&amp;list_uids=26058","26058")</f>
        <v>26058</v>
      </c>
      <c r="F358" s="24" t="s">
        <v>6610</v>
      </c>
      <c r="G358" s="24" t="s">
        <v>6611</v>
      </c>
      <c r="H358" s="14" t="s">
        <v>8728</v>
      </c>
      <c r="I358" s="14" t="s">
        <v>8665</v>
      </c>
      <c r="J358" s="15" t="s">
        <v>8728</v>
      </c>
      <c r="K358" s="16">
        <v>686.67234599999995</v>
      </c>
      <c r="L358" s="17">
        <v>414.06055700000002</v>
      </c>
      <c r="M358" s="18">
        <f t="shared" si="6"/>
        <v>0.60299582386269568</v>
      </c>
    </row>
    <row r="359" spans="1:13">
      <c r="A359" s="13" t="s">
        <v>6650</v>
      </c>
      <c r="B359" s="14" t="s">
        <v>6650</v>
      </c>
      <c r="C359" s="14" t="str">
        <f>HYPERLINK("http://uswest.ensembl.org/Homo_sapiens/Gene/Summary?g=ENSG00000189166","ENSG00000189166")</f>
        <v>ENSG00000189166</v>
      </c>
      <c r="D359" s="14" t="s">
        <v>8728</v>
      </c>
      <c r="E359" s="14" t="str">
        <f>HYPERLINK("http://www.ncbi.nlm.nih.gov/sites/entrez?db=gene&amp;cmd=Retrieve&amp;dopt=full_report&amp;list_uids=","-")</f>
        <v>-</v>
      </c>
      <c r="F359" s="24" t="s">
        <v>6651</v>
      </c>
      <c r="G359" s="24" t="s">
        <v>6652</v>
      </c>
      <c r="H359" s="14" t="s">
        <v>8728</v>
      </c>
      <c r="I359" s="14" t="s">
        <v>8682</v>
      </c>
      <c r="J359" s="15" t="s">
        <v>8728</v>
      </c>
      <c r="K359" s="16">
        <v>85.168021999999993</v>
      </c>
      <c r="L359" s="17">
        <v>51.438276999999999</v>
      </c>
      <c r="M359" s="18">
        <f t="shared" si="6"/>
        <v>0.60396232989889098</v>
      </c>
    </row>
    <row r="360" spans="1:13">
      <c r="A360" s="13" t="s">
        <v>6569</v>
      </c>
      <c r="B360" s="14" t="s">
        <v>6569</v>
      </c>
      <c r="C360" s="14" t="str">
        <f>HYPERLINK("http://uswest.ensembl.org/Homo_sapiens/Gene/Summary?g=ENSG00000182934","ENSG00000182934")</f>
        <v>ENSG00000182934</v>
      </c>
      <c r="D360" s="14" t="s">
        <v>6570</v>
      </c>
      <c r="E360" s="14" t="str">
        <f>HYPERLINK("http://www.ncbi.nlm.nih.gov/sites/entrez?db=gene&amp;cmd=Retrieve&amp;dopt=full_report&amp;list_uids=6734","6734")</f>
        <v>6734</v>
      </c>
      <c r="F360" s="24" t="s">
        <v>6571</v>
      </c>
      <c r="G360" s="24" t="s">
        <v>6597</v>
      </c>
      <c r="H360" s="14" t="s">
        <v>6598</v>
      </c>
      <c r="I360" s="14" t="s">
        <v>6599</v>
      </c>
      <c r="J360" s="20" t="s">
        <v>6572</v>
      </c>
      <c r="K360" s="16">
        <v>89.477975000000001</v>
      </c>
      <c r="L360" s="17">
        <v>54.072555999999999</v>
      </c>
      <c r="M360" s="18">
        <f t="shared" si="6"/>
        <v>0.60431135148062975</v>
      </c>
    </row>
    <row r="361" spans="1:13">
      <c r="A361" s="13" t="s">
        <v>6575</v>
      </c>
      <c r="B361" s="14" t="s">
        <v>6575</v>
      </c>
      <c r="C361" s="14" t="str">
        <f>HYPERLINK("http://uswest.ensembl.org/Homo_sapiens/Gene/Summary?g=ENSG00000136932","ENSG00000136932")</f>
        <v>ENSG00000136932</v>
      </c>
      <c r="D361" s="14" t="s">
        <v>6576</v>
      </c>
      <c r="E361" s="14" t="str">
        <f>HYPERLINK("http://www.ncbi.nlm.nih.gov/sites/entrez?db=gene&amp;cmd=Retrieve&amp;dopt=full_report&amp;list_uids=51531","51531")</f>
        <v>51531</v>
      </c>
      <c r="F361" s="24" t="s">
        <v>6577</v>
      </c>
      <c r="G361" s="24" t="s">
        <v>6578</v>
      </c>
      <c r="H361" s="14" t="s">
        <v>7840</v>
      </c>
      <c r="I361" s="14" t="s">
        <v>6579</v>
      </c>
      <c r="J361" s="15" t="s">
        <v>8728</v>
      </c>
      <c r="K361" s="16">
        <v>59.632730000000002</v>
      </c>
      <c r="L361" s="17">
        <v>36.049498</v>
      </c>
      <c r="M361" s="18">
        <f t="shared" si="6"/>
        <v>0.60452536719348582</v>
      </c>
    </row>
    <row r="362" spans="1:13">
      <c r="A362" s="13" t="s">
        <v>6580</v>
      </c>
      <c r="B362" s="14" t="s">
        <v>6580</v>
      </c>
      <c r="C362" s="14" t="str">
        <f>HYPERLINK("http://uswest.ensembl.org/Homo_sapiens/Gene/Summary?g=ENSG00000145703","ENSG00000145703")</f>
        <v>ENSG00000145703</v>
      </c>
      <c r="D362" s="14" t="s">
        <v>6581</v>
      </c>
      <c r="E362" s="14" t="str">
        <f>HYPERLINK("http://www.ncbi.nlm.nih.gov/sites/entrez?db=gene&amp;cmd=Retrieve&amp;dopt=full_report&amp;list_uids=","-")</f>
        <v>-</v>
      </c>
      <c r="F362" s="24" t="s">
        <v>6582</v>
      </c>
      <c r="G362" s="24" t="s">
        <v>6583</v>
      </c>
      <c r="H362" s="14" t="s">
        <v>6645</v>
      </c>
      <c r="I362" s="14" t="s">
        <v>6646</v>
      </c>
      <c r="J362" s="15" t="s">
        <v>8707</v>
      </c>
      <c r="K362" s="16">
        <v>468.27413999999999</v>
      </c>
      <c r="L362" s="17">
        <v>283.11988200000002</v>
      </c>
      <c r="M362" s="18">
        <f t="shared" si="6"/>
        <v>0.60460285507117695</v>
      </c>
    </row>
    <row r="363" spans="1:13">
      <c r="A363" s="13" t="s">
        <v>6647</v>
      </c>
      <c r="B363" s="14" t="s">
        <v>6647</v>
      </c>
      <c r="C363" s="14" t="str">
        <f>HYPERLINK("http://uswest.ensembl.org/Homo_sapiens/Gene/Summary?g=ENSG00000131626","ENSG00000131626")</f>
        <v>ENSG00000131626</v>
      </c>
      <c r="D363" s="14" t="s">
        <v>6648</v>
      </c>
      <c r="E363" s="14" t="str">
        <f>HYPERLINK("http://www.ncbi.nlm.nih.gov/sites/entrez?db=gene&amp;cmd=Retrieve&amp;dopt=full_report&amp;list_uids=8500","8500")</f>
        <v>8500</v>
      </c>
      <c r="F363" s="24" t="s">
        <v>6649</v>
      </c>
      <c r="G363" s="24" t="s">
        <v>6564</v>
      </c>
      <c r="H363" s="14" t="s">
        <v>6565</v>
      </c>
      <c r="I363" s="14" t="s">
        <v>6566</v>
      </c>
      <c r="J363" s="15" t="s">
        <v>8619</v>
      </c>
      <c r="K363" s="16">
        <v>40.799751999999998</v>
      </c>
      <c r="L363" s="17">
        <v>24.668706</v>
      </c>
      <c r="M363" s="18">
        <f t="shared" si="6"/>
        <v>0.60462882225362546</v>
      </c>
    </row>
    <row r="364" spans="1:13">
      <c r="A364" s="13" t="s">
        <v>6552</v>
      </c>
      <c r="B364" s="14" t="s">
        <v>6552</v>
      </c>
      <c r="C364" s="14" t="str">
        <f>HYPERLINK("http://uswest.ensembl.org/Homo_sapiens/Gene/Summary?g=ENSG00000154814","ENSG00000154814")</f>
        <v>ENSG00000154814</v>
      </c>
      <c r="D364" s="14" t="s">
        <v>6553</v>
      </c>
      <c r="E364" s="14" t="str">
        <f>HYPERLINK("http://www.ncbi.nlm.nih.gov/sites/entrez?db=gene&amp;cmd=Retrieve&amp;dopt=full_report&amp;list_uids=92106","92106")</f>
        <v>92106</v>
      </c>
      <c r="F364" s="24" t="s">
        <v>6554</v>
      </c>
      <c r="G364" s="24" t="s">
        <v>6614</v>
      </c>
      <c r="H364" s="14" t="s">
        <v>8728</v>
      </c>
      <c r="I364" s="14" t="s">
        <v>6615</v>
      </c>
      <c r="J364" s="15" t="s">
        <v>8728</v>
      </c>
      <c r="K364" s="16">
        <v>32.857697999999999</v>
      </c>
      <c r="L364" s="17">
        <v>19.872149</v>
      </c>
      <c r="M364" s="18">
        <f t="shared" si="6"/>
        <v>0.60479431638820225</v>
      </c>
    </row>
    <row r="365" spans="1:13">
      <c r="A365" s="13" t="s">
        <v>6541</v>
      </c>
      <c r="B365" s="14" t="s">
        <v>6541</v>
      </c>
      <c r="C365" s="14" t="str">
        <f>HYPERLINK("http://uswest.ensembl.org/Homo_sapiens/Gene/Summary?g=","-")</f>
        <v>-</v>
      </c>
      <c r="D365" s="14" t="s">
        <v>6542</v>
      </c>
      <c r="E365" s="14" t="str">
        <f>HYPERLINK("http://www.ncbi.nlm.nih.gov/sites/entrez?db=gene&amp;cmd=Retrieve&amp;dopt=full_report&amp;list_uids=4288","4288")</f>
        <v>4288</v>
      </c>
      <c r="F365" s="24" t="s">
        <v>6543</v>
      </c>
      <c r="G365" s="24" t="s">
        <v>6544</v>
      </c>
      <c r="H365" s="14" t="s">
        <v>6545</v>
      </c>
      <c r="I365" s="14" t="s">
        <v>6616</v>
      </c>
      <c r="J365" s="15" t="s">
        <v>6617</v>
      </c>
      <c r="K365" s="16">
        <v>63.654566000000003</v>
      </c>
      <c r="L365" s="17">
        <v>38.529342999999997</v>
      </c>
      <c r="M365" s="18">
        <f t="shared" si="6"/>
        <v>0.60528796944432861</v>
      </c>
    </row>
    <row r="366" spans="1:13">
      <c r="A366" s="13" t="s">
        <v>6618</v>
      </c>
      <c r="B366" s="14" t="s">
        <v>6618</v>
      </c>
      <c r="C366" s="14" t="str">
        <f>HYPERLINK("http://uswest.ensembl.org/Homo_sapiens/Gene/Summary?g=ENSG00000183773","ENSG00000183773")</f>
        <v>ENSG00000183773</v>
      </c>
      <c r="D366" s="14" t="s">
        <v>6619</v>
      </c>
      <c r="E366" s="14" t="str">
        <f>HYPERLINK("http://www.ncbi.nlm.nih.gov/sites/entrez?db=gene&amp;cmd=Retrieve&amp;dopt=full_report&amp;list_uids=150209","150209")</f>
        <v>150209</v>
      </c>
      <c r="F366" s="24" t="s">
        <v>6620</v>
      </c>
      <c r="G366" s="24" t="s">
        <v>6560</v>
      </c>
      <c r="H366" s="14" t="s">
        <v>8690</v>
      </c>
      <c r="I366" s="14" t="s">
        <v>6546</v>
      </c>
      <c r="J366" s="15" t="s">
        <v>8728</v>
      </c>
      <c r="K366" s="16">
        <v>42.423848</v>
      </c>
      <c r="L366" s="17">
        <v>25.679078000000001</v>
      </c>
      <c r="M366" s="18">
        <f t="shared" si="6"/>
        <v>0.60529818040079719</v>
      </c>
    </row>
    <row r="367" spans="1:13">
      <c r="A367" s="13" t="s">
        <v>6561</v>
      </c>
      <c r="B367" s="14" t="s">
        <v>6561</v>
      </c>
      <c r="C367" s="14" t="str">
        <f>HYPERLINK("http://uswest.ensembl.org/Homo_sapiens/Gene/Summary?g=ENSG00000132467","ENSG00000132467")</f>
        <v>ENSG00000132467</v>
      </c>
      <c r="D367" s="14" t="s">
        <v>6562</v>
      </c>
      <c r="E367" s="14" t="str">
        <f>HYPERLINK("http://www.ncbi.nlm.nih.gov/sites/entrez?db=gene&amp;cmd=Retrieve&amp;dopt=full_report&amp;list_uids=57050","57050")</f>
        <v>57050</v>
      </c>
      <c r="F367" s="24" t="s">
        <v>6563</v>
      </c>
      <c r="G367" s="24" t="s">
        <v>6547</v>
      </c>
      <c r="H367" s="14" t="s">
        <v>6548</v>
      </c>
      <c r="I367" s="14" t="s">
        <v>8692</v>
      </c>
      <c r="J367" s="15" t="s">
        <v>6617</v>
      </c>
      <c r="K367" s="16">
        <v>281.150103</v>
      </c>
      <c r="L367" s="17">
        <v>170.29131000000001</v>
      </c>
      <c r="M367" s="18">
        <f t="shared" si="6"/>
        <v>0.60569534986085349</v>
      </c>
    </row>
    <row r="368" spans="1:13">
      <c r="A368" s="13" t="s">
        <v>6549</v>
      </c>
      <c r="B368" s="14" t="s">
        <v>6549</v>
      </c>
      <c r="C368" s="14" t="str">
        <f>HYPERLINK("http://uswest.ensembl.org/Homo_sapiens/Gene/Summary?g=ENSG00000180024","ENSG00000180024")</f>
        <v>ENSG00000180024</v>
      </c>
      <c r="D368" s="14" t="s">
        <v>8728</v>
      </c>
      <c r="E368" s="14" t="str">
        <f>HYPERLINK("http://www.ncbi.nlm.nih.gov/sites/entrez?db=gene&amp;cmd=Retrieve&amp;dopt=full_report&amp;list_uids=100133695","100133695")</f>
        <v>100133695</v>
      </c>
      <c r="F368" s="24" t="s">
        <v>6550</v>
      </c>
      <c r="G368" s="24" t="s">
        <v>6551</v>
      </c>
      <c r="H368" s="14" t="s">
        <v>8728</v>
      </c>
      <c r="I368" s="14" t="s">
        <v>8728</v>
      </c>
      <c r="J368" s="15" t="s">
        <v>8728</v>
      </c>
      <c r="K368" s="16">
        <v>66.285578999999998</v>
      </c>
      <c r="L368" s="17">
        <v>40.151778999999998</v>
      </c>
      <c r="M368" s="18">
        <f t="shared" si="6"/>
        <v>0.60573928154116297</v>
      </c>
    </row>
    <row r="369" spans="1:13">
      <c r="A369" s="13" t="s">
        <v>6594</v>
      </c>
      <c r="B369" s="14" t="s">
        <v>6594</v>
      </c>
      <c r="C369" s="14" t="str">
        <f>HYPERLINK("http://uswest.ensembl.org/Homo_sapiens/Gene/Summary?g=ENSG00000185344","ENSG00000185344")</f>
        <v>ENSG00000185344</v>
      </c>
      <c r="D369" s="14" t="s">
        <v>6595</v>
      </c>
      <c r="E369" s="14" t="str">
        <f>HYPERLINK("http://www.ncbi.nlm.nih.gov/sites/entrez?db=gene&amp;cmd=Retrieve&amp;dopt=full_report&amp;list_uids=23545","23545")</f>
        <v>23545</v>
      </c>
      <c r="F369" s="24" t="s">
        <v>6596</v>
      </c>
      <c r="G369" s="24" t="s">
        <v>6535</v>
      </c>
      <c r="H369" s="14" t="s">
        <v>6612</v>
      </c>
      <c r="I369" s="14" t="s">
        <v>6613</v>
      </c>
      <c r="J369" s="15" t="s">
        <v>6536</v>
      </c>
      <c r="K369" s="16">
        <v>90.084695999999994</v>
      </c>
      <c r="L369" s="17">
        <v>54.618201999999997</v>
      </c>
      <c r="M369" s="18">
        <f t="shared" si="6"/>
        <v>0.60629834394956494</v>
      </c>
    </row>
    <row r="370" spans="1:13">
      <c r="A370" s="13" t="s">
        <v>6538</v>
      </c>
      <c r="B370" s="14" t="s">
        <v>6538</v>
      </c>
      <c r="C370" s="14" t="str">
        <f>HYPERLINK("http://uswest.ensembl.org/Homo_sapiens/Gene/Summary?g=ENSG00000221895","ENSG00000221895")</f>
        <v>ENSG00000221895</v>
      </c>
      <c r="D370" s="14" t="s">
        <v>8728</v>
      </c>
      <c r="E370" s="14" t="str">
        <f>HYPERLINK("http://www.ncbi.nlm.nih.gov/sites/entrez?db=gene&amp;cmd=Retrieve&amp;dopt=full_report&amp;list_uids=147660","147660")</f>
        <v>147660</v>
      </c>
      <c r="F370" s="24" t="s">
        <v>6539</v>
      </c>
      <c r="G370" s="24" t="s">
        <v>6540</v>
      </c>
      <c r="H370" s="14" t="s">
        <v>8163</v>
      </c>
      <c r="I370" s="14" t="s">
        <v>8373</v>
      </c>
      <c r="J370" s="15" t="s">
        <v>8622</v>
      </c>
      <c r="K370" s="16">
        <v>35.563580000000002</v>
      </c>
      <c r="L370" s="17">
        <v>21.572921999999998</v>
      </c>
      <c r="M370" s="18">
        <f t="shared" si="6"/>
        <v>0.60660152886745367</v>
      </c>
    </row>
    <row r="371" spans="1:13">
      <c r="A371" s="13" t="s">
        <v>6523</v>
      </c>
      <c r="B371" s="14" t="s">
        <v>6523</v>
      </c>
      <c r="C371" s="14" t="str">
        <f>HYPERLINK("http://uswest.ensembl.org/Homo_sapiens/Gene/Summary?g=","-")</f>
        <v>-</v>
      </c>
      <c r="D371" s="14" t="s">
        <v>6524</v>
      </c>
      <c r="E371" s="14" t="str">
        <f>HYPERLINK("http://www.ncbi.nlm.nih.gov/sites/entrez?db=gene&amp;cmd=Retrieve&amp;dopt=full_report&amp;list_uids=8496","8496")</f>
        <v>8496</v>
      </c>
      <c r="F371" s="24" t="s">
        <v>6525</v>
      </c>
      <c r="G371" s="24" t="s">
        <v>6584</v>
      </c>
      <c r="H371" s="14" t="s">
        <v>6585</v>
      </c>
      <c r="I371" s="14" t="s">
        <v>6586</v>
      </c>
      <c r="J371" s="15" t="s">
        <v>8728</v>
      </c>
      <c r="K371" s="16">
        <v>34.322490999999999</v>
      </c>
      <c r="L371" s="17">
        <v>20.824605999999999</v>
      </c>
      <c r="M371" s="18">
        <f t="shared" si="6"/>
        <v>0.60673352642149425</v>
      </c>
    </row>
    <row r="372" spans="1:13">
      <c r="A372" s="13" t="s">
        <v>6587</v>
      </c>
      <c r="B372" s="14" t="s">
        <v>6587</v>
      </c>
      <c r="C372" s="14" t="str">
        <f>HYPERLINK("http://uswest.ensembl.org/Homo_sapiens/Gene/Summary?g=ENSG00000103126","ENSG00000103126")</f>
        <v>ENSG00000103126</v>
      </c>
      <c r="D372" s="14" t="s">
        <v>6588</v>
      </c>
      <c r="E372" s="14" t="str">
        <f>HYPERLINK("http://www.ncbi.nlm.nih.gov/sites/entrez?db=gene&amp;cmd=Retrieve&amp;dopt=full_report&amp;list_uids=8312","8312")</f>
        <v>8312</v>
      </c>
      <c r="F372" s="24" t="s">
        <v>6589</v>
      </c>
      <c r="G372" s="24" t="s">
        <v>6590</v>
      </c>
      <c r="H372" s="14" t="s">
        <v>7140</v>
      </c>
      <c r="I372" s="14" t="s">
        <v>7940</v>
      </c>
      <c r="J372" s="15" t="s">
        <v>8707</v>
      </c>
      <c r="K372" s="16">
        <v>214.37225699999999</v>
      </c>
      <c r="L372" s="17">
        <v>130.201661</v>
      </c>
      <c r="M372" s="18">
        <f t="shared" si="6"/>
        <v>0.60736245828675495</v>
      </c>
    </row>
    <row r="373" spans="1:13">
      <c r="A373" s="13" t="s">
        <v>6591</v>
      </c>
      <c r="B373" s="14" t="s">
        <v>6591</v>
      </c>
      <c r="C373" s="14" t="str">
        <f>HYPERLINK("http://uswest.ensembl.org/Homo_sapiens/Gene/Summary?g=ENSG00000073849","ENSG00000073849")</f>
        <v>ENSG00000073849</v>
      </c>
      <c r="D373" s="14" t="s">
        <v>6592</v>
      </c>
      <c r="E373" s="14" t="str">
        <f>HYPERLINK("http://www.ncbi.nlm.nih.gov/sites/entrez?db=gene&amp;cmd=Retrieve&amp;dopt=full_report&amp;list_uids=","-")</f>
        <v>-</v>
      </c>
      <c r="F373" s="24" t="s">
        <v>6593</v>
      </c>
      <c r="G373" s="24" t="s">
        <v>6514</v>
      </c>
      <c r="H373" s="14" t="s">
        <v>8728</v>
      </c>
      <c r="I373" s="14" t="s">
        <v>6515</v>
      </c>
      <c r="J373" s="15" t="s">
        <v>8728</v>
      </c>
      <c r="K373" s="16">
        <v>46.324415000000002</v>
      </c>
      <c r="L373" s="17">
        <v>28.139613000000001</v>
      </c>
      <c r="M373" s="18">
        <f t="shared" si="6"/>
        <v>0.60744669954277886</v>
      </c>
    </row>
    <row r="374" spans="1:13">
      <c r="A374" s="13" t="s">
        <v>6516</v>
      </c>
      <c r="B374" s="14" t="s">
        <v>6516</v>
      </c>
      <c r="C374" s="14" t="str">
        <f>HYPERLINK("http://uswest.ensembl.org/Homo_sapiens/Gene/Summary?g=ENSG00000014919","ENSG00000014919")</f>
        <v>ENSG00000014919</v>
      </c>
      <c r="D374" s="14" t="s">
        <v>6517</v>
      </c>
      <c r="E374" s="14" t="str">
        <f>HYPERLINK("http://www.ncbi.nlm.nih.gov/sites/entrez?db=gene&amp;cmd=Retrieve&amp;dopt=full_report&amp;list_uids=1355","1355")</f>
        <v>1355</v>
      </c>
      <c r="F374" s="24" t="s">
        <v>6518</v>
      </c>
      <c r="G374" s="24" t="s">
        <v>6519</v>
      </c>
      <c r="H374" s="14" t="s">
        <v>6520</v>
      </c>
      <c r="I374" s="14" t="s">
        <v>7575</v>
      </c>
      <c r="J374" s="15" t="s">
        <v>8691</v>
      </c>
      <c r="K374" s="16">
        <v>77.718967000000006</v>
      </c>
      <c r="L374" s="17">
        <v>47.212954000000003</v>
      </c>
      <c r="M374" s="18">
        <f t="shared" si="6"/>
        <v>0.60748303564045059</v>
      </c>
    </row>
    <row r="375" spans="1:13">
      <c r="A375" s="13" t="s">
        <v>6522</v>
      </c>
      <c r="B375" s="14" t="s">
        <v>6522</v>
      </c>
      <c r="C375" s="14" t="str">
        <f>HYPERLINK("http://uswest.ensembl.org/Homo_sapiens/Gene/Summary?g=ENSG00000123374","ENSG00000123374")</f>
        <v>ENSG00000123374</v>
      </c>
      <c r="D375" s="14" t="s">
        <v>6495</v>
      </c>
      <c r="E375" s="14" t="str">
        <f>HYPERLINK("http://www.ncbi.nlm.nih.gov/sites/entrez?db=gene&amp;cmd=Retrieve&amp;dopt=full_report&amp;list_uids=1017","1017")</f>
        <v>1017</v>
      </c>
      <c r="F375" s="24" t="s">
        <v>6496</v>
      </c>
      <c r="G375" s="24" t="s">
        <v>6497</v>
      </c>
      <c r="H375" s="19" t="s">
        <v>6498</v>
      </c>
      <c r="I375" s="19" t="s">
        <v>6555</v>
      </c>
      <c r="J375" s="15" t="s">
        <v>6556</v>
      </c>
      <c r="K375" s="16">
        <v>222.53332800000001</v>
      </c>
      <c r="L375" s="17">
        <v>135.303507</v>
      </c>
      <c r="M375" s="18">
        <f t="shared" si="6"/>
        <v>0.60801457568638884</v>
      </c>
    </row>
    <row r="376" spans="1:13">
      <c r="A376" s="13" t="s">
        <v>6557</v>
      </c>
      <c r="B376" s="14" t="s">
        <v>6557</v>
      </c>
      <c r="C376" s="14" t="str">
        <f>HYPERLINK("http://uswest.ensembl.org/Homo_sapiens/Gene/Summary?g=ENSG00000100519","ENSG00000100519")</f>
        <v>ENSG00000100519</v>
      </c>
      <c r="D376" s="14" t="s">
        <v>6558</v>
      </c>
      <c r="E376" s="14" t="str">
        <f>HYPERLINK("http://www.ncbi.nlm.nih.gov/sites/entrez?db=gene&amp;cmd=Retrieve&amp;dopt=full_report&amp;list_uids=5706","5706")</f>
        <v>5706</v>
      </c>
      <c r="F376" s="24" t="s">
        <v>6559</v>
      </c>
      <c r="G376" s="24" t="s">
        <v>6511</v>
      </c>
      <c r="H376" s="19" t="s">
        <v>6512</v>
      </c>
      <c r="I376" s="14" t="s">
        <v>6513</v>
      </c>
      <c r="J376" s="15" t="s">
        <v>6481</v>
      </c>
      <c r="K376" s="16">
        <v>373.10681599999998</v>
      </c>
      <c r="L376" s="17">
        <v>226.93028899999999</v>
      </c>
      <c r="M376" s="18">
        <f t="shared" si="6"/>
        <v>0.60821802033227934</v>
      </c>
    </row>
    <row r="377" spans="1:13">
      <c r="A377" s="13" t="s">
        <v>6482</v>
      </c>
      <c r="B377" s="14" t="s">
        <v>6482</v>
      </c>
      <c r="C377" s="14" t="str">
        <f>HYPERLINK("http://uswest.ensembl.org/Homo_sapiens/Gene/Summary?g=ENSG00000182704","ENSG00000182704")</f>
        <v>ENSG00000182704</v>
      </c>
      <c r="D377" s="14" t="s">
        <v>6483</v>
      </c>
      <c r="E377" s="14" t="str">
        <f>HYPERLINK("http://www.ncbi.nlm.nih.gov/sites/entrez?db=gene&amp;cmd=Retrieve&amp;dopt=full_report&amp;list_uids=25987","25987")</f>
        <v>25987</v>
      </c>
      <c r="F377" s="24" t="s">
        <v>6484</v>
      </c>
      <c r="G377" s="24" t="s">
        <v>6485</v>
      </c>
      <c r="H377" s="14" t="s">
        <v>8728</v>
      </c>
      <c r="I377" s="14" t="s">
        <v>8665</v>
      </c>
      <c r="J377" s="15" t="s">
        <v>8731</v>
      </c>
      <c r="K377" s="16">
        <v>85.327100999999999</v>
      </c>
      <c r="L377" s="17">
        <v>51.898015000000001</v>
      </c>
      <c r="M377" s="18">
        <f t="shared" si="6"/>
        <v>0.6082242850369427</v>
      </c>
    </row>
    <row r="378" spans="1:13">
      <c r="A378" s="13" t="s">
        <v>6486</v>
      </c>
      <c r="B378" s="14" t="s">
        <v>6486</v>
      </c>
      <c r="C378" s="14" t="str">
        <f>HYPERLINK("http://uswest.ensembl.org/Homo_sapiens/Gene/Summary?g=ENSG00000141519","ENSG00000141519")</f>
        <v>ENSG00000141519</v>
      </c>
      <c r="D378" s="14" t="s">
        <v>6487</v>
      </c>
      <c r="E378" s="14" t="str">
        <f>HYPERLINK("http://www.ncbi.nlm.nih.gov/sites/entrez?db=gene&amp;cmd=Retrieve&amp;dopt=full_report&amp;list_uids=55036","55036")</f>
        <v>55036</v>
      </c>
      <c r="F378" s="24" t="s">
        <v>6488</v>
      </c>
      <c r="G378" s="24" t="s">
        <v>6489</v>
      </c>
      <c r="H378" s="14" t="s">
        <v>8728</v>
      </c>
      <c r="I378" s="14" t="s">
        <v>8728</v>
      </c>
      <c r="J378" s="15" t="s">
        <v>8728</v>
      </c>
      <c r="K378" s="16">
        <v>35.081265000000002</v>
      </c>
      <c r="L378" s="17">
        <v>21.342734</v>
      </c>
      <c r="M378" s="18">
        <f t="shared" si="6"/>
        <v>0.60837982894858544</v>
      </c>
    </row>
    <row r="379" spans="1:13">
      <c r="A379" s="13" t="s">
        <v>6490</v>
      </c>
      <c r="B379" s="14" t="s">
        <v>6490</v>
      </c>
      <c r="C379" s="14" t="str">
        <f>HYPERLINK("http://uswest.ensembl.org/Homo_sapiens/Gene/Summary?g=ENSG00000216321","ENSG00000216321")</f>
        <v>ENSG00000216321</v>
      </c>
      <c r="D379" s="14" t="s">
        <v>8728</v>
      </c>
      <c r="E379" s="14" t="str">
        <f>HYPERLINK("http://www.ncbi.nlm.nih.gov/sites/entrez?db=gene&amp;cmd=Retrieve&amp;dopt=full_report&amp;list_uids=","-")</f>
        <v>-</v>
      </c>
      <c r="F379" s="24" t="s">
        <v>6491</v>
      </c>
      <c r="G379" s="24" t="s">
        <v>8728</v>
      </c>
      <c r="H379" s="14" t="s">
        <v>8728</v>
      </c>
      <c r="I379" s="14" t="s">
        <v>8728</v>
      </c>
      <c r="J379" s="15" t="s">
        <v>8728</v>
      </c>
      <c r="K379" s="16">
        <v>75.439953000000003</v>
      </c>
      <c r="L379" s="17">
        <v>45.920741999999997</v>
      </c>
      <c r="M379" s="18">
        <f t="shared" si="6"/>
        <v>0.60870586703573359</v>
      </c>
    </row>
    <row r="380" spans="1:13">
      <c r="A380" s="13" t="s">
        <v>6492</v>
      </c>
      <c r="B380" s="14" t="s">
        <v>6492</v>
      </c>
      <c r="C380" s="14" t="str">
        <f>HYPERLINK("http://uswest.ensembl.org/Homo_sapiens/Gene/Summary?g=ENSG00000131096","ENSG00000131096")</f>
        <v>ENSG00000131096</v>
      </c>
      <c r="D380" s="14" t="s">
        <v>6493</v>
      </c>
      <c r="E380" s="14" t="str">
        <f>HYPERLINK("http://www.ncbi.nlm.nih.gov/sites/entrez?db=gene&amp;cmd=Retrieve&amp;dopt=full_report&amp;list_uids=","-")</f>
        <v>-</v>
      </c>
      <c r="F380" s="24" t="s">
        <v>6494</v>
      </c>
      <c r="G380" s="24" t="s">
        <v>6467</v>
      </c>
      <c r="H380" s="14" t="s">
        <v>8728</v>
      </c>
      <c r="I380" s="14" t="s">
        <v>8728</v>
      </c>
      <c r="J380" s="15" t="s">
        <v>8728</v>
      </c>
      <c r="K380" s="16">
        <v>234.450289</v>
      </c>
      <c r="L380" s="17">
        <v>142.72272000000001</v>
      </c>
      <c r="M380" s="18">
        <f t="shared" si="6"/>
        <v>0.60875471985449336</v>
      </c>
    </row>
    <row r="381" spans="1:13">
      <c r="A381" s="13" t="s">
        <v>6468</v>
      </c>
      <c r="B381" s="14" t="s">
        <v>6468</v>
      </c>
      <c r="C381" s="14" t="str">
        <f>HYPERLINK("http://uswest.ensembl.org/Homo_sapiens/Gene/Summary?g=ENSG00000007202","ENSG00000007202")</f>
        <v>ENSG00000007202</v>
      </c>
      <c r="D381" s="14" t="s">
        <v>6469</v>
      </c>
      <c r="E381" s="14" t="str">
        <f>HYPERLINK("http://www.ncbi.nlm.nih.gov/sites/entrez?db=gene&amp;cmd=Retrieve&amp;dopt=full_report&amp;list_uids=","-")</f>
        <v>-</v>
      </c>
      <c r="F381" s="24" t="s">
        <v>6470</v>
      </c>
      <c r="G381" s="24" t="s">
        <v>6471</v>
      </c>
      <c r="H381" s="14" t="s">
        <v>6472</v>
      </c>
      <c r="I381" s="14" t="s">
        <v>6473</v>
      </c>
      <c r="J381" s="15" t="s">
        <v>8728</v>
      </c>
      <c r="K381" s="16">
        <v>105.683077</v>
      </c>
      <c r="L381" s="17">
        <v>64.352556000000007</v>
      </c>
      <c r="M381" s="18">
        <f t="shared" si="6"/>
        <v>0.60892015852263659</v>
      </c>
    </row>
    <row r="382" spans="1:13">
      <c r="A382" s="13" t="s">
        <v>6474</v>
      </c>
      <c r="B382" s="14" t="s">
        <v>6474</v>
      </c>
      <c r="C382" s="14" t="str">
        <f>HYPERLINK("http://uswest.ensembl.org/Homo_sapiens/Gene/Summary?g=ENSG00000147677","ENSG00000147677")</f>
        <v>ENSG00000147677</v>
      </c>
      <c r="D382" s="14" t="s">
        <v>6475</v>
      </c>
      <c r="E382" s="14" t="str">
        <f>HYPERLINK("http://www.ncbi.nlm.nih.gov/sites/entrez?db=gene&amp;cmd=Retrieve&amp;dopt=full_report&amp;list_uids=8667","8667")</f>
        <v>8667</v>
      </c>
      <c r="F382" s="24" t="s">
        <v>6476</v>
      </c>
      <c r="G382" s="24" t="s">
        <v>6526</v>
      </c>
      <c r="H382" s="14" t="s">
        <v>6527</v>
      </c>
      <c r="I382" s="14" t="s">
        <v>6528</v>
      </c>
      <c r="J382" s="15" t="s">
        <v>6529</v>
      </c>
      <c r="K382" s="16">
        <v>1500.6700539999999</v>
      </c>
      <c r="L382" s="17">
        <v>913.86095799999998</v>
      </c>
      <c r="M382" s="18">
        <f t="shared" si="6"/>
        <v>0.60896861076432196</v>
      </c>
    </row>
    <row r="383" spans="1:13">
      <c r="A383" s="13" t="s">
        <v>6530</v>
      </c>
      <c r="B383" s="14" t="s">
        <v>6530</v>
      </c>
      <c r="C383" s="14" t="str">
        <f>HYPERLINK("http://uswest.ensembl.org/Homo_sapiens/Gene/Summary?g=ENSG00000173727","ENSG00000173727")</f>
        <v>ENSG00000173727</v>
      </c>
      <c r="D383" s="14" t="s">
        <v>8728</v>
      </c>
      <c r="E383" s="14" t="str">
        <f>HYPERLINK("http://www.ncbi.nlm.nih.gov/sites/entrez?db=gene&amp;cmd=Retrieve&amp;dopt=full_report&amp;list_uids=","-")</f>
        <v>-</v>
      </c>
      <c r="F383" s="24" t="s">
        <v>6531</v>
      </c>
      <c r="G383" s="24" t="s">
        <v>8728</v>
      </c>
      <c r="H383" s="14" t="s">
        <v>8728</v>
      </c>
      <c r="I383" s="14" t="s">
        <v>8728</v>
      </c>
      <c r="J383" s="15" t="s">
        <v>8728</v>
      </c>
      <c r="K383" s="16">
        <v>280.82954899999999</v>
      </c>
      <c r="L383" s="17">
        <v>171.06233599999999</v>
      </c>
      <c r="M383" s="18">
        <f t="shared" si="6"/>
        <v>0.60913225338691124</v>
      </c>
    </row>
    <row r="384" spans="1:13">
      <c r="A384" s="13" t="s">
        <v>6532</v>
      </c>
      <c r="B384" s="14" t="s">
        <v>6532</v>
      </c>
      <c r="C384" s="14" t="str">
        <f>HYPERLINK("http://uswest.ensembl.org/Homo_sapiens/Gene/Summary?g=ENSG00000186469","ENSG00000186469")</f>
        <v>ENSG00000186469</v>
      </c>
      <c r="D384" s="14" t="s">
        <v>6533</v>
      </c>
      <c r="E384" s="14" t="str">
        <f>HYPERLINK("http://www.ncbi.nlm.nih.gov/sites/entrez?db=gene&amp;cmd=Retrieve&amp;dopt=full_report&amp;list_uids=54331","54331")</f>
        <v>54331</v>
      </c>
      <c r="F384" s="24" t="s">
        <v>6534</v>
      </c>
      <c r="G384" s="24" t="s">
        <v>6478</v>
      </c>
      <c r="H384" s="14" t="s">
        <v>6479</v>
      </c>
      <c r="I384" s="14" t="s">
        <v>7940</v>
      </c>
      <c r="J384" s="15" t="s">
        <v>6480</v>
      </c>
      <c r="K384" s="16">
        <v>193.49474499999999</v>
      </c>
      <c r="L384" s="17">
        <v>117.87755300000001</v>
      </c>
      <c r="M384" s="18">
        <f t="shared" si="6"/>
        <v>0.60920286491501363</v>
      </c>
    </row>
    <row r="385" spans="1:13">
      <c r="A385" s="13" t="s">
        <v>6508</v>
      </c>
      <c r="B385" s="14" t="s">
        <v>6508</v>
      </c>
      <c r="C385" s="14" t="str">
        <f>HYPERLINK("http://uswest.ensembl.org/Homo_sapiens/Gene/Summary?g=","-")</f>
        <v>-</v>
      </c>
      <c r="D385" s="14" t="s">
        <v>6509</v>
      </c>
      <c r="E385" s="14" t="str">
        <f>HYPERLINK("http://www.ncbi.nlm.nih.gov/sites/entrez?db=gene&amp;cmd=Retrieve&amp;dopt=full_report&amp;list_uids=2768","2768")</f>
        <v>2768</v>
      </c>
      <c r="F385" s="24" t="s">
        <v>6510</v>
      </c>
      <c r="G385" s="24" t="s">
        <v>6458</v>
      </c>
      <c r="H385" s="14" t="s">
        <v>6459</v>
      </c>
      <c r="I385" s="14" t="s">
        <v>8535</v>
      </c>
      <c r="J385" s="15" t="s">
        <v>8660</v>
      </c>
      <c r="K385" s="16">
        <v>87.556719999999999</v>
      </c>
      <c r="L385" s="17">
        <v>53.353524</v>
      </c>
      <c r="M385" s="18">
        <f t="shared" si="6"/>
        <v>0.60935955572570555</v>
      </c>
    </row>
    <row r="386" spans="1:13">
      <c r="A386" s="13" t="s">
        <v>6460</v>
      </c>
      <c r="B386" s="14" t="s">
        <v>6460</v>
      </c>
      <c r="C386" s="14" t="str">
        <f>HYPERLINK("http://uswest.ensembl.org/Homo_sapiens/Gene/Summary?g=ENSG00000136527","ENSG00000136527")</f>
        <v>ENSG00000136527</v>
      </c>
      <c r="D386" s="14" t="s">
        <v>6461</v>
      </c>
      <c r="E386" s="14" t="str">
        <f>HYPERLINK("http://www.ncbi.nlm.nih.gov/sites/entrez?db=gene&amp;cmd=Retrieve&amp;dopt=full_report&amp;list_uids=6434","6434")</f>
        <v>6434</v>
      </c>
      <c r="F386" s="24" t="s">
        <v>6462</v>
      </c>
      <c r="G386" s="24" t="s">
        <v>6463</v>
      </c>
      <c r="H386" s="14" t="s">
        <v>6464</v>
      </c>
      <c r="I386" s="14" t="s">
        <v>6465</v>
      </c>
      <c r="J386" s="15" t="s">
        <v>8558</v>
      </c>
      <c r="K386" s="16">
        <v>364.97922699999998</v>
      </c>
      <c r="L386" s="17">
        <v>222.45316399999999</v>
      </c>
      <c r="M386" s="18">
        <f t="shared" ref="M386:M449" si="7">L386/K386</f>
        <v>0.60949541109088934</v>
      </c>
    </row>
    <row r="387" spans="1:13">
      <c r="A387" s="13" t="s">
        <v>6466</v>
      </c>
      <c r="B387" s="14" t="s">
        <v>6466</v>
      </c>
      <c r="C387" s="14" t="str">
        <f>HYPERLINK("http://uswest.ensembl.org/Homo_sapiens/Gene/Summary?g=ENSG00000145014","ENSG00000145014")</f>
        <v>ENSG00000145014</v>
      </c>
      <c r="D387" s="14" t="s">
        <v>6500</v>
      </c>
      <c r="E387" s="14" t="str">
        <f>HYPERLINK("http://www.ncbi.nlm.nih.gov/sites/entrez?db=gene&amp;cmd=Retrieve&amp;dopt=full_report&amp;list_uids=93109","93109")</f>
        <v>93109</v>
      </c>
      <c r="F387" s="24" t="s">
        <v>6501</v>
      </c>
      <c r="G387" s="24" t="s">
        <v>6502</v>
      </c>
      <c r="H387" s="14" t="s">
        <v>8728</v>
      </c>
      <c r="I387" s="14" t="s">
        <v>8728</v>
      </c>
      <c r="J387" s="15" t="s">
        <v>8728</v>
      </c>
      <c r="K387" s="16">
        <v>42.841977</v>
      </c>
      <c r="L387" s="17">
        <v>26.115172999999999</v>
      </c>
      <c r="M387" s="18">
        <f t="shared" si="7"/>
        <v>0.6095697451123695</v>
      </c>
    </row>
    <row r="388" spans="1:13">
      <c r="A388" s="13" t="s">
        <v>6504</v>
      </c>
      <c r="B388" s="14" t="s">
        <v>6504</v>
      </c>
      <c r="C388" s="14" t="str">
        <f>HYPERLINK("http://uswest.ensembl.org/Homo_sapiens/Gene/Summary?g=ENSG00000157087","ENSG00000157087")</f>
        <v>ENSG00000157087</v>
      </c>
      <c r="D388" s="14" t="s">
        <v>6505</v>
      </c>
      <c r="E388" s="14" t="str">
        <f>HYPERLINK("http://www.ncbi.nlm.nih.gov/sites/entrez?db=gene&amp;cmd=Retrieve&amp;dopt=full_report&amp;list_uids=491","491")</f>
        <v>491</v>
      </c>
      <c r="F388" s="24" t="s">
        <v>6506</v>
      </c>
      <c r="G388" s="24" t="s">
        <v>6507</v>
      </c>
      <c r="H388" s="14" t="s">
        <v>8492</v>
      </c>
      <c r="I388" s="19" t="s">
        <v>8489</v>
      </c>
      <c r="J388" s="15" t="s">
        <v>8691</v>
      </c>
      <c r="K388" s="16">
        <v>74.975797999999998</v>
      </c>
      <c r="L388" s="17">
        <v>45.750397999999997</v>
      </c>
      <c r="M388" s="18">
        <f t="shared" si="7"/>
        <v>0.61020221485338511</v>
      </c>
    </row>
    <row r="389" spans="1:13">
      <c r="A389" s="13" t="s">
        <v>6455</v>
      </c>
      <c r="B389" s="14" t="s">
        <v>6455</v>
      </c>
      <c r="C389" s="14" t="str">
        <f>HYPERLINK("http://uswest.ensembl.org/Homo_sapiens/Gene/Summary?g=ENSG00000219926","ENSG00000219926")</f>
        <v>ENSG00000219926</v>
      </c>
      <c r="D389" s="14" t="s">
        <v>8728</v>
      </c>
      <c r="E389" s="14" t="str">
        <f>HYPERLINK("http://www.ncbi.nlm.nih.gov/sites/entrez?db=gene&amp;cmd=Retrieve&amp;dopt=full_report&amp;list_uids=","-")</f>
        <v>-</v>
      </c>
      <c r="F389" s="24" t="s">
        <v>6456</v>
      </c>
      <c r="G389" s="24" t="s">
        <v>6499</v>
      </c>
      <c r="H389" s="14" t="s">
        <v>8728</v>
      </c>
      <c r="I389" s="14" t="s">
        <v>8728</v>
      </c>
      <c r="J389" s="15" t="s">
        <v>8728</v>
      </c>
      <c r="K389" s="16">
        <v>37.207700000000003</v>
      </c>
      <c r="L389" s="17">
        <v>22.712793000000001</v>
      </c>
      <c r="M389" s="18">
        <f t="shared" si="7"/>
        <v>0.61043259862877841</v>
      </c>
    </row>
    <row r="390" spans="1:13">
      <c r="A390" s="13" t="s">
        <v>6446</v>
      </c>
      <c r="B390" s="14" t="s">
        <v>6446</v>
      </c>
      <c r="C390" s="14" t="str">
        <f>HYPERLINK("http://uswest.ensembl.org/Homo_sapiens/Gene/Summary?g=ENSG00000144119","ENSG00000144119")</f>
        <v>ENSG00000144119</v>
      </c>
      <c r="D390" s="14" t="s">
        <v>6447</v>
      </c>
      <c r="E390" s="14" t="str">
        <f>HYPERLINK("http://www.ncbi.nlm.nih.gov/sites/entrez?db=gene&amp;cmd=Retrieve&amp;dopt=full_report&amp;list_uids=165257","165257")</f>
        <v>165257</v>
      </c>
      <c r="F390" s="24" t="s">
        <v>6448</v>
      </c>
      <c r="G390" s="24" t="s">
        <v>6449</v>
      </c>
      <c r="H390" s="14" t="s">
        <v>8728</v>
      </c>
      <c r="I390" s="14" t="s">
        <v>8728</v>
      </c>
      <c r="J390" s="15" t="s">
        <v>8731</v>
      </c>
      <c r="K390" s="16">
        <v>63.911676</v>
      </c>
      <c r="L390" s="17">
        <v>39.019298999999997</v>
      </c>
      <c r="M390" s="18">
        <f t="shared" si="7"/>
        <v>0.6105191013923652</v>
      </c>
    </row>
    <row r="391" spans="1:13">
      <c r="A391" s="13" t="s">
        <v>6450</v>
      </c>
      <c r="B391" s="14" t="s">
        <v>6450</v>
      </c>
      <c r="C391" s="14" t="str">
        <f>HYPERLINK("http://uswest.ensembl.org/Homo_sapiens/Gene/Summary?g=ENSG00000149485","ENSG00000149485")</f>
        <v>ENSG00000149485</v>
      </c>
      <c r="D391" s="14" t="s">
        <v>6451</v>
      </c>
      <c r="E391" s="14" t="str">
        <f>HYPERLINK("http://www.ncbi.nlm.nih.gov/sites/entrez?db=gene&amp;cmd=Retrieve&amp;dopt=full_report&amp;list_uids=3992","3992")</f>
        <v>3992</v>
      </c>
      <c r="F391" s="24" t="s">
        <v>6452</v>
      </c>
      <c r="G391" s="24" t="s">
        <v>6453</v>
      </c>
      <c r="H391" s="19" t="s">
        <v>6437</v>
      </c>
      <c r="I391" s="19" t="s">
        <v>6438</v>
      </c>
      <c r="J391" s="15" t="s">
        <v>6439</v>
      </c>
      <c r="K391" s="16">
        <v>297.812701</v>
      </c>
      <c r="L391" s="17">
        <v>181.862752</v>
      </c>
      <c r="M391" s="18">
        <f t="shared" si="7"/>
        <v>0.61066150432583466</v>
      </c>
    </row>
    <row r="392" spans="1:13">
      <c r="A392" s="13" t="s">
        <v>6440</v>
      </c>
      <c r="B392" s="14" t="s">
        <v>6440</v>
      </c>
      <c r="C392" s="14" t="str">
        <f>HYPERLINK("http://uswest.ensembl.org/Homo_sapiens/Gene/Summary?g=","-")</f>
        <v>-</v>
      </c>
      <c r="D392" s="14" t="s">
        <v>6441</v>
      </c>
      <c r="E392" s="14" t="str">
        <f>HYPERLINK("http://www.ncbi.nlm.nih.gov/sites/entrez?db=gene&amp;cmd=Retrieve&amp;dopt=full_report&amp;list_uids=1503","1503")</f>
        <v>1503</v>
      </c>
      <c r="F392" s="24" t="s">
        <v>6442</v>
      </c>
      <c r="G392" s="24" t="s">
        <v>6443</v>
      </c>
      <c r="H392" s="14" t="s">
        <v>6444</v>
      </c>
      <c r="I392" s="14" t="s">
        <v>6419</v>
      </c>
      <c r="J392" s="15" t="s">
        <v>6420</v>
      </c>
      <c r="K392" s="16">
        <v>50.937427999999997</v>
      </c>
      <c r="L392" s="17">
        <v>31.106535000000001</v>
      </c>
      <c r="M392" s="18">
        <f t="shared" si="7"/>
        <v>0.61068130491394268</v>
      </c>
    </row>
    <row r="393" spans="1:13">
      <c r="A393" s="13" t="s">
        <v>6423</v>
      </c>
      <c r="B393" s="14" t="s">
        <v>6423</v>
      </c>
      <c r="C393" s="14" t="str">
        <f>HYPERLINK("http://uswest.ensembl.org/Homo_sapiens/Gene/Summary?g=ENSG00000184588","ENSG00000184588")</f>
        <v>ENSG00000184588</v>
      </c>
      <c r="D393" s="14" t="s">
        <v>6424</v>
      </c>
      <c r="E393" s="14" t="str">
        <f>HYPERLINK("http://www.ncbi.nlm.nih.gov/sites/entrez?db=gene&amp;cmd=Retrieve&amp;dopt=full_report&amp;list_uids=5142","5142")</f>
        <v>5142</v>
      </c>
      <c r="F393" s="24" t="s">
        <v>6425</v>
      </c>
      <c r="G393" s="24" t="s">
        <v>6426</v>
      </c>
      <c r="H393" s="14" t="s">
        <v>8565</v>
      </c>
      <c r="I393" s="14" t="s">
        <v>6427</v>
      </c>
      <c r="J393" s="15" t="s">
        <v>6428</v>
      </c>
      <c r="K393" s="16">
        <v>33.809244999999997</v>
      </c>
      <c r="L393" s="17">
        <v>20.652791000000001</v>
      </c>
      <c r="M393" s="18">
        <f t="shared" si="7"/>
        <v>0.61086223605407342</v>
      </c>
    </row>
    <row r="394" spans="1:13">
      <c r="A394" s="13" t="s">
        <v>6429</v>
      </c>
      <c r="B394" s="14" t="s">
        <v>6429</v>
      </c>
      <c r="C394" s="14" t="str">
        <f>HYPERLINK("http://uswest.ensembl.org/Homo_sapiens/Gene/Summary?g=","-")</f>
        <v>-</v>
      </c>
      <c r="D394" s="14" t="s">
        <v>6430</v>
      </c>
      <c r="E394" s="14" t="str">
        <f>HYPERLINK("http://www.ncbi.nlm.nih.gov/sites/entrez?db=gene&amp;cmd=Retrieve&amp;dopt=full_report&amp;list_uids=326624","326624")</f>
        <v>326624</v>
      </c>
      <c r="F394" s="24" t="s">
        <v>6431</v>
      </c>
      <c r="G394" s="24" t="s">
        <v>6432</v>
      </c>
      <c r="H394" s="14" t="s">
        <v>6477</v>
      </c>
      <c r="I394" s="14" t="s">
        <v>7781</v>
      </c>
      <c r="J394" s="15" t="s">
        <v>8707</v>
      </c>
      <c r="K394" s="16">
        <v>401.83126499999997</v>
      </c>
      <c r="L394" s="17">
        <v>245.75200699999999</v>
      </c>
      <c r="M394" s="18">
        <f t="shared" si="7"/>
        <v>0.61158010440028854</v>
      </c>
    </row>
    <row r="395" spans="1:13">
      <c r="A395" s="13" t="s">
        <v>6407</v>
      </c>
      <c r="B395" s="14" t="s">
        <v>6407</v>
      </c>
      <c r="C395" s="14" t="str">
        <f>HYPERLINK("http://uswest.ensembl.org/Homo_sapiens/Gene/Summary?g=","-")</f>
        <v>-</v>
      </c>
      <c r="D395" s="14" t="s">
        <v>6408</v>
      </c>
      <c r="E395" s="14" t="str">
        <f>HYPERLINK("http://www.ncbi.nlm.nih.gov/sites/entrez?db=gene&amp;cmd=Retrieve&amp;dopt=full_report&amp;list_uids=3428","3428")</f>
        <v>3428</v>
      </c>
      <c r="F395" s="24" t="s">
        <v>8405</v>
      </c>
      <c r="G395" s="24" t="s">
        <v>8365</v>
      </c>
      <c r="H395" s="14" t="s">
        <v>8728</v>
      </c>
      <c r="I395" s="14" t="s">
        <v>8665</v>
      </c>
      <c r="J395" s="15" t="s">
        <v>8728</v>
      </c>
      <c r="K395" s="16">
        <v>100.625332</v>
      </c>
      <c r="L395" s="17">
        <v>61.549698999999997</v>
      </c>
      <c r="M395" s="18">
        <f t="shared" si="7"/>
        <v>0.61167200919148268</v>
      </c>
    </row>
    <row r="396" spans="1:13">
      <c r="A396" s="13" t="s">
        <v>6415</v>
      </c>
      <c r="B396" s="14" t="s">
        <v>6415</v>
      </c>
      <c r="C396" s="14" t="str">
        <f>HYPERLINK("http://uswest.ensembl.org/Homo_sapiens/Gene/Summary?g=","-")</f>
        <v>-</v>
      </c>
      <c r="D396" s="14" t="s">
        <v>6416</v>
      </c>
      <c r="E396" s="14" t="str">
        <f>HYPERLINK("http://www.ncbi.nlm.nih.gov/sites/entrez?db=gene&amp;cmd=Retrieve&amp;dopt=full_report&amp;list_uids=54874","54874")</f>
        <v>54874</v>
      </c>
      <c r="F396" s="24" t="s">
        <v>6417</v>
      </c>
      <c r="G396" s="24" t="s">
        <v>6418</v>
      </c>
      <c r="H396" s="14" t="s">
        <v>8565</v>
      </c>
      <c r="I396" s="14" t="s">
        <v>8728</v>
      </c>
      <c r="J396" s="15" t="s">
        <v>8707</v>
      </c>
      <c r="K396" s="16">
        <v>69.828013999999996</v>
      </c>
      <c r="L396" s="17">
        <v>42.725738999999997</v>
      </c>
      <c r="M396" s="18">
        <f t="shared" si="7"/>
        <v>0.61187103216196292</v>
      </c>
    </row>
    <row r="397" spans="1:13">
      <c r="A397" s="13" t="s">
        <v>6410</v>
      </c>
      <c r="B397" s="14" t="s">
        <v>6410</v>
      </c>
      <c r="C397" s="14" t="str">
        <f>HYPERLINK("http://uswest.ensembl.org/Homo_sapiens/Gene/Summary?g=ENSG00000155903","ENSG00000155903")</f>
        <v>ENSG00000155903</v>
      </c>
      <c r="D397" s="14" t="s">
        <v>6411</v>
      </c>
      <c r="E397" s="14" t="str">
        <f>HYPERLINK("http://www.ncbi.nlm.nih.gov/sites/entrez?db=gene&amp;cmd=Retrieve&amp;dopt=full_report&amp;list_uids=5922","5922")</f>
        <v>5922</v>
      </c>
      <c r="F397" s="24" t="s">
        <v>6412</v>
      </c>
      <c r="G397" s="24" t="s">
        <v>6413</v>
      </c>
      <c r="H397" s="14" t="s">
        <v>6457</v>
      </c>
      <c r="I397" s="14" t="s">
        <v>6406</v>
      </c>
      <c r="J397" s="15" t="s">
        <v>8294</v>
      </c>
      <c r="K397" s="16">
        <v>78.180954</v>
      </c>
      <c r="L397" s="17">
        <v>47.882933000000001</v>
      </c>
      <c r="M397" s="18">
        <f t="shared" si="7"/>
        <v>0.61246288961887063</v>
      </c>
    </row>
    <row r="398" spans="1:13">
      <c r="A398" s="13" t="s">
        <v>6385</v>
      </c>
      <c r="B398" s="14" t="s">
        <v>6385</v>
      </c>
      <c r="C398" s="14" t="str">
        <f>HYPERLINK("http://uswest.ensembl.org/Homo_sapiens/Gene/Summary?g=ENSG00000182534","ENSG00000182534")</f>
        <v>ENSG00000182534</v>
      </c>
      <c r="D398" s="14" t="s">
        <v>6386</v>
      </c>
      <c r="E398" s="14" t="str">
        <f>HYPERLINK("http://www.ncbi.nlm.nih.gov/sites/entrez?db=gene&amp;cmd=Retrieve&amp;dopt=full_report&amp;list_uids=","-")</f>
        <v>-</v>
      </c>
      <c r="F398" s="24" t="s">
        <v>6573</v>
      </c>
      <c r="G398" s="24" t="s">
        <v>6574</v>
      </c>
      <c r="H398" s="14" t="s">
        <v>8728</v>
      </c>
      <c r="I398" s="14" t="s">
        <v>8728</v>
      </c>
      <c r="J398" s="15" t="s">
        <v>8728</v>
      </c>
      <c r="K398" s="16">
        <v>68.354253999999997</v>
      </c>
      <c r="L398" s="17">
        <v>41.876849999999997</v>
      </c>
      <c r="M398" s="18">
        <f t="shared" si="7"/>
        <v>0.61264438640497776</v>
      </c>
    </row>
    <row r="399" spans="1:13">
      <c r="A399" s="13" t="s">
        <v>6390</v>
      </c>
      <c r="B399" s="14" t="s">
        <v>6390</v>
      </c>
      <c r="C399" s="14" t="str">
        <f>HYPERLINK("http://uswest.ensembl.org/Homo_sapiens/Gene/Summary?g=ENSG00000189171","ENSG00000189171")</f>
        <v>ENSG00000189171</v>
      </c>
      <c r="D399" s="14" t="s">
        <v>6391</v>
      </c>
      <c r="E399" s="14" t="str">
        <f>HYPERLINK("http://www.ncbi.nlm.nih.gov/sites/entrez?db=gene&amp;cmd=Retrieve&amp;dopt=full_report&amp;list_uids=6284","6284")</f>
        <v>6284</v>
      </c>
      <c r="F399" s="24" t="s">
        <v>6392</v>
      </c>
      <c r="G399" s="24" t="s">
        <v>6393</v>
      </c>
      <c r="H399" s="14" t="s">
        <v>8727</v>
      </c>
      <c r="I399" s="14" t="s">
        <v>8684</v>
      </c>
      <c r="J399" s="15" t="s">
        <v>7768</v>
      </c>
      <c r="K399" s="16">
        <v>42.322977000000002</v>
      </c>
      <c r="L399" s="17">
        <v>25.951108000000001</v>
      </c>
      <c r="M399" s="18">
        <f t="shared" si="7"/>
        <v>0.61316830335446393</v>
      </c>
    </row>
    <row r="400" spans="1:13">
      <c r="A400" s="13" t="s">
        <v>6394</v>
      </c>
      <c r="B400" s="14" t="s">
        <v>6394</v>
      </c>
      <c r="C400" s="14" t="str">
        <f>HYPERLINK("http://uswest.ensembl.org/Homo_sapiens/Gene/Summary?g=","-")</f>
        <v>-</v>
      </c>
      <c r="D400" s="14" t="s">
        <v>8728</v>
      </c>
      <c r="E400" s="14" t="str">
        <f>HYPERLINK("http://www.ncbi.nlm.nih.gov/sites/entrez?db=gene&amp;cmd=Retrieve&amp;dopt=full_report&amp;list_uids=100293590","100293590")</f>
        <v>100293590</v>
      </c>
      <c r="F400" s="24" t="s">
        <v>8728</v>
      </c>
      <c r="G400" s="24" t="s">
        <v>8728</v>
      </c>
      <c r="H400" s="14" t="s">
        <v>8728</v>
      </c>
      <c r="I400" s="14" t="s">
        <v>8728</v>
      </c>
      <c r="J400" s="15" t="s">
        <v>8728</v>
      </c>
      <c r="K400" s="16">
        <v>36.951039000000002</v>
      </c>
      <c r="L400" s="17">
        <v>22.676591999999999</v>
      </c>
      <c r="M400" s="18">
        <f t="shared" si="7"/>
        <v>0.61369294649603756</v>
      </c>
    </row>
    <row r="401" spans="1:13">
      <c r="A401" s="13" t="s">
        <v>6395</v>
      </c>
      <c r="B401" s="14" t="s">
        <v>6395</v>
      </c>
      <c r="C401" s="14" t="str">
        <f>HYPERLINK("http://uswest.ensembl.org/Homo_sapiens/Gene/Summary?g=ENSG00000167552","ENSG00000167552")</f>
        <v>ENSG00000167552</v>
      </c>
      <c r="D401" s="14" t="s">
        <v>6396</v>
      </c>
      <c r="E401" s="14" t="str">
        <f>HYPERLINK("http://www.ncbi.nlm.nih.gov/sites/entrez?db=gene&amp;cmd=Retrieve&amp;dopt=full_report&amp;list_uids=7846","7846")</f>
        <v>7846</v>
      </c>
      <c r="F401" s="24" t="s">
        <v>6397</v>
      </c>
      <c r="G401" s="24" t="s">
        <v>6369</v>
      </c>
      <c r="H401" s="14" t="s">
        <v>6370</v>
      </c>
      <c r="I401" s="14" t="s">
        <v>6433</v>
      </c>
      <c r="J401" s="15" t="s">
        <v>6434</v>
      </c>
      <c r="K401" s="16">
        <v>385.082739</v>
      </c>
      <c r="L401" s="17">
        <v>236.33710199999999</v>
      </c>
      <c r="M401" s="18">
        <f t="shared" si="7"/>
        <v>0.6137307078830142</v>
      </c>
    </row>
    <row r="402" spans="1:13">
      <c r="A402" s="13" t="s">
        <v>6398</v>
      </c>
      <c r="B402" s="14" t="s">
        <v>6398</v>
      </c>
      <c r="C402" s="14" t="str">
        <f>HYPERLINK("http://uswest.ensembl.org/Homo_sapiens/Gene/Summary?g=","-")</f>
        <v>-</v>
      </c>
      <c r="D402" s="14" t="s">
        <v>6399</v>
      </c>
      <c r="E402" s="14" t="str">
        <f>HYPERLINK("http://www.ncbi.nlm.nih.gov/sites/entrez?db=gene&amp;cmd=Retrieve&amp;dopt=full_report&amp;list_uids=9895","9895")</f>
        <v>9895</v>
      </c>
      <c r="F402" s="24" t="s">
        <v>6400</v>
      </c>
      <c r="G402" s="24" t="s">
        <v>6401</v>
      </c>
      <c r="H402" s="14" t="s">
        <v>8728</v>
      </c>
      <c r="I402" s="14" t="s">
        <v>8728</v>
      </c>
      <c r="J402" s="15" t="s">
        <v>8728</v>
      </c>
      <c r="K402" s="16">
        <v>43.690264999999997</v>
      </c>
      <c r="L402" s="17">
        <v>26.823118999999998</v>
      </c>
      <c r="M402" s="18">
        <f t="shared" si="7"/>
        <v>0.61393811642021401</v>
      </c>
    </row>
    <row r="403" spans="1:13">
      <c r="A403" s="13" t="s">
        <v>6378</v>
      </c>
      <c r="B403" s="14" t="s">
        <v>6378</v>
      </c>
      <c r="C403" s="14" t="str">
        <f>HYPERLINK("http://uswest.ensembl.org/Homo_sapiens/Gene/Summary?g=ENSG00000166311","ENSG00000166311")</f>
        <v>ENSG00000166311</v>
      </c>
      <c r="D403" s="14" t="s">
        <v>6379</v>
      </c>
      <c r="E403" s="14" t="str">
        <f>HYPERLINK("http://www.ncbi.nlm.nih.gov/sites/entrez?db=gene&amp;cmd=Retrieve&amp;dopt=full_report&amp;list_uids=6609","6609")</f>
        <v>6609</v>
      </c>
      <c r="F403" s="24" t="s">
        <v>6380</v>
      </c>
      <c r="G403" s="24" t="s">
        <v>6381</v>
      </c>
      <c r="H403" s="14" t="s">
        <v>6382</v>
      </c>
      <c r="I403" s="14" t="s">
        <v>6383</v>
      </c>
      <c r="J403" s="15" t="s">
        <v>6384</v>
      </c>
      <c r="K403" s="16">
        <v>42.065866999999997</v>
      </c>
      <c r="L403" s="17">
        <v>25.842669000000001</v>
      </c>
      <c r="M403" s="18">
        <f t="shared" si="7"/>
        <v>0.61433819966197301</v>
      </c>
    </row>
    <row r="404" spans="1:13">
      <c r="A404" s="13" t="s">
        <v>6363</v>
      </c>
      <c r="B404" s="14" t="s">
        <v>6363</v>
      </c>
      <c r="C404" s="14" t="str">
        <f>HYPERLINK("http://uswest.ensembl.org/Homo_sapiens/Gene/Summary?g=ENSG00000114026","ENSG00000114026")</f>
        <v>ENSG00000114026</v>
      </c>
      <c r="D404" s="14" t="s">
        <v>6364</v>
      </c>
      <c r="E404" s="14" t="str">
        <f>HYPERLINK("http://www.ncbi.nlm.nih.gov/sites/entrez?db=gene&amp;cmd=Retrieve&amp;dopt=full_report&amp;list_uids=4968","4968")</f>
        <v>4968</v>
      </c>
      <c r="F404" s="24" t="s">
        <v>7081</v>
      </c>
      <c r="G404" s="24" t="s">
        <v>7118</v>
      </c>
      <c r="H404" s="14" t="s">
        <v>7117</v>
      </c>
      <c r="I404" s="14" t="s">
        <v>7089</v>
      </c>
      <c r="J404" s="15" t="s">
        <v>8558</v>
      </c>
      <c r="K404" s="16">
        <v>65.731757999999999</v>
      </c>
      <c r="L404" s="17">
        <v>40.386316999999998</v>
      </c>
      <c r="M404" s="18">
        <f t="shared" si="7"/>
        <v>0.61441102792351909</v>
      </c>
    </row>
    <row r="405" spans="1:13">
      <c r="A405" s="13" t="s">
        <v>6387</v>
      </c>
      <c r="B405" s="14" t="s">
        <v>6387</v>
      </c>
      <c r="C405" s="14" t="str">
        <f>HYPERLINK("http://uswest.ensembl.org/Homo_sapiens/Gene/Summary?g=ENSG00000167390","ENSG00000167390")</f>
        <v>ENSG00000167390</v>
      </c>
      <c r="D405" s="14" t="s">
        <v>8728</v>
      </c>
      <c r="E405" s="14" t="str">
        <f>HYPERLINK("http://www.ncbi.nlm.nih.gov/sites/entrez?db=gene&amp;cmd=Retrieve&amp;dopt=full_report&amp;list_uids=","-")</f>
        <v>-</v>
      </c>
      <c r="F405" s="24" t="s">
        <v>6388</v>
      </c>
      <c r="G405" s="24" t="s">
        <v>6389</v>
      </c>
      <c r="H405" s="14" t="s">
        <v>8728</v>
      </c>
      <c r="I405" s="14" t="s">
        <v>8728</v>
      </c>
      <c r="J405" s="15" t="s">
        <v>8728</v>
      </c>
      <c r="K405" s="16">
        <v>42.360036000000001</v>
      </c>
      <c r="L405" s="17">
        <v>26.045518000000001</v>
      </c>
      <c r="M405" s="18">
        <f t="shared" si="7"/>
        <v>0.61486062004291031</v>
      </c>
    </row>
    <row r="406" spans="1:13">
      <c r="A406" s="13" t="s">
        <v>6435</v>
      </c>
      <c r="B406" s="14" t="s">
        <v>6435</v>
      </c>
      <c r="C406" s="14" t="str">
        <f>HYPERLINK("http://uswest.ensembl.org/Homo_sapiens/Gene/Summary?g=ENSG00000159423","ENSG00000159423")</f>
        <v>ENSG00000159423</v>
      </c>
      <c r="D406" s="14" t="s">
        <v>6436</v>
      </c>
      <c r="E406" s="14" t="str">
        <f>HYPERLINK("http://www.ncbi.nlm.nih.gov/sites/entrez?db=gene&amp;cmd=Retrieve&amp;dopt=full_report&amp;list_uids=","-")</f>
        <v>-</v>
      </c>
      <c r="F406" s="24" t="s">
        <v>6405</v>
      </c>
      <c r="G406" s="24" t="s">
        <v>6354</v>
      </c>
      <c r="H406" s="14" t="s">
        <v>6355</v>
      </c>
      <c r="I406" s="14" t="s">
        <v>6372</v>
      </c>
      <c r="J406" s="15" t="s">
        <v>6373</v>
      </c>
      <c r="K406" s="16">
        <v>53.277262999999998</v>
      </c>
      <c r="L406" s="17">
        <v>32.785136000000001</v>
      </c>
      <c r="M406" s="18">
        <f t="shared" si="7"/>
        <v>0.61536824817746372</v>
      </c>
    </row>
    <row r="407" spans="1:13">
      <c r="A407" s="13" t="s">
        <v>6374</v>
      </c>
      <c r="B407" s="14" t="s">
        <v>6374</v>
      </c>
      <c r="C407" s="14" t="str">
        <f>HYPERLINK("http://uswest.ensembl.org/Homo_sapiens/Gene/Summary?g=ENSG00000120075","ENSG00000120075")</f>
        <v>ENSG00000120075</v>
      </c>
      <c r="D407" s="14" t="s">
        <v>6375</v>
      </c>
      <c r="E407" s="14" t="str">
        <f>HYPERLINK("http://www.ncbi.nlm.nih.gov/sites/entrez?db=gene&amp;cmd=Retrieve&amp;dopt=full_report&amp;list_uids=3215","3215")</f>
        <v>3215</v>
      </c>
      <c r="F407" s="24" t="s">
        <v>6376</v>
      </c>
      <c r="G407" s="24" t="s">
        <v>6377</v>
      </c>
      <c r="H407" s="19" t="s">
        <v>6356</v>
      </c>
      <c r="I407" s="14" t="s">
        <v>8403</v>
      </c>
      <c r="J407" s="15" t="s">
        <v>8558</v>
      </c>
      <c r="K407" s="16">
        <v>31.751926000000001</v>
      </c>
      <c r="L407" s="17">
        <v>19.53998</v>
      </c>
      <c r="M407" s="18">
        <f t="shared" si="7"/>
        <v>0.61539511020528326</v>
      </c>
    </row>
    <row r="408" spans="1:13">
      <c r="A408" s="13" t="s">
        <v>6357</v>
      </c>
      <c r="B408" s="14" t="s">
        <v>6357</v>
      </c>
      <c r="C408" s="14" t="str">
        <f>HYPERLINK("http://uswest.ensembl.org/Homo_sapiens/Gene/Summary?g=ENSG00000162426","ENSG00000162426")</f>
        <v>ENSG00000162426</v>
      </c>
      <c r="D408" s="14" t="s">
        <v>6358</v>
      </c>
      <c r="E408" s="14" t="str">
        <f>HYPERLINK("http://www.ncbi.nlm.nih.gov/sites/entrez?db=gene&amp;cmd=Retrieve&amp;dopt=full_report&amp;list_uids=50651","50651")</f>
        <v>50651</v>
      </c>
      <c r="F408" s="24" t="s">
        <v>6359</v>
      </c>
      <c r="G408" s="24" t="s">
        <v>6360</v>
      </c>
      <c r="H408" s="14" t="s">
        <v>6361</v>
      </c>
      <c r="I408" s="14" t="s">
        <v>6362</v>
      </c>
      <c r="J408" s="15" t="s">
        <v>8698</v>
      </c>
      <c r="K408" s="16">
        <v>240.76422199999999</v>
      </c>
      <c r="L408" s="17">
        <v>148.18816000000001</v>
      </c>
      <c r="M408" s="18">
        <f t="shared" si="7"/>
        <v>0.61549078500542331</v>
      </c>
    </row>
    <row r="409" spans="1:13">
      <c r="A409" s="13" t="s">
        <v>6331</v>
      </c>
      <c r="B409" s="14" t="s">
        <v>6331</v>
      </c>
      <c r="C409" s="14" t="str">
        <f>HYPERLINK("http://uswest.ensembl.org/Homo_sapiens/Gene/Summary?g=ENSG00000189042","ENSG00000189042")</f>
        <v>ENSG00000189042</v>
      </c>
      <c r="D409" s="14" t="s">
        <v>6332</v>
      </c>
      <c r="E409" s="14" t="str">
        <f>HYPERLINK("http://www.ncbi.nlm.nih.gov/sites/entrez?db=gene&amp;cmd=Retrieve&amp;dopt=full_report&amp;list_uids=163081","163081")</f>
        <v>163081</v>
      </c>
      <c r="F409" s="24" t="s">
        <v>6333</v>
      </c>
      <c r="G409" s="24" t="s">
        <v>6334</v>
      </c>
      <c r="H409" s="14" t="s">
        <v>8581</v>
      </c>
      <c r="I409" s="14" t="s">
        <v>8582</v>
      </c>
      <c r="J409" s="15" t="s">
        <v>8622</v>
      </c>
      <c r="K409" s="16">
        <v>36.140487</v>
      </c>
      <c r="L409" s="17">
        <v>22.251304000000001</v>
      </c>
      <c r="M409" s="18">
        <f t="shared" si="7"/>
        <v>0.61568910236323049</v>
      </c>
    </row>
    <row r="410" spans="1:13">
      <c r="A410" s="13" t="s">
        <v>6335</v>
      </c>
      <c r="B410" s="14" t="s">
        <v>6335</v>
      </c>
      <c r="C410" s="14" t="str">
        <f>HYPERLINK("http://uswest.ensembl.org/Homo_sapiens/Gene/Summary?g=ENSG00000136436","ENSG00000136436")</f>
        <v>ENSG00000136436</v>
      </c>
      <c r="D410" s="14" t="s">
        <v>6336</v>
      </c>
      <c r="E410" s="14" t="str">
        <f>HYPERLINK("http://www.ncbi.nlm.nih.gov/sites/entrez?db=gene&amp;cmd=Retrieve&amp;dopt=full_report&amp;list_uids=10241","10241")</f>
        <v>10241</v>
      </c>
      <c r="F410" s="24" t="s">
        <v>6337</v>
      </c>
      <c r="G410" s="24" t="s">
        <v>6365</v>
      </c>
      <c r="H410" s="14" t="s">
        <v>6338</v>
      </c>
      <c r="I410" s="14" t="s">
        <v>8533</v>
      </c>
      <c r="J410" s="15" t="s">
        <v>6339</v>
      </c>
      <c r="K410" s="16">
        <v>142.95317900000001</v>
      </c>
      <c r="L410" s="17">
        <v>88.045178000000007</v>
      </c>
      <c r="M410" s="18">
        <f t="shared" si="7"/>
        <v>0.61590220389572448</v>
      </c>
    </row>
    <row r="411" spans="1:13">
      <c r="A411" s="13" t="s">
        <v>6366</v>
      </c>
      <c r="B411" s="14" t="s">
        <v>6366</v>
      </c>
      <c r="C411" s="14" t="str">
        <f>HYPERLINK("http://uswest.ensembl.org/Homo_sapiens/Gene/Summary?g=ENSG00000116473","ENSG00000116473")</f>
        <v>ENSG00000116473</v>
      </c>
      <c r="D411" s="14" t="s">
        <v>6367</v>
      </c>
      <c r="E411" s="14" t="str">
        <f>HYPERLINK("http://www.ncbi.nlm.nih.gov/sites/entrez?db=gene&amp;cmd=Retrieve&amp;dopt=full_report&amp;list_uids=5906","5906")</f>
        <v>5906</v>
      </c>
      <c r="F411" s="24" t="s">
        <v>6368</v>
      </c>
      <c r="G411" s="24" t="s">
        <v>6340</v>
      </c>
      <c r="H411" s="14" t="s">
        <v>6341</v>
      </c>
      <c r="I411" s="14" t="s">
        <v>8467</v>
      </c>
      <c r="J411" s="15" t="s">
        <v>6342</v>
      </c>
      <c r="K411" s="16">
        <v>430.93903399999999</v>
      </c>
      <c r="L411" s="17">
        <v>265.449479</v>
      </c>
      <c r="M411" s="18">
        <f t="shared" si="7"/>
        <v>0.61597919440270521</v>
      </c>
    </row>
    <row r="412" spans="1:13">
      <c r="A412" s="13" t="s">
        <v>6343</v>
      </c>
      <c r="B412" s="14" t="s">
        <v>6343</v>
      </c>
      <c r="C412" s="14" t="str">
        <f>HYPERLINK("http://uswest.ensembl.org/Homo_sapiens/Gene/Summary?g=ENSG00000167333","ENSG00000167333")</f>
        <v>ENSG00000167333</v>
      </c>
      <c r="D412" s="14" t="s">
        <v>6344</v>
      </c>
      <c r="E412" s="14" t="str">
        <f>HYPERLINK("http://www.ncbi.nlm.nih.gov/sites/entrez?db=gene&amp;cmd=Retrieve&amp;dopt=full_report&amp;list_uids=55128","55128")</f>
        <v>55128</v>
      </c>
      <c r="F412" s="24" t="s">
        <v>6345</v>
      </c>
      <c r="G412" s="24" t="s">
        <v>6346</v>
      </c>
      <c r="H412" s="14" t="s">
        <v>8728</v>
      </c>
      <c r="I412" s="14" t="s">
        <v>8609</v>
      </c>
      <c r="J412" s="15" t="s">
        <v>8294</v>
      </c>
      <c r="K412" s="16">
        <v>43.465060000000001</v>
      </c>
      <c r="L412" s="17">
        <v>26.77647</v>
      </c>
      <c r="M412" s="18">
        <f t="shared" si="7"/>
        <v>0.6160458538421435</v>
      </c>
    </row>
    <row r="413" spans="1:13">
      <c r="A413" s="13" t="s">
        <v>6304</v>
      </c>
      <c r="B413" s="14" t="s">
        <v>6304</v>
      </c>
      <c r="C413" s="14" t="str">
        <f>HYPERLINK("http://uswest.ensembl.org/Homo_sapiens/Gene/Summary?g=ENSG00000108179","ENSG00000108179")</f>
        <v>ENSG00000108179</v>
      </c>
      <c r="D413" s="14" t="s">
        <v>6305</v>
      </c>
      <c r="E413" s="14" t="str">
        <f>HYPERLINK("http://www.ncbi.nlm.nih.gov/sites/entrez?db=gene&amp;cmd=Retrieve&amp;dopt=full_report&amp;list_uids=","-")</f>
        <v>-</v>
      </c>
      <c r="F413" s="24" t="s">
        <v>6306</v>
      </c>
      <c r="G413" s="24" t="s">
        <v>6307</v>
      </c>
      <c r="H413" s="14" t="s">
        <v>8728</v>
      </c>
      <c r="I413" s="14" t="s">
        <v>6308</v>
      </c>
      <c r="J413" s="15" t="s">
        <v>8728</v>
      </c>
      <c r="K413" s="16">
        <v>290.62919799999997</v>
      </c>
      <c r="L413" s="17">
        <v>179.08030199999999</v>
      </c>
      <c r="M413" s="18">
        <f t="shared" si="7"/>
        <v>0.61618138587713411</v>
      </c>
    </row>
    <row r="414" spans="1:13">
      <c r="A414" s="13" t="s">
        <v>6309</v>
      </c>
      <c r="B414" s="14" t="s">
        <v>6309</v>
      </c>
      <c r="C414" s="14" t="str">
        <f>HYPERLINK("http://uswest.ensembl.org/Homo_sapiens/Gene/Summary?g=","-")</f>
        <v>-</v>
      </c>
      <c r="D414" s="14" t="s">
        <v>6310</v>
      </c>
      <c r="E414" s="14" t="str">
        <f>HYPERLINK("http://www.ncbi.nlm.nih.gov/sites/entrez?db=gene&amp;cmd=Retrieve&amp;dopt=full_report&amp;list_uids=25780","25780")</f>
        <v>25780</v>
      </c>
      <c r="F414" s="24" t="s">
        <v>6348</v>
      </c>
      <c r="G414" s="24" t="s">
        <v>6404</v>
      </c>
      <c r="H414" s="14" t="s">
        <v>6312</v>
      </c>
      <c r="I414" s="14" t="s">
        <v>6313</v>
      </c>
      <c r="J414" s="15" t="s">
        <v>6314</v>
      </c>
      <c r="K414" s="16">
        <v>71.588026999999997</v>
      </c>
      <c r="L414" s="17">
        <v>44.114291999999999</v>
      </c>
      <c r="M414" s="18">
        <f t="shared" si="7"/>
        <v>0.61622444211236604</v>
      </c>
    </row>
    <row r="415" spans="1:13">
      <c r="A415" s="13" t="s">
        <v>6315</v>
      </c>
      <c r="B415" s="14" t="s">
        <v>6315</v>
      </c>
      <c r="C415" s="14" t="str">
        <f>HYPERLINK("http://uswest.ensembl.org/Homo_sapiens/Gene/Summary?g=","-")</f>
        <v>-</v>
      </c>
      <c r="D415" s="14" t="s">
        <v>6316</v>
      </c>
      <c r="E415" s="14" t="str">
        <f>HYPERLINK("http://www.ncbi.nlm.nih.gov/sites/entrez?db=gene&amp;cmd=Retrieve&amp;dopt=full_report&amp;list_uids=10379","10379")</f>
        <v>10379</v>
      </c>
      <c r="F415" s="24" t="s">
        <v>6317</v>
      </c>
      <c r="G415" s="24" t="s">
        <v>6371</v>
      </c>
      <c r="H415" s="14" t="s">
        <v>6328</v>
      </c>
      <c r="I415" s="14" t="s">
        <v>6329</v>
      </c>
      <c r="J415" s="15" t="s">
        <v>6330</v>
      </c>
      <c r="K415" s="16">
        <v>31.925124</v>
      </c>
      <c r="L415" s="17">
        <v>19.676690000000001</v>
      </c>
      <c r="M415" s="18">
        <f t="shared" si="7"/>
        <v>0.61633871805791574</v>
      </c>
    </row>
    <row r="416" spans="1:13">
      <c r="A416" s="13" t="s">
        <v>6351</v>
      </c>
      <c r="B416" s="14" t="s">
        <v>6351</v>
      </c>
      <c r="C416" s="14" t="str">
        <f>HYPERLINK("http://uswest.ensembl.org/Homo_sapiens/Gene/Summary?g=ENSG00000117505","ENSG00000117505")</f>
        <v>ENSG00000117505</v>
      </c>
      <c r="D416" s="14" t="s">
        <v>6352</v>
      </c>
      <c r="E416" s="14" t="str">
        <f>HYPERLINK("http://www.ncbi.nlm.nih.gov/sites/entrez?db=gene&amp;cmd=Retrieve&amp;dopt=full_report&amp;list_uids=1810","1810")</f>
        <v>1810</v>
      </c>
      <c r="F416" s="24" t="s">
        <v>6353</v>
      </c>
      <c r="G416" s="24" t="s">
        <v>6301</v>
      </c>
      <c r="H416" s="14" t="s">
        <v>6302</v>
      </c>
      <c r="I416" s="14" t="s">
        <v>6303</v>
      </c>
      <c r="J416" s="15" t="s">
        <v>8622</v>
      </c>
      <c r="K416" s="16">
        <v>193.40186199999999</v>
      </c>
      <c r="L416" s="17">
        <v>119.260823</v>
      </c>
      <c r="M416" s="18">
        <f t="shared" si="7"/>
        <v>0.61664774975124081</v>
      </c>
    </row>
    <row r="417" spans="1:13">
      <c r="A417" s="13" t="s">
        <v>6295</v>
      </c>
      <c r="B417" s="14" t="s">
        <v>6295</v>
      </c>
      <c r="C417" s="14" t="str">
        <f>HYPERLINK("http://uswest.ensembl.org/Homo_sapiens/Gene/Summary?g=ENSG00000155975","ENSG00000155975")</f>
        <v>ENSG00000155975</v>
      </c>
      <c r="D417" s="14" t="s">
        <v>6296</v>
      </c>
      <c r="E417" s="14" t="str">
        <f>HYPERLINK("http://www.ncbi.nlm.nih.gov/sites/entrez?db=gene&amp;cmd=Retrieve&amp;dopt=full_report&amp;list_uids=137492","137492")</f>
        <v>137492</v>
      </c>
      <c r="F417" s="24" t="s">
        <v>6297</v>
      </c>
      <c r="G417" s="24" t="s">
        <v>6349</v>
      </c>
      <c r="H417" s="14" t="s">
        <v>8454</v>
      </c>
      <c r="I417" s="14" t="s">
        <v>8728</v>
      </c>
      <c r="J417" s="15" t="s">
        <v>6350</v>
      </c>
      <c r="K417" s="16">
        <v>84.481500999999994</v>
      </c>
      <c r="L417" s="17">
        <v>52.145110000000003</v>
      </c>
      <c r="M417" s="18">
        <f t="shared" si="7"/>
        <v>0.61723702091893473</v>
      </c>
    </row>
    <row r="418" spans="1:13">
      <c r="A418" s="13" t="s">
        <v>6286</v>
      </c>
      <c r="B418" s="14" t="s">
        <v>6286</v>
      </c>
      <c r="C418" s="14" t="str">
        <f>HYPERLINK("http://uswest.ensembl.org/Homo_sapiens/Gene/Summary?g=","-")</f>
        <v>-</v>
      </c>
      <c r="D418" s="14" t="s">
        <v>8728</v>
      </c>
      <c r="E418" s="14" t="str">
        <f>HYPERLINK("http://www.ncbi.nlm.nih.gov/sites/entrez?db=gene&amp;cmd=Retrieve&amp;dopt=full_report&amp;list_uids=100293222","100293222")</f>
        <v>100293222</v>
      </c>
      <c r="F418" s="24" t="s">
        <v>8728</v>
      </c>
      <c r="G418" s="24" t="s">
        <v>8728</v>
      </c>
      <c r="H418" s="14" t="s">
        <v>8728</v>
      </c>
      <c r="I418" s="14" t="s">
        <v>8728</v>
      </c>
      <c r="J418" s="15" t="s">
        <v>8728</v>
      </c>
      <c r="K418" s="16">
        <v>35.791547999999999</v>
      </c>
      <c r="L418" s="17">
        <v>22.103133</v>
      </c>
      <c r="M418" s="18">
        <f t="shared" si="7"/>
        <v>0.61755174713314998</v>
      </c>
    </row>
    <row r="419" spans="1:13">
      <c r="A419" s="13" t="s">
        <v>6287</v>
      </c>
      <c r="B419" s="14" t="s">
        <v>6287</v>
      </c>
      <c r="C419" s="14" t="str">
        <f>HYPERLINK("http://uswest.ensembl.org/Homo_sapiens/Gene/Summary?g=","-")</f>
        <v>-</v>
      </c>
      <c r="D419" s="14" t="s">
        <v>6288</v>
      </c>
      <c r="E419" s="14" t="str">
        <f>HYPERLINK("http://www.ncbi.nlm.nih.gov/sites/entrez?db=gene&amp;cmd=Retrieve&amp;dopt=full_report&amp;list_uids=126917","126917")</f>
        <v>126917</v>
      </c>
      <c r="F419" s="24" t="s">
        <v>6289</v>
      </c>
      <c r="G419" s="24" t="s">
        <v>6290</v>
      </c>
      <c r="H419" s="14" t="s">
        <v>8728</v>
      </c>
      <c r="I419" s="14" t="s">
        <v>8728</v>
      </c>
      <c r="J419" s="15" t="s">
        <v>8728</v>
      </c>
      <c r="K419" s="16">
        <v>88.566400999999999</v>
      </c>
      <c r="L419" s="17">
        <v>54.699581000000002</v>
      </c>
      <c r="M419" s="18">
        <f t="shared" si="7"/>
        <v>0.61761097190795866</v>
      </c>
    </row>
    <row r="420" spans="1:13">
      <c r="A420" s="13" t="s">
        <v>6291</v>
      </c>
      <c r="B420" s="14" t="s">
        <v>6291</v>
      </c>
      <c r="C420" s="14" t="str">
        <f>HYPERLINK("http://uswest.ensembl.org/Homo_sapiens/Gene/Summary?g=","-")</f>
        <v>-</v>
      </c>
      <c r="D420" s="14" t="s">
        <v>6292</v>
      </c>
      <c r="E420" s="14" t="str">
        <f>HYPERLINK("http://www.ncbi.nlm.nih.gov/sites/entrez?db=gene&amp;cmd=Retrieve&amp;dopt=full_report&amp;list_uids=1739","1739")</f>
        <v>1739</v>
      </c>
      <c r="F420" s="24" t="s">
        <v>6293</v>
      </c>
      <c r="G420" s="24" t="s">
        <v>6294</v>
      </c>
      <c r="H420" s="14" t="s">
        <v>8728</v>
      </c>
      <c r="I420" s="14" t="s">
        <v>8665</v>
      </c>
      <c r="J420" s="15" t="s">
        <v>8728</v>
      </c>
      <c r="K420" s="16">
        <v>108.375512</v>
      </c>
      <c r="L420" s="17">
        <v>66.934839999999994</v>
      </c>
      <c r="M420" s="18">
        <f t="shared" si="7"/>
        <v>0.61761959657454713</v>
      </c>
    </row>
    <row r="421" spans="1:13">
      <c r="A421" s="13" t="s">
        <v>6285</v>
      </c>
      <c r="B421" s="14" t="s">
        <v>6285</v>
      </c>
      <c r="C421" s="14" t="str">
        <f>HYPERLINK("http://uswest.ensembl.org/Homo_sapiens/Gene/Summary?g=ENSG00000184774","ENSG00000184774")</f>
        <v>ENSG00000184774</v>
      </c>
      <c r="D421" s="14" t="s">
        <v>8728</v>
      </c>
      <c r="E421" s="14" t="str">
        <f>HYPERLINK("http://www.ncbi.nlm.nih.gov/sites/entrez?db=gene&amp;cmd=Retrieve&amp;dopt=full_report&amp;list_uids=","-")</f>
        <v>-</v>
      </c>
      <c r="F421" s="24" t="s">
        <v>6280</v>
      </c>
      <c r="G421" s="24" t="s">
        <v>6281</v>
      </c>
      <c r="H421" s="14" t="s">
        <v>8210</v>
      </c>
      <c r="I421" s="14" t="s">
        <v>8183</v>
      </c>
      <c r="J421" s="15" t="s">
        <v>8691</v>
      </c>
      <c r="K421" s="16">
        <v>53.958404000000002</v>
      </c>
      <c r="L421" s="17">
        <v>33.345564000000003</v>
      </c>
      <c r="M421" s="18">
        <f t="shared" si="7"/>
        <v>0.61798647713894583</v>
      </c>
    </row>
    <row r="422" spans="1:13">
      <c r="A422" s="13" t="s">
        <v>6282</v>
      </c>
      <c r="B422" s="14" t="s">
        <v>6282</v>
      </c>
      <c r="C422" s="14" t="str">
        <f>HYPERLINK("http://uswest.ensembl.org/Homo_sapiens/Gene/Summary?g=ENSG00000221823","ENSG00000221823")</f>
        <v>ENSG00000221823</v>
      </c>
      <c r="D422" s="14" t="s">
        <v>6283</v>
      </c>
      <c r="E422" s="14" t="str">
        <f>HYPERLINK("http://www.ncbi.nlm.nih.gov/sites/entrez?db=gene&amp;cmd=Retrieve&amp;dopt=full_report&amp;list_uids=","-")</f>
        <v>-</v>
      </c>
      <c r="F422" s="24" t="s">
        <v>6284</v>
      </c>
      <c r="G422" s="24" t="s">
        <v>6275</v>
      </c>
      <c r="H422" s="14" t="s">
        <v>8728</v>
      </c>
      <c r="I422" s="14" t="s">
        <v>8728</v>
      </c>
      <c r="J422" s="15" t="s">
        <v>8728</v>
      </c>
      <c r="K422" s="16">
        <v>58.883068999999999</v>
      </c>
      <c r="L422" s="17">
        <v>36.443097999999999</v>
      </c>
      <c r="M422" s="18">
        <f t="shared" si="7"/>
        <v>0.61890622582868426</v>
      </c>
    </row>
    <row r="423" spans="1:13">
      <c r="A423" s="13" t="s">
        <v>6276</v>
      </c>
      <c r="B423" s="14" t="s">
        <v>6276</v>
      </c>
      <c r="C423" s="14" t="str">
        <f>HYPERLINK("http://uswest.ensembl.org/Homo_sapiens/Gene/Summary?g=","-")</f>
        <v>-</v>
      </c>
      <c r="D423" s="14" t="s">
        <v>6277</v>
      </c>
      <c r="E423" s="14" t="str">
        <f>HYPERLINK("http://www.ncbi.nlm.nih.gov/sites/entrez?db=gene&amp;cmd=Retrieve&amp;dopt=full_report&amp;list_uids=100293658","100293658")</f>
        <v>100293658</v>
      </c>
      <c r="F423" s="24" t="s">
        <v>6278</v>
      </c>
      <c r="G423" s="24" t="s">
        <v>6279</v>
      </c>
      <c r="H423" s="14" t="s">
        <v>8728</v>
      </c>
      <c r="I423" s="14" t="s">
        <v>8728</v>
      </c>
      <c r="J423" s="15" t="s">
        <v>8728</v>
      </c>
      <c r="K423" s="16">
        <v>60.100698999999999</v>
      </c>
      <c r="L423" s="17">
        <v>37.210903999999999</v>
      </c>
      <c r="M423" s="18">
        <f t="shared" si="7"/>
        <v>0.61914261596192088</v>
      </c>
    </row>
    <row r="424" spans="1:13">
      <c r="A424" s="13" t="s">
        <v>6268</v>
      </c>
      <c r="B424" s="14" t="s">
        <v>6268</v>
      </c>
      <c r="C424" s="14" t="str">
        <f>HYPERLINK("http://uswest.ensembl.org/Homo_sapiens/Gene/Summary?g=ENSG00000214525","ENSG00000214525")</f>
        <v>ENSG00000214525</v>
      </c>
      <c r="D424" s="14" t="s">
        <v>8728</v>
      </c>
      <c r="E424" s="14" t="str">
        <f>HYPERLINK("http://www.ncbi.nlm.nih.gov/sites/entrez?db=gene&amp;cmd=Retrieve&amp;dopt=full_report&amp;list_uids=","-")</f>
        <v>-</v>
      </c>
      <c r="F424" s="24" t="s">
        <v>6269</v>
      </c>
      <c r="G424" s="24" t="s">
        <v>6270</v>
      </c>
      <c r="H424" s="14" t="s">
        <v>8728</v>
      </c>
      <c r="I424" s="14" t="s">
        <v>8728</v>
      </c>
      <c r="J424" s="15" t="s">
        <v>8728</v>
      </c>
      <c r="K424" s="16">
        <v>32.972616000000002</v>
      </c>
      <c r="L424" s="17">
        <v>20.433868</v>
      </c>
      <c r="M424" s="18">
        <f t="shared" si="7"/>
        <v>0.61972237810915576</v>
      </c>
    </row>
    <row r="425" spans="1:13">
      <c r="A425" s="13" t="s">
        <v>6271</v>
      </c>
      <c r="B425" s="14" t="s">
        <v>6271</v>
      </c>
      <c r="C425" s="14" t="str">
        <f>HYPERLINK("http://uswest.ensembl.org/Homo_sapiens/Gene/Summary?g=ENSG00000132749","ENSG00000132749")</f>
        <v>ENSG00000132749</v>
      </c>
      <c r="D425" s="14" t="s">
        <v>6272</v>
      </c>
      <c r="E425" s="14" t="str">
        <f>HYPERLINK("http://www.ncbi.nlm.nih.gov/sites/entrez?db=gene&amp;cmd=Retrieve&amp;dopt=full_report&amp;list_uids=9633","9633")</f>
        <v>9633</v>
      </c>
      <c r="F425" s="24" t="s">
        <v>6273</v>
      </c>
      <c r="G425" s="24" t="s">
        <v>6274</v>
      </c>
      <c r="H425" s="14" t="s">
        <v>6261</v>
      </c>
      <c r="I425" s="14" t="s">
        <v>6262</v>
      </c>
      <c r="J425" s="15" t="s">
        <v>6263</v>
      </c>
      <c r="K425" s="16">
        <v>42.718465999999999</v>
      </c>
      <c r="L425" s="17">
        <v>26.480501</v>
      </c>
      <c r="M425" s="18">
        <f t="shared" si="7"/>
        <v>0.6198841737435048</v>
      </c>
    </row>
    <row r="426" spans="1:13">
      <c r="A426" s="13" t="s">
        <v>6250</v>
      </c>
      <c r="B426" s="14" t="s">
        <v>6250</v>
      </c>
      <c r="C426" s="14" t="str">
        <f>HYPERLINK("http://uswest.ensembl.org/Homo_sapiens/Gene/Summary?g=ENSG00000143514","ENSG00000143514")</f>
        <v>ENSG00000143514</v>
      </c>
      <c r="D426" s="14" t="s">
        <v>6251</v>
      </c>
      <c r="E426" s="14" t="str">
        <f>HYPERLINK("http://www.ncbi.nlm.nih.gov/sites/entrez?db=gene&amp;cmd=Retrieve&amp;dopt=full_report&amp;list_uids=7159","7159")</f>
        <v>7159</v>
      </c>
      <c r="F426" s="24" t="s">
        <v>6252</v>
      </c>
      <c r="G426" s="24" t="s">
        <v>6253</v>
      </c>
      <c r="H426" s="14" t="s">
        <v>6254</v>
      </c>
      <c r="I426" s="14" t="s">
        <v>6318</v>
      </c>
      <c r="J426" s="15" t="s">
        <v>8608</v>
      </c>
      <c r="K426" s="16">
        <v>80.116556000000003</v>
      </c>
      <c r="L426" s="17">
        <v>49.686979000000001</v>
      </c>
      <c r="M426" s="18">
        <f t="shared" si="7"/>
        <v>0.62018366091522958</v>
      </c>
    </row>
    <row r="427" spans="1:13">
      <c r="A427" s="13" t="s">
        <v>6319</v>
      </c>
      <c r="B427" s="14" t="s">
        <v>6319</v>
      </c>
      <c r="C427" s="14" t="str">
        <f>HYPERLINK("http://uswest.ensembl.org/Homo_sapiens/Gene/Summary?g=","-")</f>
        <v>-</v>
      </c>
      <c r="D427" s="14" t="s">
        <v>6320</v>
      </c>
      <c r="E427" s="14" t="str">
        <f>HYPERLINK("http://www.ncbi.nlm.nih.gov/sites/entrez?db=gene&amp;cmd=Retrieve&amp;dopt=full_report&amp;list_uids=84267","84267")</f>
        <v>84267</v>
      </c>
      <c r="F427" s="24" t="s">
        <v>6321</v>
      </c>
      <c r="G427" s="24" t="s">
        <v>6322</v>
      </c>
      <c r="H427" s="14" t="s">
        <v>8076</v>
      </c>
      <c r="I427" s="14" t="s">
        <v>8648</v>
      </c>
      <c r="J427" s="15" t="s">
        <v>7768</v>
      </c>
      <c r="K427" s="16">
        <v>78.659829999999999</v>
      </c>
      <c r="L427" s="17">
        <v>48.795020000000001</v>
      </c>
      <c r="M427" s="18">
        <f t="shared" si="7"/>
        <v>0.62032958881299394</v>
      </c>
    </row>
    <row r="428" spans="1:13">
      <c r="A428" s="13" t="s">
        <v>6323</v>
      </c>
      <c r="B428" s="14" t="s">
        <v>6323</v>
      </c>
      <c r="C428" s="14" t="str">
        <f>HYPERLINK("http://uswest.ensembl.org/Homo_sapiens/Gene/Summary?g=ENSG00000198113","ENSG00000198113")</f>
        <v>ENSG00000198113</v>
      </c>
      <c r="D428" s="14" t="s">
        <v>6324</v>
      </c>
      <c r="E428" s="14" t="str">
        <f>HYPERLINK("http://www.ncbi.nlm.nih.gov/sites/entrez?db=gene&amp;cmd=Retrieve&amp;dopt=full_report&amp;list_uids=54863","54863")</f>
        <v>54863</v>
      </c>
      <c r="F428" s="24" t="s">
        <v>6325</v>
      </c>
      <c r="G428" s="24" t="s">
        <v>6326</v>
      </c>
      <c r="H428" s="14" t="s">
        <v>6265</v>
      </c>
      <c r="I428" s="14" t="s">
        <v>6266</v>
      </c>
      <c r="J428" s="15" t="s">
        <v>6267</v>
      </c>
      <c r="K428" s="16">
        <v>196.982113</v>
      </c>
      <c r="L428" s="17">
        <v>122.201994</v>
      </c>
      <c r="M428" s="18">
        <f t="shared" si="7"/>
        <v>0.62037101815432349</v>
      </c>
    </row>
    <row r="429" spans="1:13">
      <c r="A429" s="13" t="s">
        <v>6255</v>
      </c>
      <c r="B429" s="14" t="s">
        <v>6255</v>
      </c>
      <c r="C429" s="14" t="str">
        <f>HYPERLINK("http://uswest.ensembl.org/Homo_sapiens/Gene/Summary?g=ENSG00000175063","ENSG00000175063")</f>
        <v>ENSG00000175063</v>
      </c>
      <c r="D429" s="14" t="s">
        <v>6256</v>
      </c>
      <c r="E429" s="14" t="str">
        <f>HYPERLINK("http://www.ncbi.nlm.nih.gov/sites/entrez?db=gene&amp;cmd=Retrieve&amp;dopt=full_report&amp;list_uids=11065","11065")</f>
        <v>11065</v>
      </c>
      <c r="F429" s="24" t="s">
        <v>6257</v>
      </c>
      <c r="G429" s="24" t="s">
        <v>6258</v>
      </c>
      <c r="H429" s="14" t="s">
        <v>6259</v>
      </c>
      <c r="I429" s="14" t="s">
        <v>6260</v>
      </c>
      <c r="J429" s="15" t="s">
        <v>8728</v>
      </c>
      <c r="K429" s="16">
        <v>405.36316299999999</v>
      </c>
      <c r="L429" s="17">
        <v>251.49731</v>
      </c>
      <c r="M429" s="18">
        <f t="shared" si="7"/>
        <v>0.62042467830260151</v>
      </c>
    </row>
    <row r="430" spans="1:13">
      <c r="A430" s="13" t="s">
        <v>6233</v>
      </c>
      <c r="B430" s="14" t="s">
        <v>6233</v>
      </c>
      <c r="C430" s="14" t="str">
        <f>HYPERLINK("http://uswest.ensembl.org/Homo_sapiens/Gene/Summary?g=ENSG00000196303","ENSG00000196303")</f>
        <v>ENSG00000196303</v>
      </c>
      <c r="D430" s="14" t="s">
        <v>8728</v>
      </c>
      <c r="E430" s="14" t="str">
        <f>HYPERLINK("http://www.ncbi.nlm.nih.gov/sites/entrez?db=gene&amp;cmd=Retrieve&amp;dopt=full_report&amp;list_uids=","-")</f>
        <v>-</v>
      </c>
      <c r="F430" s="24" t="s">
        <v>6234</v>
      </c>
      <c r="G430" s="24" t="s">
        <v>8728</v>
      </c>
      <c r="H430" s="14" t="s">
        <v>8728</v>
      </c>
      <c r="I430" s="14" t="s">
        <v>8728</v>
      </c>
      <c r="J430" s="15" t="s">
        <v>8728</v>
      </c>
      <c r="K430" s="16">
        <v>63.305177999999998</v>
      </c>
      <c r="L430" s="17">
        <v>39.301482</v>
      </c>
      <c r="M430" s="18">
        <f t="shared" si="7"/>
        <v>0.62082570875955834</v>
      </c>
    </row>
    <row r="431" spans="1:13">
      <c r="A431" s="13" t="s">
        <v>6235</v>
      </c>
      <c r="B431" s="14" t="s">
        <v>6235</v>
      </c>
      <c r="C431" s="14" t="str">
        <f>HYPERLINK("http://uswest.ensembl.org/Homo_sapiens/Gene/Summary?g=","-")</f>
        <v>-</v>
      </c>
      <c r="D431" s="14" t="s">
        <v>6236</v>
      </c>
      <c r="E431" s="14" t="str">
        <f>HYPERLINK("http://www.ncbi.nlm.nih.gov/sites/entrez?db=gene&amp;cmd=Retrieve&amp;dopt=full_report&amp;list_uids=51340","51340")</f>
        <v>51340</v>
      </c>
      <c r="F431" s="24" t="s">
        <v>6237</v>
      </c>
      <c r="G431" s="24" t="s">
        <v>6238</v>
      </c>
      <c r="H431" s="14" t="s">
        <v>7962</v>
      </c>
      <c r="I431" s="14" t="s">
        <v>8728</v>
      </c>
      <c r="J431" s="15" t="s">
        <v>8707</v>
      </c>
      <c r="K431" s="16">
        <v>122.62401800000001</v>
      </c>
      <c r="L431" s="17">
        <v>76.159469000000001</v>
      </c>
      <c r="M431" s="18">
        <f t="shared" si="7"/>
        <v>0.6210811735103966</v>
      </c>
    </row>
    <row r="432" spans="1:13">
      <c r="A432" s="13" t="s">
        <v>6239</v>
      </c>
      <c r="B432" s="14" t="s">
        <v>6239</v>
      </c>
      <c r="C432" s="14" t="str">
        <f>HYPERLINK("http://uswest.ensembl.org/Homo_sapiens/Gene/Summary?g=","-")</f>
        <v>-</v>
      </c>
      <c r="D432" s="14" t="s">
        <v>6240</v>
      </c>
      <c r="E432" s="14" t="str">
        <f>HYPERLINK("http://www.ncbi.nlm.nih.gov/sites/entrez?db=gene&amp;cmd=Retrieve&amp;dopt=full_report&amp;list_uids=11046","11046")</f>
        <v>11046</v>
      </c>
      <c r="F432" s="24" t="s">
        <v>6241</v>
      </c>
      <c r="G432" s="25" t="s">
        <v>6298</v>
      </c>
      <c r="H432" s="14" t="s">
        <v>6299</v>
      </c>
      <c r="I432" s="14" t="s">
        <v>6300</v>
      </c>
      <c r="J432" s="15" t="s">
        <v>6246</v>
      </c>
      <c r="K432" s="16">
        <v>57.146076000000001</v>
      </c>
      <c r="L432" s="17">
        <v>35.503672000000002</v>
      </c>
      <c r="M432" s="18">
        <f t="shared" si="7"/>
        <v>0.62127926333909611</v>
      </c>
    </row>
    <row r="433" spans="1:13">
      <c r="A433" s="13" t="s">
        <v>6247</v>
      </c>
      <c r="B433" s="14" t="s">
        <v>6247</v>
      </c>
      <c r="C433" s="14" t="str">
        <f>HYPERLINK("http://uswest.ensembl.org/Homo_sapiens/Gene/Summary?g=ENSG00000152904","ENSG00000152904")</f>
        <v>ENSG00000152904</v>
      </c>
      <c r="D433" s="14" t="s">
        <v>6248</v>
      </c>
      <c r="E433" s="14" t="str">
        <f>HYPERLINK("http://www.ncbi.nlm.nih.gov/sites/entrez?db=gene&amp;cmd=Retrieve&amp;dopt=full_report&amp;list_uids=9453","9453")</f>
        <v>9453</v>
      </c>
      <c r="F433" s="24" t="s">
        <v>6249</v>
      </c>
      <c r="G433" s="25" t="s">
        <v>6193</v>
      </c>
      <c r="H433" s="14" t="s">
        <v>6327</v>
      </c>
      <c r="I433" s="14" t="s">
        <v>6194</v>
      </c>
      <c r="J433" s="15" t="s">
        <v>8725</v>
      </c>
      <c r="K433" s="16">
        <v>60.114818</v>
      </c>
      <c r="L433" s="17">
        <v>37.356492000000003</v>
      </c>
      <c r="M433" s="18">
        <f t="shared" si="7"/>
        <v>0.62141903182672875</v>
      </c>
    </row>
    <row r="434" spans="1:13">
      <c r="A434" s="13" t="s">
        <v>6195</v>
      </c>
      <c r="B434" s="14" t="s">
        <v>6195</v>
      </c>
      <c r="C434" s="14" t="str">
        <f>HYPERLINK("http://uswest.ensembl.org/Homo_sapiens/Gene/Summary?g=ENSG00000134107","ENSG00000134107")</f>
        <v>ENSG00000134107</v>
      </c>
      <c r="D434" s="14" t="s">
        <v>6196</v>
      </c>
      <c r="E434" s="14" t="str">
        <f>HYPERLINK("http://www.ncbi.nlm.nih.gov/sites/entrez?db=gene&amp;cmd=Retrieve&amp;dopt=full_report&amp;list_uids=8553","8553")</f>
        <v>8553</v>
      </c>
      <c r="F434" s="24" t="s">
        <v>6197</v>
      </c>
      <c r="G434" s="24" t="s">
        <v>6264</v>
      </c>
      <c r="H434" s="19" t="s">
        <v>6214</v>
      </c>
      <c r="I434" s="14" t="s">
        <v>6215</v>
      </c>
      <c r="J434" s="15" t="s">
        <v>8558</v>
      </c>
      <c r="K434" s="16">
        <v>689.74735199999998</v>
      </c>
      <c r="L434" s="17">
        <v>428.707086</v>
      </c>
      <c r="M434" s="18">
        <f t="shared" si="7"/>
        <v>0.62154219912104858</v>
      </c>
    </row>
    <row r="435" spans="1:13">
      <c r="A435" s="13" t="s">
        <v>6216</v>
      </c>
      <c r="B435" s="14" t="s">
        <v>6216</v>
      </c>
      <c r="C435" s="14" t="str">
        <f>HYPERLINK("http://uswest.ensembl.org/Homo_sapiens/Gene/Summary?g=","-")</f>
        <v>-</v>
      </c>
      <c r="D435" s="14" t="s">
        <v>6217</v>
      </c>
      <c r="E435" s="14" t="str">
        <f>HYPERLINK("http://www.ncbi.nlm.nih.gov/sites/entrez?db=gene&amp;cmd=Retrieve&amp;dopt=full_report&amp;list_uids=11252","11252")</f>
        <v>11252</v>
      </c>
      <c r="F435" s="24" t="s">
        <v>6218</v>
      </c>
      <c r="G435" s="24" t="s">
        <v>6219</v>
      </c>
      <c r="H435" s="14" t="s">
        <v>6220</v>
      </c>
      <c r="I435" s="14" t="s">
        <v>6221</v>
      </c>
      <c r="J435" s="15" t="s">
        <v>6222</v>
      </c>
      <c r="K435" s="16">
        <v>230.11881099999999</v>
      </c>
      <c r="L435" s="17">
        <v>143.034187</v>
      </c>
      <c r="M435" s="18">
        <f t="shared" si="7"/>
        <v>0.62156668713189211</v>
      </c>
    </row>
    <row r="436" spans="1:13">
      <c r="A436" s="13" t="s">
        <v>6223</v>
      </c>
      <c r="B436" s="14" t="s">
        <v>6223</v>
      </c>
      <c r="C436" s="14" t="str">
        <f>HYPERLINK("http://uswest.ensembl.org/Homo_sapiens/Gene/Summary?g=","-")</f>
        <v>-</v>
      </c>
      <c r="D436" s="14" t="s">
        <v>6224</v>
      </c>
      <c r="E436" s="14" t="str">
        <f>HYPERLINK("http://www.ncbi.nlm.nih.gov/sites/entrez?db=gene&amp;cmd=Retrieve&amp;dopt=full_report&amp;list_uids=388272","388272")</f>
        <v>388272</v>
      </c>
      <c r="F436" s="24" t="s">
        <v>6225</v>
      </c>
      <c r="G436" s="24" t="s">
        <v>6226</v>
      </c>
      <c r="H436" s="14" t="s">
        <v>8728</v>
      </c>
      <c r="I436" s="14" t="s">
        <v>8728</v>
      </c>
      <c r="J436" s="15" t="s">
        <v>8728</v>
      </c>
      <c r="K436" s="16">
        <v>78.679405000000003</v>
      </c>
      <c r="L436" s="17">
        <v>48.906795000000002</v>
      </c>
      <c r="M436" s="18">
        <f t="shared" si="7"/>
        <v>0.62159589285150285</v>
      </c>
    </row>
    <row r="437" spans="1:13">
      <c r="A437" s="13" t="s">
        <v>6229</v>
      </c>
      <c r="B437" s="14" t="s">
        <v>6229</v>
      </c>
      <c r="C437" s="14" t="str">
        <f>HYPERLINK("http://uswest.ensembl.org/Homo_sapiens/Gene/Summary?g=ENSG00000162522","ENSG00000162522")</f>
        <v>ENSG00000162522</v>
      </c>
      <c r="D437" s="14" t="s">
        <v>6230</v>
      </c>
      <c r="E437" s="14" t="str">
        <f>HYPERLINK("http://www.ncbi.nlm.nih.gov/sites/entrez?db=gene&amp;cmd=Retrieve&amp;dopt=full_report&amp;list_uids=","-")</f>
        <v>-</v>
      </c>
      <c r="F437" s="24" t="s">
        <v>7540</v>
      </c>
      <c r="G437" s="24" t="s">
        <v>7541</v>
      </c>
      <c r="H437" s="14" t="s">
        <v>8728</v>
      </c>
      <c r="I437" s="14" t="s">
        <v>8728</v>
      </c>
      <c r="J437" s="15" t="s">
        <v>8728</v>
      </c>
      <c r="K437" s="16">
        <v>38.869379000000002</v>
      </c>
      <c r="L437" s="17">
        <v>24.164722000000001</v>
      </c>
      <c r="M437" s="18">
        <f t="shared" si="7"/>
        <v>0.62169045715909177</v>
      </c>
    </row>
    <row r="438" spans="1:13">
      <c r="A438" s="13" t="s">
        <v>6184</v>
      </c>
      <c r="B438" s="14" t="s">
        <v>6184</v>
      </c>
      <c r="C438" s="14" t="str">
        <f>HYPERLINK("http://uswest.ensembl.org/Homo_sapiens/Gene/Summary?g=ENSG00000165496","ENSG00000165496")</f>
        <v>ENSG00000165496</v>
      </c>
      <c r="D438" s="14" t="s">
        <v>6185</v>
      </c>
      <c r="E438" s="14" t="str">
        <f>HYPERLINK("http://www.ncbi.nlm.nih.gov/sites/entrez?db=gene&amp;cmd=Retrieve&amp;dopt=full_report&amp;list_uids=140801","140801")</f>
        <v>140801</v>
      </c>
      <c r="F438" s="24" t="s">
        <v>6232</v>
      </c>
      <c r="G438" s="24" t="s">
        <v>6186</v>
      </c>
      <c r="H438" s="14" t="s">
        <v>6187</v>
      </c>
      <c r="I438" s="14" t="s">
        <v>7807</v>
      </c>
      <c r="J438" s="15" t="s">
        <v>6188</v>
      </c>
      <c r="K438" s="16">
        <v>650.94466899999998</v>
      </c>
      <c r="L438" s="17">
        <v>404.85357199999999</v>
      </c>
      <c r="M438" s="18">
        <f t="shared" si="7"/>
        <v>0.62194774960204802</v>
      </c>
    </row>
    <row r="439" spans="1:13">
      <c r="A439" s="13" t="s">
        <v>6189</v>
      </c>
      <c r="B439" s="14" t="s">
        <v>6189</v>
      </c>
      <c r="C439" s="14" t="str">
        <f>HYPERLINK("http://uswest.ensembl.org/Homo_sapiens/Gene/Summary?g=","-")</f>
        <v>-</v>
      </c>
      <c r="D439" s="14" t="s">
        <v>8728</v>
      </c>
      <c r="E439" s="14" t="str">
        <f>HYPERLINK("http://www.ncbi.nlm.nih.gov/sites/entrez?db=gene&amp;cmd=Retrieve&amp;dopt=full_report&amp;list_uids=100127961","100127961")</f>
        <v>100127961</v>
      </c>
      <c r="F439" s="24" t="s">
        <v>8728</v>
      </c>
      <c r="G439" s="24" t="s">
        <v>8728</v>
      </c>
      <c r="H439" s="14" t="s">
        <v>8728</v>
      </c>
      <c r="I439" s="14" t="s">
        <v>8728</v>
      </c>
      <c r="J439" s="15" t="s">
        <v>8728</v>
      </c>
      <c r="K439" s="16">
        <v>32.366492000000001</v>
      </c>
      <c r="L439" s="17">
        <v>20.143999000000001</v>
      </c>
      <c r="M439" s="18">
        <f t="shared" si="7"/>
        <v>0.62237201980369083</v>
      </c>
    </row>
    <row r="440" spans="1:13">
      <c r="A440" s="13" t="s">
        <v>6190</v>
      </c>
      <c r="B440" s="14" t="s">
        <v>6190</v>
      </c>
      <c r="C440" s="14" t="str">
        <f>HYPERLINK("http://uswest.ensembl.org/Homo_sapiens/Gene/Summary?g=ENSG00000187010","ENSG00000187010")</f>
        <v>ENSG00000187010</v>
      </c>
      <c r="D440" s="14" t="s">
        <v>6191</v>
      </c>
      <c r="E440" s="14" t="str">
        <f>HYPERLINK("http://www.ncbi.nlm.nih.gov/sites/entrez?db=gene&amp;cmd=Retrieve&amp;dopt=full_report&amp;list_uids=6007","6007")</f>
        <v>6007</v>
      </c>
      <c r="F440" s="24" t="s">
        <v>6192</v>
      </c>
      <c r="G440" s="24" t="s">
        <v>6174</v>
      </c>
      <c r="H440" s="14" t="s">
        <v>8728</v>
      </c>
      <c r="I440" s="14" t="s">
        <v>8728</v>
      </c>
      <c r="J440" s="15" t="s">
        <v>8698</v>
      </c>
      <c r="K440" s="16">
        <v>71.638093999999995</v>
      </c>
      <c r="L440" s="17">
        <v>44.599440000000001</v>
      </c>
      <c r="M440" s="18">
        <f t="shared" si="7"/>
        <v>0.62256597725785401</v>
      </c>
    </row>
    <row r="441" spans="1:13">
      <c r="A441" s="13" t="s">
        <v>6175</v>
      </c>
      <c r="B441" s="14" t="s">
        <v>6175</v>
      </c>
      <c r="C441" s="14" t="str">
        <f>HYPERLINK("http://uswest.ensembl.org/Homo_sapiens/Gene/Summary?g=ENSG00000180015","ENSG00000180015")</f>
        <v>ENSG00000180015</v>
      </c>
      <c r="D441" s="14" t="s">
        <v>8728</v>
      </c>
      <c r="E441" s="14" t="str">
        <f>HYPERLINK("http://www.ncbi.nlm.nih.gov/sites/entrez?db=gene&amp;cmd=Retrieve&amp;dopt=full_report&amp;list_uids=","-")</f>
        <v>-</v>
      </c>
      <c r="F441" s="24" t="s">
        <v>6176</v>
      </c>
      <c r="G441" s="24" t="s">
        <v>6177</v>
      </c>
      <c r="H441" s="14" t="s">
        <v>6178</v>
      </c>
      <c r="I441" s="14" t="s">
        <v>6179</v>
      </c>
      <c r="J441" s="15" t="s">
        <v>8619</v>
      </c>
      <c r="K441" s="16">
        <v>51.309756</v>
      </c>
      <c r="L441" s="17">
        <v>31.955719999999999</v>
      </c>
      <c r="M441" s="18">
        <f t="shared" si="7"/>
        <v>0.62280007724067132</v>
      </c>
    </row>
    <row r="442" spans="1:13">
      <c r="A442" s="13" t="s">
        <v>6180</v>
      </c>
      <c r="B442" s="14" t="s">
        <v>6180</v>
      </c>
      <c r="C442" s="14" t="str">
        <f>HYPERLINK("http://uswest.ensembl.org/Homo_sapiens/Gene/Summary?g=","-")</f>
        <v>-</v>
      </c>
      <c r="D442" s="14" t="s">
        <v>6181</v>
      </c>
      <c r="E442" s="14" t="str">
        <f>HYPERLINK("http://www.ncbi.nlm.nih.gov/sites/entrez?db=gene&amp;cmd=Retrieve&amp;dopt=full_report&amp;list_uids=54462","54462")</f>
        <v>54462</v>
      </c>
      <c r="F442" s="24" t="s">
        <v>6182</v>
      </c>
      <c r="G442" s="24" t="s">
        <v>6183</v>
      </c>
      <c r="H442" s="14" t="s">
        <v>8728</v>
      </c>
      <c r="I442" s="14" t="s">
        <v>8728</v>
      </c>
      <c r="J442" s="15" t="s">
        <v>8728</v>
      </c>
      <c r="K442" s="16">
        <v>98.673298000000003</v>
      </c>
      <c r="L442" s="17">
        <v>61.490197000000002</v>
      </c>
      <c r="M442" s="18">
        <f t="shared" si="7"/>
        <v>0.62316957319091537</v>
      </c>
    </row>
    <row r="443" spans="1:13">
      <c r="A443" s="13" t="s">
        <v>6158</v>
      </c>
      <c r="B443" s="14" t="s">
        <v>6158</v>
      </c>
      <c r="C443" s="14" t="str">
        <f>HYPERLINK("http://uswest.ensembl.org/Homo_sapiens/Gene/Summary?g=","-")</f>
        <v>-</v>
      </c>
      <c r="D443" s="14" t="s">
        <v>6159</v>
      </c>
      <c r="E443" s="14" t="str">
        <f>HYPERLINK("http://www.ncbi.nlm.nih.gov/sites/entrez?db=gene&amp;cmd=Retrieve&amp;dopt=full_report&amp;list_uids=440498","440498")</f>
        <v>440498</v>
      </c>
      <c r="F443" s="24" t="s">
        <v>6160</v>
      </c>
      <c r="G443" s="24" t="s">
        <v>6161</v>
      </c>
      <c r="H443" s="14" t="s">
        <v>8728</v>
      </c>
      <c r="I443" s="14" t="s">
        <v>8728</v>
      </c>
      <c r="J443" s="15" t="s">
        <v>8728</v>
      </c>
      <c r="K443" s="16">
        <v>74.543099999999995</v>
      </c>
      <c r="L443" s="17">
        <v>46.478766</v>
      </c>
      <c r="M443" s="18">
        <f t="shared" si="7"/>
        <v>0.62351533542339943</v>
      </c>
    </row>
    <row r="444" spans="1:13">
      <c r="A444" s="13" t="s">
        <v>6162</v>
      </c>
      <c r="B444" s="14" t="s">
        <v>6162</v>
      </c>
      <c r="C444" s="14" t="str">
        <f>HYPERLINK("http://uswest.ensembl.org/Homo_sapiens/Gene/Summary?g=ENSG00000129535","ENSG00000129535")</f>
        <v>ENSG00000129535</v>
      </c>
      <c r="D444" s="14" t="s">
        <v>6242</v>
      </c>
      <c r="E444" s="14" t="str">
        <f>HYPERLINK("http://www.ncbi.nlm.nih.gov/sites/entrez?db=gene&amp;cmd=Retrieve&amp;dopt=full_report&amp;list_uids=4901","4901")</f>
        <v>4901</v>
      </c>
      <c r="F444" s="24" t="s">
        <v>6243</v>
      </c>
      <c r="G444" s="24" t="s">
        <v>6244</v>
      </c>
      <c r="H444" s="19" t="s">
        <v>6245</v>
      </c>
      <c r="I444" s="14" t="s">
        <v>6147</v>
      </c>
      <c r="J444" s="15" t="s">
        <v>8558</v>
      </c>
      <c r="K444" s="16">
        <v>40.222769999999997</v>
      </c>
      <c r="L444" s="17">
        <v>25.088073999999999</v>
      </c>
      <c r="M444" s="18">
        <f t="shared" si="7"/>
        <v>0.62372815198953235</v>
      </c>
    </row>
    <row r="445" spans="1:13">
      <c r="A445" s="13" t="s">
        <v>6148</v>
      </c>
      <c r="B445" s="14" t="s">
        <v>6148</v>
      </c>
      <c r="C445" s="14" t="str">
        <f>HYPERLINK("http://uswest.ensembl.org/Homo_sapiens/Gene/Summary?g=","-")</f>
        <v>-</v>
      </c>
      <c r="D445" s="14" t="s">
        <v>6149</v>
      </c>
      <c r="E445" s="14" t="str">
        <f>HYPERLINK("http://www.ncbi.nlm.nih.gov/sites/entrez?db=gene&amp;cmd=Retrieve&amp;dopt=full_report&amp;list_uids=5431","5431")</f>
        <v>5431</v>
      </c>
      <c r="F445" s="24" t="s">
        <v>6150</v>
      </c>
      <c r="G445" s="24" t="s">
        <v>6151</v>
      </c>
      <c r="H445" s="14" t="s">
        <v>6152</v>
      </c>
      <c r="I445" s="14" t="s">
        <v>6153</v>
      </c>
      <c r="J445" s="15" t="s">
        <v>6154</v>
      </c>
      <c r="K445" s="16">
        <v>104.134674</v>
      </c>
      <c r="L445" s="17">
        <v>64.958699999999993</v>
      </c>
      <c r="M445" s="18">
        <f t="shared" si="7"/>
        <v>0.62379510594136967</v>
      </c>
    </row>
    <row r="446" spans="1:13">
      <c r="A446" s="13" t="s">
        <v>6155</v>
      </c>
      <c r="B446" s="14" t="s">
        <v>6155</v>
      </c>
      <c r="C446" s="14" t="str">
        <f>HYPERLINK("http://uswest.ensembl.org/Homo_sapiens/Gene/Summary?g=ENSG00000107954","ENSG00000107954")</f>
        <v>ENSG00000107954</v>
      </c>
      <c r="D446" s="14" t="s">
        <v>6156</v>
      </c>
      <c r="E446" s="14" t="str">
        <f>HYPERLINK("http://www.ncbi.nlm.nih.gov/sites/entrez?db=gene&amp;cmd=Retrieve&amp;dopt=full_report&amp;list_uids=","-")</f>
        <v>-</v>
      </c>
      <c r="F446" s="24" t="s">
        <v>7096</v>
      </c>
      <c r="G446" s="24" t="s">
        <v>7097</v>
      </c>
      <c r="H446" s="14" t="s">
        <v>8728</v>
      </c>
      <c r="I446" s="14" t="s">
        <v>8580</v>
      </c>
      <c r="J446" s="15" t="s">
        <v>8728</v>
      </c>
      <c r="K446" s="16">
        <v>50.948562000000003</v>
      </c>
      <c r="L446" s="17">
        <v>31.789725000000001</v>
      </c>
      <c r="M446" s="18">
        <f t="shared" si="7"/>
        <v>0.62395725712533356</v>
      </c>
    </row>
    <row r="447" spans="1:13">
      <c r="A447" s="13" t="s">
        <v>6201</v>
      </c>
      <c r="B447" s="14" t="s">
        <v>6201</v>
      </c>
      <c r="C447" s="14" t="str">
        <f>HYPERLINK("http://uswest.ensembl.org/Homo_sapiens/Gene/Summary?g=ENSG00000213235","ENSG00000213235")</f>
        <v>ENSG00000213235</v>
      </c>
      <c r="D447" s="14" t="s">
        <v>8728</v>
      </c>
      <c r="E447" s="14" t="str">
        <f>HYPERLINK("http://www.ncbi.nlm.nih.gov/sites/entrez?db=gene&amp;cmd=Retrieve&amp;dopt=full_report&amp;list_uids=","-")</f>
        <v>-</v>
      </c>
      <c r="F447" s="24" t="s">
        <v>6202</v>
      </c>
      <c r="G447" s="24" t="s">
        <v>8728</v>
      </c>
      <c r="H447" s="14" t="s">
        <v>8728</v>
      </c>
      <c r="I447" s="14" t="s">
        <v>8728</v>
      </c>
      <c r="J447" s="15" t="s">
        <v>8728</v>
      </c>
      <c r="K447" s="16">
        <v>106.949716</v>
      </c>
      <c r="L447" s="17">
        <v>66.767437000000001</v>
      </c>
      <c r="M447" s="18">
        <f t="shared" si="7"/>
        <v>0.62428811872674828</v>
      </c>
    </row>
    <row r="448" spans="1:13">
      <c r="A448" s="13" t="s">
        <v>6203</v>
      </c>
      <c r="B448" s="14" t="s">
        <v>6203</v>
      </c>
      <c r="C448" s="14" t="str">
        <f>HYPERLINK("http://uswest.ensembl.org/Homo_sapiens/Gene/Summary?g=","-")</f>
        <v>-</v>
      </c>
      <c r="D448" s="14" t="s">
        <v>6204</v>
      </c>
      <c r="E448" s="14" t="str">
        <f>HYPERLINK("http://www.ncbi.nlm.nih.gov/sites/entrez?db=gene&amp;cmd=Retrieve&amp;dopt=full_report&amp;list_uids=440073","440073")</f>
        <v>440073</v>
      </c>
      <c r="F448" s="24" t="s">
        <v>6205</v>
      </c>
      <c r="G448" s="24" t="s">
        <v>6206</v>
      </c>
      <c r="H448" s="14" t="s">
        <v>8640</v>
      </c>
      <c r="I448" s="14" t="s">
        <v>8641</v>
      </c>
      <c r="J448" s="15" t="s">
        <v>8707</v>
      </c>
      <c r="K448" s="16">
        <v>75.803237999999993</v>
      </c>
      <c r="L448" s="17">
        <v>47.337924999999998</v>
      </c>
      <c r="M448" s="18">
        <f t="shared" si="7"/>
        <v>0.62448420738966326</v>
      </c>
    </row>
    <row r="449" spans="1:13">
      <c r="A449" s="13" t="s">
        <v>6207</v>
      </c>
      <c r="B449" s="14" t="s">
        <v>6207</v>
      </c>
      <c r="C449" s="14" t="str">
        <f>HYPERLINK("http://uswest.ensembl.org/Homo_sapiens/Gene/Summary?g=","-")</f>
        <v>-</v>
      </c>
      <c r="D449" s="14" t="s">
        <v>8728</v>
      </c>
      <c r="E449" s="14" t="str">
        <f>HYPERLINK("http://www.ncbi.nlm.nih.gov/sites/entrez?db=gene&amp;cmd=Retrieve&amp;dopt=full_report&amp;list_uids=100287428","100287428")</f>
        <v>100287428</v>
      </c>
      <c r="F449" s="24" t="s">
        <v>6208</v>
      </c>
      <c r="G449" s="24" t="s">
        <v>6209</v>
      </c>
      <c r="H449" s="14" t="s">
        <v>8728</v>
      </c>
      <c r="I449" s="14" t="s">
        <v>8728</v>
      </c>
      <c r="J449" s="15" t="s">
        <v>8728</v>
      </c>
      <c r="K449" s="16">
        <v>70.650675000000007</v>
      </c>
      <c r="L449" s="17">
        <v>44.123269999999998</v>
      </c>
      <c r="M449" s="18">
        <f t="shared" si="7"/>
        <v>0.62452722496989577</v>
      </c>
    </row>
    <row r="450" spans="1:13">
      <c r="A450" s="13" t="s">
        <v>6210</v>
      </c>
      <c r="B450" s="14" t="s">
        <v>6210</v>
      </c>
      <c r="C450" s="14" t="str">
        <f>HYPERLINK("http://uswest.ensembl.org/Homo_sapiens/Gene/Summary?g=ENSG00000135956","ENSG00000135956")</f>
        <v>ENSG00000135956</v>
      </c>
      <c r="D450" s="14" t="s">
        <v>6211</v>
      </c>
      <c r="E450" s="14" t="str">
        <f>HYPERLINK("http://www.ncbi.nlm.nih.gov/sites/entrez?db=gene&amp;cmd=Retrieve&amp;dopt=full_report&amp;list_uids=55654","55654")</f>
        <v>55654</v>
      </c>
      <c r="F450" s="24" t="s">
        <v>6212</v>
      </c>
      <c r="G450" s="24" t="s">
        <v>6213</v>
      </c>
      <c r="H450" s="14" t="s">
        <v>8728</v>
      </c>
      <c r="I450" s="14" t="s">
        <v>8728</v>
      </c>
      <c r="J450" s="15" t="s">
        <v>8698</v>
      </c>
      <c r="K450" s="16">
        <v>93.990492000000003</v>
      </c>
      <c r="L450" s="17">
        <v>58.709038</v>
      </c>
      <c r="M450" s="18">
        <f t="shared" ref="M450:M513" si="8">L450/K450</f>
        <v>0.62462741444102665</v>
      </c>
    </row>
    <row r="451" spans="1:13">
      <c r="A451" s="13" t="s">
        <v>6115</v>
      </c>
      <c r="B451" s="14" t="s">
        <v>6115</v>
      </c>
      <c r="C451" s="14" t="str">
        <f>HYPERLINK("http://uswest.ensembl.org/Homo_sapiens/Gene/Summary?g=","-")</f>
        <v>-</v>
      </c>
      <c r="D451" s="14" t="s">
        <v>6116</v>
      </c>
      <c r="E451" s="14" t="str">
        <f>HYPERLINK("http://www.ncbi.nlm.nih.gov/sites/entrez?db=gene&amp;cmd=Retrieve&amp;dopt=full_report&amp;list_uids=2319","2319")</f>
        <v>2319</v>
      </c>
      <c r="F451" s="24" t="s">
        <v>6117</v>
      </c>
      <c r="G451" s="24" t="s">
        <v>6118</v>
      </c>
      <c r="H451" s="14" t="s">
        <v>6119</v>
      </c>
      <c r="I451" s="14" t="s">
        <v>8665</v>
      </c>
      <c r="J451" s="15" t="s">
        <v>6120</v>
      </c>
      <c r="K451" s="16">
        <v>103.176626</v>
      </c>
      <c r="L451" s="17">
        <v>64.477068000000003</v>
      </c>
      <c r="M451" s="18">
        <f t="shared" si="8"/>
        <v>0.62491933008160205</v>
      </c>
    </row>
    <row r="452" spans="1:13">
      <c r="A452" s="13" t="s">
        <v>6121</v>
      </c>
      <c r="B452" s="14" t="s">
        <v>6121</v>
      </c>
      <c r="C452" s="14" t="str">
        <f>HYPERLINK("http://uswest.ensembl.org/Homo_sapiens/Gene/Summary?g=ENSG00000136918","ENSG00000136918")</f>
        <v>ENSG00000136918</v>
      </c>
      <c r="D452" s="14" t="s">
        <v>6122</v>
      </c>
      <c r="E452" s="14" t="str">
        <f>HYPERLINK("http://www.ncbi.nlm.nih.gov/sites/entrez?db=gene&amp;cmd=Retrieve&amp;dopt=full_report&amp;list_uids=401551","401551")</f>
        <v>401551</v>
      </c>
      <c r="F452" s="24" t="s">
        <v>6123</v>
      </c>
      <c r="G452" s="24" t="s">
        <v>6124</v>
      </c>
      <c r="H452" s="14" t="s">
        <v>8728</v>
      </c>
      <c r="I452" s="14" t="s">
        <v>8728</v>
      </c>
      <c r="J452" s="15" t="s">
        <v>8728</v>
      </c>
      <c r="K452" s="16">
        <v>43.731062000000001</v>
      </c>
      <c r="L452" s="17">
        <v>27.328395</v>
      </c>
      <c r="M452" s="18">
        <f t="shared" si="8"/>
        <v>0.62491953659849375</v>
      </c>
    </row>
    <row r="453" spans="1:13">
      <c r="A453" s="13" t="s">
        <v>6125</v>
      </c>
      <c r="B453" s="14" t="s">
        <v>6125</v>
      </c>
      <c r="C453" s="14" t="str">
        <f>HYPERLINK("http://uswest.ensembl.org/Homo_sapiens/Gene/Summary?g=","-")</f>
        <v>-</v>
      </c>
      <c r="D453" s="14" t="s">
        <v>8728</v>
      </c>
      <c r="E453" s="14" t="str">
        <f>HYPERLINK("http://www.ncbi.nlm.nih.gov/sites/entrez?db=gene&amp;cmd=Retrieve&amp;dopt=full_report&amp;list_uids=644366","644366")</f>
        <v>644366</v>
      </c>
      <c r="F453" s="24" t="s">
        <v>8728</v>
      </c>
      <c r="G453" s="24" t="s">
        <v>8728</v>
      </c>
      <c r="H453" s="14" t="s">
        <v>8728</v>
      </c>
      <c r="I453" s="14" t="s">
        <v>8728</v>
      </c>
      <c r="J453" s="15" t="s">
        <v>8728</v>
      </c>
      <c r="K453" s="16">
        <v>59.364637000000002</v>
      </c>
      <c r="L453" s="17">
        <v>37.099587</v>
      </c>
      <c r="M453" s="18">
        <f t="shared" si="8"/>
        <v>0.62494422394935223</v>
      </c>
    </row>
    <row r="454" spans="1:13">
      <c r="A454" s="13" t="s">
        <v>6126</v>
      </c>
      <c r="B454" s="14" t="s">
        <v>6126</v>
      </c>
      <c r="C454" s="14" t="str">
        <f>HYPERLINK("http://uswest.ensembl.org/Homo_sapiens/Gene/Summary?g=ENSG00000197459","ENSG00000197459")</f>
        <v>ENSG00000197459</v>
      </c>
      <c r="D454" s="14" t="s">
        <v>6127</v>
      </c>
      <c r="E454" s="14" t="str">
        <f>HYPERLINK("http://www.ncbi.nlm.nih.gov/sites/entrez?db=gene&amp;cmd=Retrieve&amp;dopt=full_report&amp;list_uids=8345","8345")</f>
        <v>8345</v>
      </c>
      <c r="F454" s="24" t="s">
        <v>6128</v>
      </c>
      <c r="G454" s="24" t="s">
        <v>6129</v>
      </c>
      <c r="H454" s="14" t="s">
        <v>8681</v>
      </c>
      <c r="I454" s="14" t="s">
        <v>8682</v>
      </c>
      <c r="J454" s="15" t="s">
        <v>8683</v>
      </c>
      <c r="K454" s="16">
        <v>194.54694000000001</v>
      </c>
      <c r="L454" s="17">
        <v>121.644233</v>
      </c>
      <c r="M454" s="18">
        <f t="shared" si="8"/>
        <v>0.62526932060715013</v>
      </c>
    </row>
    <row r="455" spans="1:13">
      <c r="A455" s="13" t="s">
        <v>6130</v>
      </c>
      <c r="B455" s="14" t="s">
        <v>6130</v>
      </c>
      <c r="C455" s="14" t="str">
        <f>HYPERLINK("http://uswest.ensembl.org/Homo_sapiens/Gene/Summary?g=","-")</f>
        <v>-</v>
      </c>
      <c r="D455" s="14" t="s">
        <v>8728</v>
      </c>
      <c r="E455" s="14" t="str">
        <f>HYPERLINK("http://www.ncbi.nlm.nih.gov/sites/entrez?db=gene&amp;cmd=Retrieve&amp;dopt=full_report&amp;list_uids=100292787","100292787")</f>
        <v>100292787</v>
      </c>
      <c r="F455" s="24" t="s">
        <v>6131</v>
      </c>
      <c r="G455" s="24" t="s">
        <v>8728</v>
      </c>
      <c r="H455" s="14" t="s">
        <v>8728</v>
      </c>
      <c r="I455" s="14" t="s">
        <v>8728</v>
      </c>
      <c r="J455" s="15" t="s">
        <v>8728</v>
      </c>
      <c r="K455" s="16">
        <v>32.268461000000002</v>
      </c>
      <c r="L455" s="17">
        <v>20.176978999999999</v>
      </c>
      <c r="M455" s="18">
        <f t="shared" si="8"/>
        <v>0.62528482532836005</v>
      </c>
    </row>
    <row r="456" spans="1:13">
      <c r="A456" s="13" t="s">
        <v>6132</v>
      </c>
      <c r="B456" s="14" t="s">
        <v>6132</v>
      </c>
      <c r="C456" s="14" t="str">
        <f>HYPERLINK("http://uswest.ensembl.org/Homo_sapiens/Gene/Summary?g=","-")</f>
        <v>-</v>
      </c>
      <c r="D456" s="14" t="s">
        <v>6133</v>
      </c>
      <c r="E456" s="14" t="str">
        <f>HYPERLINK("http://www.ncbi.nlm.nih.gov/sites/entrez?db=gene&amp;cmd=Retrieve&amp;dopt=full_report&amp;list_uids=23168","23168")</f>
        <v>23168</v>
      </c>
      <c r="F456" s="24" t="s">
        <v>6134</v>
      </c>
      <c r="G456" s="24" t="s">
        <v>6135</v>
      </c>
      <c r="H456" s="14" t="s">
        <v>6198</v>
      </c>
      <c r="I456" s="14" t="s">
        <v>6088</v>
      </c>
      <c r="J456" s="15" t="s">
        <v>6089</v>
      </c>
      <c r="K456" s="16">
        <v>67.564251999999996</v>
      </c>
      <c r="L456" s="17">
        <v>42.253264000000001</v>
      </c>
      <c r="M456" s="18">
        <f t="shared" si="8"/>
        <v>0.62537899479742631</v>
      </c>
    </row>
    <row r="457" spans="1:13">
      <c r="A457" s="13" t="s">
        <v>6090</v>
      </c>
      <c r="B457" s="14" t="s">
        <v>6090</v>
      </c>
      <c r="C457" s="14" t="str">
        <f>HYPERLINK("http://uswest.ensembl.org/Homo_sapiens/Gene/Summary?g=ENSG00000116604","ENSG00000116604")</f>
        <v>ENSG00000116604</v>
      </c>
      <c r="D457" s="14" t="s">
        <v>6091</v>
      </c>
      <c r="E457" s="14" t="str">
        <f>HYPERLINK("http://www.ncbi.nlm.nih.gov/sites/entrez?db=gene&amp;cmd=Retrieve&amp;dopt=full_report&amp;list_uids=4209","4209")</f>
        <v>4209</v>
      </c>
      <c r="F457" s="24" t="s">
        <v>6092</v>
      </c>
      <c r="G457" s="24" t="s">
        <v>6093</v>
      </c>
      <c r="H457" s="14" t="s">
        <v>6163</v>
      </c>
      <c r="I457" s="14" t="s">
        <v>6164</v>
      </c>
      <c r="J457" s="15" t="s">
        <v>8608</v>
      </c>
      <c r="K457" s="16">
        <v>75.846500000000006</v>
      </c>
      <c r="L457" s="17">
        <v>47.432988999999999</v>
      </c>
      <c r="M457" s="18">
        <f t="shared" si="8"/>
        <v>0.62538138213365146</v>
      </c>
    </row>
    <row r="458" spans="1:13">
      <c r="A458" s="13" t="s">
        <v>6165</v>
      </c>
      <c r="B458" s="14" t="s">
        <v>6165</v>
      </c>
      <c r="C458" s="14" t="str">
        <f>HYPERLINK("http://uswest.ensembl.org/Homo_sapiens/Gene/Summary?g=ENSG00000141744","ENSG00000141744")</f>
        <v>ENSG00000141744</v>
      </c>
      <c r="D458" s="14" t="s">
        <v>6166</v>
      </c>
      <c r="E458" s="14" t="str">
        <f>HYPERLINK("http://www.ncbi.nlm.nih.gov/sites/entrez?db=gene&amp;cmd=Retrieve&amp;dopt=full_report&amp;list_uids=","-")</f>
        <v>-</v>
      </c>
      <c r="F458" s="24" t="s">
        <v>6167</v>
      </c>
      <c r="G458" s="24" t="s">
        <v>6168</v>
      </c>
      <c r="H458" s="14" t="s">
        <v>8728</v>
      </c>
      <c r="I458" s="14" t="s">
        <v>6169</v>
      </c>
      <c r="J458" s="15" t="s">
        <v>8728</v>
      </c>
      <c r="K458" s="16">
        <v>62.354156000000003</v>
      </c>
      <c r="L458" s="17">
        <v>39.009324999999997</v>
      </c>
      <c r="M458" s="18">
        <f t="shared" si="8"/>
        <v>0.62560906124685567</v>
      </c>
    </row>
    <row r="459" spans="1:13">
      <c r="A459" s="13" t="s">
        <v>6170</v>
      </c>
      <c r="B459" s="14" t="s">
        <v>6170</v>
      </c>
      <c r="C459" s="14" t="str">
        <f>HYPERLINK("http://uswest.ensembl.org/Homo_sapiens/Gene/Summary?g=ENSG00000101331","ENSG00000101331")</f>
        <v>ENSG00000101331</v>
      </c>
      <c r="D459" s="14" t="s">
        <v>6171</v>
      </c>
      <c r="E459" s="14" t="str">
        <f>HYPERLINK("http://www.ncbi.nlm.nih.gov/sites/entrez?db=gene&amp;cmd=Retrieve&amp;dopt=full_report&amp;list_uids=","-")</f>
        <v>-</v>
      </c>
      <c r="F459" s="24" t="s">
        <v>6172</v>
      </c>
      <c r="G459" s="24" t="s">
        <v>6173</v>
      </c>
      <c r="H459" s="14" t="s">
        <v>8728</v>
      </c>
      <c r="I459" s="14" t="s">
        <v>8728</v>
      </c>
      <c r="J459" s="15" t="s">
        <v>8728</v>
      </c>
      <c r="K459" s="16">
        <v>65.694326000000004</v>
      </c>
      <c r="L459" s="17">
        <v>41.104889999999997</v>
      </c>
      <c r="M459" s="18">
        <f t="shared" si="8"/>
        <v>0.62569924227550477</v>
      </c>
    </row>
    <row r="460" spans="1:13">
      <c r="A460" s="13" t="s">
        <v>6104</v>
      </c>
      <c r="B460" s="14" t="s">
        <v>6104</v>
      </c>
      <c r="C460" s="14" t="str">
        <f>HYPERLINK("http://uswest.ensembl.org/Homo_sapiens/Gene/Summary?g=ENSG00000197353","ENSG00000197353")</f>
        <v>ENSG00000197353</v>
      </c>
      <c r="D460" s="14" t="s">
        <v>6105</v>
      </c>
      <c r="E460" s="14" t="str">
        <f>HYPERLINK("http://www.ncbi.nlm.nih.gov/sites/entrez?db=gene&amp;cmd=Retrieve&amp;dopt=full_report&amp;list_uids=137797","137797")</f>
        <v>137797</v>
      </c>
      <c r="F460" s="24" t="s">
        <v>6106</v>
      </c>
      <c r="G460" s="24" t="s">
        <v>6107</v>
      </c>
      <c r="H460" s="14" t="s">
        <v>8728</v>
      </c>
      <c r="I460" s="14" t="s">
        <v>8728</v>
      </c>
      <c r="J460" s="15" t="s">
        <v>8495</v>
      </c>
      <c r="K460" s="16">
        <v>65.328354000000004</v>
      </c>
      <c r="L460" s="17">
        <v>40.884022000000002</v>
      </c>
      <c r="M460" s="18">
        <f t="shared" si="8"/>
        <v>0.62582354363313664</v>
      </c>
    </row>
    <row r="461" spans="1:13">
      <c r="A461" s="13" t="s">
        <v>6108</v>
      </c>
      <c r="B461" s="14" t="s">
        <v>6108</v>
      </c>
      <c r="C461" s="14" t="str">
        <f>HYPERLINK("http://uswest.ensembl.org/Homo_sapiens/Gene/Summary?g=ENSG00000157045","ENSG00000157045")</f>
        <v>ENSG00000157045</v>
      </c>
      <c r="D461" s="14" t="s">
        <v>6109</v>
      </c>
      <c r="E461" s="14" t="str">
        <f>HYPERLINK("http://www.ncbi.nlm.nih.gov/sites/entrez?db=gene&amp;cmd=Retrieve&amp;dopt=full_report&amp;list_uids=123803","123803")</f>
        <v>123803</v>
      </c>
      <c r="F461" s="24" t="s">
        <v>6110</v>
      </c>
      <c r="G461" s="24" t="s">
        <v>6111</v>
      </c>
      <c r="H461" s="14" t="s">
        <v>6112</v>
      </c>
      <c r="I461" s="14" t="s">
        <v>6113</v>
      </c>
      <c r="J461" s="15" t="s">
        <v>8608</v>
      </c>
      <c r="K461" s="16">
        <v>178.39137400000001</v>
      </c>
      <c r="L461" s="17">
        <v>111.656226</v>
      </c>
      <c r="M461" s="18">
        <f t="shared" si="8"/>
        <v>0.62590597009471993</v>
      </c>
    </row>
    <row r="462" spans="1:13">
      <c r="A462" s="13" t="s">
        <v>6114</v>
      </c>
      <c r="B462" s="14" t="s">
        <v>6114</v>
      </c>
      <c r="C462" s="14" t="str">
        <f>HYPERLINK("http://uswest.ensembl.org/Homo_sapiens/Gene/Summary?g=ENSG00000164611","ENSG00000164611")</f>
        <v>ENSG00000164611</v>
      </c>
      <c r="D462" s="14" t="s">
        <v>6199</v>
      </c>
      <c r="E462" s="14" t="str">
        <f>HYPERLINK("http://www.ncbi.nlm.nih.gov/sites/entrez?db=gene&amp;cmd=Retrieve&amp;dopt=full_report&amp;list_uids=9232","9232")</f>
        <v>9232</v>
      </c>
      <c r="F462" s="24" t="s">
        <v>6200</v>
      </c>
      <c r="G462" s="24" t="s">
        <v>6084</v>
      </c>
      <c r="H462" s="19" t="s">
        <v>6085</v>
      </c>
      <c r="I462" s="14" t="s">
        <v>6086</v>
      </c>
      <c r="J462" s="15" t="s">
        <v>6087</v>
      </c>
      <c r="K462" s="16">
        <v>987.65547900000001</v>
      </c>
      <c r="L462" s="17">
        <v>618.41985</v>
      </c>
      <c r="M462" s="18">
        <f t="shared" si="8"/>
        <v>0.6261493639726976</v>
      </c>
    </row>
    <row r="463" spans="1:13">
      <c r="A463" s="13" t="s">
        <v>6079</v>
      </c>
      <c r="B463" s="14" t="s">
        <v>6079</v>
      </c>
      <c r="C463" s="14" t="str">
        <f>HYPERLINK("http://uswest.ensembl.org/Homo_sapiens/Gene/Summary?g=ENSG00000004777","ENSG00000004777")</f>
        <v>ENSG00000004777</v>
      </c>
      <c r="D463" s="14" t="s">
        <v>6080</v>
      </c>
      <c r="E463" s="14" t="str">
        <f>HYPERLINK("http://www.ncbi.nlm.nih.gov/sites/entrez?db=gene&amp;cmd=Retrieve&amp;dopt=full_report&amp;list_uids=115703","115703")</f>
        <v>115703</v>
      </c>
      <c r="F463" s="24" t="s">
        <v>6081</v>
      </c>
      <c r="G463" s="24" t="s">
        <v>6082</v>
      </c>
      <c r="H463" s="14" t="s">
        <v>6083</v>
      </c>
      <c r="I463" s="14" t="s">
        <v>7623</v>
      </c>
      <c r="J463" s="15" t="s">
        <v>8707</v>
      </c>
      <c r="K463" s="16">
        <v>72.644334000000001</v>
      </c>
      <c r="L463" s="17">
        <v>45.556230999999997</v>
      </c>
      <c r="M463" s="18">
        <f t="shared" si="8"/>
        <v>0.62711334100743488</v>
      </c>
    </row>
    <row r="464" spans="1:13">
      <c r="A464" s="13" t="s">
        <v>6141</v>
      </c>
      <c r="B464" s="14" t="s">
        <v>6141</v>
      </c>
      <c r="C464" s="14" t="str">
        <f>HYPERLINK("http://uswest.ensembl.org/Homo_sapiens/Gene/Summary?g=ENSG00000157344","ENSG00000157344")</f>
        <v>ENSG00000157344</v>
      </c>
      <c r="D464" s="14" t="s">
        <v>6142</v>
      </c>
      <c r="E464" s="14" t="str">
        <f>HYPERLINK("http://www.ncbi.nlm.nih.gov/sites/entrez?db=gene&amp;cmd=Retrieve&amp;dopt=full_report&amp;list_uids=118460","118460")</f>
        <v>118460</v>
      </c>
      <c r="F464" s="24" t="s">
        <v>6143</v>
      </c>
      <c r="G464" s="24" t="s">
        <v>6144</v>
      </c>
      <c r="H464" s="14" t="s">
        <v>6145</v>
      </c>
      <c r="I464" s="14" t="s">
        <v>6146</v>
      </c>
      <c r="J464" s="15" t="s">
        <v>6078</v>
      </c>
      <c r="K464" s="16">
        <v>88.134226999999996</v>
      </c>
      <c r="L464" s="17">
        <v>55.271928000000003</v>
      </c>
      <c r="M464" s="18">
        <f t="shared" si="8"/>
        <v>0.62713351987531474</v>
      </c>
    </row>
    <row r="465" spans="1:13">
      <c r="A465" s="13" t="s">
        <v>6060</v>
      </c>
      <c r="B465" s="14" t="s">
        <v>6060</v>
      </c>
      <c r="C465" s="14" t="str">
        <f>HYPERLINK("http://uswest.ensembl.org/Homo_sapiens/Gene/Summary?g=ENSG00000118785","ENSG00000118785")</f>
        <v>ENSG00000118785</v>
      </c>
      <c r="D465" s="14" t="s">
        <v>6061</v>
      </c>
      <c r="E465" s="14" t="str">
        <f>HYPERLINK("http://www.ncbi.nlm.nih.gov/sites/entrez?db=gene&amp;cmd=Retrieve&amp;dopt=full_report&amp;list_uids=6696","6696")</f>
        <v>6696</v>
      </c>
      <c r="F465" s="24" t="s">
        <v>6062</v>
      </c>
      <c r="G465" s="24" t="s">
        <v>6063</v>
      </c>
      <c r="H465" s="14" t="s">
        <v>6064</v>
      </c>
      <c r="I465" s="14" t="s">
        <v>6065</v>
      </c>
      <c r="J465" s="15" t="s">
        <v>6066</v>
      </c>
      <c r="K465" s="16">
        <v>79.187796000000006</v>
      </c>
      <c r="L465" s="17">
        <v>49.684396</v>
      </c>
      <c r="M465" s="18">
        <f t="shared" si="8"/>
        <v>0.62742491279843171</v>
      </c>
    </row>
    <row r="466" spans="1:13">
      <c r="A466" s="13" t="s">
        <v>6067</v>
      </c>
      <c r="B466" s="14" t="s">
        <v>6067</v>
      </c>
      <c r="C466" s="14" t="str">
        <f>HYPERLINK("http://uswest.ensembl.org/Homo_sapiens/Gene/Summary?g=ENSG00000166997","ENSG00000166997")</f>
        <v>ENSG00000166997</v>
      </c>
      <c r="D466" s="14" t="s">
        <v>6068</v>
      </c>
      <c r="E466" s="14" t="str">
        <f>HYPERLINK("http://www.ncbi.nlm.nih.gov/sites/entrez?db=gene&amp;cmd=Retrieve&amp;dopt=full_report&amp;list_uids=245812","245812")</f>
        <v>245812</v>
      </c>
      <c r="F466" s="24" t="s">
        <v>6069</v>
      </c>
      <c r="G466" s="24" t="s">
        <v>6136</v>
      </c>
      <c r="H466" s="14" t="s">
        <v>8728</v>
      </c>
      <c r="I466" s="14" t="s">
        <v>8728</v>
      </c>
      <c r="J466" s="15" t="s">
        <v>8731</v>
      </c>
      <c r="K466" s="16">
        <v>46.131419000000001</v>
      </c>
      <c r="L466" s="17">
        <v>28.954067999999999</v>
      </c>
      <c r="M466" s="18">
        <f t="shared" si="8"/>
        <v>0.62764312539356304</v>
      </c>
    </row>
    <row r="467" spans="1:13">
      <c r="A467" s="13" t="s">
        <v>6137</v>
      </c>
      <c r="B467" s="14" t="s">
        <v>6137</v>
      </c>
      <c r="C467" s="14" t="str">
        <f>HYPERLINK("http://uswest.ensembl.org/Homo_sapiens/Gene/Summary?g=","-")</f>
        <v>-</v>
      </c>
      <c r="D467" s="14" t="s">
        <v>6138</v>
      </c>
      <c r="E467" s="14" t="str">
        <f>HYPERLINK("http://www.ncbi.nlm.nih.gov/sites/entrez?db=gene&amp;cmd=Retrieve&amp;dopt=full_report&amp;list_uids=7544","7544")</f>
        <v>7544</v>
      </c>
      <c r="F467" s="24" t="s">
        <v>6139</v>
      </c>
      <c r="G467" s="24" t="s">
        <v>6140</v>
      </c>
      <c r="H467" s="14" t="s">
        <v>8490</v>
      </c>
      <c r="I467" s="14" t="s">
        <v>7275</v>
      </c>
      <c r="J467" s="15" t="s">
        <v>8255</v>
      </c>
      <c r="K467" s="16">
        <v>37.418557999999997</v>
      </c>
      <c r="L467" s="17">
        <v>23.497326000000001</v>
      </c>
      <c r="M467" s="18">
        <f t="shared" si="8"/>
        <v>0.62795915331638386</v>
      </c>
    </row>
    <row r="468" spans="1:13">
      <c r="A468" s="13" t="s">
        <v>6052</v>
      </c>
      <c r="B468" s="14" t="s">
        <v>6052</v>
      </c>
      <c r="C468" s="14" t="str">
        <f>HYPERLINK("http://uswest.ensembl.org/Homo_sapiens/Gene/Summary?g=ENSG00000103005","ENSG00000103005")</f>
        <v>ENSG00000103005</v>
      </c>
      <c r="D468" s="14" t="s">
        <v>6053</v>
      </c>
      <c r="E468" s="14" t="str">
        <f>HYPERLINK("http://www.ncbi.nlm.nih.gov/sites/entrez?db=gene&amp;cmd=Retrieve&amp;dopt=full_report&amp;list_uids=79650","79650")</f>
        <v>79650</v>
      </c>
      <c r="F468" s="24" t="s">
        <v>6054</v>
      </c>
      <c r="G468" s="24" t="s">
        <v>6055</v>
      </c>
      <c r="H468" s="14" t="s">
        <v>8076</v>
      </c>
      <c r="I468" s="14" t="s">
        <v>8648</v>
      </c>
      <c r="J468" s="15" t="s">
        <v>7768</v>
      </c>
      <c r="K468" s="16">
        <v>34.547620000000002</v>
      </c>
      <c r="L468" s="17">
        <v>21.700492000000001</v>
      </c>
      <c r="M468" s="18">
        <f t="shared" si="8"/>
        <v>0.62813276283576114</v>
      </c>
    </row>
    <row r="469" spans="1:13">
      <c r="A469" s="13" t="s">
        <v>6056</v>
      </c>
      <c r="B469" s="14" t="s">
        <v>6056</v>
      </c>
      <c r="C469" s="14" t="str">
        <f>HYPERLINK("http://uswest.ensembl.org/Homo_sapiens/Gene/Summary?g=ENSG00000140287","ENSG00000140287")</f>
        <v>ENSG00000140287</v>
      </c>
      <c r="D469" s="14" t="s">
        <v>6057</v>
      </c>
      <c r="E469" s="14" t="str">
        <f>HYPERLINK("http://www.ncbi.nlm.nih.gov/sites/entrez?db=gene&amp;cmd=Retrieve&amp;dopt=full_report&amp;list_uids=3067","3067")</f>
        <v>3067</v>
      </c>
      <c r="F469" s="24" t="s">
        <v>6058</v>
      </c>
      <c r="G469" s="24" t="s">
        <v>6059</v>
      </c>
      <c r="H469" s="14" t="s">
        <v>6027</v>
      </c>
      <c r="I469" s="14" t="s">
        <v>6028</v>
      </c>
      <c r="J469" s="15" t="s">
        <v>8728</v>
      </c>
      <c r="K469" s="16">
        <v>2317.47984</v>
      </c>
      <c r="L469" s="17">
        <v>1455.958255</v>
      </c>
      <c r="M469" s="18">
        <f t="shared" si="8"/>
        <v>0.62825066689684772</v>
      </c>
    </row>
    <row r="470" spans="1:13">
      <c r="A470" s="13" t="s">
        <v>6029</v>
      </c>
      <c r="B470" s="14" t="s">
        <v>6029</v>
      </c>
      <c r="C470" s="14" t="str">
        <f>HYPERLINK("http://uswest.ensembl.org/Homo_sapiens/Gene/Summary?g=ENSG00000101417","ENSG00000101417")</f>
        <v>ENSG00000101417</v>
      </c>
      <c r="D470" s="14" t="s">
        <v>6030</v>
      </c>
      <c r="E470" s="14" t="str">
        <f>HYPERLINK("http://www.ncbi.nlm.nih.gov/sites/entrez?db=gene&amp;cmd=Retrieve&amp;dopt=full_report&amp;list_uids=11264","11264")</f>
        <v>11264</v>
      </c>
      <c r="F470" s="24" t="s">
        <v>6031</v>
      </c>
      <c r="G470" s="24" t="s">
        <v>6094</v>
      </c>
      <c r="H470" s="14" t="s">
        <v>8728</v>
      </c>
      <c r="I470" s="14" t="s">
        <v>8728</v>
      </c>
      <c r="J470" s="15" t="s">
        <v>6095</v>
      </c>
      <c r="K470" s="16">
        <v>33.488999999999997</v>
      </c>
      <c r="L470" s="17">
        <v>21.041125000000001</v>
      </c>
      <c r="M470" s="18">
        <f t="shared" si="8"/>
        <v>0.62829959091044829</v>
      </c>
    </row>
    <row r="471" spans="1:13">
      <c r="A471" s="13" t="s">
        <v>6100</v>
      </c>
      <c r="B471" s="14" t="s">
        <v>6100</v>
      </c>
      <c r="C471" s="14" t="str">
        <f>HYPERLINK("http://uswest.ensembl.org/Homo_sapiens/Gene/Summary?g=","-")</f>
        <v>-</v>
      </c>
      <c r="D471" s="14" t="s">
        <v>6101</v>
      </c>
      <c r="E471" s="14" t="str">
        <f>HYPERLINK("http://www.ncbi.nlm.nih.gov/sites/entrez?db=gene&amp;cmd=Retrieve&amp;dopt=full_report&amp;list_uids=84062","84062")</f>
        <v>84062</v>
      </c>
      <c r="F471" s="24" t="s">
        <v>6102</v>
      </c>
      <c r="G471" s="24" t="s">
        <v>6103</v>
      </c>
      <c r="H471" s="14" t="s">
        <v>6047</v>
      </c>
      <c r="I471" s="14" t="s">
        <v>6048</v>
      </c>
      <c r="J471" s="15" t="s">
        <v>6049</v>
      </c>
      <c r="K471" s="16">
        <v>125.88954</v>
      </c>
      <c r="L471" s="17">
        <v>79.120750999999998</v>
      </c>
      <c r="M471" s="18">
        <f t="shared" si="8"/>
        <v>0.62849344750961833</v>
      </c>
    </row>
    <row r="472" spans="1:13">
      <c r="A472" s="13" t="s">
        <v>6018</v>
      </c>
      <c r="B472" s="14" t="s">
        <v>6018</v>
      </c>
      <c r="C472" s="14" t="str">
        <f>HYPERLINK("http://uswest.ensembl.org/Homo_sapiens/Gene/Summary?g=","-")</f>
        <v>-</v>
      </c>
      <c r="D472" s="14" t="s">
        <v>6019</v>
      </c>
      <c r="E472" s="14" t="str">
        <f>HYPERLINK("http://www.ncbi.nlm.nih.gov/sites/entrez?db=gene&amp;cmd=Retrieve&amp;dopt=full_report&amp;list_uids=93210","93210")</f>
        <v>93210</v>
      </c>
      <c r="F472" s="24" t="s">
        <v>6020</v>
      </c>
      <c r="G472" s="24" t="s">
        <v>6021</v>
      </c>
      <c r="H472" s="14" t="s">
        <v>6022</v>
      </c>
      <c r="I472" s="14" t="s">
        <v>6023</v>
      </c>
      <c r="J472" s="15" t="s">
        <v>6024</v>
      </c>
      <c r="K472" s="16">
        <v>69.626425999999995</v>
      </c>
      <c r="L472" s="17">
        <v>43.779181000000001</v>
      </c>
      <c r="M472" s="18">
        <f t="shared" si="8"/>
        <v>0.6287724864694334</v>
      </c>
    </row>
    <row r="473" spans="1:13">
      <c r="A473" s="13" t="s">
        <v>6096</v>
      </c>
      <c r="B473" s="14" t="s">
        <v>6096</v>
      </c>
      <c r="C473" s="14" t="str">
        <f>HYPERLINK("http://uswest.ensembl.org/Homo_sapiens/Gene/Summary?g=ENSG00000196374","ENSG00000196374")</f>
        <v>ENSG00000196374</v>
      </c>
      <c r="D473" s="14" t="s">
        <v>6097</v>
      </c>
      <c r="E473" s="14" t="str">
        <f>HYPERLINK("http://www.ncbi.nlm.nih.gov/sites/entrez?db=gene&amp;cmd=Retrieve&amp;dopt=full_report&amp;list_uids=8342","8342")</f>
        <v>8342</v>
      </c>
      <c r="F473" s="24" t="s">
        <v>6098</v>
      </c>
      <c r="G473" s="24" t="s">
        <v>6099</v>
      </c>
      <c r="H473" s="14" t="s">
        <v>8681</v>
      </c>
      <c r="I473" s="14" t="s">
        <v>8682</v>
      </c>
      <c r="J473" s="15" t="s">
        <v>8683</v>
      </c>
      <c r="K473" s="16">
        <v>182.44564700000001</v>
      </c>
      <c r="L473" s="17">
        <v>114.830364</v>
      </c>
      <c r="M473" s="18">
        <f t="shared" si="8"/>
        <v>0.62939492330008839</v>
      </c>
    </row>
    <row r="474" spans="1:13">
      <c r="A474" s="13" t="s">
        <v>6025</v>
      </c>
      <c r="B474" s="14" t="s">
        <v>6025</v>
      </c>
      <c r="C474" s="14" t="str">
        <f>HYPERLINK("http://uswest.ensembl.org/Homo_sapiens/Gene/Summary?g=ENSG00000215086","ENSG00000215086")</f>
        <v>ENSG00000215086</v>
      </c>
      <c r="D474" s="14" t="s">
        <v>8728</v>
      </c>
      <c r="E474" s="14" t="str">
        <f>HYPERLINK("http://www.ncbi.nlm.nih.gov/sites/entrez?db=gene&amp;cmd=Retrieve&amp;dopt=full_report&amp;list_uids=","-")</f>
        <v>-</v>
      </c>
      <c r="F474" s="24" t="s">
        <v>6026</v>
      </c>
      <c r="G474" s="24" t="s">
        <v>8728</v>
      </c>
      <c r="H474" s="14" t="s">
        <v>8728</v>
      </c>
      <c r="I474" s="14" t="s">
        <v>8728</v>
      </c>
      <c r="J474" s="15" t="s">
        <v>8728</v>
      </c>
      <c r="K474" s="16">
        <v>120.546972</v>
      </c>
      <c r="L474" s="17">
        <v>75.877808000000002</v>
      </c>
      <c r="M474" s="18">
        <f t="shared" si="8"/>
        <v>0.62944598890464043</v>
      </c>
    </row>
    <row r="475" spans="1:13">
      <c r="A475" s="13" t="s">
        <v>6073</v>
      </c>
      <c r="B475" s="14" t="s">
        <v>6073</v>
      </c>
      <c r="C475" s="14" t="str">
        <f>HYPERLINK("http://uswest.ensembl.org/Homo_sapiens/Gene/Summary?g=ENSG00000163428","ENSG00000163428")</f>
        <v>ENSG00000163428</v>
      </c>
      <c r="D475" s="14" t="s">
        <v>8728</v>
      </c>
      <c r="E475" s="14" t="str">
        <f>HYPERLINK("http://www.ncbi.nlm.nih.gov/sites/entrez?db=gene&amp;cmd=Retrieve&amp;dopt=full_report&amp;list_uids=116064","116064")</f>
        <v>116064</v>
      </c>
      <c r="F475" s="24" t="s">
        <v>6074</v>
      </c>
      <c r="G475" s="24" t="s">
        <v>6075</v>
      </c>
      <c r="H475" s="14" t="s">
        <v>8728</v>
      </c>
      <c r="I475" s="14" t="s">
        <v>8665</v>
      </c>
      <c r="J475" s="15" t="s">
        <v>8728</v>
      </c>
      <c r="K475" s="16">
        <v>53.098385999999998</v>
      </c>
      <c r="L475" s="17">
        <v>33.442737000000001</v>
      </c>
      <c r="M475" s="18">
        <f t="shared" si="8"/>
        <v>0.62982586702352883</v>
      </c>
    </row>
    <row r="476" spans="1:13">
      <c r="A476" s="13" t="s">
        <v>6076</v>
      </c>
      <c r="B476" s="14" t="s">
        <v>6076</v>
      </c>
      <c r="C476" s="14" t="str">
        <f>HYPERLINK("http://uswest.ensembl.org/Homo_sapiens/Gene/Summary?g=ENSG00000106123","ENSG00000106123")</f>
        <v>ENSG00000106123</v>
      </c>
      <c r="D476" s="14" t="s">
        <v>6077</v>
      </c>
      <c r="E476" s="14" t="str">
        <f>HYPERLINK("http://www.ncbi.nlm.nih.gov/sites/entrez?db=gene&amp;cmd=Retrieve&amp;dopt=full_report&amp;list_uids=2051","2051")</f>
        <v>2051</v>
      </c>
      <c r="F476" s="24" t="s">
        <v>6010</v>
      </c>
      <c r="G476" s="24" t="s">
        <v>6071</v>
      </c>
      <c r="H476" s="14" t="s">
        <v>8687</v>
      </c>
      <c r="I476" s="14" t="s">
        <v>6072</v>
      </c>
      <c r="J476" s="15" t="s">
        <v>8698</v>
      </c>
      <c r="K476" s="16">
        <v>114.958724</v>
      </c>
      <c r="L476" s="17">
        <v>72.420212000000006</v>
      </c>
      <c r="M476" s="18">
        <f t="shared" si="8"/>
        <v>0.62996708279399483</v>
      </c>
    </row>
    <row r="477" spans="1:13">
      <c r="A477" s="13" t="s">
        <v>5994</v>
      </c>
      <c r="B477" s="14" t="s">
        <v>5994</v>
      </c>
      <c r="C477" s="14" t="str">
        <f>HYPERLINK("http://uswest.ensembl.org/Homo_sapiens/Gene/Summary?g=ENSG00000180979","ENSG00000180979")</f>
        <v>ENSG00000180979</v>
      </c>
      <c r="D477" s="14" t="s">
        <v>6011</v>
      </c>
      <c r="E477" s="14" t="str">
        <f>HYPERLINK("http://www.ncbi.nlm.nih.gov/sites/entrez?db=gene&amp;cmd=Retrieve&amp;dopt=full_report&amp;list_uids=255252","255252")</f>
        <v>255252</v>
      </c>
      <c r="F477" s="24" t="s">
        <v>6012</v>
      </c>
      <c r="G477" s="24" t="s">
        <v>6013</v>
      </c>
      <c r="H477" s="14" t="s">
        <v>8728</v>
      </c>
      <c r="I477" s="14" t="s">
        <v>8665</v>
      </c>
      <c r="J477" s="15" t="s">
        <v>8728</v>
      </c>
      <c r="K477" s="16">
        <v>50.020403999999999</v>
      </c>
      <c r="L477" s="17">
        <v>31.532655999999999</v>
      </c>
      <c r="M477" s="18">
        <f t="shared" si="8"/>
        <v>0.63039586805416448</v>
      </c>
    </row>
    <row r="478" spans="1:13">
      <c r="A478" s="13" t="s">
        <v>6014</v>
      </c>
      <c r="B478" s="14" t="s">
        <v>6014</v>
      </c>
      <c r="C478" s="14" t="str">
        <f>HYPERLINK("http://uswest.ensembl.org/Homo_sapiens/Gene/Summary?g=ENSG00000168754","ENSG00000168754")</f>
        <v>ENSG00000168754</v>
      </c>
      <c r="D478" s="14" t="s">
        <v>6015</v>
      </c>
      <c r="E478" s="14" t="str">
        <f>HYPERLINK("http://www.ncbi.nlm.nih.gov/sites/entrez?db=gene&amp;cmd=Retrieve&amp;dopt=full_report&amp;list_uids=51252","51252")</f>
        <v>51252</v>
      </c>
      <c r="F478" s="24" t="s">
        <v>6016</v>
      </c>
      <c r="G478" s="24" t="s">
        <v>6017</v>
      </c>
      <c r="H478" s="14" t="s">
        <v>8728</v>
      </c>
      <c r="I478" s="14" t="s">
        <v>8728</v>
      </c>
      <c r="J478" s="15" t="s">
        <v>8728</v>
      </c>
      <c r="K478" s="16">
        <v>144.23296300000001</v>
      </c>
      <c r="L478" s="17">
        <v>90.945798999999994</v>
      </c>
      <c r="M478" s="18">
        <f t="shared" si="8"/>
        <v>0.6305479490149557</v>
      </c>
    </row>
    <row r="479" spans="1:13">
      <c r="A479" s="13" t="s">
        <v>5996</v>
      </c>
      <c r="B479" s="14" t="s">
        <v>5996</v>
      </c>
      <c r="C479" s="14" t="str">
        <f>HYPERLINK("http://uswest.ensembl.org/Homo_sapiens/Gene/Summary?g=ENSG00000204873","ENSG00000204873")</f>
        <v>ENSG00000204873</v>
      </c>
      <c r="D479" s="14" t="s">
        <v>5997</v>
      </c>
      <c r="E479" s="14" t="str">
        <f>HYPERLINK("http://www.ncbi.nlm.nih.gov/sites/entrez?db=gene&amp;cmd=Retrieve&amp;dopt=full_report&amp;list_uids=83900","83900")</f>
        <v>83900</v>
      </c>
      <c r="F479" s="24" t="s">
        <v>5998</v>
      </c>
      <c r="G479" s="24" t="s">
        <v>6070</v>
      </c>
      <c r="H479" s="14" t="s">
        <v>8728</v>
      </c>
      <c r="I479" s="14" t="s">
        <v>8665</v>
      </c>
      <c r="J479" s="15" t="s">
        <v>8680</v>
      </c>
      <c r="K479" s="16">
        <v>52.437942</v>
      </c>
      <c r="L479" s="17">
        <v>33.082396000000003</v>
      </c>
      <c r="M479" s="18">
        <f t="shared" si="8"/>
        <v>0.63088662022624764</v>
      </c>
    </row>
    <row r="480" spans="1:13">
      <c r="A480" s="13" t="s">
        <v>5982</v>
      </c>
      <c r="B480" s="14" t="s">
        <v>5982</v>
      </c>
      <c r="C480" s="14" t="str">
        <f>HYPERLINK("http://uswest.ensembl.org/Homo_sapiens/Gene/Summary?g=","-")</f>
        <v>-</v>
      </c>
      <c r="D480" s="14" t="s">
        <v>5983</v>
      </c>
      <c r="E480" s="14" t="str">
        <f>HYPERLINK("http://www.ncbi.nlm.nih.gov/sites/entrez?db=gene&amp;cmd=Retrieve&amp;dopt=full_report&amp;list_uids=201176","201176")</f>
        <v>201176</v>
      </c>
      <c r="F480" s="24" t="s">
        <v>5984</v>
      </c>
      <c r="G480" s="24" t="s">
        <v>5985</v>
      </c>
      <c r="H480" s="14" t="s">
        <v>8565</v>
      </c>
      <c r="I480" s="14" t="s">
        <v>8665</v>
      </c>
      <c r="J480" s="15" t="s">
        <v>8707</v>
      </c>
      <c r="K480" s="16">
        <v>102.74661399999999</v>
      </c>
      <c r="L480" s="17">
        <v>64.845453000000006</v>
      </c>
      <c r="M480" s="18">
        <f t="shared" si="8"/>
        <v>0.63112009705740779</v>
      </c>
    </row>
    <row r="481" spans="1:13">
      <c r="A481" s="13" t="s">
        <v>5986</v>
      </c>
      <c r="B481" s="14" t="s">
        <v>5986</v>
      </c>
      <c r="C481" s="14" t="str">
        <f>HYPERLINK("http://uswest.ensembl.org/Homo_sapiens/Gene/Summary?g=ENSG00000141977","ENSG00000141977")</f>
        <v>ENSG00000141977</v>
      </c>
      <c r="D481" s="14" t="s">
        <v>5987</v>
      </c>
      <c r="E481" s="14" t="str">
        <f>HYPERLINK("http://www.ncbi.nlm.nih.gov/sites/entrez?db=gene&amp;cmd=Retrieve&amp;dopt=full_report&amp;list_uids=117286","117286")</f>
        <v>117286</v>
      </c>
      <c r="F481" s="24" t="s">
        <v>5988</v>
      </c>
      <c r="G481" s="24" t="s">
        <v>5989</v>
      </c>
      <c r="H481" s="14" t="s">
        <v>8728</v>
      </c>
      <c r="I481" s="14" t="s">
        <v>8684</v>
      </c>
      <c r="J481" s="15" t="s">
        <v>8728</v>
      </c>
      <c r="K481" s="16">
        <v>49.463445999999998</v>
      </c>
      <c r="L481" s="17">
        <v>31.226714000000001</v>
      </c>
      <c r="M481" s="18">
        <f t="shared" si="8"/>
        <v>0.63130890637906634</v>
      </c>
    </row>
    <row r="482" spans="1:13">
      <c r="A482" s="13" t="s">
        <v>5991</v>
      </c>
      <c r="B482" s="14" t="s">
        <v>5991</v>
      </c>
      <c r="C482" s="14" t="str">
        <f>HYPERLINK("http://uswest.ensembl.org/Homo_sapiens/Gene/Summary?g=","-")</f>
        <v>-</v>
      </c>
      <c r="D482" s="14" t="s">
        <v>5992</v>
      </c>
      <c r="E482" s="14" t="str">
        <f>HYPERLINK("http://www.ncbi.nlm.nih.gov/sites/entrez?db=gene&amp;cmd=Retrieve&amp;dopt=full_report&amp;list_uids=3682","3682")</f>
        <v>3682</v>
      </c>
      <c r="F482" s="24" t="s">
        <v>5993</v>
      </c>
      <c r="G482" s="24" t="s">
        <v>5978</v>
      </c>
      <c r="H482" s="14" t="s">
        <v>8420</v>
      </c>
      <c r="I482" s="14" t="s">
        <v>5979</v>
      </c>
      <c r="J482" s="15" t="s">
        <v>5980</v>
      </c>
      <c r="K482" s="16">
        <v>440.13420500000001</v>
      </c>
      <c r="L482" s="17">
        <v>278.034584</v>
      </c>
      <c r="M482" s="18">
        <f t="shared" si="8"/>
        <v>0.63170410488773532</v>
      </c>
    </row>
    <row r="483" spans="1:13">
      <c r="A483" s="13" t="s">
        <v>5995</v>
      </c>
      <c r="B483" s="14" t="s">
        <v>5995</v>
      </c>
      <c r="C483" s="14" t="str">
        <f>HYPERLINK("http://uswest.ensembl.org/Homo_sapiens/Gene/Summary?g=","-")</f>
        <v>-</v>
      </c>
      <c r="D483" s="14" t="s">
        <v>8728</v>
      </c>
      <c r="E483" s="14" t="str">
        <f>HYPERLINK("http://www.ncbi.nlm.nih.gov/sites/entrez?db=gene&amp;cmd=Retrieve&amp;dopt=full_report&amp;list_uids=729645","729645")</f>
        <v>729645</v>
      </c>
      <c r="F483" s="24" t="s">
        <v>8728</v>
      </c>
      <c r="G483" s="24" t="s">
        <v>8728</v>
      </c>
      <c r="H483" s="14" t="s">
        <v>8728</v>
      </c>
      <c r="I483" s="14" t="s">
        <v>8728</v>
      </c>
      <c r="J483" s="15" t="s">
        <v>8728</v>
      </c>
      <c r="K483" s="16">
        <v>207.12554299999999</v>
      </c>
      <c r="L483" s="17">
        <v>130.86869899999999</v>
      </c>
      <c r="M483" s="18">
        <f t="shared" si="8"/>
        <v>0.63183273827313513</v>
      </c>
    </row>
    <row r="484" spans="1:13">
      <c r="A484" s="13" t="s">
        <v>6040</v>
      </c>
      <c r="B484" s="14" t="s">
        <v>6040</v>
      </c>
      <c r="C484" s="14" t="str">
        <f>HYPERLINK("http://uswest.ensembl.org/Homo_sapiens/Gene/Summary?g=","-")</f>
        <v>-</v>
      </c>
      <c r="D484" s="14" t="s">
        <v>8675</v>
      </c>
      <c r="E484" s="14" t="str">
        <f>HYPERLINK("http://www.ncbi.nlm.nih.gov/sites/entrez?db=gene&amp;cmd=Retrieve&amp;dopt=full_report&amp;list_uids=100293351","100293351")</f>
        <v>100293351</v>
      </c>
      <c r="F484" s="24" t="s">
        <v>8676</v>
      </c>
      <c r="G484" s="24" t="s">
        <v>8677</v>
      </c>
      <c r="H484" s="14" t="s">
        <v>8678</v>
      </c>
      <c r="I484" s="14" t="s">
        <v>8679</v>
      </c>
      <c r="J484" s="15" t="s">
        <v>8680</v>
      </c>
      <c r="K484" s="16">
        <v>83.252444999999994</v>
      </c>
      <c r="L484" s="17">
        <v>52.645398999999998</v>
      </c>
      <c r="M484" s="18">
        <f t="shared" si="8"/>
        <v>0.63235859319206777</v>
      </c>
    </row>
    <row r="485" spans="1:13">
      <c r="A485" s="13" t="s">
        <v>6041</v>
      </c>
      <c r="B485" s="14" t="s">
        <v>6041</v>
      </c>
      <c r="C485" s="14" t="str">
        <f>HYPERLINK("http://uswest.ensembl.org/Homo_sapiens/Gene/Summary?g=ENSG00000204502","ENSG00000204502")</f>
        <v>ENSG00000204502</v>
      </c>
      <c r="D485" s="14" t="s">
        <v>6042</v>
      </c>
      <c r="E485" s="14" t="str">
        <f>HYPERLINK("http://www.ncbi.nlm.nih.gov/sites/entrez?db=gene&amp;cmd=Retrieve&amp;dopt=full_report&amp;list_uids=343068","343068")</f>
        <v>343068</v>
      </c>
      <c r="F485" s="24" t="s">
        <v>6043</v>
      </c>
      <c r="G485" s="24" t="s">
        <v>6044</v>
      </c>
      <c r="H485" s="14" t="s">
        <v>8728</v>
      </c>
      <c r="I485" s="14" t="s">
        <v>8728</v>
      </c>
      <c r="J485" s="15" t="s">
        <v>8728</v>
      </c>
      <c r="K485" s="16">
        <v>38.442433999999999</v>
      </c>
      <c r="L485" s="17">
        <v>24.318697</v>
      </c>
      <c r="M485" s="18">
        <f t="shared" si="8"/>
        <v>0.63260034471282445</v>
      </c>
    </row>
    <row r="486" spans="1:13">
      <c r="A486" s="13" t="s">
        <v>6045</v>
      </c>
      <c r="B486" s="14" t="s">
        <v>6045</v>
      </c>
      <c r="C486" s="14" t="str">
        <f>HYPERLINK("http://uswest.ensembl.org/Homo_sapiens/Gene/Summary?g=","-")</f>
        <v>-</v>
      </c>
      <c r="D486" s="14" t="s">
        <v>8728</v>
      </c>
      <c r="E486" s="14" t="str">
        <f>HYPERLINK("http://www.ncbi.nlm.nih.gov/sites/entrez?db=gene&amp;cmd=Retrieve&amp;dopt=full_report&amp;list_uids=647546","647546")</f>
        <v>647546</v>
      </c>
      <c r="F486" s="24" t="s">
        <v>8728</v>
      </c>
      <c r="G486" s="24" t="s">
        <v>8728</v>
      </c>
      <c r="H486" s="14" t="s">
        <v>8728</v>
      </c>
      <c r="I486" s="14" t="s">
        <v>8728</v>
      </c>
      <c r="J486" s="15" t="s">
        <v>8728</v>
      </c>
      <c r="K486" s="16">
        <v>74.049277000000004</v>
      </c>
      <c r="L486" s="17">
        <v>46.851959000000001</v>
      </c>
      <c r="M486" s="18">
        <f t="shared" si="8"/>
        <v>0.63271325390523392</v>
      </c>
    </row>
    <row r="487" spans="1:13">
      <c r="A487" s="13" t="s">
        <v>6046</v>
      </c>
      <c r="B487" s="14" t="s">
        <v>6046</v>
      </c>
      <c r="C487" s="14" t="str">
        <f>HYPERLINK("http://uswest.ensembl.org/Homo_sapiens/Gene/Summary?g=ENSG00000111450","ENSG00000111450")</f>
        <v>ENSG00000111450</v>
      </c>
      <c r="D487" s="14" t="s">
        <v>5976</v>
      </c>
      <c r="E487" s="14" t="str">
        <f>HYPERLINK("http://www.ncbi.nlm.nih.gov/sites/entrez?db=gene&amp;cmd=Retrieve&amp;dopt=full_report&amp;list_uids=2054","2054")</f>
        <v>2054</v>
      </c>
      <c r="F487" s="24" t="s">
        <v>5977</v>
      </c>
      <c r="G487" s="24" t="s">
        <v>5954</v>
      </c>
      <c r="H487" s="19" t="s">
        <v>5955</v>
      </c>
      <c r="I487" s="14" t="s">
        <v>5956</v>
      </c>
      <c r="J487" s="20" t="s">
        <v>5999</v>
      </c>
      <c r="K487" s="16">
        <v>35.346893000000001</v>
      </c>
      <c r="L487" s="17">
        <v>22.370470999999998</v>
      </c>
      <c r="M487" s="18">
        <f t="shared" si="8"/>
        <v>0.63288365967554761</v>
      </c>
    </row>
    <row r="488" spans="1:13">
      <c r="A488" s="13" t="s">
        <v>6000</v>
      </c>
      <c r="B488" s="14" t="s">
        <v>6000</v>
      </c>
      <c r="C488" s="14" t="str">
        <f>HYPERLINK("http://uswest.ensembl.org/Homo_sapiens/Gene/Summary?g=ENSG00000107140","ENSG00000107140")</f>
        <v>ENSG00000107140</v>
      </c>
      <c r="D488" s="14" t="s">
        <v>6001</v>
      </c>
      <c r="E488" s="14" t="str">
        <f>HYPERLINK("http://www.ncbi.nlm.nih.gov/sites/entrez?db=gene&amp;cmd=Retrieve&amp;dopt=full_report&amp;list_uids=7016","7016")</f>
        <v>7016</v>
      </c>
      <c r="F488" s="24" t="s">
        <v>6002</v>
      </c>
      <c r="G488" s="24" t="s">
        <v>6003</v>
      </c>
      <c r="H488" s="14" t="s">
        <v>5981</v>
      </c>
      <c r="I488" s="19" t="s">
        <v>6032</v>
      </c>
      <c r="J488" s="15" t="s">
        <v>8728</v>
      </c>
      <c r="K488" s="16">
        <v>36.533137000000004</v>
      </c>
      <c r="L488" s="17">
        <v>23.132636000000002</v>
      </c>
      <c r="M488" s="18">
        <f t="shared" si="8"/>
        <v>0.63319599409161054</v>
      </c>
    </row>
    <row r="489" spans="1:13">
      <c r="A489" s="13" t="s">
        <v>6033</v>
      </c>
      <c r="B489" s="14" t="s">
        <v>6033</v>
      </c>
      <c r="C489" s="14" t="str">
        <f>HYPERLINK("http://uswest.ensembl.org/Homo_sapiens/Gene/Summary?g=ENSG00000178457","ENSG00000178457")</f>
        <v>ENSG00000178457</v>
      </c>
      <c r="D489" s="14" t="s">
        <v>8728</v>
      </c>
      <c r="E489" s="14" t="str">
        <f>HYPERLINK("http://www.ncbi.nlm.nih.gov/sites/entrez?db=gene&amp;cmd=Retrieve&amp;dopt=full_report&amp;list_uids=","-")</f>
        <v>-</v>
      </c>
      <c r="F489" s="24" t="s">
        <v>6034</v>
      </c>
      <c r="G489" s="24" t="s">
        <v>6035</v>
      </c>
      <c r="H489" s="14" t="s">
        <v>8728</v>
      </c>
      <c r="I489" s="14" t="s">
        <v>8728</v>
      </c>
      <c r="J489" s="15" t="s">
        <v>8728</v>
      </c>
      <c r="K489" s="16">
        <v>40.952553000000002</v>
      </c>
      <c r="L489" s="17">
        <v>25.940021000000002</v>
      </c>
      <c r="M489" s="18">
        <f t="shared" si="8"/>
        <v>0.63341645635621302</v>
      </c>
    </row>
    <row r="490" spans="1:13">
      <c r="A490" s="13" t="s">
        <v>6036</v>
      </c>
      <c r="B490" s="14" t="s">
        <v>6036</v>
      </c>
      <c r="C490" s="14" t="str">
        <f>HYPERLINK("http://uswest.ensembl.org/Homo_sapiens/Gene/Summary?g=ENSG00000178538","ENSG00000178538")</f>
        <v>ENSG00000178538</v>
      </c>
      <c r="D490" s="14" t="s">
        <v>6037</v>
      </c>
      <c r="E490" s="14" t="str">
        <f>HYPERLINK("http://www.ncbi.nlm.nih.gov/sites/entrez?db=gene&amp;cmd=Retrieve&amp;dopt=full_report&amp;list_uids=767","767")</f>
        <v>767</v>
      </c>
      <c r="F490" s="24" t="s">
        <v>6038</v>
      </c>
      <c r="G490" s="24" t="s">
        <v>6039</v>
      </c>
      <c r="H490" s="14" t="s">
        <v>6004</v>
      </c>
      <c r="I490" s="14" t="s">
        <v>6005</v>
      </c>
      <c r="J490" s="15" t="s">
        <v>8619</v>
      </c>
      <c r="K490" s="16">
        <v>366.71286099999998</v>
      </c>
      <c r="L490" s="17">
        <v>232.30879300000001</v>
      </c>
      <c r="M490" s="18">
        <f t="shared" si="8"/>
        <v>0.63348962555202015</v>
      </c>
    </row>
    <row r="491" spans="1:13">
      <c r="A491" s="13" t="s">
        <v>6006</v>
      </c>
      <c r="B491" s="14" t="s">
        <v>6006</v>
      </c>
      <c r="C491" s="14" t="str">
        <f>HYPERLINK("http://uswest.ensembl.org/Homo_sapiens/Gene/Summary?g=ENSG00000204592","ENSG00000204592")</f>
        <v>ENSG00000204592</v>
      </c>
      <c r="D491" s="14" t="s">
        <v>6007</v>
      </c>
      <c r="E491" s="14" t="str">
        <f>HYPERLINK("http://www.ncbi.nlm.nih.gov/sites/entrez?db=gene&amp;cmd=Retrieve&amp;dopt=full_report&amp;list_uids=3133","3133")</f>
        <v>3133</v>
      </c>
      <c r="F491" s="24" t="s">
        <v>6008</v>
      </c>
      <c r="G491" s="24" t="s">
        <v>6009</v>
      </c>
      <c r="H491" s="14" t="s">
        <v>5952</v>
      </c>
      <c r="I491" s="14" t="s">
        <v>8728</v>
      </c>
      <c r="J491" s="15" t="s">
        <v>5953</v>
      </c>
      <c r="K491" s="16">
        <v>605.21473400000002</v>
      </c>
      <c r="L491" s="17">
        <v>383.45457199999998</v>
      </c>
      <c r="M491" s="18">
        <f t="shared" si="8"/>
        <v>0.6335843304171771</v>
      </c>
    </row>
    <row r="492" spans="1:13">
      <c r="A492" s="13" t="s">
        <v>5957</v>
      </c>
      <c r="B492" s="14" t="s">
        <v>5957</v>
      </c>
      <c r="C492" s="14" t="str">
        <f>HYPERLINK("http://uswest.ensembl.org/Homo_sapiens/Gene/Summary?g=ENSG00000162961","ENSG00000162961")</f>
        <v>ENSG00000162961</v>
      </c>
      <c r="D492" s="14" t="s">
        <v>5958</v>
      </c>
      <c r="E492" s="14" t="str">
        <f>HYPERLINK("http://www.ncbi.nlm.nih.gov/sites/entrez?db=gene&amp;cmd=Retrieve&amp;dopt=full_report&amp;list_uids=84661","84661")</f>
        <v>84661</v>
      </c>
      <c r="F492" s="24" t="s">
        <v>5959</v>
      </c>
      <c r="G492" s="24" t="s">
        <v>5960</v>
      </c>
      <c r="H492" s="14" t="s">
        <v>8728</v>
      </c>
      <c r="I492" s="14" t="s">
        <v>7822</v>
      </c>
      <c r="J492" s="15" t="s">
        <v>8558</v>
      </c>
      <c r="K492" s="16">
        <v>631.71291900000006</v>
      </c>
      <c r="L492" s="17">
        <v>400.63673199999999</v>
      </c>
      <c r="M492" s="18">
        <f t="shared" si="8"/>
        <v>0.63420696324242809</v>
      </c>
    </row>
    <row r="493" spans="1:13">
      <c r="A493" s="13" t="s">
        <v>5929</v>
      </c>
      <c r="B493" s="14" t="s">
        <v>5929</v>
      </c>
      <c r="C493" s="14" t="str">
        <f>HYPERLINK("http://uswest.ensembl.org/Homo_sapiens/Gene/Summary?g=ENSG00000167165","ENSG00000167165")</f>
        <v>ENSG00000167165</v>
      </c>
      <c r="D493" s="14" t="s">
        <v>5930</v>
      </c>
      <c r="E493" s="14" t="str">
        <f>HYPERLINK("http://www.ncbi.nlm.nih.gov/sites/entrez?db=gene&amp;cmd=Retrieve&amp;dopt=full_report&amp;list_uids=54577","54577")</f>
        <v>54577</v>
      </c>
      <c r="F493" s="24" t="s">
        <v>5931</v>
      </c>
      <c r="G493" s="24" t="s">
        <v>5932</v>
      </c>
      <c r="H493" s="14" t="s">
        <v>8329</v>
      </c>
      <c r="I493" s="14" t="s">
        <v>6050</v>
      </c>
      <c r="J493" s="15" t="s">
        <v>5933</v>
      </c>
      <c r="K493" s="16">
        <v>112.54753599999999</v>
      </c>
      <c r="L493" s="17">
        <v>71.386555000000001</v>
      </c>
      <c r="M493" s="18">
        <f t="shared" si="8"/>
        <v>0.63427914583576495</v>
      </c>
    </row>
    <row r="494" spans="1:13">
      <c r="A494" s="13" t="s">
        <v>5926</v>
      </c>
      <c r="B494" s="14" t="s">
        <v>5926</v>
      </c>
      <c r="C494" s="14" t="str">
        <f>HYPERLINK("http://uswest.ensembl.org/Homo_sapiens/Gene/Summary?g=","-")</f>
        <v>-</v>
      </c>
      <c r="D494" s="14" t="s">
        <v>8728</v>
      </c>
      <c r="E494" s="14" t="str">
        <f>HYPERLINK("http://www.ncbi.nlm.nih.gov/sites/entrez?db=gene&amp;cmd=Retrieve&amp;dopt=full_report&amp;list_uids=100293563","100293563")</f>
        <v>100293563</v>
      </c>
      <c r="F494" s="24" t="s">
        <v>5927</v>
      </c>
      <c r="G494" s="24" t="s">
        <v>5928</v>
      </c>
      <c r="H494" s="14" t="s">
        <v>8728</v>
      </c>
      <c r="I494" s="14" t="s">
        <v>8728</v>
      </c>
      <c r="J494" s="15" t="s">
        <v>8728</v>
      </c>
      <c r="K494" s="16">
        <v>477.57966900000002</v>
      </c>
      <c r="L494" s="17">
        <v>303.36996499999998</v>
      </c>
      <c r="M494" s="18">
        <f t="shared" si="8"/>
        <v>0.63522378503930821</v>
      </c>
    </row>
    <row r="495" spans="1:13">
      <c r="A495" s="13" t="s">
        <v>5914</v>
      </c>
      <c r="B495" s="14" t="s">
        <v>5914</v>
      </c>
      <c r="C495" s="14" t="str">
        <f>HYPERLINK("http://uswest.ensembl.org/Homo_sapiens/Gene/Summary?g=ENSG00000159216","ENSG00000159216")</f>
        <v>ENSG00000159216</v>
      </c>
      <c r="D495" s="14" t="s">
        <v>8728</v>
      </c>
      <c r="E495" s="14" t="str">
        <f>HYPERLINK("http://www.ncbi.nlm.nih.gov/sites/entrez?db=gene&amp;cmd=Retrieve&amp;dopt=full_report&amp;list_uids=861","861")</f>
        <v>861</v>
      </c>
      <c r="F495" s="24" t="s">
        <v>5915</v>
      </c>
      <c r="G495" s="25" t="s">
        <v>5961</v>
      </c>
      <c r="H495" s="14" t="s">
        <v>8673</v>
      </c>
      <c r="I495" s="14" t="s">
        <v>5962</v>
      </c>
      <c r="J495" s="15" t="s">
        <v>8558</v>
      </c>
      <c r="K495" s="16">
        <v>274.05603300000001</v>
      </c>
      <c r="L495" s="17">
        <v>174.12062800000001</v>
      </c>
      <c r="M495" s="18">
        <f t="shared" si="8"/>
        <v>0.63534681610165467</v>
      </c>
    </row>
    <row r="496" spans="1:13">
      <c r="A496" s="13" t="s">
        <v>5963</v>
      </c>
      <c r="B496" s="14" t="s">
        <v>5963</v>
      </c>
      <c r="C496" s="14" t="str">
        <f>HYPERLINK("http://uswest.ensembl.org/Homo_sapiens/Gene/Summary?g=ENSG00000176102","ENSG00000176102")</f>
        <v>ENSG00000176102</v>
      </c>
      <c r="D496" s="14" t="s">
        <v>5964</v>
      </c>
      <c r="E496" s="14" t="str">
        <f>HYPERLINK("http://www.ncbi.nlm.nih.gov/sites/entrez?db=gene&amp;cmd=Retrieve&amp;dopt=full_report&amp;list_uids=1479","1479")</f>
        <v>1479</v>
      </c>
      <c r="F496" s="24" t="s">
        <v>5965</v>
      </c>
      <c r="G496" s="24" t="s">
        <v>5966</v>
      </c>
      <c r="H496" s="14" t="s">
        <v>5967</v>
      </c>
      <c r="I496" s="14" t="s">
        <v>5968</v>
      </c>
      <c r="J496" s="15" t="s">
        <v>8622</v>
      </c>
      <c r="K496" s="16">
        <v>142.06035199999999</v>
      </c>
      <c r="L496" s="17">
        <v>90.267938000000001</v>
      </c>
      <c r="M496" s="18">
        <f t="shared" si="8"/>
        <v>0.6354196419279603</v>
      </c>
    </row>
    <row r="497" spans="1:13">
      <c r="A497" s="13" t="s">
        <v>5969</v>
      </c>
      <c r="B497" s="14" t="s">
        <v>5969</v>
      </c>
      <c r="C497" s="14" t="str">
        <f>HYPERLINK("http://uswest.ensembl.org/Homo_sapiens/Gene/Summary?g=ENSG00000165660","ENSG00000165660")</f>
        <v>ENSG00000165660</v>
      </c>
      <c r="D497" s="14" t="s">
        <v>5970</v>
      </c>
      <c r="E497" s="14" t="str">
        <f>HYPERLINK("http://www.ncbi.nlm.nih.gov/sites/entrez?db=gene&amp;cmd=Retrieve&amp;dopt=full_report&amp;list_uids=23172","23172")</f>
        <v>23172</v>
      </c>
      <c r="F497" s="24" t="s">
        <v>5971</v>
      </c>
      <c r="G497" s="24" t="s">
        <v>5972</v>
      </c>
      <c r="H497" s="14" t="s">
        <v>8728</v>
      </c>
      <c r="I497" s="14" t="s">
        <v>8665</v>
      </c>
      <c r="J497" s="15" t="s">
        <v>8728</v>
      </c>
      <c r="K497" s="16">
        <v>105.599766</v>
      </c>
      <c r="L497" s="17">
        <v>67.112933999999996</v>
      </c>
      <c r="M497" s="18">
        <f t="shared" si="8"/>
        <v>0.63554055602736836</v>
      </c>
    </row>
    <row r="498" spans="1:13">
      <c r="A498" s="13" t="s">
        <v>5973</v>
      </c>
      <c r="B498" s="14" t="s">
        <v>5973</v>
      </c>
      <c r="C498" s="14" t="str">
        <f>HYPERLINK("http://uswest.ensembl.org/Homo_sapiens/Gene/Summary?g=","-")</f>
        <v>-</v>
      </c>
      <c r="D498" s="14" t="s">
        <v>5974</v>
      </c>
      <c r="E498" s="14" t="str">
        <f>HYPERLINK("http://www.ncbi.nlm.nih.gov/sites/entrez?db=gene&amp;cmd=Retrieve&amp;dopt=full_report&amp;list_uids=64764","64764")</f>
        <v>64764</v>
      </c>
      <c r="F498" s="24" t="s">
        <v>5975</v>
      </c>
      <c r="G498" s="25" t="s">
        <v>5946</v>
      </c>
      <c r="H498" s="14" t="s">
        <v>5947</v>
      </c>
      <c r="I498" s="14" t="s">
        <v>5948</v>
      </c>
      <c r="J498" s="15" t="s">
        <v>5949</v>
      </c>
      <c r="K498" s="16">
        <v>42.389102999999999</v>
      </c>
      <c r="L498" s="17">
        <v>26.945048</v>
      </c>
      <c r="M498" s="18">
        <f t="shared" si="8"/>
        <v>0.63565978265687761</v>
      </c>
    </row>
    <row r="499" spans="1:13">
      <c r="A499" s="13" t="s">
        <v>5950</v>
      </c>
      <c r="B499" s="14" t="s">
        <v>5950</v>
      </c>
      <c r="C499" s="14" t="str">
        <f>HYPERLINK("http://uswest.ensembl.org/Homo_sapiens/Gene/Summary?g=ENSG00000109452","ENSG00000109452")</f>
        <v>ENSG00000109452</v>
      </c>
      <c r="D499" s="14" t="s">
        <v>5951</v>
      </c>
      <c r="E499" s="14" t="str">
        <f>HYPERLINK("http://www.ncbi.nlm.nih.gov/sites/entrez?db=gene&amp;cmd=Retrieve&amp;dopt=full_report&amp;list_uids=","-")</f>
        <v>-</v>
      </c>
      <c r="F499" s="24" t="s">
        <v>5899</v>
      </c>
      <c r="G499" s="24" t="s">
        <v>5900</v>
      </c>
      <c r="H499" s="14" t="s">
        <v>8728</v>
      </c>
      <c r="I499" s="14" t="s">
        <v>8728</v>
      </c>
      <c r="J499" s="15" t="s">
        <v>8728</v>
      </c>
      <c r="K499" s="16">
        <v>36.665387000000003</v>
      </c>
      <c r="L499" s="17">
        <v>23.312021000000001</v>
      </c>
      <c r="M499" s="18">
        <f t="shared" si="8"/>
        <v>0.63580458048894994</v>
      </c>
    </row>
    <row r="500" spans="1:13">
      <c r="A500" s="13" t="s">
        <v>5901</v>
      </c>
      <c r="B500" s="14" t="s">
        <v>5901</v>
      </c>
      <c r="C500" s="14" t="str">
        <f>HYPERLINK("http://uswest.ensembl.org/Homo_sapiens/Gene/Summary?g=ENSG00000137814","ENSG00000137814")</f>
        <v>ENSG00000137814</v>
      </c>
      <c r="D500" s="14" t="s">
        <v>5902</v>
      </c>
      <c r="E500" s="14" t="str">
        <f>HYPERLINK("http://www.ncbi.nlm.nih.gov/sites/entrez?db=gene&amp;cmd=Retrieve&amp;dopt=full_report&amp;list_uids=55142","55142")</f>
        <v>55142</v>
      </c>
      <c r="F500" s="24" t="s">
        <v>5903</v>
      </c>
      <c r="G500" s="24" t="s">
        <v>5904</v>
      </c>
      <c r="H500" s="14" t="s">
        <v>8728</v>
      </c>
      <c r="I500" s="14" t="s">
        <v>8728</v>
      </c>
      <c r="J500" s="15" t="s">
        <v>5905</v>
      </c>
      <c r="K500" s="16">
        <v>93.286411999999999</v>
      </c>
      <c r="L500" s="17">
        <v>59.314349</v>
      </c>
      <c r="M500" s="18">
        <f t="shared" si="8"/>
        <v>0.6358305323180401</v>
      </c>
    </row>
    <row r="501" spans="1:13">
      <c r="A501" s="13" t="s">
        <v>5906</v>
      </c>
      <c r="B501" s="14" t="s">
        <v>5906</v>
      </c>
      <c r="C501" s="14" t="str">
        <f>HYPERLINK("http://uswest.ensembl.org/Homo_sapiens/Gene/Summary?g=ENSG00000067840","ENSG00000067840")</f>
        <v>ENSG00000067840</v>
      </c>
      <c r="D501" s="14" t="s">
        <v>5907</v>
      </c>
      <c r="E501" s="14" t="str">
        <f>HYPERLINK("http://www.ncbi.nlm.nih.gov/sites/entrez?db=gene&amp;cmd=Retrieve&amp;dopt=full_report&amp;list_uids=","-")</f>
        <v>-</v>
      </c>
      <c r="F501" s="24" t="s">
        <v>5908</v>
      </c>
      <c r="G501" s="24" t="s">
        <v>5909</v>
      </c>
      <c r="H501" s="14" t="s">
        <v>8728</v>
      </c>
      <c r="I501" s="14" t="s">
        <v>8665</v>
      </c>
      <c r="J501" s="15" t="s">
        <v>8728</v>
      </c>
      <c r="K501" s="16">
        <v>40.687223000000003</v>
      </c>
      <c r="L501" s="17">
        <v>25.870661999999999</v>
      </c>
      <c r="M501" s="18">
        <f t="shared" si="8"/>
        <v>0.63584241175663425</v>
      </c>
    </row>
    <row r="502" spans="1:13">
      <c r="A502" s="13" t="s">
        <v>5910</v>
      </c>
      <c r="B502" s="14" t="s">
        <v>5910</v>
      </c>
      <c r="C502" s="14" t="str">
        <f>HYPERLINK("http://uswest.ensembl.org/Homo_sapiens/Gene/Summary?g=ENSG00000133104","ENSG00000133104")</f>
        <v>ENSG00000133104</v>
      </c>
      <c r="D502" s="14" t="s">
        <v>5911</v>
      </c>
      <c r="E502" s="14" t="str">
        <f>HYPERLINK("http://www.ncbi.nlm.nih.gov/sites/entrez?db=gene&amp;cmd=Retrieve&amp;dopt=full_report&amp;list_uids=23111","23111")</f>
        <v>23111</v>
      </c>
      <c r="F502" s="24" t="s">
        <v>5912</v>
      </c>
      <c r="G502" s="24" t="s">
        <v>5913</v>
      </c>
      <c r="H502" s="14" t="s">
        <v>8728</v>
      </c>
      <c r="I502" s="14" t="s">
        <v>8728</v>
      </c>
      <c r="J502" s="15" t="s">
        <v>8728</v>
      </c>
      <c r="K502" s="16">
        <v>294.43561999999997</v>
      </c>
      <c r="L502" s="17">
        <v>187.216859</v>
      </c>
      <c r="M502" s="18">
        <f t="shared" si="8"/>
        <v>0.63584989818826954</v>
      </c>
    </row>
    <row r="503" spans="1:13">
      <c r="A503" s="13" t="s">
        <v>5885</v>
      </c>
      <c r="B503" s="14" t="s">
        <v>5885</v>
      </c>
      <c r="C503" s="14" t="str">
        <f>HYPERLINK("http://uswest.ensembl.org/Homo_sapiens/Gene/Summary?g=ENSG00000160883","ENSG00000160883")</f>
        <v>ENSG00000160883</v>
      </c>
      <c r="D503" s="14" t="s">
        <v>5934</v>
      </c>
      <c r="E503" s="14" t="str">
        <f>HYPERLINK("http://www.ncbi.nlm.nih.gov/sites/entrez?db=gene&amp;cmd=Retrieve&amp;dopt=full_report&amp;list_uids=3101","3101")</f>
        <v>3101</v>
      </c>
      <c r="F503" s="14" t="s">
        <v>5935</v>
      </c>
      <c r="G503" s="14" t="s">
        <v>5936</v>
      </c>
      <c r="H503" s="14" t="s">
        <v>5937</v>
      </c>
      <c r="I503" s="14" t="s">
        <v>5938</v>
      </c>
      <c r="J503" s="15" t="s">
        <v>5939</v>
      </c>
      <c r="K503" s="16">
        <v>188.90952100000001</v>
      </c>
      <c r="L503" s="17">
        <v>120.19056999999999</v>
      </c>
      <c r="M503" s="18">
        <f t="shared" si="8"/>
        <v>0.63623352260789434</v>
      </c>
    </row>
    <row r="504" spans="1:13">
      <c r="A504" s="13" t="s">
        <v>5940</v>
      </c>
      <c r="B504" s="14" t="s">
        <v>5940</v>
      </c>
      <c r="C504" s="14" t="str">
        <f>HYPERLINK("http://uswest.ensembl.org/Homo_sapiens/Gene/Summary?g=ENSG00000213967","ENSG00000213967")</f>
        <v>ENSG00000213967</v>
      </c>
      <c r="D504" s="14" t="s">
        <v>8728</v>
      </c>
      <c r="E504" s="14" t="str">
        <f>HYPERLINK("http://www.ncbi.nlm.nih.gov/sites/entrez?db=gene&amp;cmd=Retrieve&amp;dopt=full_report&amp;list_uids=","-")</f>
        <v>-</v>
      </c>
      <c r="F504" s="14" t="s">
        <v>5941</v>
      </c>
      <c r="G504" s="14" t="s">
        <v>5942</v>
      </c>
      <c r="H504" s="14" t="s">
        <v>8581</v>
      </c>
      <c r="I504" s="14" t="s">
        <v>8582</v>
      </c>
      <c r="J504" s="15" t="s">
        <v>8622</v>
      </c>
      <c r="K504" s="16">
        <v>95.773443999999998</v>
      </c>
      <c r="L504" s="17">
        <v>60.938271999999998</v>
      </c>
      <c r="M504" s="18">
        <f t="shared" si="8"/>
        <v>0.63627524974459515</v>
      </c>
    </row>
    <row r="505" spans="1:13">
      <c r="A505" s="13" t="s">
        <v>5943</v>
      </c>
      <c r="B505" s="14" t="s">
        <v>5943</v>
      </c>
      <c r="C505" s="14" t="str">
        <f>HYPERLINK("http://uswest.ensembl.org/Homo_sapiens/Gene/Summary?g=","-")</f>
        <v>-</v>
      </c>
      <c r="D505" s="14" t="s">
        <v>5944</v>
      </c>
      <c r="E505" s="14" t="str">
        <f>HYPERLINK("http://www.ncbi.nlm.nih.gov/sites/entrez?db=gene&amp;cmd=Retrieve&amp;dopt=full_report&amp;list_uids=282974","282974")</f>
        <v>282974</v>
      </c>
      <c r="F505" s="14" t="s">
        <v>5945</v>
      </c>
      <c r="G505" s="14" t="s">
        <v>5918</v>
      </c>
      <c r="H505" s="14" t="s">
        <v>8656</v>
      </c>
      <c r="I505" s="14" t="s">
        <v>5919</v>
      </c>
      <c r="J505" s="15" t="s">
        <v>8728</v>
      </c>
      <c r="K505" s="16">
        <v>88.915712999999997</v>
      </c>
      <c r="L505" s="17">
        <v>56.575111</v>
      </c>
      <c r="M505" s="18">
        <f t="shared" si="8"/>
        <v>0.63627798834610938</v>
      </c>
    </row>
    <row r="506" spans="1:13">
      <c r="A506" s="13" t="s">
        <v>5920</v>
      </c>
      <c r="B506" s="14" t="s">
        <v>5920</v>
      </c>
      <c r="C506" s="14" t="str">
        <f>HYPERLINK("http://uswest.ensembl.org/Homo_sapiens/Gene/Summary?g=ENSG00000180389","ENSG00000180389")</f>
        <v>ENSG00000180389</v>
      </c>
      <c r="D506" s="14" t="s">
        <v>8728</v>
      </c>
      <c r="E506" s="14" t="str">
        <f>HYPERLINK("http://www.ncbi.nlm.nih.gov/sites/entrez?db=gene&amp;cmd=Retrieve&amp;dopt=full_report&amp;list_uids=","-")</f>
        <v>-</v>
      </c>
      <c r="F506" s="14" t="s">
        <v>5921</v>
      </c>
      <c r="G506" s="14" t="s">
        <v>5922</v>
      </c>
      <c r="H506" s="14" t="s">
        <v>5923</v>
      </c>
      <c r="I506" s="14" t="s">
        <v>5924</v>
      </c>
      <c r="J506" s="15" t="s">
        <v>5867</v>
      </c>
      <c r="K506" s="16">
        <v>983.61286500000006</v>
      </c>
      <c r="L506" s="17">
        <v>625.93526499999996</v>
      </c>
      <c r="M506" s="18">
        <f t="shared" si="8"/>
        <v>0.63636343857702582</v>
      </c>
    </row>
    <row r="507" spans="1:13">
      <c r="A507" s="13" t="s">
        <v>5868</v>
      </c>
      <c r="B507" s="14" t="s">
        <v>5868</v>
      </c>
      <c r="C507" s="14" t="str">
        <f>HYPERLINK("http://uswest.ensembl.org/Homo_sapiens/Gene/Summary?g=ENSG00000048405","ENSG00000048405")</f>
        <v>ENSG00000048405</v>
      </c>
      <c r="D507" s="14" t="s">
        <v>5869</v>
      </c>
      <c r="E507" s="14" t="str">
        <f>HYPERLINK("http://www.ncbi.nlm.nih.gov/sites/entrez?db=gene&amp;cmd=Retrieve&amp;dopt=full_report&amp;list_uids=168850","168850")</f>
        <v>168850</v>
      </c>
      <c r="F507" s="14" t="s">
        <v>5870</v>
      </c>
      <c r="G507" s="14" t="s">
        <v>5871</v>
      </c>
      <c r="H507" s="14" t="s">
        <v>8581</v>
      </c>
      <c r="I507" s="14" t="s">
        <v>8582</v>
      </c>
      <c r="J507" s="15" t="s">
        <v>8622</v>
      </c>
      <c r="K507" s="16">
        <v>79.824999000000005</v>
      </c>
      <c r="L507" s="17">
        <v>50.801276999999999</v>
      </c>
      <c r="M507" s="18">
        <f t="shared" si="8"/>
        <v>0.63640811320273238</v>
      </c>
    </row>
    <row r="508" spans="1:13">
      <c r="A508" s="13" t="s">
        <v>5872</v>
      </c>
      <c r="B508" s="14" t="s">
        <v>5872</v>
      </c>
      <c r="C508" s="14" t="str">
        <f>HYPERLINK("http://uswest.ensembl.org/Homo_sapiens/Gene/Summary?g=ENSG00000001461","ENSG00000001461")</f>
        <v>ENSG00000001461</v>
      </c>
      <c r="D508" s="14" t="s">
        <v>5873</v>
      </c>
      <c r="E508" s="14" t="str">
        <f>HYPERLINK("http://www.ncbi.nlm.nih.gov/sites/entrez?db=gene&amp;cmd=Retrieve&amp;dopt=full_report&amp;list_uids=","-")</f>
        <v>-</v>
      </c>
      <c r="F508" s="14" t="s">
        <v>5874</v>
      </c>
      <c r="G508" s="14" t="s">
        <v>5875</v>
      </c>
      <c r="H508" s="14" t="s">
        <v>8728</v>
      </c>
      <c r="I508" s="14" t="s">
        <v>8728</v>
      </c>
      <c r="J508" s="15" t="s">
        <v>8728</v>
      </c>
      <c r="K508" s="16">
        <v>44.258952999999998</v>
      </c>
      <c r="L508" s="17">
        <v>28.167425999999999</v>
      </c>
      <c r="M508" s="18">
        <f t="shared" si="8"/>
        <v>0.63642323396127332</v>
      </c>
    </row>
    <row r="509" spans="1:13">
      <c r="A509" s="13" t="s">
        <v>5876</v>
      </c>
      <c r="B509" s="14" t="s">
        <v>5876</v>
      </c>
      <c r="C509" s="14" t="str">
        <f>HYPERLINK("http://uswest.ensembl.org/Homo_sapiens/Gene/Summary?g=","-")</f>
        <v>-</v>
      </c>
      <c r="D509" s="14" t="s">
        <v>8728</v>
      </c>
      <c r="E509" s="14" t="str">
        <f>HYPERLINK("http://www.ncbi.nlm.nih.gov/sites/entrez?db=gene&amp;cmd=Retrieve&amp;dopt=full_report&amp;list_uids=100289514","100289514")</f>
        <v>100289514</v>
      </c>
      <c r="F509" s="24" t="s">
        <v>8728</v>
      </c>
      <c r="G509" s="24" t="s">
        <v>8728</v>
      </c>
      <c r="H509" s="14" t="s">
        <v>8728</v>
      </c>
      <c r="I509" s="14" t="s">
        <v>8728</v>
      </c>
      <c r="J509" s="15" t="s">
        <v>8728</v>
      </c>
      <c r="K509" s="16">
        <v>136.525969</v>
      </c>
      <c r="L509" s="17">
        <v>86.889871999999997</v>
      </c>
      <c r="M509" s="18">
        <f t="shared" si="8"/>
        <v>0.63643475769800251</v>
      </c>
    </row>
    <row r="510" spans="1:13">
      <c r="A510" s="13" t="s">
        <v>5877</v>
      </c>
      <c r="B510" s="14" t="s">
        <v>5877</v>
      </c>
      <c r="C510" s="14" t="str">
        <f>HYPERLINK("http://uswest.ensembl.org/Homo_sapiens/Gene/Summary?g=ENSG00000186143","ENSG00000186143")</f>
        <v>ENSG00000186143</v>
      </c>
      <c r="D510" s="14" t="s">
        <v>5878</v>
      </c>
      <c r="E510" s="14" t="str">
        <f>HYPERLINK("http://www.ncbi.nlm.nih.gov/sites/entrez?db=gene&amp;cmd=Retrieve&amp;dopt=full_report&amp;list_uids=339779","339779")</f>
        <v>339779</v>
      </c>
      <c r="F510" s="24" t="s">
        <v>5879</v>
      </c>
      <c r="G510" s="24" t="s">
        <v>5880</v>
      </c>
      <c r="H510" s="14" t="s">
        <v>8728</v>
      </c>
      <c r="I510" s="14" t="s">
        <v>8728</v>
      </c>
      <c r="J510" s="15" t="s">
        <v>8728</v>
      </c>
      <c r="K510" s="16">
        <v>34.175742999999997</v>
      </c>
      <c r="L510" s="17">
        <v>21.752306999999998</v>
      </c>
      <c r="M510" s="18">
        <f t="shared" si="8"/>
        <v>0.63648380665783921</v>
      </c>
    </row>
    <row r="511" spans="1:13">
      <c r="A511" s="13" t="s">
        <v>5881</v>
      </c>
      <c r="B511" s="14" t="s">
        <v>5881</v>
      </c>
      <c r="C511" s="14" t="str">
        <f>HYPERLINK("http://uswest.ensembl.org/Homo_sapiens/Gene/Summary?g=ENSG00000166477","ENSG00000166477")</f>
        <v>ENSG00000166477</v>
      </c>
      <c r="D511" s="14" t="s">
        <v>5882</v>
      </c>
      <c r="E511" s="14" t="str">
        <f>HYPERLINK("http://www.ncbi.nlm.nih.gov/sites/entrez?db=gene&amp;cmd=Retrieve&amp;dopt=full_report&amp;list_uids=","-")</f>
        <v>-</v>
      </c>
      <c r="F511" s="24" t="s">
        <v>5883</v>
      </c>
      <c r="G511" s="24" t="s">
        <v>5884</v>
      </c>
      <c r="H511" s="14" t="s">
        <v>6064</v>
      </c>
      <c r="I511" s="14" t="s">
        <v>8728</v>
      </c>
      <c r="J511" s="15" t="s">
        <v>8728</v>
      </c>
      <c r="K511" s="16">
        <v>409.52644800000002</v>
      </c>
      <c r="L511" s="17">
        <v>260.67224800000002</v>
      </c>
      <c r="M511" s="18">
        <f t="shared" si="8"/>
        <v>0.63652115577160484</v>
      </c>
    </row>
    <row r="512" spans="1:13">
      <c r="A512" s="13" t="s">
        <v>5849</v>
      </c>
      <c r="B512" s="14" t="s">
        <v>5849</v>
      </c>
      <c r="C512" s="14" t="str">
        <f>HYPERLINK("http://uswest.ensembl.org/Homo_sapiens/Gene/Summary?g=ENSG00000196126","ENSG00000196126")</f>
        <v>ENSG00000196126</v>
      </c>
      <c r="D512" s="14" t="s">
        <v>8728</v>
      </c>
      <c r="E512" s="14" t="str">
        <f>HYPERLINK("http://www.ncbi.nlm.nih.gov/sites/entrez?db=gene&amp;cmd=Retrieve&amp;dopt=full_report&amp;list_uids=3123","3123")</f>
        <v>3123</v>
      </c>
      <c r="F512" s="24" t="s">
        <v>5850</v>
      </c>
      <c r="G512" s="24" t="s">
        <v>5851</v>
      </c>
      <c r="H512" s="14" t="s">
        <v>5916</v>
      </c>
      <c r="I512" s="14" t="s">
        <v>7299</v>
      </c>
      <c r="J512" s="15" t="s">
        <v>5917</v>
      </c>
      <c r="K512" s="16">
        <v>453.17606899999998</v>
      </c>
      <c r="L512" s="17">
        <v>288.61159600000002</v>
      </c>
      <c r="M512" s="18">
        <f t="shared" si="8"/>
        <v>0.63686415886183967</v>
      </c>
    </row>
    <row r="513" spans="1:13">
      <c r="A513" s="13" t="s">
        <v>5890</v>
      </c>
      <c r="B513" s="14" t="s">
        <v>5890</v>
      </c>
      <c r="C513" s="14" t="str">
        <f>HYPERLINK("http://uswest.ensembl.org/Homo_sapiens/Gene/Summary?g=","-")</f>
        <v>-</v>
      </c>
      <c r="D513" s="14" t="s">
        <v>5891</v>
      </c>
      <c r="E513" s="14" t="str">
        <f>HYPERLINK("http://www.ncbi.nlm.nih.gov/sites/entrez?db=gene&amp;cmd=Retrieve&amp;dopt=full_report&amp;list_uids=1429","1429")</f>
        <v>1429</v>
      </c>
      <c r="F513" s="24" t="s">
        <v>5892</v>
      </c>
      <c r="G513" s="24" t="s">
        <v>5893</v>
      </c>
      <c r="H513" s="14" t="s">
        <v>5894</v>
      </c>
      <c r="I513" s="14" t="s">
        <v>5895</v>
      </c>
      <c r="J513" s="15" t="s">
        <v>8728</v>
      </c>
      <c r="K513" s="16">
        <v>291.20088099999998</v>
      </c>
      <c r="L513" s="17">
        <v>185.55369400000001</v>
      </c>
      <c r="M513" s="18">
        <f t="shared" si="8"/>
        <v>0.63720169170779406</v>
      </c>
    </row>
    <row r="514" spans="1:13">
      <c r="A514" s="13" t="s">
        <v>5896</v>
      </c>
      <c r="B514" s="14" t="s">
        <v>5896</v>
      </c>
      <c r="C514" s="14" t="str">
        <f>HYPERLINK("http://uswest.ensembl.org/Homo_sapiens/Gene/Summary?g=ENSG00000100644","ENSG00000100644")</f>
        <v>ENSG00000100644</v>
      </c>
      <c r="D514" s="14" t="s">
        <v>5897</v>
      </c>
      <c r="E514" s="14" t="str">
        <f>HYPERLINK("http://www.ncbi.nlm.nih.gov/sites/entrez?db=gene&amp;cmd=Retrieve&amp;dopt=full_report&amp;list_uids=","-")</f>
        <v>-</v>
      </c>
      <c r="F514" s="24" t="s">
        <v>5898</v>
      </c>
      <c r="G514" s="24" t="s">
        <v>5839</v>
      </c>
      <c r="H514" s="14" t="s">
        <v>7380</v>
      </c>
      <c r="I514" s="14" t="s">
        <v>5840</v>
      </c>
      <c r="J514" s="15" t="s">
        <v>8726</v>
      </c>
      <c r="K514" s="16">
        <v>106.55766800000001</v>
      </c>
      <c r="L514" s="17">
        <v>67.904382999999996</v>
      </c>
      <c r="M514" s="18">
        <f t="shared" ref="M514:M577" si="9">L514/K514</f>
        <v>0.63725477738495551</v>
      </c>
    </row>
    <row r="515" spans="1:13">
      <c r="A515" s="13" t="s">
        <v>5841</v>
      </c>
      <c r="B515" s="14" t="s">
        <v>5841</v>
      </c>
      <c r="C515" s="14" t="str">
        <f>HYPERLINK("http://uswest.ensembl.org/Homo_sapiens/Gene/Summary?g=ENSG00000136098","ENSG00000136098")</f>
        <v>ENSG00000136098</v>
      </c>
      <c r="D515" s="14" t="s">
        <v>8728</v>
      </c>
      <c r="E515" s="14" t="str">
        <f>HYPERLINK("http://www.ncbi.nlm.nih.gov/sites/entrez?db=gene&amp;cmd=Retrieve&amp;dopt=full_report&amp;list_uids=4752","4752")</f>
        <v>4752</v>
      </c>
      <c r="F515" s="24" t="s">
        <v>5842</v>
      </c>
      <c r="G515" s="24" t="s">
        <v>5843</v>
      </c>
      <c r="H515" s="14" t="s">
        <v>5844</v>
      </c>
      <c r="I515" s="19" t="s">
        <v>8602</v>
      </c>
      <c r="J515" s="15" t="s">
        <v>8558</v>
      </c>
      <c r="K515" s="16">
        <v>70.319822000000002</v>
      </c>
      <c r="L515" s="17">
        <v>44.820408</v>
      </c>
      <c r="M515" s="18">
        <f t="shared" si="9"/>
        <v>0.63737942908899858</v>
      </c>
    </row>
    <row r="516" spans="1:13">
      <c r="A516" s="13" t="s">
        <v>5845</v>
      </c>
      <c r="B516" s="14" t="s">
        <v>5845</v>
      </c>
      <c r="C516" s="14" t="str">
        <f>HYPERLINK("http://uswest.ensembl.org/Homo_sapiens/Gene/Summary?g=ENSG00000215297","ENSG00000215297")</f>
        <v>ENSG00000215297</v>
      </c>
      <c r="D516" s="14" t="s">
        <v>8728</v>
      </c>
      <c r="E516" s="14" t="str">
        <f>HYPERLINK("http://www.ncbi.nlm.nih.gov/sites/entrez?db=gene&amp;cmd=Retrieve&amp;dopt=full_report&amp;list_uids=","-")</f>
        <v>-</v>
      </c>
      <c r="F516" s="24" t="s">
        <v>5846</v>
      </c>
      <c r="G516" s="24" t="s">
        <v>8728</v>
      </c>
      <c r="H516" s="14" t="s">
        <v>8728</v>
      </c>
      <c r="I516" s="14" t="s">
        <v>8728</v>
      </c>
      <c r="J516" s="15" t="s">
        <v>8728</v>
      </c>
      <c r="K516" s="16">
        <v>85.373202000000006</v>
      </c>
      <c r="L516" s="17">
        <v>54.425505999999999</v>
      </c>
      <c r="M516" s="18">
        <f t="shared" si="9"/>
        <v>0.63750105097381726</v>
      </c>
    </row>
    <row r="517" spans="1:13">
      <c r="A517" s="13" t="s">
        <v>5847</v>
      </c>
      <c r="B517" s="14" t="s">
        <v>5847</v>
      </c>
      <c r="C517" s="14" t="str">
        <f>HYPERLINK("http://uswest.ensembl.org/Homo_sapiens/Gene/Summary?g=ENSG00000186502","ENSG00000186502")</f>
        <v>ENSG00000186502</v>
      </c>
      <c r="D517" s="14" t="s">
        <v>8728</v>
      </c>
      <c r="E517" s="14" t="str">
        <f>HYPERLINK("http://www.ncbi.nlm.nih.gov/sites/entrez?db=gene&amp;cmd=Retrieve&amp;dopt=full_report&amp;list_uids=","-")</f>
        <v>-</v>
      </c>
      <c r="F517" s="24" t="s">
        <v>5848</v>
      </c>
      <c r="G517" s="24" t="s">
        <v>8728</v>
      </c>
      <c r="H517" s="14" t="s">
        <v>8728</v>
      </c>
      <c r="I517" s="14" t="s">
        <v>8728</v>
      </c>
      <c r="J517" s="15" t="s">
        <v>8728</v>
      </c>
      <c r="K517" s="16">
        <v>54.194963999999999</v>
      </c>
      <c r="L517" s="17">
        <v>34.561188999999999</v>
      </c>
      <c r="M517" s="18">
        <f t="shared" si="9"/>
        <v>0.6377195674491084</v>
      </c>
    </row>
    <row r="518" spans="1:13">
      <c r="A518" s="13" t="s">
        <v>5821</v>
      </c>
      <c r="B518" s="14" t="s">
        <v>5821</v>
      </c>
      <c r="C518" s="14" t="str">
        <f>HYPERLINK("http://uswest.ensembl.org/Homo_sapiens/Gene/Summary?g=","-")</f>
        <v>-</v>
      </c>
      <c r="D518" s="14" t="s">
        <v>5822</v>
      </c>
      <c r="E518" s="14" t="str">
        <f>HYPERLINK("http://www.ncbi.nlm.nih.gov/sites/entrez?db=gene&amp;cmd=Retrieve&amp;dopt=full_report&amp;list_uids=11059","11059")</f>
        <v>11059</v>
      </c>
      <c r="F518" s="24" t="s">
        <v>5823</v>
      </c>
      <c r="G518" s="24" t="s">
        <v>5886</v>
      </c>
      <c r="H518" s="14" t="s">
        <v>5887</v>
      </c>
      <c r="I518" s="14" t="s">
        <v>5888</v>
      </c>
      <c r="J518" s="15" t="s">
        <v>5889</v>
      </c>
      <c r="K518" s="16">
        <v>50.206974000000002</v>
      </c>
      <c r="L518" s="17">
        <v>32.027304000000001</v>
      </c>
      <c r="M518" s="18">
        <f t="shared" si="9"/>
        <v>0.63790548301118488</v>
      </c>
    </row>
    <row r="519" spans="1:13">
      <c r="A519" s="13" t="s">
        <v>5864</v>
      </c>
      <c r="B519" s="14" t="s">
        <v>5864</v>
      </c>
      <c r="C519" s="14" t="str">
        <f>HYPERLINK("http://uswest.ensembl.org/Homo_sapiens/Gene/Summary?g=ENSG00000172594","ENSG00000172594")</f>
        <v>ENSG00000172594</v>
      </c>
      <c r="D519" s="14" t="s">
        <v>5865</v>
      </c>
      <c r="E519" s="14" t="str">
        <f>HYPERLINK("http://www.ncbi.nlm.nih.gov/sites/entrez?db=gene&amp;cmd=Retrieve&amp;dopt=full_report&amp;list_uids=10924","10924")</f>
        <v>10924</v>
      </c>
      <c r="F519" s="24" t="s">
        <v>5866</v>
      </c>
      <c r="G519" s="24" t="s">
        <v>5812</v>
      </c>
      <c r="H519" s="14" t="s">
        <v>5813</v>
      </c>
      <c r="I519" s="14" t="s">
        <v>5814</v>
      </c>
      <c r="J519" s="15" t="s">
        <v>8627</v>
      </c>
      <c r="K519" s="16">
        <v>40.831581999999997</v>
      </c>
      <c r="L519" s="17">
        <v>26.072399000000001</v>
      </c>
      <c r="M519" s="18">
        <f t="shared" si="9"/>
        <v>0.63853511725311063</v>
      </c>
    </row>
    <row r="520" spans="1:13">
      <c r="A520" s="13" t="s">
        <v>5815</v>
      </c>
      <c r="B520" s="14" t="s">
        <v>5815</v>
      </c>
      <c r="C520" s="14" t="str">
        <f>HYPERLINK("http://uswest.ensembl.org/Homo_sapiens/Gene/Summary?g=ENSG00000145247","ENSG00000145247")</f>
        <v>ENSG00000145247</v>
      </c>
      <c r="D520" s="14" t="s">
        <v>5816</v>
      </c>
      <c r="E520" s="14" t="str">
        <f>HYPERLINK("http://www.ncbi.nlm.nih.gov/sites/entrez?db=gene&amp;cmd=Retrieve&amp;dopt=full_report&amp;list_uids=132299","132299")</f>
        <v>132299</v>
      </c>
      <c r="F520" s="24" t="s">
        <v>5817</v>
      </c>
      <c r="G520" s="24" t="s">
        <v>5818</v>
      </c>
      <c r="H520" s="14" t="s">
        <v>8728</v>
      </c>
      <c r="I520" s="14" t="s">
        <v>8728</v>
      </c>
      <c r="J520" s="15" t="s">
        <v>8728</v>
      </c>
      <c r="K520" s="16">
        <v>447.80562600000002</v>
      </c>
      <c r="L520" s="17">
        <v>285.95867700000002</v>
      </c>
      <c r="M520" s="18">
        <f t="shared" si="9"/>
        <v>0.6385776783429693</v>
      </c>
    </row>
    <row r="521" spans="1:13">
      <c r="A521" s="13" t="s">
        <v>5858</v>
      </c>
      <c r="B521" s="14" t="s">
        <v>5858</v>
      </c>
      <c r="C521" s="14" t="str">
        <f>HYPERLINK("http://uswest.ensembl.org/Homo_sapiens/Gene/Summary?g=ENSG00000171471","ENSG00000171471")</f>
        <v>ENSG00000171471</v>
      </c>
      <c r="D521" s="14" t="s">
        <v>5859</v>
      </c>
      <c r="E521" s="14" t="str">
        <f>HYPERLINK("http://www.ncbi.nlm.nih.gov/sites/entrez?db=gene&amp;cmd=Retrieve&amp;dopt=full_report&amp;list_uids=643246","643246")</f>
        <v>643246</v>
      </c>
      <c r="F521" s="24" t="s">
        <v>5860</v>
      </c>
      <c r="G521" s="24" t="s">
        <v>5861</v>
      </c>
      <c r="H521" s="14" t="s">
        <v>5862</v>
      </c>
      <c r="I521" s="14" t="s">
        <v>8728</v>
      </c>
      <c r="J521" s="15" t="s">
        <v>5863</v>
      </c>
      <c r="K521" s="16">
        <v>679.86669600000005</v>
      </c>
      <c r="L521" s="17">
        <v>434.73543699999999</v>
      </c>
      <c r="M521" s="18">
        <f t="shared" si="9"/>
        <v>0.6394421723519752</v>
      </c>
    </row>
    <row r="522" spans="1:13">
      <c r="A522" s="13" t="s">
        <v>5791</v>
      </c>
      <c r="B522" s="14" t="s">
        <v>5791</v>
      </c>
      <c r="C522" s="14" t="str">
        <f>HYPERLINK("http://uswest.ensembl.org/Homo_sapiens/Gene/Summary?g=ENSG00000110911","ENSG00000110911")</f>
        <v>ENSG00000110911</v>
      </c>
      <c r="D522" s="14" t="s">
        <v>5792</v>
      </c>
      <c r="E522" s="14" t="str">
        <f>HYPERLINK("http://www.ncbi.nlm.nih.gov/sites/entrez?db=gene&amp;cmd=Retrieve&amp;dopt=full_report&amp;list_uids=4891","4891")</f>
        <v>4891</v>
      </c>
      <c r="F522" s="24" t="s">
        <v>5793</v>
      </c>
      <c r="G522" s="24" t="s">
        <v>5794</v>
      </c>
      <c r="H522" s="14" t="s">
        <v>5852</v>
      </c>
      <c r="I522" s="14" t="s">
        <v>5853</v>
      </c>
      <c r="J522" s="15" t="s">
        <v>8691</v>
      </c>
      <c r="K522" s="16">
        <v>77.087811000000002</v>
      </c>
      <c r="L522" s="17">
        <v>49.314897999999999</v>
      </c>
      <c r="M522" s="18">
        <f t="shared" si="9"/>
        <v>0.6397236782349417</v>
      </c>
    </row>
    <row r="523" spans="1:13">
      <c r="A523" s="13" t="s">
        <v>5854</v>
      </c>
      <c r="B523" s="14" t="s">
        <v>5854</v>
      </c>
      <c r="C523" s="14" t="str">
        <f>HYPERLINK("http://uswest.ensembl.org/Homo_sapiens/Gene/Summary?g=ENSG00000020633","ENSG00000020633")</f>
        <v>ENSG00000020633</v>
      </c>
      <c r="D523" s="14" t="s">
        <v>5855</v>
      </c>
      <c r="E523" s="14" t="str">
        <f>HYPERLINK("http://www.ncbi.nlm.nih.gov/sites/entrez?db=gene&amp;cmd=Retrieve&amp;dopt=full_report&amp;list_uids=864","864")</f>
        <v>864</v>
      </c>
      <c r="F523" s="24" t="s">
        <v>5856</v>
      </c>
      <c r="G523" s="25" t="s">
        <v>5857</v>
      </c>
      <c r="H523" s="14" t="s">
        <v>8673</v>
      </c>
      <c r="I523" s="14" t="s">
        <v>5962</v>
      </c>
      <c r="J523" s="15" t="s">
        <v>8558</v>
      </c>
      <c r="K523" s="16">
        <v>167.590642</v>
      </c>
      <c r="L523" s="17">
        <v>107.244782</v>
      </c>
      <c r="M523" s="18">
        <f t="shared" si="9"/>
        <v>0.63992106432768481</v>
      </c>
    </row>
    <row r="524" spans="1:13">
      <c r="A524" s="13" t="s">
        <v>5835</v>
      </c>
      <c r="B524" s="14" t="s">
        <v>5835</v>
      </c>
      <c r="C524" s="14" t="str">
        <f>HYPERLINK("http://uswest.ensembl.org/Homo_sapiens/Gene/Summary?g=ENSG00000104432","ENSG00000104432")</f>
        <v>ENSG00000104432</v>
      </c>
      <c r="D524" s="14" t="s">
        <v>5836</v>
      </c>
      <c r="E524" s="14" t="str">
        <f>HYPERLINK("http://www.ncbi.nlm.nih.gov/sites/entrez?db=gene&amp;cmd=Retrieve&amp;dopt=full_report&amp;list_uids=3574","3574")</f>
        <v>3574</v>
      </c>
      <c r="F524" s="24" t="s">
        <v>5837</v>
      </c>
      <c r="G524" s="24" t="s">
        <v>5838</v>
      </c>
      <c r="H524" s="19" t="s">
        <v>5789</v>
      </c>
      <c r="I524" s="14" t="s">
        <v>5790</v>
      </c>
      <c r="J524" s="15" t="s">
        <v>8627</v>
      </c>
      <c r="K524" s="16">
        <v>75.593355000000003</v>
      </c>
      <c r="L524" s="17">
        <v>48.392837</v>
      </c>
      <c r="M524" s="18">
        <f t="shared" si="9"/>
        <v>0.6401731607229233</v>
      </c>
    </row>
    <row r="525" spans="1:13">
      <c r="A525" s="13" t="s">
        <v>5824</v>
      </c>
      <c r="B525" s="14" t="s">
        <v>5824</v>
      </c>
      <c r="C525" s="14" t="str">
        <f>HYPERLINK("http://uswest.ensembl.org/Homo_sapiens/Gene/Summary?g=","-")</f>
        <v>-</v>
      </c>
      <c r="D525" s="14" t="s">
        <v>8728</v>
      </c>
      <c r="E525" s="14" t="str">
        <f>HYPERLINK("http://www.ncbi.nlm.nih.gov/sites/entrez?db=gene&amp;cmd=Retrieve&amp;dopt=full_report&amp;list_uids=100130116","100130116")</f>
        <v>100130116</v>
      </c>
      <c r="F525" s="24" t="s">
        <v>8728</v>
      </c>
      <c r="G525" s="24" t="s">
        <v>8728</v>
      </c>
      <c r="H525" s="14" t="s">
        <v>8728</v>
      </c>
      <c r="I525" s="14" t="s">
        <v>8728</v>
      </c>
      <c r="J525" s="15" t="s">
        <v>8728</v>
      </c>
      <c r="K525" s="16">
        <v>75.093404000000007</v>
      </c>
      <c r="L525" s="17">
        <v>48.074975000000002</v>
      </c>
      <c r="M525" s="18">
        <f t="shared" si="9"/>
        <v>0.64020236717461898</v>
      </c>
    </row>
    <row r="526" spans="1:13">
      <c r="A526" s="13" t="s">
        <v>5825</v>
      </c>
      <c r="B526" s="14" t="s">
        <v>5825</v>
      </c>
      <c r="C526" s="14" t="str">
        <f>HYPERLINK("http://uswest.ensembl.org/Homo_sapiens/Gene/Summary?g=ENSG00000053254","ENSG00000053254")</f>
        <v>ENSG00000053254</v>
      </c>
      <c r="D526" s="14" t="s">
        <v>5826</v>
      </c>
      <c r="E526" s="14" t="str">
        <f>HYPERLINK("http://www.ncbi.nlm.nih.gov/sites/entrez?db=gene&amp;cmd=Retrieve&amp;dopt=full_report&amp;list_uids=1112","1112")</f>
        <v>1112</v>
      </c>
      <c r="F526" s="24" t="s">
        <v>5827</v>
      </c>
      <c r="G526" s="24" t="s">
        <v>5828</v>
      </c>
      <c r="H526" s="14" t="s">
        <v>8163</v>
      </c>
      <c r="I526" s="14" t="s">
        <v>8557</v>
      </c>
      <c r="J526" s="15" t="s">
        <v>8558</v>
      </c>
      <c r="K526" s="16">
        <v>135.15338299999999</v>
      </c>
      <c r="L526" s="17">
        <v>86.541908000000006</v>
      </c>
      <c r="M526" s="18">
        <f t="shared" si="9"/>
        <v>0.64032365360769405</v>
      </c>
    </row>
    <row r="527" spans="1:13">
      <c r="A527" s="13" t="s">
        <v>5830</v>
      </c>
      <c r="B527" s="14" t="s">
        <v>5830</v>
      </c>
      <c r="C527" s="14" t="str">
        <f>HYPERLINK("http://uswest.ensembl.org/Homo_sapiens/Gene/Summary?g=ENSG00000171867","ENSG00000171867")</f>
        <v>ENSG00000171867</v>
      </c>
      <c r="D527" s="14" t="s">
        <v>5831</v>
      </c>
      <c r="E527" s="14" t="str">
        <f>HYPERLINK("http://www.ncbi.nlm.nih.gov/sites/entrez?db=gene&amp;cmd=Retrieve&amp;dopt=full_report&amp;list_uids=5621","5621")</f>
        <v>5621</v>
      </c>
      <c r="F527" s="24" t="s">
        <v>5832</v>
      </c>
      <c r="G527" s="24" t="s">
        <v>5833</v>
      </c>
      <c r="H527" s="19" t="s">
        <v>5834</v>
      </c>
      <c r="I527" s="14" t="s">
        <v>5765</v>
      </c>
      <c r="J527" s="15" t="s">
        <v>5766</v>
      </c>
      <c r="K527" s="16">
        <v>3097.3599140000001</v>
      </c>
      <c r="L527" s="17">
        <v>1983.8858339999999</v>
      </c>
      <c r="M527" s="18">
        <f t="shared" si="9"/>
        <v>0.64050865546263402</v>
      </c>
    </row>
    <row r="528" spans="1:13">
      <c r="A528" s="13" t="s">
        <v>5767</v>
      </c>
      <c r="B528" s="14" t="s">
        <v>5767</v>
      </c>
      <c r="C528" s="14" t="str">
        <f>HYPERLINK("http://uswest.ensembl.org/Homo_sapiens/Gene/Summary?g=","-")</f>
        <v>-</v>
      </c>
      <c r="D528" s="14" t="s">
        <v>5768</v>
      </c>
      <c r="E528" s="14" t="str">
        <f>HYPERLINK("http://www.ncbi.nlm.nih.gov/sites/entrez?db=gene&amp;cmd=Retrieve&amp;dopt=full_report&amp;list_uids=5965","5965")</f>
        <v>5965</v>
      </c>
      <c r="F528" s="24" t="s">
        <v>5769</v>
      </c>
      <c r="G528" s="24" t="s">
        <v>5770</v>
      </c>
      <c r="H528" s="14" t="s">
        <v>8728</v>
      </c>
      <c r="I528" s="14" t="s">
        <v>8728</v>
      </c>
      <c r="J528" s="15" t="s">
        <v>8728</v>
      </c>
      <c r="K528" s="16">
        <v>77.18562</v>
      </c>
      <c r="L528" s="17">
        <v>49.440064</v>
      </c>
      <c r="M528" s="18">
        <f t="shared" si="9"/>
        <v>0.64053464881152733</v>
      </c>
    </row>
    <row r="529" spans="1:13">
      <c r="A529" s="13" t="s">
        <v>5771</v>
      </c>
      <c r="B529" s="14" t="s">
        <v>5771</v>
      </c>
      <c r="C529" s="14" t="str">
        <f>HYPERLINK("http://uswest.ensembl.org/Homo_sapiens/Gene/Summary?g=","-")</f>
        <v>-</v>
      </c>
      <c r="D529" s="14" t="s">
        <v>5772</v>
      </c>
      <c r="E529" s="14" t="str">
        <f>HYPERLINK("http://www.ncbi.nlm.nih.gov/sites/entrez?db=gene&amp;cmd=Retrieve&amp;dopt=full_report&amp;list_uids=7404","7404")</f>
        <v>7404</v>
      </c>
      <c r="F529" s="24" t="s">
        <v>5773</v>
      </c>
      <c r="G529" s="24" t="s">
        <v>5774</v>
      </c>
      <c r="H529" s="14" t="s">
        <v>5775</v>
      </c>
      <c r="I529" s="14" t="s">
        <v>5776</v>
      </c>
      <c r="J529" s="15" t="s">
        <v>8558</v>
      </c>
      <c r="K529" s="16">
        <v>74.153289000000001</v>
      </c>
      <c r="L529" s="17">
        <v>47.529983000000001</v>
      </c>
      <c r="M529" s="18">
        <f t="shared" si="9"/>
        <v>0.64096931695099868</v>
      </c>
    </row>
    <row r="530" spans="1:13">
      <c r="A530" s="13" t="s">
        <v>5798</v>
      </c>
      <c r="B530" s="14" t="s">
        <v>5798</v>
      </c>
      <c r="C530" s="14" t="str">
        <f>HYPERLINK("http://uswest.ensembl.org/Homo_sapiens/Gene/Summary?g=ENSG00000082068","ENSG00000082068")</f>
        <v>ENSG00000082068</v>
      </c>
      <c r="D530" s="14" t="s">
        <v>5799</v>
      </c>
      <c r="E530" s="14" t="str">
        <f>HYPERLINK("http://www.ncbi.nlm.nih.gov/sites/entrez?db=gene&amp;cmd=Retrieve&amp;dopt=full_report&amp;list_uids=55100","55100")</f>
        <v>55100</v>
      </c>
      <c r="F530" s="24" t="s">
        <v>5800</v>
      </c>
      <c r="G530" s="24" t="s">
        <v>5801</v>
      </c>
      <c r="H530" s="14" t="s">
        <v>8728</v>
      </c>
      <c r="I530" s="14" t="s">
        <v>8728</v>
      </c>
      <c r="J530" s="15" t="s">
        <v>8728</v>
      </c>
      <c r="K530" s="16">
        <v>74.586062999999996</v>
      </c>
      <c r="L530" s="17">
        <v>47.810516</v>
      </c>
      <c r="M530" s="18">
        <f t="shared" si="9"/>
        <v>0.64101139109594785</v>
      </c>
    </row>
    <row r="531" spans="1:13">
      <c r="A531" s="13" t="s">
        <v>5802</v>
      </c>
      <c r="B531" s="14" t="s">
        <v>5802</v>
      </c>
      <c r="C531" s="14" t="str">
        <f>HYPERLINK("http://uswest.ensembl.org/Homo_sapiens/Gene/Summary?g=ENSG00000184303","ENSG00000184303")</f>
        <v>ENSG00000184303</v>
      </c>
      <c r="D531" s="14" t="s">
        <v>8728</v>
      </c>
      <c r="E531" s="14" t="str">
        <f>HYPERLINK("http://www.ncbi.nlm.nih.gov/sites/entrez?db=gene&amp;cmd=Retrieve&amp;dopt=full_report&amp;list_uids=","-")</f>
        <v>-</v>
      </c>
      <c r="F531" s="24" t="s">
        <v>5803</v>
      </c>
      <c r="G531" s="24" t="s">
        <v>5804</v>
      </c>
      <c r="H531" s="14" t="s">
        <v>8668</v>
      </c>
      <c r="I531" s="14" t="s">
        <v>5805</v>
      </c>
      <c r="J531" s="15" t="s">
        <v>8669</v>
      </c>
      <c r="K531" s="16">
        <v>92.900642000000005</v>
      </c>
      <c r="L531" s="17">
        <v>59.557290000000002</v>
      </c>
      <c r="M531" s="18">
        <f t="shared" si="9"/>
        <v>0.64108588183922344</v>
      </c>
    </row>
    <row r="532" spans="1:13">
      <c r="A532" s="13" t="s">
        <v>5808</v>
      </c>
      <c r="B532" s="14" t="s">
        <v>5808</v>
      </c>
      <c r="C532" s="14" t="str">
        <f>HYPERLINK("http://uswest.ensembl.org/Homo_sapiens/Gene/Summary?g=ENSG00000198685","ENSG00000198685")</f>
        <v>ENSG00000198685</v>
      </c>
      <c r="D532" s="14" t="s">
        <v>5809</v>
      </c>
      <c r="E532" s="14" t="str">
        <f>HYPERLINK("http://www.ncbi.nlm.nih.gov/sites/entrez?db=gene&amp;cmd=Retrieve&amp;dopt=full_report&amp;list_uids=23434","23434")</f>
        <v>23434</v>
      </c>
      <c r="F532" s="24" t="s">
        <v>5810</v>
      </c>
      <c r="G532" s="24" t="s">
        <v>5811</v>
      </c>
      <c r="H532" s="14" t="s">
        <v>8728</v>
      </c>
      <c r="I532" s="14" t="s">
        <v>8728</v>
      </c>
      <c r="J532" s="15" t="s">
        <v>8728</v>
      </c>
      <c r="K532" s="16">
        <v>47.810505999999997</v>
      </c>
      <c r="L532" s="17">
        <v>30.661577999999999</v>
      </c>
      <c r="M532" s="18">
        <f t="shared" si="9"/>
        <v>0.64131465163744561</v>
      </c>
    </row>
    <row r="533" spans="1:13">
      <c r="A533" s="13" t="s">
        <v>5748</v>
      </c>
      <c r="B533" s="14" t="s">
        <v>5748</v>
      </c>
      <c r="C533" s="14" t="str">
        <f>HYPERLINK("http://uswest.ensembl.org/Homo_sapiens/Gene/Summary?g=ENSG00000065559","ENSG00000065559")</f>
        <v>ENSG00000065559</v>
      </c>
      <c r="D533" s="14" t="s">
        <v>5749</v>
      </c>
      <c r="E533" s="14" t="str">
        <f>HYPERLINK("http://www.ncbi.nlm.nih.gov/sites/entrez?db=gene&amp;cmd=Retrieve&amp;dopt=full_report&amp;list_uids=6416","6416")</f>
        <v>6416</v>
      </c>
      <c r="F533" s="24" t="s">
        <v>5750</v>
      </c>
      <c r="G533" s="24" t="s">
        <v>5751</v>
      </c>
      <c r="H533" s="14" t="s">
        <v>5795</v>
      </c>
      <c r="I533" s="14" t="s">
        <v>5796</v>
      </c>
      <c r="J533" s="15" t="s">
        <v>8728</v>
      </c>
      <c r="K533" s="16">
        <v>63.489960000000004</v>
      </c>
      <c r="L533" s="17">
        <v>40.719777000000001</v>
      </c>
      <c r="M533" s="18">
        <f t="shared" si="9"/>
        <v>0.64135773593179135</v>
      </c>
    </row>
    <row r="534" spans="1:13">
      <c r="A534" s="13" t="s">
        <v>5797</v>
      </c>
      <c r="B534" s="14" t="s">
        <v>5797</v>
      </c>
      <c r="C534" s="14" t="str">
        <f>HYPERLINK("http://uswest.ensembl.org/Homo_sapiens/Gene/Summary?g=ENSG00000197382","ENSG00000197382")</f>
        <v>ENSG00000197382</v>
      </c>
      <c r="D534" s="14" t="s">
        <v>8728</v>
      </c>
      <c r="E534" s="14" t="str">
        <f>HYPERLINK("http://www.ncbi.nlm.nih.gov/sites/entrez?db=gene&amp;cmd=Retrieve&amp;dopt=full_report&amp;list_uids=","-")</f>
        <v>-</v>
      </c>
      <c r="F534" s="24" t="s">
        <v>5743</v>
      </c>
      <c r="G534" s="24" t="s">
        <v>8728</v>
      </c>
      <c r="H534" s="14" t="s">
        <v>8728</v>
      </c>
      <c r="I534" s="14" t="s">
        <v>8728</v>
      </c>
      <c r="J534" s="15" t="s">
        <v>8728</v>
      </c>
      <c r="K534" s="16">
        <v>580.38829699999997</v>
      </c>
      <c r="L534" s="17">
        <v>372.66576400000002</v>
      </c>
      <c r="M534" s="18">
        <f t="shared" si="9"/>
        <v>0.64209730955343514</v>
      </c>
    </row>
    <row r="535" spans="1:13">
      <c r="A535" s="13" t="s">
        <v>5744</v>
      </c>
      <c r="B535" s="14" t="s">
        <v>5744</v>
      </c>
      <c r="C535" s="14" t="str">
        <f>HYPERLINK("http://uswest.ensembl.org/Homo_sapiens/Gene/Summary?g=ENSG00000196533","ENSG00000196533")</f>
        <v>ENSG00000196533</v>
      </c>
      <c r="D535" s="14" t="s">
        <v>5745</v>
      </c>
      <c r="E535" s="14" t="str">
        <f>HYPERLINK("http://www.ncbi.nlm.nih.gov/sites/entrez?db=gene&amp;cmd=Retrieve&amp;dopt=full_report&amp;list_uids=440712","440712")</f>
        <v>440712</v>
      </c>
      <c r="F535" s="24" t="s">
        <v>5746</v>
      </c>
      <c r="G535" s="24" t="s">
        <v>5747</v>
      </c>
      <c r="H535" s="14" t="s">
        <v>8728</v>
      </c>
      <c r="I535" s="14" t="s">
        <v>8728</v>
      </c>
      <c r="J535" s="15" t="s">
        <v>8698</v>
      </c>
      <c r="K535" s="16">
        <v>1695.8881289999999</v>
      </c>
      <c r="L535" s="17">
        <v>1089.4569220000001</v>
      </c>
      <c r="M535" s="18">
        <f t="shared" si="9"/>
        <v>0.64241084265529413</v>
      </c>
    </row>
    <row r="536" spans="1:13">
      <c r="A536" s="13" t="s">
        <v>5786</v>
      </c>
      <c r="B536" s="14" t="s">
        <v>5786</v>
      </c>
      <c r="C536" s="14" t="str">
        <f>HYPERLINK("http://uswest.ensembl.org/Homo_sapiens/Gene/Summary?g=ENSG00000174231","ENSG00000174231")</f>
        <v>ENSG00000174231</v>
      </c>
      <c r="D536" s="14" t="s">
        <v>5787</v>
      </c>
      <c r="E536" s="14" t="str">
        <f>HYPERLINK("http://www.ncbi.nlm.nih.gov/sites/entrez?db=gene&amp;cmd=Retrieve&amp;dopt=full_report&amp;list_uids=10594","10594")</f>
        <v>10594</v>
      </c>
      <c r="F536" s="24" t="s">
        <v>5788</v>
      </c>
      <c r="G536" s="24" t="s">
        <v>5735</v>
      </c>
      <c r="H536" s="14" t="s">
        <v>5736</v>
      </c>
      <c r="I536" s="14" t="s">
        <v>5737</v>
      </c>
      <c r="J536" s="15" t="s">
        <v>5738</v>
      </c>
      <c r="K536" s="16">
        <v>189.62645699999999</v>
      </c>
      <c r="L536" s="17">
        <v>121.879424</v>
      </c>
      <c r="M536" s="18">
        <f t="shared" si="9"/>
        <v>0.64273427837129293</v>
      </c>
    </row>
    <row r="537" spans="1:13">
      <c r="A537" s="13" t="s">
        <v>5739</v>
      </c>
      <c r="B537" s="14" t="s">
        <v>5739</v>
      </c>
      <c r="C537" s="14" t="str">
        <f>HYPERLINK("http://uswest.ensembl.org/Homo_sapiens/Gene/Summary?g=","-")</f>
        <v>-</v>
      </c>
      <c r="D537" s="14" t="s">
        <v>5740</v>
      </c>
      <c r="E537" s="14" t="str">
        <f>HYPERLINK("http://www.ncbi.nlm.nih.gov/sites/entrez?db=gene&amp;cmd=Retrieve&amp;dopt=full_report&amp;list_uids=3695","3695")</f>
        <v>3695</v>
      </c>
      <c r="F537" s="24" t="s">
        <v>5741</v>
      </c>
      <c r="G537" s="24" t="s">
        <v>5742</v>
      </c>
      <c r="H537" s="14" t="s">
        <v>8538</v>
      </c>
      <c r="I537" s="14" t="s">
        <v>5714</v>
      </c>
      <c r="J537" s="15" t="s">
        <v>5715</v>
      </c>
      <c r="K537" s="16">
        <v>313.006415</v>
      </c>
      <c r="L537" s="17">
        <v>201.242774</v>
      </c>
      <c r="M537" s="18">
        <f t="shared" si="9"/>
        <v>0.64293498265842253</v>
      </c>
    </row>
    <row r="538" spans="1:13">
      <c r="A538" s="13" t="s">
        <v>5716</v>
      </c>
      <c r="B538" s="14" t="s">
        <v>5716</v>
      </c>
      <c r="C538" s="14" t="str">
        <f>HYPERLINK("http://uswest.ensembl.org/Homo_sapiens/Gene/Summary?g=ENSG00000179918","ENSG00000179918")</f>
        <v>ENSG00000179918</v>
      </c>
      <c r="D538" s="14" t="s">
        <v>5717</v>
      </c>
      <c r="E538" s="14" t="str">
        <f>HYPERLINK("http://www.ncbi.nlm.nih.gov/sites/entrez?db=gene&amp;cmd=Retrieve&amp;dopt=full_report&amp;list_uids=22928","22928")</f>
        <v>22928</v>
      </c>
      <c r="F538" s="24" t="s">
        <v>5718</v>
      </c>
      <c r="G538" s="24" t="s">
        <v>5777</v>
      </c>
      <c r="H538" s="14" t="s">
        <v>5778</v>
      </c>
      <c r="I538" s="14" t="s">
        <v>5779</v>
      </c>
      <c r="J538" s="15" t="s">
        <v>7768</v>
      </c>
      <c r="K538" s="16">
        <v>735.89579600000002</v>
      </c>
      <c r="L538" s="17">
        <v>473.31525799999997</v>
      </c>
      <c r="M538" s="18">
        <f t="shared" si="9"/>
        <v>0.64318244590162055</v>
      </c>
    </row>
    <row r="539" spans="1:13">
      <c r="A539" s="13" t="s">
        <v>5780</v>
      </c>
      <c r="B539" s="14" t="s">
        <v>5780</v>
      </c>
      <c r="C539" s="14" t="str">
        <f>HYPERLINK("http://uswest.ensembl.org/Homo_sapiens/Gene/Summary?g=ENSG00000120992","ENSG00000120992")</f>
        <v>ENSG00000120992</v>
      </c>
      <c r="D539" s="14" t="s">
        <v>5781</v>
      </c>
      <c r="E539" s="14" t="str">
        <f>HYPERLINK("http://www.ncbi.nlm.nih.gov/sites/entrez?db=gene&amp;cmd=Retrieve&amp;dopt=full_report&amp;list_uids=","-")</f>
        <v>-</v>
      </c>
      <c r="F539" s="24" t="s">
        <v>5782</v>
      </c>
      <c r="G539" s="24" t="s">
        <v>5783</v>
      </c>
      <c r="H539" s="14" t="s">
        <v>8728</v>
      </c>
      <c r="I539" s="14" t="s">
        <v>6579</v>
      </c>
      <c r="J539" s="15" t="s">
        <v>8728</v>
      </c>
      <c r="K539" s="16">
        <v>490.01534199999998</v>
      </c>
      <c r="L539" s="17">
        <v>315.30073700000003</v>
      </c>
      <c r="M539" s="18">
        <f t="shared" si="9"/>
        <v>0.64345074526258417</v>
      </c>
    </row>
    <row r="540" spans="1:13">
      <c r="A540" s="13" t="s">
        <v>5753</v>
      </c>
      <c r="B540" s="14" t="s">
        <v>5753</v>
      </c>
      <c r="C540" s="14" t="str">
        <f>HYPERLINK("http://uswest.ensembl.org/Homo_sapiens/Gene/Summary?g=ENSG00000141682","ENSG00000141682")</f>
        <v>ENSG00000141682</v>
      </c>
      <c r="D540" s="14" t="s">
        <v>5754</v>
      </c>
      <c r="E540" s="14" t="str">
        <f>HYPERLINK("http://www.ncbi.nlm.nih.gov/sites/entrez?db=gene&amp;cmd=Retrieve&amp;dopt=full_report&amp;list_uids=5366","5366")</f>
        <v>5366</v>
      </c>
      <c r="F540" s="24" t="s">
        <v>5755</v>
      </c>
      <c r="G540" s="24" t="s">
        <v>5784</v>
      </c>
      <c r="H540" s="14" t="s">
        <v>5756</v>
      </c>
      <c r="I540" s="14" t="s">
        <v>8665</v>
      </c>
      <c r="J540" s="15" t="s">
        <v>8639</v>
      </c>
      <c r="K540" s="16">
        <v>61.211624</v>
      </c>
      <c r="L540" s="17">
        <v>39.39331</v>
      </c>
      <c r="M540" s="18">
        <f t="shared" si="9"/>
        <v>0.64355930174308074</v>
      </c>
    </row>
    <row r="541" spans="1:13">
      <c r="A541" s="13" t="s">
        <v>5757</v>
      </c>
      <c r="B541" s="14" t="s">
        <v>5757</v>
      </c>
      <c r="C541" s="14" t="str">
        <f>HYPERLINK("http://uswest.ensembl.org/Homo_sapiens/Gene/Summary?g=ENSG00000164327","ENSG00000164327")</f>
        <v>ENSG00000164327</v>
      </c>
      <c r="D541" s="14" t="s">
        <v>5758</v>
      </c>
      <c r="E541" s="14" t="str">
        <f>HYPERLINK("http://www.ncbi.nlm.nih.gov/sites/entrez?db=gene&amp;cmd=Retrieve&amp;dopt=full_report&amp;list_uids=253260","253260")</f>
        <v>253260</v>
      </c>
      <c r="F541" s="24" t="s">
        <v>5759</v>
      </c>
      <c r="G541" s="24" t="s">
        <v>5760</v>
      </c>
      <c r="H541" s="14" t="s">
        <v>5761</v>
      </c>
      <c r="I541" s="14" t="s">
        <v>5762</v>
      </c>
      <c r="J541" s="15" t="s">
        <v>5763</v>
      </c>
      <c r="K541" s="16">
        <v>40.805728000000002</v>
      </c>
      <c r="L541" s="17">
        <v>26.265094999999999</v>
      </c>
      <c r="M541" s="18">
        <f t="shared" si="9"/>
        <v>0.64366196334004866</v>
      </c>
    </row>
    <row r="542" spans="1:13">
      <c r="A542" s="13" t="s">
        <v>5764</v>
      </c>
      <c r="B542" s="14" t="s">
        <v>5764</v>
      </c>
      <c r="C542" s="14" t="str">
        <f>HYPERLINK("http://uswest.ensembl.org/Homo_sapiens/Gene/Summary?g=ENSG00000204344","ENSG00000204344")</f>
        <v>ENSG00000204344</v>
      </c>
      <c r="D542" s="14" t="s">
        <v>5708</v>
      </c>
      <c r="E542" s="14" t="str">
        <f>HYPERLINK("http://www.ncbi.nlm.nih.gov/sites/entrez?db=gene&amp;cmd=Retrieve&amp;dopt=full_report&amp;list_uids=8859","8859")</f>
        <v>8859</v>
      </c>
      <c r="F542" s="24" t="s">
        <v>5709</v>
      </c>
      <c r="G542" s="24" t="s">
        <v>5710</v>
      </c>
      <c r="H542" s="14" t="s">
        <v>5711</v>
      </c>
      <c r="I542" s="14" t="s">
        <v>5712</v>
      </c>
      <c r="J542" s="15" t="s">
        <v>5713</v>
      </c>
      <c r="K542" s="16">
        <v>75.148548000000005</v>
      </c>
      <c r="L542" s="17">
        <v>48.372414999999997</v>
      </c>
      <c r="M542" s="18">
        <f t="shared" si="9"/>
        <v>0.64369061395570804</v>
      </c>
    </row>
    <row r="543" spans="1:13">
      <c r="A543" s="13" t="s">
        <v>5686</v>
      </c>
      <c r="B543" s="14" t="s">
        <v>5686</v>
      </c>
      <c r="C543" s="14" t="str">
        <f>HYPERLINK("http://uswest.ensembl.org/Homo_sapiens/Gene/Summary?g=","-")</f>
        <v>-</v>
      </c>
      <c r="D543" s="14" t="s">
        <v>5687</v>
      </c>
      <c r="E543" s="14" t="str">
        <f>HYPERLINK("http://www.ncbi.nlm.nih.gov/sites/entrez?db=gene&amp;cmd=Retrieve&amp;dopt=full_report&amp;list_uids=400110","400110")</f>
        <v>400110</v>
      </c>
      <c r="F543" s="24" t="s">
        <v>8728</v>
      </c>
      <c r="G543" s="24" t="s">
        <v>8728</v>
      </c>
      <c r="H543" s="14" t="s">
        <v>8728</v>
      </c>
      <c r="I543" s="14" t="s">
        <v>8728</v>
      </c>
      <c r="J543" s="15" t="s">
        <v>8728</v>
      </c>
      <c r="K543" s="16">
        <v>91.526701000000003</v>
      </c>
      <c r="L543" s="17">
        <v>58.918345000000002</v>
      </c>
      <c r="M543" s="18">
        <f t="shared" si="9"/>
        <v>0.6437284896786567</v>
      </c>
    </row>
    <row r="544" spans="1:13">
      <c r="A544" s="13" t="s">
        <v>5688</v>
      </c>
      <c r="B544" s="14" t="s">
        <v>5688</v>
      </c>
      <c r="C544" s="14" t="str">
        <f>HYPERLINK("http://uswest.ensembl.org/Homo_sapiens/Gene/Summary?g=","-")</f>
        <v>-</v>
      </c>
      <c r="D544" s="14" t="s">
        <v>5689</v>
      </c>
      <c r="E544" s="14" t="str">
        <f>HYPERLINK("http://www.ncbi.nlm.nih.gov/sites/entrez?db=gene&amp;cmd=Retrieve&amp;dopt=full_report&amp;list_uids=81559","81559")</f>
        <v>81559</v>
      </c>
      <c r="F544" s="24" t="s">
        <v>5690</v>
      </c>
      <c r="G544" s="24" t="s">
        <v>5691</v>
      </c>
      <c r="H544" s="14" t="s">
        <v>5692</v>
      </c>
      <c r="I544" s="14" t="s">
        <v>8415</v>
      </c>
      <c r="J544" s="15" t="s">
        <v>8686</v>
      </c>
      <c r="K544" s="16">
        <v>60.547066999999998</v>
      </c>
      <c r="L544" s="17">
        <v>38.984095000000003</v>
      </c>
      <c r="M544" s="18">
        <f t="shared" si="9"/>
        <v>0.64386430146979712</v>
      </c>
    </row>
    <row r="545" spans="1:13">
      <c r="A545" s="13" t="s">
        <v>5693</v>
      </c>
      <c r="B545" s="14" t="s">
        <v>5693</v>
      </c>
      <c r="C545" s="14" t="str">
        <f>HYPERLINK("http://uswest.ensembl.org/Homo_sapiens/Gene/Summary?g=ENSG00000134146","ENSG00000134146")</f>
        <v>ENSG00000134146</v>
      </c>
      <c r="D545" s="14" t="s">
        <v>5694</v>
      </c>
      <c r="E545" s="14" t="str">
        <f>HYPERLINK("http://www.ncbi.nlm.nih.gov/sites/entrez?db=gene&amp;cmd=Retrieve&amp;dopt=full_report&amp;list_uids=89978","89978")</f>
        <v>89978</v>
      </c>
      <c r="F545" s="24" t="s">
        <v>5695</v>
      </c>
      <c r="G545" s="24" t="s">
        <v>5752</v>
      </c>
      <c r="H545" s="14" t="s">
        <v>8728</v>
      </c>
      <c r="I545" s="14" t="s">
        <v>8728</v>
      </c>
      <c r="J545" s="15" t="s">
        <v>8728</v>
      </c>
      <c r="K545" s="16">
        <v>79.710008999999999</v>
      </c>
      <c r="L545" s="17">
        <v>51.333238000000001</v>
      </c>
      <c r="M545" s="18">
        <f t="shared" si="9"/>
        <v>0.64399990219546965</v>
      </c>
    </row>
    <row r="546" spans="1:13">
      <c r="A546" s="13" t="s">
        <v>5731</v>
      </c>
      <c r="B546" s="14" t="s">
        <v>5731</v>
      </c>
      <c r="C546" s="14" t="str">
        <f>HYPERLINK("http://uswest.ensembl.org/Homo_sapiens/Gene/Summary?g=ENSG00000138375","ENSG00000138375")</f>
        <v>ENSG00000138375</v>
      </c>
      <c r="D546" s="14" t="s">
        <v>5732</v>
      </c>
      <c r="E546" s="14" t="str">
        <f>HYPERLINK("http://www.ncbi.nlm.nih.gov/sites/entrez?db=gene&amp;cmd=Retrieve&amp;dopt=full_report&amp;list_uids=50485","50485")</f>
        <v>50485</v>
      </c>
      <c r="F546" s="24" t="s">
        <v>5733</v>
      </c>
      <c r="G546" s="24" t="s">
        <v>5734</v>
      </c>
      <c r="H546" s="14" t="s">
        <v>5679</v>
      </c>
      <c r="I546" s="19" t="s">
        <v>5680</v>
      </c>
      <c r="J546" s="15" t="s">
        <v>8558</v>
      </c>
      <c r="K546" s="16">
        <v>35.950026999999999</v>
      </c>
      <c r="L546" s="17">
        <v>23.161266000000001</v>
      </c>
      <c r="M546" s="18">
        <f t="shared" si="9"/>
        <v>0.64426282628383014</v>
      </c>
    </row>
    <row r="547" spans="1:13">
      <c r="A547" s="13" t="s">
        <v>5682</v>
      </c>
      <c r="B547" s="14" t="s">
        <v>5682</v>
      </c>
      <c r="C547" s="14" t="str">
        <f>HYPERLINK("http://uswest.ensembl.org/Homo_sapiens/Gene/Summary?g=ENSG00000180354","ENSG00000180354")</f>
        <v>ENSG00000180354</v>
      </c>
      <c r="D547" s="14" t="s">
        <v>5683</v>
      </c>
      <c r="E547" s="14" t="str">
        <f>HYPERLINK("http://www.ncbi.nlm.nih.gov/sites/entrez?db=gene&amp;cmd=Retrieve&amp;dopt=full_report&amp;list_uids=","-")</f>
        <v>-</v>
      </c>
      <c r="F547" s="24" t="s">
        <v>5684</v>
      </c>
      <c r="G547" s="24" t="s">
        <v>5685</v>
      </c>
      <c r="H547" s="14" t="s">
        <v>8728</v>
      </c>
      <c r="I547" s="14" t="s">
        <v>8728</v>
      </c>
      <c r="J547" s="15" t="s">
        <v>8728</v>
      </c>
      <c r="K547" s="16">
        <v>203.95887999999999</v>
      </c>
      <c r="L547" s="17">
        <v>131.42080300000001</v>
      </c>
      <c r="M547" s="18">
        <f t="shared" si="9"/>
        <v>0.64434950319397721</v>
      </c>
    </row>
    <row r="548" spans="1:13">
      <c r="A548" s="13" t="s">
        <v>5727</v>
      </c>
      <c r="B548" s="14" t="s">
        <v>5727</v>
      </c>
      <c r="C548" s="14" t="str">
        <f>HYPERLINK("http://uswest.ensembl.org/Homo_sapiens/Gene/Summary?g=","-")</f>
        <v>-</v>
      </c>
      <c r="D548" s="14" t="s">
        <v>5728</v>
      </c>
      <c r="E548" s="14" t="str">
        <f>HYPERLINK("http://www.ncbi.nlm.nih.gov/sites/entrez?db=gene&amp;cmd=Retrieve&amp;dopt=full_report&amp;list_uids=10801","10801")</f>
        <v>10801</v>
      </c>
      <c r="F548" s="24">
        <v>40057</v>
      </c>
      <c r="G548" s="24" t="s">
        <v>5729</v>
      </c>
      <c r="H548" s="14" t="s">
        <v>5730</v>
      </c>
      <c r="I548" s="14" t="s">
        <v>5663</v>
      </c>
      <c r="J548" s="15" t="s">
        <v>5664</v>
      </c>
      <c r="K548" s="16">
        <v>915.38450699999999</v>
      </c>
      <c r="L548" s="17">
        <v>590.15482199999997</v>
      </c>
      <c r="M548" s="18">
        <f t="shared" si="9"/>
        <v>0.64470702473884012</v>
      </c>
    </row>
    <row r="549" spans="1:13">
      <c r="A549" s="13" t="s">
        <v>5665</v>
      </c>
      <c r="B549" s="14" t="s">
        <v>5665</v>
      </c>
      <c r="C549" s="14" t="str">
        <f>HYPERLINK("http://uswest.ensembl.org/Homo_sapiens/Gene/Summary?g=","-")</f>
        <v>-</v>
      </c>
      <c r="D549" s="14" t="s">
        <v>5666</v>
      </c>
      <c r="E549" s="14" t="str">
        <f>HYPERLINK("http://www.ncbi.nlm.nih.gov/sites/entrez?db=gene&amp;cmd=Retrieve&amp;dopt=full_report&amp;list_uids=7094","7094")</f>
        <v>7094</v>
      </c>
      <c r="F549" s="24" t="s">
        <v>5667</v>
      </c>
      <c r="G549" s="24" t="s">
        <v>5668</v>
      </c>
      <c r="H549" s="14" t="s">
        <v>5669</v>
      </c>
      <c r="I549" s="14" t="s">
        <v>5670</v>
      </c>
      <c r="J549" s="15" t="s">
        <v>5671</v>
      </c>
      <c r="K549" s="16">
        <v>84.571090999999996</v>
      </c>
      <c r="L549" s="17">
        <v>54.542563999999999</v>
      </c>
      <c r="M549" s="18">
        <f t="shared" si="9"/>
        <v>0.64493154049532131</v>
      </c>
    </row>
    <row r="550" spans="1:13">
      <c r="A550" s="13" t="s">
        <v>5672</v>
      </c>
      <c r="B550" s="14" t="s">
        <v>5672</v>
      </c>
      <c r="C550" s="14" t="str">
        <f>HYPERLINK("http://uswest.ensembl.org/Homo_sapiens/Gene/Summary?g=ENSG00000198399","ENSG00000198399")</f>
        <v>ENSG00000198399</v>
      </c>
      <c r="D550" s="14" t="s">
        <v>5673</v>
      </c>
      <c r="E550" s="14" t="str">
        <f>HYPERLINK("http://www.ncbi.nlm.nih.gov/sites/entrez?db=gene&amp;cmd=Retrieve&amp;dopt=full_report&amp;list_uids=50618","50618")</f>
        <v>50618</v>
      </c>
      <c r="F550" s="24" t="s">
        <v>5674</v>
      </c>
      <c r="G550" s="24" t="s">
        <v>5675</v>
      </c>
      <c r="H550" s="14" t="s">
        <v>7989</v>
      </c>
      <c r="I550" s="14" t="s">
        <v>5719</v>
      </c>
      <c r="J550" s="15" t="s">
        <v>8707</v>
      </c>
      <c r="K550" s="16">
        <v>35.494540000000001</v>
      </c>
      <c r="L550" s="17">
        <v>22.891998999999998</v>
      </c>
      <c r="M550" s="18">
        <f t="shared" si="9"/>
        <v>0.64494423649383814</v>
      </c>
    </row>
    <row r="551" spans="1:13">
      <c r="A551" s="13" t="s">
        <v>5660</v>
      </c>
      <c r="B551" s="14" t="s">
        <v>5660</v>
      </c>
      <c r="C551" s="14" t="str">
        <f>HYPERLINK("http://uswest.ensembl.org/Homo_sapiens/Gene/Summary?g=ENSG00000167130","ENSG00000167130")</f>
        <v>ENSG00000167130</v>
      </c>
      <c r="D551" s="14" t="s">
        <v>5661</v>
      </c>
      <c r="E551" s="14" t="str">
        <f>HYPERLINK("http://www.ncbi.nlm.nih.gov/sites/entrez?db=gene&amp;cmd=Retrieve&amp;dopt=full_report&amp;list_uids=","-")</f>
        <v>-</v>
      </c>
      <c r="F551" s="24" t="s">
        <v>5662</v>
      </c>
      <c r="G551" s="24" t="s">
        <v>5720</v>
      </c>
      <c r="H551" s="14" t="s">
        <v>8728</v>
      </c>
      <c r="I551" s="14" t="s">
        <v>8728</v>
      </c>
      <c r="J551" s="15" t="s">
        <v>8728</v>
      </c>
      <c r="K551" s="16">
        <v>349.71087599999998</v>
      </c>
      <c r="L551" s="17">
        <v>225.58994000000001</v>
      </c>
      <c r="M551" s="18">
        <f t="shared" si="9"/>
        <v>0.64507556236255015</v>
      </c>
    </row>
    <row r="552" spans="1:13">
      <c r="A552" s="13" t="s">
        <v>5721</v>
      </c>
      <c r="B552" s="14" t="s">
        <v>5721</v>
      </c>
      <c r="C552" s="14" t="str">
        <f>HYPERLINK("http://uswest.ensembl.org/Homo_sapiens/Gene/Summary?g=","-")</f>
        <v>-</v>
      </c>
      <c r="D552" s="14" t="s">
        <v>5722</v>
      </c>
      <c r="E552" s="14" t="str">
        <f>HYPERLINK("http://www.ncbi.nlm.nih.gov/sites/entrez?db=gene&amp;cmd=Retrieve&amp;dopt=full_report&amp;list_uids=157313","157313")</f>
        <v>157313</v>
      </c>
      <c r="F552" s="24" t="s">
        <v>5723</v>
      </c>
      <c r="G552" s="24" t="s">
        <v>5701</v>
      </c>
      <c r="H552" s="14" t="s">
        <v>8728</v>
      </c>
      <c r="I552" s="14" t="s">
        <v>8728</v>
      </c>
      <c r="J552" s="15" t="s">
        <v>8728</v>
      </c>
      <c r="K552" s="16">
        <v>49.628051999999997</v>
      </c>
      <c r="L552" s="17">
        <v>32.018622000000001</v>
      </c>
      <c r="M552" s="18">
        <f t="shared" si="9"/>
        <v>0.64517184756717838</v>
      </c>
    </row>
    <row r="553" spans="1:13">
      <c r="A553" s="13" t="s">
        <v>5724</v>
      </c>
      <c r="B553" s="14" t="s">
        <v>5724</v>
      </c>
      <c r="C553" s="14" t="str">
        <f>HYPERLINK("http://uswest.ensembl.org/Homo_sapiens/Gene/Summary?g=ENSG00000178804","ENSG00000178804")</f>
        <v>ENSG00000178804</v>
      </c>
      <c r="D553" s="14" t="s">
        <v>5725</v>
      </c>
      <c r="E553" s="14" t="str">
        <f>HYPERLINK("http://www.ncbi.nlm.nih.gov/sites/entrez?db=gene&amp;cmd=Retrieve&amp;dopt=full_report&amp;list_uids=132243","132243")</f>
        <v>132243</v>
      </c>
      <c r="F553" s="24" t="s">
        <v>5726</v>
      </c>
      <c r="G553" s="24" t="s">
        <v>5705</v>
      </c>
      <c r="H553" s="14" t="s">
        <v>5706</v>
      </c>
      <c r="I553" s="14" t="s">
        <v>8682</v>
      </c>
      <c r="J553" s="15" t="s">
        <v>5707</v>
      </c>
      <c r="K553" s="16">
        <v>33.105165</v>
      </c>
      <c r="L553" s="17">
        <v>21.360278000000001</v>
      </c>
      <c r="M553" s="18">
        <f t="shared" si="9"/>
        <v>0.64522493695470184</v>
      </c>
    </row>
    <row r="554" spans="1:13">
      <c r="A554" s="13" t="s">
        <v>5655</v>
      </c>
      <c r="B554" s="14" t="s">
        <v>5655</v>
      </c>
      <c r="C554" s="14" t="str">
        <f>HYPERLINK("http://uswest.ensembl.org/Homo_sapiens/Gene/Summary?g=","-")</f>
        <v>-</v>
      </c>
      <c r="D554" s="14" t="s">
        <v>5656</v>
      </c>
      <c r="E554" s="14" t="str">
        <f>HYPERLINK("http://www.ncbi.nlm.nih.gov/sites/entrez?db=gene&amp;cmd=Retrieve&amp;dopt=full_report&amp;list_uids=1731","1731")</f>
        <v>1731</v>
      </c>
      <c r="F554" s="24">
        <v>37135</v>
      </c>
      <c r="G554" s="24" t="s">
        <v>5657</v>
      </c>
      <c r="H554" s="14" t="s">
        <v>5658</v>
      </c>
      <c r="I554" s="14" t="s">
        <v>5659</v>
      </c>
      <c r="J554" s="15" t="s">
        <v>5664</v>
      </c>
      <c r="K554" s="16">
        <v>50.239626999999999</v>
      </c>
      <c r="L554" s="17">
        <v>32.433656999999997</v>
      </c>
      <c r="M554" s="18">
        <f t="shared" si="9"/>
        <v>0.64557917597596803</v>
      </c>
    </row>
    <row r="555" spans="1:13">
      <c r="A555" s="13" t="s">
        <v>5634</v>
      </c>
      <c r="B555" s="14" t="s">
        <v>5634</v>
      </c>
      <c r="C555" s="14" t="str">
        <f>HYPERLINK("http://uswest.ensembl.org/Homo_sapiens/Gene/Summary?g=ENSG00000161013","ENSG00000161013")</f>
        <v>ENSG00000161013</v>
      </c>
      <c r="D555" s="14" t="s">
        <v>5635</v>
      </c>
      <c r="E555" s="14" t="str">
        <f>HYPERLINK("http://www.ncbi.nlm.nih.gov/sites/entrez?db=gene&amp;cmd=Retrieve&amp;dopt=full_report&amp;list_uids=11282","11282")</f>
        <v>11282</v>
      </c>
      <c r="F555" s="24" t="s">
        <v>5636</v>
      </c>
      <c r="G555" s="25" t="s">
        <v>5676</v>
      </c>
      <c r="H555" s="14" t="s">
        <v>5696</v>
      </c>
      <c r="I555" s="14" t="s">
        <v>5697</v>
      </c>
      <c r="J555" s="15" t="s">
        <v>7955</v>
      </c>
      <c r="K555" s="16">
        <v>180.705355</v>
      </c>
      <c r="L555" s="17">
        <v>116.696378</v>
      </c>
      <c r="M555" s="18">
        <f t="shared" si="9"/>
        <v>0.6457826222139349</v>
      </c>
    </row>
    <row r="556" spans="1:13">
      <c r="A556" s="13" t="s">
        <v>5698</v>
      </c>
      <c r="B556" s="14" t="s">
        <v>5698</v>
      </c>
      <c r="C556" s="14" t="str">
        <f>HYPERLINK("http://uswest.ensembl.org/Homo_sapiens/Gene/Summary?g=","-")</f>
        <v>-</v>
      </c>
      <c r="D556" s="14" t="s">
        <v>5699</v>
      </c>
      <c r="E556" s="14" t="str">
        <f>HYPERLINK("http://www.ncbi.nlm.nih.gov/sites/entrez?db=gene&amp;cmd=Retrieve&amp;dopt=full_report&amp;list_uids=10209","10209")</f>
        <v>10209</v>
      </c>
      <c r="F556" s="24" t="s">
        <v>5700</v>
      </c>
      <c r="G556" s="24" t="s">
        <v>5678</v>
      </c>
      <c r="H556" s="14" t="s">
        <v>5637</v>
      </c>
      <c r="I556" s="14" t="s">
        <v>5702</v>
      </c>
      <c r="J556" s="15" t="s">
        <v>8619</v>
      </c>
      <c r="K556" s="16">
        <v>2061.6461490000002</v>
      </c>
      <c r="L556" s="17">
        <v>1331.531849</v>
      </c>
      <c r="M556" s="18">
        <f t="shared" si="9"/>
        <v>0.6458585774507708</v>
      </c>
    </row>
    <row r="557" spans="1:13">
      <c r="A557" s="13" t="s">
        <v>5703</v>
      </c>
      <c r="B557" s="14" t="s">
        <v>5703</v>
      </c>
      <c r="C557" s="14" t="str">
        <f>HYPERLINK("http://uswest.ensembl.org/Homo_sapiens/Gene/Summary?g=ENSG00000172900","ENSG00000172900")</f>
        <v>ENSG00000172900</v>
      </c>
      <c r="D557" s="14" t="s">
        <v>8728</v>
      </c>
      <c r="E557" s="14" t="str">
        <f>HYPERLINK("http://www.ncbi.nlm.nih.gov/sites/entrez?db=gene&amp;cmd=Retrieve&amp;dopt=full_report&amp;list_uids=","-")</f>
        <v>-</v>
      </c>
      <c r="F557" s="24" t="s">
        <v>5704</v>
      </c>
      <c r="G557" s="24" t="s">
        <v>5638</v>
      </c>
      <c r="H557" s="14" t="s">
        <v>8728</v>
      </c>
      <c r="I557" s="14" t="s">
        <v>8728</v>
      </c>
      <c r="J557" s="15" t="s">
        <v>8728</v>
      </c>
      <c r="K557" s="16">
        <v>34.031160999999997</v>
      </c>
      <c r="L557" s="17">
        <v>21.981204000000002</v>
      </c>
      <c r="M557" s="18">
        <f t="shared" si="9"/>
        <v>0.64591401980085261</v>
      </c>
    </row>
    <row r="558" spans="1:13">
      <c r="A558" s="13" t="s">
        <v>5639</v>
      </c>
      <c r="B558" s="14" t="s">
        <v>5639</v>
      </c>
      <c r="C558" s="14" t="str">
        <f>HYPERLINK("http://uswest.ensembl.org/Homo_sapiens/Gene/Summary?g=ENSG00000140157","ENSG00000140157")</f>
        <v>ENSG00000140157</v>
      </c>
      <c r="D558" s="14" t="s">
        <v>5640</v>
      </c>
      <c r="E558" s="14" t="str">
        <f>HYPERLINK("http://www.ncbi.nlm.nih.gov/sites/entrez?db=gene&amp;cmd=Retrieve&amp;dopt=full_report&amp;list_uids=81614","81614")</f>
        <v>81614</v>
      </c>
      <c r="F558" s="24" t="s">
        <v>5641</v>
      </c>
      <c r="G558" s="24" t="s">
        <v>5642</v>
      </c>
      <c r="H558" s="14" t="s">
        <v>8728</v>
      </c>
      <c r="I558" s="14" t="s">
        <v>8665</v>
      </c>
      <c r="J558" s="15" t="s">
        <v>8698</v>
      </c>
      <c r="K558" s="16">
        <v>310.480975</v>
      </c>
      <c r="L558" s="17">
        <v>200.544344</v>
      </c>
      <c r="M558" s="18">
        <f t="shared" si="9"/>
        <v>0.64591508062611569</v>
      </c>
    </row>
    <row r="559" spans="1:13">
      <c r="A559" s="13" t="s">
        <v>5643</v>
      </c>
      <c r="B559" s="14" t="s">
        <v>5643</v>
      </c>
      <c r="C559" s="14" t="str">
        <f>HYPERLINK("http://uswest.ensembl.org/Homo_sapiens/Gene/Summary?g=ENSG00000186384","ENSG00000186384")</f>
        <v>ENSG00000186384</v>
      </c>
      <c r="D559" s="14" t="s">
        <v>8728</v>
      </c>
      <c r="E559" s="14" t="str">
        <f>HYPERLINK("http://www.ncbi.nlm.nih.gov/sites/entrez?db=gene&amp;cmd=Retrieve&amp;dopt=full_report&amp;list_uids=","-")</f>
        <v>-</v>
      </c>
      <c r="F559" s="24" t="s">
        <v>5644</v>
      </c>
      <c r="G559" s="24" t="s">
        <v>8728</v>
      </c>
      <c r="H559" s="14" t="s">
        <v>8728</v>
      </c>
      <c r="I559" s="14" t="s">
        <v>8728</v>
      </c>
      <c r="J559" s="15" t="s">
        <v>8728</v>
      </c>
      <c r="K559" s="16">
        <v>135.02456699999999</v>
      </c>
      <c r="L559" s="17">
        <v>87.243100999999996</v>
      </c>
      <c r="M559" s="18">
        <f t="shared" si="9"/>
        <v>0.64612761172564992</v>
      </c>
    </row>
    <row r="560" spans="1:13">
      <c r="A560" s="13" t="s">
        <v>5645</v>
      </c>
      <c r="B560" s="14" t="s">
        <v>5645</v>
      </c>
      <c r="C560" s="14" t="str">
        <f>HYPERLINK("http://uswest.ensembl.org/Homo_sapiens/Gene/Summary?g=ENSG00000178209","ENSG00000178209")</f>
        <v>ENSG00000178209</v>
      </c>
      <c r="D560" s="14" t="s">
        <v>5646</v>
      </c>
      <c r="E560" s="14" t="str">
        <f>HYPERLINK("http://www.ncbi.nlm.nih.gov/sites/entrez?db=gene&amp;cmd=Retrieve&amp;dopt=full_report&amp;list_uids=5339","5339")</f>
        <v>5339</v>
      </c>
      <c r="F560" s="24" t="s">
        <v>5647</v>
      </c>
      <c r="G560" s="24" t="s">
        <v>5648</v>
      </c>
      <c r="H560" s="14" t="s">
        <v>8572</v>
      </c>
      <c r="I560" s="14" t="s">
        <v>7438</v>
      </c>
      <c r="J560" s="15" t="s">
        <v>8619</v>
      </c>
      <c r="K560" s="16">
        <v>60.631276999999997</v>
      </c>
      <c r="L560" s="17">
        <v>39.184182</v>
      </c>
      <c r="M560" s="18">
        <f t="shared" si="9"/>
        <v>0.64627010907258309</v>
      </c>
    </row>
    <row r="561" spans="1:13">
      <c r="A561" s="13" t="s">
        <v>5649</v>
      </c>
      <c r="B561" s="14" t="s">
        <v>5649</v>
      </c>
      <c r="C561" s="14" t="str">
        <f>HYPERLINK("http://uswest.ensembl.org/Homo_sapiens/Gene/Summary?g=ENSG00000183666","ENSG00000183666")</f>
        <v>ENSG00000183666</v>
      </c>
      <c r="D561" s="14" t="s">
        <v>8728</v>
      </c>
      <c r="E561" s="14" t="str">
        <f>HYPERLINK("http://www.ncbi.nlm.nih.gov/sites/entrez?db=gene&amp;cmd=Retrieve&amp;dopt=full_report&amp;list_uids=","-")</f>
        <v>-</v>
      </c>
      <c r="F561" s="24" t="s">
        <v>5650</v>
      </c>
      <c r="G561" s="24" t="s">
        <v>5625</v>
      </c>
      <c r="H561" s="14" t="s">
        <v>8210</v>
      </c>
      <c r="I561" s="14" t="s">
        <v>5626</v>
      </c>
      <c r="J561" s="15" t="s">
        <v>8728</v>
      </c>
      <c r="K561" s="16">
        <v>550.65917200000001</v>
      </c>
      <c r="L561" s="17">
        <v>355.93686400000001</v>
      </c>
      <c r="M561" s="18">
        <f t="shared" si="9"/>
        <v>0.64638324774875444</v>
      </c>
    </row>
    <row r="562" spans="1:13">
      <c r="A562" s="13" t="s">
        <v>5627</v>
      </c>
      <c r="B562" s="14" t="s">
        <v>5627</v>
      </c>
      <c r="C562" s="14" t="str">
        <f>HYPERLINK("http://uswest.ensembl.org/Homo_sapiens/Gene/Summary?g=ENSG00000120306","ENSG00000120306")</f>
        <v>ENSG00000120306</v>
      </c>
      <c r="D562" s="14" t="s">
        <v>5628</v>
      </c>
      <c r="E562" s="14" t="str">
        <f>HYPERLINK("http://www.ncbi.nlm.nih.gov/sites/entrez?db=gene&amp;cmd=Retrieve&amp;dopt=full_report&amp;list_uids=84418","84418")</f>
        <v>84418</v>
      </c>
      <c r="F562" s="24" t="s">
        <v>5629</v>
      </c>
      <c r="G562" s="24" t="s">
        <v>5651</v>
      </c>
      <c r="H562" s="14" t="s">
        <v>8668</v>
      </c>
      <c r="I562" s="14" t="s">
        <v>8728</v>
      </c>
      <c r="J562" s="15" t="s">
        <v>8669</v>
      </c>
      <c r="K562" s="16">
        <v>58.605862999999999</v>
      </c>
      <c r="L562" s="17">
        <v>37.887636000000001</v>
      </c>
      <c r="M562" s="18">
        <f t="shared" si="9"/>
        <v>0.64648200812263446</v>
      </c>
    </row>
    <row r="563" spans="1:13">
      <c r="A563" s="13" t="s">
        <v>5652</v>
      </c>
      <c r="B563" s="14" t="s">
        <v>5652</v>
      </c>
      <c r="C563" s="14" t="str">
        <f>HYPERLINK("http://uswest.ensembl.org/Homo_sapiens/Gene/Summary?g=ENSG00000100154","ENSG00000100154")</f>
        <v>ENSG00000100154</v>
      </c>
      <c r="D563" s="14" t="s">
        <v>5653</v>
      </c>
      <c r="E563" s="14" t="str">
        <f>HYPERLINK("http://www.ncbi.nlm.nih.gov/sites/entrez?db=gene&amp;cmd=Retrieve&amp;dopt=full_report&amp;list_uids=","-")</f>
        <v>-</v>
      </c>
      <c r="F563" s="24" t="s">
        <v>5654</v>
      </c>
      <c r="G563" s="24" t="s">
        <v>5630</v>
      </c>
      <c r="H563" s="14" t="s">
        <v>8728</v>
      </c>
      <c r="I563" s="14" t="s">
        <v>8728</v>
      </c>
      <c r="J563" s="15" t="s">
        <v>8728</v>
      </c>
      <c r="K563" s="16">
        <v>30.74277</v>
      </c>
      <c r="L563" s="17">
        <v>19.880831000000001</v>
      </c>
      <c r="M563" s="18">
        <f t="shared" si="9"/>
        <v>0.64668313883231732</v>
      </c>
    </row>
    <row r="564" spans="1:13">
      <c r="A564" s="13" t="s">
        <v>5631</v>
      </c>
      <c r="B564" s="14" t="s">
        <v>5631</v>
      </c>
      <c r="C564" s="14" t="str">
        <f>HYPERLINK("http://uswest.ensembl.org/Homo_sapiens/Gene/Summary?g=ENSG00000163513","ENSG00000163513")</f>
        <v>ENSG00000163513</v>
      </c>
      <c r="D564" s="14" t="s">
        <v>5632</v>
      </c>
      <c r="E564" s="14" t="str">
        <f>HYPERLINK("http://www.ncbi.nlm.nih.gov/sites/entrez?db=gene&amp;cmd=Retrieve&amp;dopt=full_report&amp;list_uids=7048","7048")</f>
        <v>7048</v>
      </c>
      <c r="F564" s="24" t="s">
        <v>5633</v>
      </c>
      <c r="G564" s="24" t="s">
        <v>5677</v>
      </c>
      <c r="H564" s="19" t="s">
        <v>5624</v>
      </c>
      <c r="I564" s="19" t="s">
        <v>5607</v>
      </c>
      <c r="J564" s="20" t="s">
        <v>5608</v>
      </c>
      <c r="K564" s="16">
        <v>82.003066000000004</v>
      </c>
      <c r="L564" s="17">
        <v>53.034191</v>
      </c>
      <c r="M564" s="18">
        <f t="shared" si="9"/>
        <v>0.6467342452780972</v>
      </c>
    </row>
    <row r="565" spans="1:13">
      <c r="A565" s="13" t="s">
        <v>5609</v>
      </c>
      <c r="B565" s="14" t="s">
        <v>5609</v>
      </c>
      <c r="C565" s="14" t="str">
        <f>HYPERLINK("http://uswest.ensembl.org/Homo_sapiens/Gene/Summary?g=ENSG00000145569","ENSG00000145569")</f>
        <v>ENSG00000145569</v>
      </c>
      <c r="D565" s="14" t="s">
        <v>5610</v>
      </c>
      <c r="E565" s="14" t="str">
        <f>HYPERLINK("http://www.ncbi.nlm.nih.gov/sites/entrez?db=gene&amp;cmd=Retrieve&amp;dopt=full_report&amp;list_uids=54491","54491")</f>
        <v>54491</v>
      </c>
      <c r="F565" s="24" t="s">
        <v>5611</v>
      </c>
      <c r="G565" s="24" t="s">
        <v>5612</v>
      </c>
      <c r="H565" s="14" t="s">
        <v>8728</v>
      </c>
      <c r="I565" s="14" t="s">
        <v>8728</v>
      </c>
      <c r="J565" s="15" t="s">
        <v>8728</v>
      </c>
      <c r="K565" s="16">
        <v>118.945588</v>
      </c>
      <c r="L565" s="17">
        <v>76.928845999999993</v>
      </c>
      <c r="M565" s="18">
        <f t="shared" si="9"/>
        <v>0.64675661614283664</v>
      </c>
    </row>
    <row r="566" spans="1:13">
      <c r="A566" s="13" t="s">
        <v>5613</v>
      </c>
      <c r="B566" s="14" t="s">
        <v>5613</v>
      </c>
      <c r="C566" s="14" t="str">
        <f>HYPERLINK("http://uswest.ensembl.org/Homo_sapiens/Gene/Summary?g=ENSG00000219053","ENSG00000219053")</f>
        <v>ENSG00000219053</v>
      </c>
      <c r="D566" s="14" t="s">
        <v>8728</v>
      </c>
      <c r="E566" s="14" t="str">
        <f>HYPERLINK("http://www.ncbi.nlm.nih.gov/sites/entrez?db=gene&amp;cmd=Retrieve&amp;dopt=full_report&amp;list_uids=","-")</f>
        <v>-</v>
      </c>
      <c r="F566" s="24" t="s">
        <v>5614</v>
      </c>
      <c r="G566" s="24" t="s">
        <v>8728</v>
      </c>
      <c r="H566" s="14" t="s">
        <v>8728</v>
      </c>
      <c r="I566" s="14" t="s">
        <v>8728</v>
      </c>
      <c r="J566" s="15" t="s">
        <v>8728</v>
      </c>
      <c r="K566" s="16">
        <v>6930.2461169999997</v>
      </c>
      <c r="L566" s="17">
        <v>4482.6036969999996</v>
      </c>
      <c r="M566" s="18">
        <f t="shared" si="9"/>
        <v>0.64681738877990269</v>
      </c>
    </row>
    <row r="567" spans="1:13">
      <c r="A567" s="13" t="s">
        <v>5584</v>
      </c>
      <c r="B567" s="14" t="s">
        <v>5584</v>
      </c>
      <c r="C567" s="14" t="str">
        <f>HYPERLINK("http://uswest.ensembl.org/Homo_sapiens/Gene/Summary?g=ENSG00000135940","ENSG00000135940")</f>
        <v>ENSG00000135940</v>
      </c>
      <c r="D567" s="14" t="s">
        <v>5585</v>
      </c>
      <c r="E567" s="14" t="str">
        <f>HYPERLINK("http://www.ncbi.nlm.nih.gov/sites/entrez?db=gene&amp;cmd=Retrieve&amp;dopt=full_report&amp;list_uids=1329","1329")</f>
        <v>1329</v>
      </c>
      <c r="F567" s="24" t="s">
        <v>5586</v>
      </c>
      <c r="G567" s="24" t="s">
        <v>5587</v>
      </c>
      <c r="H567" s="14" t="s">
        <v>5588</v>
      </c>
      <c r="I567" s="14" t="s">
        <v>5589</v>
      </c>
      <c r="J567" s="15" t="s">
        <v>5590</v>
      </c>
      <c r="K567" s="16">
        <v>1311.302576</v>
      </c>
      <c r="L567" s="17">
        <v>848.34333700000002</v>
      </c>
      <c r="M567" s="18">
        <f t="shared" si="9"/>
        <v>0.64694705289742371</v>
      </c>
    </row>
    <row r="568" spans="1:13">
      <c r="A568" s="13" t="s">
        <v>5581</v>
      </c>
      <c r="B568" s="14" t="s">
        <v>5581</v>
      </c>
      <c r="C568" s="14" t="str">
        <f>HYPERLINK("http://uswest.ensembl.org/Homo_sapiens/Gene/Summary?g=ENSG00000119973","ENSG00000119973")</f>
        <v>ENSG00000119973</v>
      </c>
      <c r="D568" s="14" t="s">
        <v>5582</v>
      </c>
      <c r="E568" s="14" t="str">
        <f>HYPERLINK("http://www.ncbi.nlm.nih.gov/sites/entrez?db=gene&amp;cmd=Retrieve&amp;dopt=full_report&amp;list_uids=2834","2834")</f>
        <v>2834</v>
      </c>
      <c r="F568" s="24" t="s">
        <v>5583</v>
      </c>
      <c r="G568" s="24" t="s">
        <v>5555</v>
      </c>
      <c r="H568" s="14" t="s">
        <v>5559</v>
      </c>
      <c r="I568" s="19" t="s">
        <v>5615</v>
      </c>
      <c r="J568" s="15" t="s">
        <v>8445</v>
      </c>
      <c r="K568" s="16">
        <v>35.101739000000002</v>
      </c>
      <c r="L568" s="17">
        <v>22.732102999999999</v>
      </c>
      <c r="M568" s="18">
        <f t="shared" si="9"/>
        <v>0.64760617700450673</v>
      </c>
    </row>
    <row r="569" spans="1:13">
      <c r="A569" s="13" t="s">
        <v>5616</v>
      </c>
      <c r="B569" s="14" t="s">
        <v>5616</v>
      </c>
      <c r="C569" s="14" t="str">
        <f>HYPERLINK("http://uswest.ensembl.org/Homo_sapiens/Gene/Summary?g=","-")</f>
        <v>-</v>
      </c>
      <c r="D569" s="14" t="s">
        <v>5617</v>
      </c>
      <c r="E569" s="14" t="str">
        <f>HYPERLINK("http://www.ncbi.nlm.nih.gov/sites/entrez?db=gene&amp;cmd=Retrieve&amp;dopt=full_report&amp;list_uids=8036","8036")</f>
        <v>8036</v>
      </c>
      <c r="F569" s="24" t="s">
        <v>5618</v>
      </c>
      <c r="G569" s="24" t="s">
        <v>5619</v>
      </c>
      <c r="H569" s="14" t="s">
        <v>5620</v>
      </c>
      <c r="I569" s="14" t="s">
        <v>8692</v>
      </c>
      <c r="J569" s="15" t="s">
        <v>8619</v>
      </c>
      <c r="K569" s="16">
        <v>148.52827199999999</v>
      </c>
      <c r="L569" s="17">
        <v>96.188489000000004</v>
      </c>
      <c r="M569" s="18">
        <f t="shared" si="9"/>
        <v>0.64761063806088048</v>
      </c>
    </row>
    <row r="570" spans="1:13">
      <c r="A570" s="13" t="s">
        <v>5621</v>
      </c>
      <c r="B570" s="14" t="s">
        <v>5621</v>
      </c>
      <c r="C570" s="14" t="str">
        <f>HYPERLINK("http://uswest.ensembl.org/Homo_sapiens/Gene/Summary?g=ENSG00000143473","ENSG00000143473")</f>
        <v>ENSG00000143473</v>
      </c>
      <c r="D570" s="14" t="s">
        <v>5622</v>
      </c>
      <c r="E570" s="14" t="str">
        <f>HYPERLINK("http://www.ncbi.nlm.nih.gov/sites/entrez?db=gene&amp;cmd=Retrieve&amp;dopt=full_report&amp;list_uids=3756","3756")</f>
        <v>3756</v>
      </c>
      <c r="F570" s="24" t="s">
        <v>5623</v>
      </c>
      <c r="G570" s="24" t="s">
        <v>5580</v>
      </c>
      <c r="H570" s="14" t="s">
        <v>6724</v>
      </c>
      <c r="I570" s="14" t="s">
        <v>6725</v>
      </c>
      <c r="J570" s="15" t="s">
        <v>8691</v>
      </c>
      <c r="K570" s="16">
        <v>37.91178</v>
      </c>
      <c r="L570" s="17">
        <v>24.553692999999999</v>
      </c>
      <c r="M570" s="18">
        <f t="shared" si="9"/>
        <v>0.64765339427481372</v>
      </c>
    </row>
    <row r="571" spans="1:13">
      <c r="A571" s="13" t="s">
        <v>5599</v>
      </c>
      <c r="B571" s="14" t="s">
        <v>5599</v>
      </c>
      <c r="C571" s="14" t="str">
        <f>HYPERLINK("http://uswest.ensembl.org/Homo_sapiens/Gene/Summary?g=ENSG00000101849","ENSG00000101849")</f>
        <v>ENSG00000101849</v>
      </c>
      <c r="D571" s="14" t="s">
        <v>5600</v>
      </c>
      <c r="E571" s="14" t="str">
        <f>HYPERLINK("http://www.ncbi.nlm.nih.gov/sites/entrez?db=gene&amp;cmd=Retrieve&amp;dopt=full_report&amp;list_uids=6907","6907")</f>
        <v>6907</v>
      </c>
      <c r="F571" s="24" t="s">
        <v>5601</v>
      </c>
      <c r="G571" s="24" t="s">
        <v>5602</v>
      </c>
      <c r="H571" s="19" t="s">
        <v>5603</v>
      </c>
      <c r="I571" s="14" t="s">
        <v>8105</v>
      </c>
      <c r="J571" s="15" t="s">
        <v>8558</v>
      </c>
      <c r="K571" s="16">
        <v>85.906023000000005</v>
      </c>
      <c r="L571" s="17">
        <v>55.653982999999997</v>
      </c>
      <c r="M571" s="18">
        <f t="shared" si="9"/>
        <v>0.64784727608680004</v>
      </c>
    </row>
    <row r="572" spans="1:13">
      <c r="A572" s="13" t="s">
        <v>5604</v>
      </c>
      <c r="B572" s="14" t="s">
        <v>5604</v>
      </c>
      <c r="C572" s="14" t="str">
        <f>HYPERLINK("http://uswest.ensembl.org/Homo_sapiens/Gene/Summary?g=ENSG00000203896","ENSG00000203896")</f>
        <v>ENSG00000203896</v>
      </c>
      <c r="D572" s="14" t="s">
        <v>5605</v>
      </c>
      <c r="E572" s="14" t="str">
        <f>HYPERLINK("http://www.ncbi.nlm.nih.gov/sites/entrez?db=gene&amp;cmd=Retrieve&amp;dopt=full_report&amp;list_uids=54923","54923")</f>
        <v>54923</v>
      </c>
      <c r="F572" s="24" t="s">
        <v>5606</v>
      </c>
      <c r="G572" s="24" t="s">
        <v>5554</v>
      </c>
      <c r="H572" s="14" t="s">
        <v>8730</v>
      </c>
      <c r="I572" s="14" t="s">
        <v>8728</v>
      </c>
      <c r="J572" s="15" t="s">
        <v>8701</v>
      </c>
      <c r="K572" s="16">
        <v>34.631456999999997</v>
      </c>
      <c r="L572" s="17">
        <v>22.438359999999999</v>
      </c>
      <c r="M572" s="18">
        <f t="shared" si="9"/>
        <v>0.6479184517128459</v>
      </c>
    </row>
    <row r="573" spans="1:13">
      <c r="A573" s="13" t="s">
        <v>5572</v>
      </c>
      <c r="B573" s="14" t="s">
        <v>5572</v>
      </c>
      <c r="C573" s="14" t="str">
        <f>HYPERLINK("http://uswest.ensembl.org/Homo_sapiens/Gene/Summary?g=ENSG00000169253","ENSG00000169253")</f>
        <v>ENSG00000169253</v>
      </c>
      <c r="D573" s="14" t="s">
        <v>8728</v>
      </c>
      <c r="E573" s="14" t="str">
        <f>HYPERLINK("http://www.ncbi.nlm.nih.gov/sites/entrez?db=gene&amp;cmd=Retrieve&amp;dopt=full_report&amp;list_uids=","-")</f>
        <v>-</v>
      </c>
      <c r="F573" s="24" t="s">
        <v>5573</v>
      </c>
      <c r="G573" s="24" t="s">
        <v>8728</v>
      </c>
      <c r="H573" s="14" t="s">
        <v>8728</v>
      </c>
      <c r="I573" s="14" t="s">
        <v>8728</v>
      </c>
      <c r="J573" s="15" t="s">
        <v>8728</v>
      </c>
      <c r="K573" s="16">
        <v>488.16931499999998</v>
      </c>
      <c r="L573" s="17">
        <v>316.33199000000002</v>
      </c>
      <c r="M573" s="18">
        <f t="shared" si="9"/>
        <v>0.64799646409565914</v>
      </c>
    </row>
    <row r="574" spans="1:13">
      <c r="A574" s="13" t="s">
        <v>5574</v>
      </c>
      <c r="B574" s="14" t="s">
        <v>5574</v>
      </c>
      <c r="C574" s="14" t="str">
        <f>HYPERLINK("http://uswest.ensembl.org/Homo_sapiens/Gene/Summary?g=ENSG00000198867","ENSG00000198867")</f>
        <v>ENSG00000198867</v>
      </c>
      <c r="D574" s="14" t="s">
        <v>8728</v>
      </c>
      <c r="E574" s="14" t="str">
        <f>HYPERLINK("http://www.ncbi.nlm.nih.gov/sites/entrez?db=gene&amp;cmd=Retrieve&amp;dopt=full_report&amp;list_uids=","-")</f>
        <v>-</v>
      </c>
      <c r="F574" s="24" t="s">
        <v>5575</v>
      </c>
      <c r="G574" s="24" t="s">
        <v>8728</v>
      </c>
      <c r="H574" s="14" t="s">
        <v>8728</v>
      </c>
      <c r="I574" s="14" t="s">
        <v>8728</v>
      </c>
      <c r="J574" s="15" t="s">
        <v>8728</v>
      </c>
      <c r="K574" s="16">
        <v>38.600836999999999</v>
      </c>
      <c r="L574" s="17">
        <v>25.017602</v>
      </c>
      <c r="M574" s="18">
        <f t="shared" si="9"/>
        <v>0.64811035056053323</v>
      </c>
    </row>
    <row r="575" spans="1:13">
      <c r="A575" s="13" t="s">
        <v>5576</v>
      </c>
      <c r="B575" s="14" t="s">
        <v>5576</v>
      </c>
      <c r="C575" s="14" t="str">
        <f>HYPERLINK("http://uswest.ensembl.org/Homo_sapiens/Gene/Summary?g=ENSG00000213215","ENSG00000213215")</f>
        <v>ENSG00000213215</v>
      </c>
      <c r="D575" s="14" t="s">
        <v>5577</v>
      </c>
      <c r="E575" s="14" t="str">
        <f>HYPERLINK("http://www.ncbi.nlm.nih.gov/sites/entrez?db=gene&amp;cmd=Retrieve&amp;dopt=full_report&amp;list_uids=26211","26211")</f>
        <v>26211</v>
      </c>
      <c r="F575" s="24" t="s">
        <v>5578</v>
      </c>
      <c r="G575" s="24" t="s">
        <v>5579</v>
      </c>
      <c r="H575" s="14" t="s">
        <v>8699</v>
      </c>
      <c r="I575" s="14" t="s">
        <v>8601</v>
      </c>
      <c r="J575" s="15" t="s">
        <v>8701</v>
      </c>
      <c r="K575" s="16">
        <v>37.06962</v>
      </c>
      <c r="L575" s="17">
        <v>24.026066</v>
      </c>
      <c r="M575" s="18">
        <f t="shared" si="9"/>
        <v>0.6481335929529356</v>
      </c>
    </row>
    <row r="576" spans="1:13">
      <c r="A576" s="13" t="s">
        <v>5536</v>
      </c>
      <c r="B576" s="14" t="s">
        <v>5536</v>
      </c>
      <c r="C576" s="14" t="str">
        <f>HYPERLINK("http://uswest.ensembl.org/Homo_sapiens/Gene/Summary?g=ENSG00000080986","ENSG00000080986")</f>
        <v>ENSG00000080986</v>
      </c>
      <c r="D576" s="14" t="s">
        <v>5537</v>
      </c>
      <c r="E576" s="14" t="str">
        <f>HYPERLINK("http://www.ncbi.nlm.nih.gov/sites/entrez?db=gene&amp;cmd=Retrieve&amp;dopt=full_report&amp;list_uids=10403","10403")</f>
        <v>10403</v>
      </c>
      <c r="F576" s="24" t="s">
        <v>5538</v>
      </c>
      <c r="G576" s="24" t="s">
        <v>5539</v>
      </c>
      <c r="H576" s="14" t="s">
        <v>5540</v>
      </c>
      <c r="I576" s="14" t="s">
        <v>8665</v>
      </c>
      <c r="J576" s="15" t="s">
        <v>5591</v>
      </c>
      <c r="K576" s="16">
        <v>266.01564999999999</v>
      </c>
      <c r="L576" s="17">
        <v>172.468254</v>
      </c>
      <c r="M576" s="18">
        <f t="shared" si="9"/>
        <v>0.64833874999459618</v>
      </c>
    </row>
    <row r="577" spans="1:13">
      <c r="A577" s="13" t="s">
        <v>5592</v>
      </c>
      <c r="B577" s="14" t="s">
        <v>5592</v>
      </c>
      <c r="C577" s="14" t="str">
        <f>HYPERLINK("http://uswest.ensembl.org/Homo_sapiens/Gene/Summary?g=ENSG00000115602","ENSG00000115602")</f>
        <v>ENSG00000115602</v>
      </c>
      <c r="D577" s="14" t="s">
        <v>5593</v>
      </c>
      <c r="E577" s="14" t="str">
        <f>HYPERLINK("http://www.ncbi.nlm.nih.gov/sites/entrez?db=gene&amp;cmd=Retrieve&amp;dopt=full_report&amp;list_uids=9173","9173")</f>
        <v>9173</v>
      </c>
      <c r="F577" s="24" t="s">
        <v>5594</v>
      </c>
      <c r="G577" s="24" t="s">
        <v>5595</v>
      </c>
      <c r="H577" s="14" t="s">
        <v>5596</v>
      </c>
      <c r="I577" s="14" t="s">
        <v>5597</v>
      </c>
      <c r="J577" s="15" t="s">
        <v>5509</v>
      </c>
      <c r="K577" s="16">
        <v>59.139882</v>
      </c>
      <c r="L577" s="17">
        <v>38.345804000000001</v>
      </c>
      <c r="M577" s="18">
        <f t="shared" si="9"/>
        <v>0.64839162174858589</v>
      </c>
    </row>
    <row r="578" spans="1:13">
      <c r="A578" s="13" t="s">
        <v>5510</v>
      </c>
      <c r="B578" s="14" t="s">
        <v>5510</v>
      </c>
      <c r="C578" s="14" t="str">
        <f>HYPERLINK("http://uswest.ensembl.org/Homo_sapiens/Gene/Summary?g=ENSG00000133026","ENSG00000133026")</f>
        <v>ENSG00000133026</v>
      </c>
      <c r="D578" s="14" t="s">
        <v>5560</v>
      </c>
      <c r="E578" s="14" t="str">
        <f>HYPERLINK("http://www.ncbi.nlm.nih.gov/sites/entrez?db=gene&amp;cmd=Retrieve&amp;dopt=full_report&amp;list_uids=","-")</f>
        <v>-</v>
      </c>
      <c r="F578" s="24" t="s">
        <v>5561</v>
      </c>
      <c r="G578" s="24" t="s">
        <v>5562</v>
      </c>
      <c r="H578" s="14" t="s">
        <v>8565</v>
      </c>
      <c r="I578" s="14" t="s">
        <v>5563</v>
      </c>
      <c r="J578" s="15" t="s">
        <v>5564</v>
      </c>
      <c r="K578" s="16">
        <v>33.812387000000001</v>
      </c>
      <c r="L578" s="17">
        <v>21.925218000000001</v>
      </c>
      <c r="M578" s="18">
        <f t="shared" ref="M578:M641" si="10">L578/K578</f>
        <v>0.64843744986120033</v>
      </c>
    </row>
    <row r="579" spans="1:13">
      <c r="A579" s="13" t="s">
        <v>5565</v>
      </c>
      <c r="B579" s="14" t="s">
        <v>5565</v>
      </c>
      <c r="C579" s="14" t="str">
        <f>HYPERLINK("http://uswest.ensembl.org/Homo_sapiens/Gene/Summary?g=","-")</f>
        <v>-</v>
      </c>
      <c r="D579" s="14" t="s">
        <v>5566</v>
      </c>
      <c r="E579" s="14" t="str">
        <f>HYPERLINK("http://www.ncbi.nlm.nih.gov/sites/entrez?db=gene&amp;cmd=Retrieve&amp;dopt=full_report&amp;list_uids=266727","266727")</f>
        <v>266727</v>
      </c>
      <c r="F579" s="24" t="s">
        <v>5567</v>
      </c>
      <c r="G579" s="24" t="s">
        <v>5568</v>
      </c>
      <c r="H579" s="14" t="s">
        <v>5569</v>
      </c>
      <c r="I579" s="14" t="s">
        <v>5570</v>
      </c>
      <c r="J579" s="15" t="s">
        <v>5571</v>
      </c>
      <c r="K579" s="16">
        <v>175.762529</v>
      </c>
      <c r="L579" s="17">
        <v>114.02894000000001</v>
      </c>
      <c r="M579" s="18">
        <f t="shared" si="10"/>
        <v>0.64876706456584954</v>
      </c>
    </row>
    <row r="580" spans="1:13">
      <c r="A580" s="13" t="s">
        <v>5556</v>
      </c>
      <c r="B580" s="14" t="s">
        <v>5556</v>
      </c>
      <c r="C580" s="14" t="str">
        <f>HYPERLINK("http://uswest.ensembl.org/Homo_sapiens/Gene/Summary?g=ENSG00000087077","ENSG00000087077")</f>
        <v>ENSG00000087077</v>
      </c>
      <c r="D580" s="14" t="s">
        <v>5557</v>
      </c>
      <c r="E580" s="14" t="str">
        <f>HYPERLINK("http://www.ncbi.nlm.nih.gov/sites/entrez?db=gene&amp;cmd=Retrieve&amp;dopt=full_report&amp;list_uids=7205","7205")</f>
        <v>7205</v>
      </c>
      <c r="F580" s="24" t="s">
        <v>5558</v>
      </c>
      <c r="G580" s="24" t="s">
        <v>5546</v>
      </c>
      <c r="H580" s="14" t="s">
        <v>5547</v>
      </c>
      <c r="I580" s="14" t="s">
        <v>5548</v>
      </c>
      <c r="J580" s="15" t="s">
        <v>5549</v>
      </c>
      <c r="K580" s="16">
        <v>31.717706</v>
      </c>
      <c r="L580" s="17">
        <v>20.577511000000001</v>
      </c>
      <c r="M580" s="18">
        <f t="shared" si="10"/>
        <v>0.64877046908751856</v>
      </c>
    </row>
    <row r="581" spans="1:13">
      <c r="A581" s="13" t="s">
        <v>5550</v>
      </c>
      <c r="B581" s="14" t="s">
        <v>5550</v>
      </c>
      <c r="C581" s="14" t="str">
        <f>HYPERLINK("http://uswest.ensembl.org/Homo_sapiens/Gene/Summary?g=ENSG00000007264","ENSG00000007264")</f>
        <v>ENSG00000007264</v>
      </c>
      <c r="D581" s="14" t="s">
        <v>5551</v>
      </c>
      <c r="E581" s="14" t="str">
        <f>HYPERLINK("http://www.ncbi.nlm.nih.gov/sites/entrez?db=gene&amp;cmd=Retrieve&amp;dopt=full_report&amp;list_uids=4145","4145")</f>
        <v>4145</v>
      </c>
      <c r="F581" s="24" t="s">
        <v>5552</v>
      </c>
      <c r="G581" s="24" t="s">
        <v>5553</v>
      </c>
      <c r="H581" s="14" t="s">
        <v>5990</v>
      </c>
      <c r="I581" s="19" t="s">
        <v>7156</v>
      </c>
      <c r="J581" s="15" t="s">
        <v>8608</v>
      </c>
      <c r="K581" s="16">
        <v>46.471986999999999</v>
      </c>
      <c r="L581" s="17">
        <v>30.150383000000001</v>
      </c>
      <c r="M581" s="18">
        <f t="shared" si="10"/>
        <v>0.64878618166251434</v>
      </c>
    </row>
    <row r="582" spans="1:13">
      <c r="A582" s="13" t="s">
        <v>5505</v>
      </c>
      <c r="B582" s="14" t="s">
        <v>5505</v>
      </c>
      <c r="C582" s="14" t="str">
        <f>HYPERLINK("http://uswest.ensembl.org/Homo_sapiens/Gene/Summary?g=","-")</f>
        <v>-</v>
      </c>
      <c r="D582" s="14" t="s">
        <v>5506</v>
      </c>
      <c r="E582" s="14" t="str">
        <f>HYPERLINK("http://www.ncbi.nlm.nih.gov/sites/entrez?db=gene&amp;cmd=Retrieve&amp;dopt=full_report&amp;list_uids=1486","1486")</f>
        <v>1486</v>
      </c>
      <c r="F582" s="24" t="s">
        <v>5507</v>
      </c>
      <c r="G582" s="24" t="s">
        <v>5508</v>
      </c>
      <c r="H582" s="14" t="s">
        <v>5598</v>
      </c>
      <c r="I582" s="14" t="s">
        <v>5531</v>
      </c>
      <c r="J582" s="15" t="s">
        <v>7931</v>
      </c>
      <c r="K582" s="16">
        <v>51.012222000000001</v>
      </c>
      <c r="L582" s="17">
        <v>33.098649000000002</v>
      </c>
      <c r="M582" s="18">
        <f t="shared" si="10"/>
        <v>0.6488376256184254</v>
      </c>
    </row>
    <row r="583" spans="1:13">
      <c r="A583" s="13" t="s">
        <v>5532</v>
      </c>
      <c r="B583" s="14" t="s">
        <v>5532</v>
      </c>
      <c r="C583" s="14" t="str">
        <f>HYPERLINK("http://uswest.ensembl.org/Homo_sapiens/Gene/Summary?g=","-")</f>
        <v>-</v>
      </c>
      <c r="D583" s="14" t="s">
        <v>5533</v>
      </c>
      <c r="E583" s="14" t="str">
        <f>HYPERLINK("http://www.ncbi.nlm.nih.gov/sites/entrez?db=gene&amp;cmd=Retrieve&amp;dopt=full_report&amp;list_uids=8635","8635")</f>
        <v>8635</v>
      </c>
      <c r="F583" s="24" t="s">
        <v>5534</v>
      </c>
      <c r="G583" s="24" t="s">
        <v>5535</v>
      </c>
      <c r="H583" s="14" t="s">
        <v>5474</v>
      </c>
      <c r="I583" s="14" t="s">
        <v>5475</v>
      </c>
      <c r="J583" s="15" t="s">
        <v>8731</v>
      </c>
      <c r="K583" s="16">
        <v>680.44621900000004</v>
      </c>
      <c r="L583" s="17">
        <v>441.50280500000002</v>
      </c>
      <c r="M583" s="18">
        <f t="shared" si="10"/>
        <v>0.6488430572056717</v>
      </c>
    </row>
    <row r="584" spans="1:13">
      <c r="A584" s="13" t="s">
        <v>5476</v>
      </c>
      <c r="B584" s="14" t="s">
        <v>5476</v>
      </c>
      <c r="C584" s="14" t="str">
        <f>HYPERLINK("http://uswest.ensembl.org/Homo_sapiens/Gene/Summary?g=","-")</f>
        <v>-</v>
      </c>
      <c r="D584" s="14" t="s">
        <v>8728</v>
      </c>
      <c r="E584" s="14" t="str">
        <f>HYPERLINK("http://www.ncbi.nlm.nih.gov/sites/entrez?db=gene&amp;cmd=Retrieve&amp;dopt=full_report&amp;list_uids=100288987","100288987")</f>
        <v>100288987</v>
      </c>
      <c r="F584" s="24" t="s">
        <v>8728</v>
      </c>
      <c r="G584" s="24" t="s">
        <v>8728</v>
      </c>
      <c r="H584" s="14" t="s">
        <v>8728</v>
      </c>
      <c r="I584" s="14" t="s">
        <v>8728</v>
      </c>
      <c r="J584" s="15" t="s">
        <v>8728</v>
      </c>
      <c r="K584" s="16">
        <v>94.175723000000005</v>
      </c>
      <c r="L584" s="17">
        <v>61.106195999999997</v>
      </c>
      <c r="M584" s="18">
        <f t="shared" si="10"/>
        <v>0.64885295332428716</v>
      </c>
    </row>
    <row r="585" spans="1:13">
      <c r="A585" s="13" t="s">
        <v>5477</v>
      </c>
      <c r="B585" s="14" t="s">
        <v>5477</v>
      </c>
      <c r="C585" s="14" t="str">
        <f>HYPERLINK("http://uswest.ensembl.org/Homo_sapiens/Gene/Summary?g=ENSG00000165702","ENSG00000165702")</f>
        <v>ENSG00000165702</v>
      </c>
      <c r="D585" s="14" t="s">
        <v>5478</v>
      </c>
      <c r="E585" s="14" t="str">
        <f>HYPERLINK("http://www.ncbi.nlm.nih.gov/sites/entrez?db=gene&amp;cmd=Retrieve&amp;dopt=full_report&amp;list_uids=8328","8328")</f>
        <v>8328</v>
      </c>
      <c r="F585" s="24" t="s">
        <v>5479</v>
      </c>
      <c r="G585" s="24" t="s">
        <v>5480</v>
      </c>
      <c r="H585" s="19" t="s">
        <v>5541</v>
      </c>
      <c r="I585" s="14" t="s">
        <v>5542</v>
      </c>
      <c r="J585" s="15" t="s">
        <v>8622</v>
      </c>
      <c r="K585" s="16">
        <v>158.263215</v>
      </c>
      <c r="L585" s="17">
        <v>102.70493500000001</v>
      </c>
      <c r="M585" s="18">
        <f t="shared" si="10"/>
        <v>0.64895013664419743</v>
      </c>
    </row>
    <row r="586" spans="1:13">
      <c r="A586" s="13" t="s">
        <v>5543</v>
      </c>
      <c r="B586" s="14" t="s">
        <v>5543</v>
      </c>
      <c r="C586" s="14" t="str">
        <f>HYPERLINK("http://uswest.ensembl.org/Homo_sapiens/Gene/Summary?g=ENSG00000177428","ENSG00000177428")</f>
        <v>ENSG00000177428</v>
      </c>
      <c r="D586" s="14" t="s">
        <v>8728</v>
      </c>
      <c r="E586" s="14" t="str">
        <f>HYPERLINK("http://www.ncbi.nlm.nih.gov/sites/entrez?db=gene&amp;cmd=Retrieve&amp;dopt=full_report&amp;list_uids=","-")</f>
        <v>-</v>
      </c>
      <c r="F586" s="24" t="s">
        <v>5544</v>
      </c>
      <c r="G586" s="24" t="s">
        <v>5545</v>
      </c>
      <c r="H586" s="14" t="s">
        <v>8728</v>
      </c>
      <c r="I586" s="14" t="s">
        <v>8728</v>
      </c>
      <c r="J586" s="15" t="s">
        <v>8728</v>
      </c>
      <c r="K586" s="16">
        <v>57.688611000000002</v>
      </c>
      <c r="L586" s="17">
        <v>37.437871000000001</v>
      </c>
      <c r="M586" s="18">
        <f t="shared" si="10"/>
        <v>0.6489646803941943</v>
      </c>
    </row>
    <row r="587" spans="1:13">
      <c r="A587" s="13" t="s">
        <v>5520</v>
      </c>
      <c r="B587" s="14" t="s">
        <v>5520</v>
      </c>
      <c r="C587" s="14" t="str">
        <f>HYPERLINK("http://uswest.ensembl.org/Homo_sapiens/Gene/Summary?g=ENSG00000120992","ENSG00000120992")</f>
        <v>ENSG00000120992</v>
      </c>
      <c r="D587" s="14" t="s">
        <v>5781</v>
      </c>
      <c r="E587" s="14" t="str">
        <f>HYPERLINK("http://www.ncbi.nlm.nih.gov/sites/entrez?db=gene&amp;cmd=Retrieve&amp;dopt=full_report&amp;list_uids=10434","10434")</f>
        <v>10434</v>
      </c>
      <c r="F587" s="24" t="s">
        <v>5782</v>
      </c>
      <c r="G587" s="24" t="s">
        <v>5783</v>
      </c>
      <c r="H587" s="14" t="s">
        <v>5521</v>
      </c>
      <c r="I587" s="14" t="s">
        <v>5522</v>
      </c>
      <c r="J587" s="15" t="s">
        <v>8619</v>
      </c>
      <c r="K587" s="16">
        <v>297.08322199999998</v>
      </c>
      <c r="L587" s="17">
        <v>192.84074000000001</v>
      </c>
      <c r="M587" s="18">
        <f t="shared" si="10"/>
        <v>0.64911353358083623</v>
      </c>
    </row>
    <row r="588" spans="1:13">
      <c r="A588" s="13" t="s">
        <v>5524</v>
      </c>
      <c r="B588" s="14" t="s">
        <v>5524</v>
      </c>
      <c r="C588" s="14" t="str">
        <f>HYPERLINK("http://uswest.ensembl.org/Homo_sapiens/Gene/Summary?g=ENSG00000142082","ENSG00000142082")</f>
        <v>ENSG00000142082</v>
      </c>
      <c r="D588" s="14" t="s">
        <v>5525</v>
      </c>
      <c r="E588" s="14" t="str">
        <f>HYPERLINK("http://www.ncbi.nlm.nih.gov/sites/entrez?db=gene&amp;cmd=Retrieve&amp;dopt=full_report&amp;list_uids=","-")</f>
        <v>-</v>
      </c>
      <c r="F588" s="24" t="s">
        <v>5526</v>
      </c>
      <c r="G588" s="24" t="s">
        <v>5527</v>
      </c>
      <c r="H588" s="14" t="s">
        <v>5528</v>
      </c>
      <c r="I588" s="14" t="s">
        <v>5529</v>
      </c>
      <c r="J588" s="15" t="s">
        <v>5530</v>
      </c>
      <c r="K588" s="16">
        <v>97.087896999999998</v>
      </c>
      <c r="L588" s="17">
        <v>63.047328</v>
      </c>
      <c r="M588" s="18">
        <f t="shared" si="10"/>
        <v>0.64938401127382539</v>
      </c>
    </row>
    <row r="589" spans="1:13">
      <c r="A589" s="13" t="s">
        <v>5495</v>
      </c>
      <c r="B589" s="14" t="s">
        <v>5495</v>
      </c>
      <c r="C589" s="14" t="str">
        <f>HYPERLINK("http://uswest.ensembl.org/Homo_sapiens/Gene/Summary?g=ENSG00000167977","ENSG00000167977")</f>
        <v>ENSG00000167977</v>
      </c>
      <c r="D589" s="14" t="s">
        <v>5496</v>
      </c>
      <c r="E589" s="14" t="str">
        <f>HYPERLINK("http://www.ncbi.nlm.nih.gov/sites/entrez?db=gene&amp;cmd=Retrieve&amp;dopt=full_report&amp;list_uids=54442","54442")</f>
        <v>54442</v>
      </c>
      <c r="F589" s="24" t="s">
        <v>5497</v>
      </c>
      <c r="G589" s="24" t="s">
        <v>5498</v>
      </c>
      <c r="H589" s="14" t="s">
        <v>5499</v>
      </c>
      <c r="I589" s="14" t="s">
        <v>8198</v>
      </c>
      <c r="J589" s="15" t="s">
        <v>5500</v>
      </c>
      <c r="K589" s="16">
        <v>227.84092899999999</v>
      </c>
      <c r="L589" s="17">
        <v>147.97087099999999</v>
      </c>
      <c r="M589" s="18">
        <f t="shared" si="10"/>
        <v>0.64944815512054022</v>
      </c>
    </row>
    <row r="590" spans="1:13">
      <c r="A590" s="13" t="s">
        <v>5501</v>
      </c>
      <c r="B590" s="14" t="s">
        <v>5501</v>
      </c>
      <c r="C590" s="14" t="str">
        <f>HYPERLINK("http://uswest.ensembl.org/Homo_sapiens/Gene/Summary?g=ENSG00000100097","ENSG00000100097")</f>
        <v>ENSG00000100097</v>
      </c>
      <c r="D590" s="14" t="s">
        <v>5502</v>
      </c>
      <c r="E590" s="14" t="str">
        <f>HYPERLINK("http://www.ncbi.nlm.nih.gov/sites/entrez?db=gene&amp;cmd=Retrieve&amp;dopt=full_report&amp;list_uids=3956","3956")</f>
        <v>3956</v>
      </c>
      <c r="F590" s="24" t="s">
        <v>5503</v>
      </c>
      <c r="G590" s="24" t="s">
        <v>5444</v>
      </c>
      <c r="H590" s="14" t="s">
        <v>5445</v>
      </c>
      <c r="I590" s="14" t="s">
        <v>5511</v>
      </c>
      <c r="J590" s="15" t="s">
        <v>5512</v>
      </c>
      <c r="K590" s="16">
        <v>8300.0916550000002</v>
      </c>
      <c r="L590" s="17">
        <v>5390.7361110000002</v>
      </c>
      <c r="M590" s="18">
        <f t="shared" si="10"/>
        <v>0.64947910638463913</v>
      </c>
    </row>
    <row r="591" spans="1:13">
      <c r="A591" s="13" t="s">
        <v>5513</v>
      </c>
      <c r="B591" s="14" t="s">
        <v>5513</v>
      </c>
      <c r="C591" s="14" t="str">
        <f>HYPERLINK("http://uswest.ensembl.org/Homo_sapiens/Gene/Summary?g=ENSG00000187141","ENSG00000187141")</f>
        <v>ENSG00000187141</v>
      </c>
      <c r="D591" s="14" t="s">
        <v>8728</v>
      </c>
      <c r="E591" s="14" t="str">
        <f>HYPERLINK("http://www.ncbi.nlm.nih.gov/sites/entrez?db=gene&amp;cmd=Retrieve&amp;dopt=full_report&amp;list_uids=","-")</f>
        <v>-</v>
      </c>
      <c r="F591" s="24" t="s">
        <v>5514</v>
      </c>
      <c r="G591" s="24" t="s">
        <v>8728</v>
      </c>
      <c r="H591" s="14" t="s">
        <v>8728</v>
      </c>
      <c r="I591" s="14" t="s">
        <v>8728</v>
      </c>
      <c r="J591" s="15" t="s">
        <v>8728</v>
      </c>
      <c r="K591" s="16">
        <v>1455.894268</v>
      </c>
      <c r="L591" s="17">
        <v>945.68705</v>
      </c>
      <c r="M591" s="18">
        <f t="shared" si="10"/>
        <v>0.64955750619110209</v>
      </c>
    </row>
    <row r="592" spans="1:13">
      <c r="A592" s="13" t="s">
        <v>5515</v>
      </c>
      <c r="B592" s="14" t="s">
        <v>5515</v>
      </c>
      <c r="C592" s="14" t="str">
        <f>HYPERLINK("http://uswest.ensembl.org/Homo_sapiens/Gene/Summary?g=ENSG00000181215","ENSG00000181215")</f>
        <v>ENSG00000181215</v>
      </c>
      <c r="D592" s="14" t="s">
        <v>5516</v>
      </c>
      <c r="E592" s="14" t="str">
        <f>HYPERLINK("http://www.ncbi.nlm.nih.gov/sites/entrez?db=gene&amp;cmd=Retrieve&amp;dopt=full_report&amp;list_uids=389197","389197")</f>
        <v>389197</v>
      </c>
      <c r="F592" s="24" t="s">
        <v>5517</v>
      </c>
      <c r="G592" s="24" t="s">
        <v>5518</v>
      </c>
      <c r="H592" s="14" t="s">
        <v>8728</v>
      </c>
      <c r="I592" s="14" t="s">
        <v>8728</v>
      </c>
      <c r="J592" s="15" t="s">
        <v>8728</v>
      </c>
      <c r="K592" s="16">
        <v>37.905501000000001</v>
      </c>
      <c r="L592" s="17">
        <v>24.623348</v>
      </c>
      <c r="M592" s="18">
        <f t="shared" si="10"/>
        <v>0.64959827334824038</v>
      </c>
    </row>
    <row r="593" spans="1:13">
      <c r="A593" s="13" t="s">
        <v>5419</v>
      </c>
      <c r="B593" s="14" t="s">
        <v>5419</v>
      </c>
      <c r="C593" s="14" t="str">
        <f>HYPERLINK("http://uswest.ensembl.org/Homo_sapiens/Gene/Summary?g=ENSG00000113810","ENSG00000113810")</f>
        <v>ENSG00000113810</v>
      </c>
      <c r="D593" s="14" t="s">
        <v>5420</v>
      </c>
      <c r="E593" s="14" t="str">
        <f>HYPERLINK("http://www.ncbi.nlm.nih.gov/sites/entrez?db=gene&amp;cmd=Retrieve&amp;dopt=full_report&amp;list_uids=10051","10051")</f>
        <v>10051</v>
      </c>
      <c r="F593" s="24" t="s">
        <v>5421</v>
      </c>
      <c r="G593" s="24" t="s">
        <v>5422</v>
      </c>
      <c r="H593" s="14" t="s">
        <v>5481</v>
      </c>
      <c r="I593" s="14" t="s">
        <v>5482</v>
      </c>
      <c r="J593" s="15" t="s">
        <v>5483</v>
      </c>
      <c r="K593" s="16">
        <v>440.70782300000002</v>
      </c>
      <c r="L593" s="17">
        <v>286.45314500000001</v>
      </c>
      <c r="M593" s="18">
        <f t="shared" si="10"/>
        <v>0.64998425271883586</v>
      </c>
    </row>
    <row r="594" spans="1:13">
      <c r="A594" s="13" t="s">
        <v>5484</v>
      </c>
      <c r="B594" s="14" t="s">
        <v>5484</v>
      </c>
      <c r="C594" s="14" t="str">
        <f>HYPERLINK("http://uswest.ensembl.org/Homo_sapiens/Gene/Summary?g=","-")</f>
        <v>-</v>
      </c>
      <c r="D594" s="14" t="s">
        <v>5485</v>
      </c>
      <c r="E594" s="14" t="str">
        <f>HYPERLINK("http://www.ncbi.nlm.nih.gov/sites/entrez?db=gene&amp;cmd=Retrieve&amp;dopt=full_report&amp;list_uids=145957","145957")</f>
        <v>145957</v>
      </c>
      <c r="F594" s="24" t="s">
        <v>5486</v>
      </c>
      <c r="G594" s="24" t="s">
        <v>5487</v>
      </c>
      <c r="H594" s="14" t="s">
        <v>8728</v>
      </c>
      <c r="I594" s="14" t="s">
        <v>5488</v>
      </c>
      <c r="J594" s="15" t="s">
        <v>5489</v>
      </c>
      <c r="K594" s="16">
        <v>73.836331999999999</v>
      </c>
      <c r="L594" s="17">
        <v>48.002457999999997</v>
      </c>
      <c r="M594" s="18">
        <f t="shared" si="10"/>
        <v>0.65011975405278799</v>
      </c>
    </row>
    <row r="595" spans="1:13">
      <c r="A595" s="13" t="s">
        <v>5490</v>
      </c>
      <c r="B595" s="14" t="s">
        <v>5490</v>
      </c>
      <c r="C595" s="14" t="str">
        <f>HYPERLINK("http://uswest.ensembl.org/Homo_sapiens/Gene/Summary?g=ENSG00000114439","ENSG00000114439")</f>
        <v>ENSG00000114439</v>
      </c>
      <c r="D595" s="14" t="s">
        <v>5491</v>
      </c>
      <c r="E595" s="14" t="str">
        <f>HYPERLINK("http://www.ncbi.nlm.nih.gov/sites/entrez?db=gene&amp;cmd=Retrieve&amp;dopt=full_report&amp;list_uids=","-")</f>
        <v>-</v>
      </c>
      <c r="F595" s="24" t="s">
        <v>5492</v>
      </c>
      <c r="G595" s="24" t="s">
        <v>5519</v>
      </c>
      <c r="H595" s="14" t="s">
        <v>8728</v>
      </c>
      <c r="I595" s="14" t="s">
        <v>8682</v>
      </c>
      <c r="J595" s="15" t="s">
        <v>8558</v>
      </c>
      <c r="K595" s="16">
        <v>225.086996</v>
      </c>
      <c r="L595" s="17">
        <v>146.41431499999999</v>
      </c>
      <c r="M595" s="18">
        <f t="shared" si="10"/>
        <v>0.6504787819905864</v>
      </c>
    </row>
    <row r="596" spans="1:13">
      <c r="A596" s="13" t="s">
        <v>5457</v>
      </c>
      <c r="B596" s="14" t="s">
        <v>5457</v>
      </c>
      <c r="C596" s="14" t="str">
        <f>HYPERLINK("http://uswest.ensembl.org/Homo_sapiens/Gene/Summary?g=ENSG00000164466","ENSG00000164466")</f>
        <v>ENSG00000164466</v>
      </c>
      <c r="D596" s="14" t="s">
        <v>5458</v>
      </c>
      <c r="E596" s="14" t="str">
        <f>HYPERLINK("http://www.ncbi.nlm.nih.gov/sites/entrez?db=gene&amp;cmd=Retrieve&amp;dopt=full_report&amp;list_uids=94081","94081")</f>
        <v>94081</v>
      </c>
      <c r="F596" s="24" t="s">
        <v>5459</v>
      </c>
      <c r="G596" s="24" t="s">
        <v>5460</v>
      </c>
      <c r="H596" s="14" t="s">
        <v>5461</v>
      </c>
      <c r="I596" s="14" t="s">
        <v>5462</v>
      </c>
      <c r="J596" s="15" t="s">
        <v>8296</v>
      </c>
      <c r="K596" s="16">
        <v>453.29599899999999</v>
      </c>
      <c r="L596" s="17">
        <v>294.89842399999998</v>
      </c>
      <c r="M596" s="18">
        <f t="shared" si="10"/>
        <v>0.65056480677209771</v>
      </c>
    </row>
    <row r="597" spans="1:13">
      <c r="A597" s="13" t="s">
        <v>5463</v>
      </c>
      <c r="B597" s="14" t="s">
        <v>5463</v>
      </c>
      <c r="C597" s="14" t="str">
        <f>HYPERLINK("http://uswest.ensembl.org/Homo_sapiens/Gene/Summary?g=","-")</f>
        <v>-</v>
      </c>
      <c r="D597" s="14" t="s">
        <v>5464</v>
      </c>
      <c r="E597" s="14" t="str">
        <f>HYPERLINK("http://www.ncbi.nlm.nih.gov/sites/entrez?db=gene&amp;cmd=Retrieve&amp;dopt=full_report&amp;list_uids=84984","84984")</f>
        <v>84984</v>
      </c>
      <c r="F597" s="24" t="s">
        <v>5465</v>
      </c>
      <c r="G597" s="24" t="s">
        <v>5466</v>
      </c>
      <c r="H597" s="14" t="s">
        <v>8728</v>
      </c>
      <c r="I597" s="14" t="s">
        <v>8728</v>
      </c>
      <c r="J597" s="15" t="s">
        <v>8728</v>
      </c>
      <c r="K597" s="16">
        <v>61.992437000000002</v>
      </c>
      <c r="L597" s="17">
        <v>40.331802000000003</v>
      </c>
      <c r="M597" s="18">
        <f t="shared" si="10"/>
        <v>0.65059229725071144</v>
      </c>
    </row>
    <row r="598" spans="1:13">
      <c r="A598" s="13" t="s">
        <v>5467</v>
      </c>
      <c r="B598" s="14" t="s">
        <v>5467</v>
      </c>
      <c r="C598" s="14" t="str">
        <f>HYPERLINK("http://uswest.ensembl.org/Homo_sapiens/Gene/Summary?g=","-")</f>
        <v>-</v>
      </c>
      <c r="D598" s="14" t="s">
        <v>5468</v>
      </c>
      <c r="E598" s="14" t="str">
        <f>HYPERLINK("http://www.ncbi.nlm.nih.gov/sites/entrez?db=gene&amp;cmd=Retrieve&amp;dopt=full_report&amp;list_uids=100293297","100293297")</f>
        <v>100293297</v>
      </c>
      <c r="F598" s="24" t="s">
        <v>5469</v>
      </c>
      <c r="G598" s="24" t="s">
        <v>5470</v>
      </c>
      <c r="H598" s="14" t="s">
        <v>8728</v>
      </c>
      <c r="I598" s="14" t="s">
        <v>8728</v>
      </c>
      <c r="J598" s="15" t="s">
        <v>8728</v>
      </c>
      <c r="K598" s="16">
        <v>61.202803000000003</v>
      </c>
      <c r="L598" s="17">
        <v>39.819431000000002</v>
      </c>
      <c r="M598" s="18">
        <f t="shared" si="10"/>
        <v>0.65061449881633693</v>
      </c>
    </row>
    <row r="599" spans="1:13">
      <c r="A599" s="13" t="s">
        <v>5471</v>
      </c>
      <c r="B599" s="14" t="s">
        <v>5471</v>
      </c>
      <c r="C599" s="14" t="str">
        <f>HYPERLINK("http://uswest.ensembl.org/Homo_sapiens/Gene/Summary?g=","-")</f>
        <v>-</v>
      </c>
      <c r="D599" s="14" t="s">
        <v>5472</v>
      </c>
      <c r="E599" s="14" t="str">
        <f>HYPERLINK("http://www.ncbi.nlm.nih.gov/sites/entrez?db=gene&amp;cmd=Retrieve&amp;dopt=full_report&amp;list_uids=114769","114769")</f>
        <v>114769</v>
      </c>
      <c r="F599" s="24" t="s">
        <v>5473</v>
      </c>
      <c r="G599" s="24" t="s">
        <v>5414</v>
      </c>
      <c r="H599" s="14" t="s">
        <v>5415</v>
      </c>
      <c r="I599" s="14" t="s">
        <v>5494</v>
      </c>
      <c r="J599" s="15" t="s">
        <v>8707</v>
      </c>
      <c r="K599" s="16">
        <v>38.514763000000002</v>
      </c>
      <c r="L599" s="17">
        <v>25.062027</v>
      </c>
      <c r="M599" s="18">
        <f t="shared" si="10"/>
        <v>0.65071222170054632</v>
      </c>
    </row>
    <row r="600" spans="1:13">
      <c r="A600" s="13" t="s">
        <v>5416</v>
      </c>
      <c r="B600" s="14" t="s">
        <v>5416</v>
      </c>
      <c r="C600" s="14" t="str">
        <f>HYPERLINK("http://uswest.ensembl.org/Homo_sapiens/Gene/Summary?g=ENSG00000158864","ENSG00000158864")</f>
        <v>ENSG00000158864</v>
      </c>
      <c r="D600" s="14" t="s">
        <v>5417</v>
      </c>
      <c r="E600" s="14" t="str">
        <f>HYPERLINK("http://www.ncbi.nlm.nih.gov/sites/entrez?db=gene&amp;cmd=Retrieve&amp;dopt=full_report&amp;list_uids=4720","4720")</f>
        <v>4720</v>
      </c>
      <c r="F600" s="24" t="s">
        <v>5418</v>
      </c>
      <c r="G600" s="24" t="s">
        <v>5386</v>
      </c>
      <c r="H600" s="14" t="s">
        <v>5387</v>
      </c>
      <c r="I600" s="19" t="s">
        <v>5446</v>
      </c>
      <c r="J600" s="15" t="s">
        <v>5447</v>
      </c>
      <c r="K600" s="16">
        <v>270.32201600000002</v>
      </c>
      <c r="L600" s="17">
        <v>175.903434</v>
      </c>
      <c r="M600" s="18">
        <f t="shared" si="10"/>
        <v>0.6507181198293519</v>
      </c>
    </row>
    <row r="601" spans="1:13">
      <c r="A601" s="13" t="s">
        <v>5448</v>
      </c>
      <c r="B601" s="14" t="s">
        <v>5448</v>
      </c>
      <c r="C601" s="14" t="str">
        <f>HYPERLINK("http://uswest.ensembl.org/Homo_sapiens/Gene/Summary?g=ENSG00000177117","ENSG00000177117")</f>
        <v>ENSG00000177117</v>
      </c>
      <c r="D601" s="14" t="s">
        <v>8728</v>
      </c>
      <c r="E601" s="14" t="str">
        <f>HYPERLINK("http://www.ncbi.nlm.nih.gov/sites/entrez?db=gene&amp;cmd=Retrieve&amp;dopt=full_report&amp;list_uids=","-")</f>
        <v>-</v>
      </c>
      <c r="F601" s="24" t="s">
        <v>5449</v>
      </c>
      <c r="G601" s="24" t="s">
        <v>8728</v>
      </c>
      <c r="H601" s="14" t="s">
        <v>8728</v>
      </c>
      <c r="I601" s="14" t="s">
        <v>8728</v>
      </c>
      <c r="J601" s="15" t="s">
        <v>8728</v>
      </c>
      <c r="K601" s="16">
        <v>258.817275</v>
      </c>
      <c r="L601" s="17">
        <v>168.424183</v>
      </c>
      <c r="M601" s="18">
        <f t="shared" si="10"/>
        <v>0.65074552307221378</v>
      </c>
    </row>
    <row r="602" spans="1:13">
      <c r="A602" s="13" t="s">
        <v>5450</v>
      </c>
      <c r="B602" s="14" t="s">
        <v>5450</v>
      </c>
      <c r="C602" s="14" t="str">
        <f>HYPERLINK("http://uswest.ensembl.org/Homo_sapiens/Gene/Summary?g=ENSG00000213658","ENSG00000213658")</f>
        <v>ENSG00000213658</v>
      </c>
      <c r="D602" s="14" t="s">
        <v>5451</v>
      </c>
      <c r="E602" s="14" t="str">
        <f>HYPERLINK("http://www.ncbi.nlm.nih.gov/sites/entrez?db=gene&amp;cmd=Retrieve&amp;dopt=full_report&amp;list_uids=27040","27040")</f>
        <v>27040</v>
      </c>
      <c r="F602" s="24" t="s">
        <v>5452</v>
      </c>
      <c r="G602" s="24" t="s">
        <v>5493</v>
      </c>
      <c r="H602" s="14" t="s">
        <v>8565</v>
      </c>
      <c r="I602" s="14" t="s">
        <v>8728</v>
      </c>
      <c r="J602" s="15" t="s">
        <v>8691</v>
      </c>
      <c r="K602" s="16">
        <v>249.13732300000001</v>
      </c>
      <c r="L602" s="17">
        <v>162.179946</v>
      </c>
      <c r="M602" s="18">
        <f t="shared" si="10"/>
        <v>0.65096607785257443</v>
      </c>
    </row>
    <row r="603" spans="1:13">
      <c r="A603" s="13" t="s">
        <v>5430</v>
      </c>
      <c r="B603" s="14" t="s">
        <v>5430</v>
      </c>
      <c r="C603" s="14" t="str">
        <f>HYPERLINK("http://uswest.ensembl.org/Homo_sapiens/Gene/Summary?g=ENSG00000215096","ENSG00000215096")</f>
        <v>ENSG00000215096</v>
      </c>
      <c r="D603" s="14" t="s">
        <v>8728</v>
      </c>
      <c r="E603" s="14" t="str">
        <f>HYPERLINK("http://www.ncbi.nlm.nih.gov/sites/entrez?db=gene&amp;cmd=Retrieve&amp;dopt=full_report&amp;list_uids=","-")</f>
        <v>-</v>
      </c>
      <c r="F603" s="24" t="s">
        <v>5431</v>
      </c>
      <c r="G603" s="24" t="s">
        <v>5432</v>
      </c>
      <c r="H603" s="14" t="s">
        <v>5433</v>
      </c>
      <c r="I603" s="14" t="s">
        <v>8728</v>
      </c>
      <c r="J603" s="15" t="s">
        <v>8669</v>
      </c>
      <c r="K603" s="16">
        <v>60.783704</v>
      </c>
      <c r="L603" s="17">
        <v>39.571224000000001</v>
      </c>
      <c r="M603" s="18">
        <f t="shared" si="10"/>
        <v>0.65101698968526167</v>
      </c>
    </row>
    <row r="604" spans="1:13">
      <c r="A604" s="13" t="s">
        <v>5434</v>
      </c>
      <c r="B604" s="14" t="s">
        <v>5434</v>
      </c>
      <c r="C604" s="14" t="str">
        <f>HYPERLINK("http://uswest.ensembl.org/Homo_sapiens/Gene/Summary?g=","-")</f>
        <v>-</v>
      </c>
      <c r="D604" s="14" t="s">
        <v>5435</v>
      </c>
      <c r="E604" s="14" t="str">
        <f>HYPERLINK("http://www.ncbi.nlm.nih.gov/sites/entrez?db=gene&amp;cmd=Retrieve&amp;dopt=full_report&amp;list_uids=28966","28966")</f>
        <v>28966</v>
      </c>
      <c r="F604" s="24" t="s">
        <v>5436</v>
      </c>
      <c r="G604" s="24" t="s">
        <v>5437</v>
      </c>
      <c r="H604" s="14" t="s">
        <v>5438</v>
      </c>
      <c r="I604" s="14" t="s">
        <v>7623</v>
      </c>
      <c r="J604" s="15" t="s">
        <v>8728</v>
      </c>
      <c r="K604" s="16">
        <v>34.833646000000002</v>
      </c>
      <c r="L604" s="17">
        <v>22.677883999999999</v>
      </c>
      <c r="M604" s="18">
        <f t="shared" si="10"/>
        <v>0.65103388832739462</v>
      </c>
    </row>
    <row r="605" spans="1:13">
      <c r="A605" s="13" t="s">
        <v>5439</v>
      </c>
      <c r="B605" s="14" t="s">
        <v>5439</v>
      </c>
      <c r="C605" s="14" t="str">
        <f>HYPERLINK("http://uswest.ensembl.org/Homo_sapiens/Gene/Summary?g=","-")</f>
        <v>-</v>
      </c>
      <c r="D605" s="14" t="s">
        <v>5440</v>
      </c>
      <c r="E605" s="14" t="str">
        <f>HYPERLINK("http://www.ncbi.nlm.nih.gov/sites/entrez?db=gene&amp;cmd=Retrieve&amp;dopt=full_report&amp;list_uids=128710","128710")</f>
        <v>128710</v>
      </c>
      <c r="F605" s="24" t="s">
        <v>5441</v>
      </c>
      <c r="G605" s="24" t="s">
        <v>5442</v>
      </c>
      <c r="H605" s="14" t="s">
        <v>8728</v>
      </c>
      <c r="I605" s="14" t="s">
        <v>8728</v>
      </c>
      <c r="J605" s="15" t="s">
        <v>8728</v>
      </c>
      <c r="K605" s="16">
        <v>49.131542000000003</v>
      </c>
      <c r="L605" s="17">
        <v>31.997382000000002</v>
      </c>
      <c r="M605" s="18">
        <f t="shared" si="10"/>
        <v>0.65125946993481298</v>
      </c>
    </row>
    <row r="606" spans="1:13">
      <c r="A606" s="13" t="s">
        <v>5454</v>
      </c>
      <c r="B606" s="14" t="s">
        <v>5454</v>
      </c>
      <c r="C606" s="14" t="str">
        <f>HYPERLINK("http://uswest.ensembl.org/Homo_sapiens/Gene/Summary?g=","-")</f>
        <v>-</v>
      </c>
      <c r="D606" s="14" t="s">
        <v>5455</v>
      </c>
      <c r="E606" s="14" t="str">
        <f>HYPERLINK("http://www.ncbi.nlm.nih.gov/sites/entrez?db=gene&amp;cmd=Retrieve&amp;dopt=full_report&amp;list_uids=240","240")</f>
        <v>240</v>
      </c>
      <c r="F606" s="24" t="s">
        <v>5456</v>
      </c>
      <c r="G606" s="24" t="s">
        <v>5428</v>
      </c>
      <c r="H606" s="14" t="s">
        <v>5429</v>
      </c>
      <c r="I606" s="14" t="s">
        <v>5357</v>
      </c>
      <c r="J606" s="15" t="s">
        <v>5358</v>
      </c>
      <c r="K606" s="16">
        <v>613.24936400000001</v>
      </c>
      <c r="L606" s="17">
        <v>399.57094899999998</v>
      </c>
      <c r="M606" s="18">
        <f t="shared" si="10"/>
        <v>0.65156357667253928</v>
      </c>
    </row>
    <row r="607" spans="1:13">
      <c r="A607" s="13" t="s">
        <v>5359</v>
      </c>
      <c r="B607" s="14" t="s">
        <v>5359</v>
      </c>
      <c r="C607" s="14" t="str">
        <f>HYPERLINK("http://uswest.ensembl.org/Homo_sapiens/Gene/Summary?g=ENSG00000128791","ENSG00000128791")</f>
        <v>ENSG00000128791</v>
      </c>
      <c r="D607" s="14" t="s">
        <v>5360</v>
      </c>
      <c r="E607" s="14" t="str">
        <f>HYPERLINK("http://www.ncbi.nlm.nih.gov/sites/entrez?db=gene&amp;cmd=Retrieve&amp;dopt=full_report&amp;list_uids=57045","57045")</f>
        <v>57045</v>
      </c>
      <c r="F607" s="24" t="s">
        <v>5361</v>
      </c>
      <c r="G607" s="24" t="s">
        <v>5362</v>
      </c>
      <c r="H607" s="19" t="s">
        <v>5423</v>
      </c>
      <c r="I607" s="14" t="s">
        <v>8665</v>
      </c>
      <c r="J607" s="15" t="s">
        <v>8627</v>
      </c>
      <c r="K607" s="16">
        <v>35.018053999999999</v>
      </c>
      <c r="L607" s="17">
        <v>22.816718999999999</v>
      </c>
      <c r="M607" s="18">
        <f t="shared" si="10"/>
        <v>0.65157015863874101</v>
      </c>
    </row>
    <row r="608" spans="1:13">
      <c r="A608" s="13" t="s">
        <v>5424</v>
      </c>
      <c r="B608" s="14" t="s">
        <v>5424</v>
      </c>
      <c r="C608" s="14" t="str">
        <f>HYPERLINK("http://uswest.ensembl.org/Homo_sapiens/Gene/Summary?g=ENSG00000135926","ENSG00000135926")</f>
        <v>ENSG00000135926</v>
      </c>
      <c r="D608" s="14" t="s">
        <v>5425</v>
      </c>
      <c r="E608" s="14" t="str">
        <f>HYPERLINK("http://www.ncbi.nlm.nih.gov/sites/entrez?db=gene&amp;cmd=Retrieve&amp;dopt=full_report&amp;list_uids=64114","64114")</f>
        <v>64114</v>
      </c>
      <c r="F608" s="24" t="s">
        <v>5426</v>
      </c>
      <c r="G608" s="24" t="s">
        <v>5443</v>
      </c>
      <c r="H608" s="14" t="s">
        <v>8728</v>
      </c>
      <c r="I608" s="14" t="s">
        <v>8728</v>
      </c>
      <c r="J608" s="15" t="s">
        <v>8698</v>
      </c>
      <c r="K608" s="16">
        <v>579.95112700000004</v>
      </c>
      <c r="L608" s="17">
        <v>377.99799400000001</v>
      </c>
      <c r="M608" s="18">
        <f t="shared" si="10"/>
        <v>0.65177560039468629</v>
      </c>
    </row>
    <row r="609" spans="1:13">
      <c r="A609" s="13" t="s">
        <v>5342</v>
      </c>
      <c r="B609" s="14" t="s">
        <v>5342</v>
      </c>
      <c r="C609" s="14" t="str">
        <f>HYPERLINK("http://uswest.ensembl.org/Homo_sapiens/Gene/Summary?g=ENSG00000163597","ENSG00000163597")</f>
        <v>ENSG00000163597</v>
      </c>
      <c r="D609" s="14" t="s">
        <v>8728</v>
      </c>
      <c r="E609" s="14" t="str">
        <f>HYPERLINK("http://www.ncbi.nlm.nih.gov/sites/entrez?db=gene&amp;cmd=Retrieve&amp;dopt=full_report&amp;list_uids=","-")</f>
        <v>-</v>
      </c>
      <c r="F609" s="24" t="s">
        <v>5343</v>
      </c>
      <c r="G609" s="24" t="s">
        <v>5388</v>
      </c>
      <c r="H609" s="14" t="s">
        <v>8728</v>
      </c>
      <c r="I609" s="14" t="s">
        <v>8383</v>
      </c>
      <c r="J609" s="15" t="s">
        <v>8728</v>
      </c>
      <c r="K609" s="16">
        <v>30.797615</v>
      </c>
      <c r="L609" s="17">
        <v>20.077580999999999</v>
      </c>
      <c r="M609" s="18">
        <f t="shared" si="10"/>
        <v>0.65191999445411597</v>
      </c>
    </row>
    <row r="610" spans="1:13">
      <c r="A610" s="13" t="s">
        <v>5389</v>
      </c>
      <c r="B610" s="14" t="s">
        <v>5389</v>
      </c>
      <c r="C610" s="14" t="str">
        <f>HYPERLINK("http://uswest.ensembl.org/Homo_sapiens/Gene/Summary?g=ENSG00000106605","ENSG00000106605")</f>
        <v>ENSG00000106605</v>
      </c>
      <c r="D610" s="14" t="s">
        <v>5390</v>
      </c>
      <c r="E610" s="14" t="str">
        <f>HYPERLINK("http://www.ncbi.nlm.nih.gov/sites/entrez?db=gene&amp;cmd=Retrieve&amp;dopt=full_report&amp;list_uids=644","644")</f>
        <v>644</v>
      </c>
      <c r="F610" s="24" t="s">
        <v>5391</v>
      </c>
      <c r="G610" s="24" t="s">
        <v>5392</v>
      </c>
      <c r="H610" s="14" t="s">
        <v>5393</v>
      </c>
      <c r="I610" s="14" t="s">
        <v>5394</v>
      </c>
      <c r="J610" s="15" t="s">
        <v>8619</v>
      </c>
      <c r="K610" s="16">
        <v>246.54389399999999</v>
      </c>
      <c r="L610" s="17">
        <v>160.73107899999999</v>
      </c>
      <c r="M610" s="18">
        <f t="shared" si="10"/>
        <v>0.65193696908186249</v>
      </c>
    </row>
    <row r="611" spans="1:13">
      <c r="A611" s="13" t="s">
        <v>5395</v>
      </c>
      <c r="B611" s="14" t="s">
        <v>5395</v>
      </c>
      <c r="C611" s="14" t="str">
        <f>HYPERLINK("http://uswest.ensembl.org/Homo_sapiens/Gene/Summary?g=ENSG00000211772","ENSG00000211772")</f>
        <v>ENSG00000211772</v>
      </c>
      <c r="D611" s="14" t="s">
        <v>8728</v>
      </c>
      <c r="E611" s="14" t="str">
        <f>HYPERLINK("http://www.ncbi.nlm.nih.gov/sites/entrez?db=gene&amp;cmd=Retrieve&amp;dopt=full_report&amp;list_uids=","-")</f>
        <v>-</v>
      </c>
      <c r="F611" s="24" t="s">
        <v>5396</v>
      </c>
      <c r="G611" s="24" t="s">
        <v>5397</v>
      </c>
      <c r="H611" s="14" t="s">
        <v>8728</v>
      </c>
      <c r="I611" s="14" t="s">
        <v>8728</v>
      </c>
      <c r="J611" s="15" t="s">
        <v>8728</v>
      </c>
      <c r="K611" s="16">
        <v>318.724897</v>
      </c>
      <c r="L611" s="17">
        <v>207.81029799999999</v>
      </c>
      <c r="M611" s="18">
        <f t="shared" si="10"/>
        <v>0.65200522443027098</v>
      </c>
    </row>
    <row r="612" spans="1:13">
      <c r="A612" s="13" t="s">
        <v>5398</v>
      </c>
      <c r="B612" s="14" t="s">
        <v>5398</v>
      </c>
      <c r="C612" s="14" t="str">
        <f>HYPERLINK("http://uswest.ensembl.org/Homo_sapiens/Gene/Summary?g=ENSG00000132446","ENSG00000132446")</f>
        <v>ENSG00000132446</v>
      </c>
      <c r="D612" s="14" t="s">
        <v>5399</v>
      </c>
      <c r="E612" s="14" t="str">
        <f>HYPERLINK("http://www.ncbi.nlm.nih.gov/sites/entrez?db=gene&amp;cmd=Retrieve&amp;dopt=full_report&amp;list_uids=53940","53940")</f>
        <v>53940</v>
      </c>
      <c r="F612" s="24" t="s">
        <v>5400</v>
      </c>
      <c r="G612" s="24" t="s">
        <v>5401</v>
      </c>
      <c r="H612" s="14" t="s">
        <v>7696</v>
      </c>
      <c r="I612" s="14" t="s">
        <v>7644</v>
      </c>
      <c r="J612" s="15" t="s">
        <v>8728</v>
      </c>
      <c r="K612" s="16">
        <v>933.86592900000005</v>
      </c>
      <c r="L612" s="17">
        <v>608.89019099999996</v>
      </c>
      <c r="M612" s="18">
        <f t="shared" si="10"/>
        <v>0.65201028551497775</v>
      </c>
    </row>
    <row r="613" spans="1:13">
      <c r="A613" s="13" t="s">
        <v>5402</v>
      </c>
      <c r="B613" s="14" t="s">
        <v>5402</v>
      </c>
      <c r="C613" s="14" t="str">
        <f>HYPERLINK("http://uswest.ensembl.org/Homo_sapiens/Gene/Summary?g=","-")</f>
        <v>-</v>
      </c>
      <c r="D613" s="14" t="s">
        <v>5403</v>
      </c>
      <c r="E613" s="14" t="str">
        <f>HYPERLINK("http://www.ncbi.nlm.nih.gov/sites/entrez?db=gene&amp;cmd=Retrieve&amp;dopt=full_report&amp;list_uids=56675","56675")</f>
        <v>56675</v>
      </c>
      <c r="F613" s="24" t="s">
        <v>5404</v>
      </c>
      <c r="G613" s="24" t="s">
        <v>5405</v>
      </c>
      <c r="H613" s="14" t="s">
        <v>8623</v>
      </c>
      <c r="I613" s="14" t="s">
        <v>5406</v>
      </c>
      <c r="J613" s="15" t="s">
        <v>8728</v>
      </c>
      <c r="K613" s="16">
        <v>48.895057000000001</v>
      </c>
      <c r="L613" s="17">
        <v>31.881732</v>
      </c>
      <c r="M613" s="18">
        <f t="shared" si="10"/>
        <v>0.65204407063069791</v>
      </c>
    </row>
    <row r="614" spans="1:13">
      <c r="A614" s="13" t="s">
        <v>5407</v>
      </c>
      <c r="B614" s="14" t="s">
        <v>5407</v>
      </c>
      <c r="C614" s="14" t="str">
        <f>HYPERLINK("http://uswest.ensembl.org/Homo_sapiens/Gene/Summary?g=","-")</f>
        <v>-</v>
      </c>
      <c r="D614" s="14" t="s">
        <v>8728</v>
      </c>
      <c r="E614" s="14" t="str">
        <f>HYPERLINK("http://www.ncbi.nlm.nih.gov/sites/entrez?db=gene&amp;cmd=Retrieve&amp;dopt=full_report&amp;list_uids=100134372","100134372")</f>
        <v>100134372</v>
      </c>
      <c r="F614" s="24" t="s">
        <v>5408</v>
      </c>
      <c r="G614" s="24" t="s">
        <v>8728</v>
      </c>
      <c r="H614" s="14" t="s">
        <v>8728</v>
      </c>
      <c r="I614" s="14" t="s">
        <v>8728</v>
      </c>
      <c r="J614" s="15" t="s">
        <v>8728</v>
      </c>
      <c r="K614" s="16">
        <v>39.143675000000002</v>
      </c>
      <c r="L614" s="17">
        <v>25.524169000000001</v>
      </c>
      <c r="M614" s="18">
        <f t="shared" si="10"/>
        <v>0.65206368589561403</v>
      </c>
    </row>
    <row r="615" spans="1:13">
      <c r="A615" s="13" t="s">
        <v>5409</v>
      </c>
      <c r="B615" s="14" t="s">
        <v>5409</v>
      </c>
      <c r="C615" s="14" t="str">
        <f>HYPERLINK("http://uswest.ensembl.org/Homo_sapiens/Gene/Summary?g=","-")</f>
        <v>-</v>
      </c>
      <c r="D615" s="14" t="s">
        <v>5410</v>
      </c>
      <c r="E615" s="14" t="str">
        <f>HYPERLINK("http://www.ncbi.nlm.nih.gov/sites/entrez?db=gene&amp;cmd=Retrieve&amp;dopt=full_report&amp;list_uids=55666","55666")</f>
        <v>55666</v>
      </c>
      <c r="F615" s="24" t="s">
        <v>5411</v>
      </c>
      <c r="G615" s="24" t="s">
        <v>5427</v>
      </c>
      <c r="H615" s="14" t="s">
        <v>5412</v>
      </c>
      <c r="I615" s="14" t="s">
        <v>8609</v>
      </c>
      <c r="J615" s="15" t="s">
        <v>5413</v>
      </c>
      <c r="K615" s="16">
        <v>248.44504800000001</v>
      </c>
      <c r="L615" s="17">
        <v>162.009818</v>
      </c>
      <c r="M615" s="18">
        <f t="shared" si="10"/>
        <v>0.65209517880992329</v>
      </c>
    </row>
    <row r="616" spans="1:13">
      <c r="A616" s="13" t="s">
        <v>5382</v>
      </c>
      <c r="B616" s="14" t="s">
        <v>5382</v>
      </c>
      <c r="C616" s="14" t="str">
        <f>HYPERLINK("http://uswest.ensembl.org/Homo_sapiens/Gene/Summary?g=ENSG00000091164","ENSG00000091164")</f>
        <v>ENSG00000091164</v>
      </c>
      <c r="D616" s="14" t="s">
        <v>5383</v>
      </c>
      <c r="E616" s="14" t="str">
        <f>HYPERLINK("http://www.ncbi.nlm.nih.gov/sites/entrez?db=gene&amp;cmd=Retrieve&amp;dopt=full_report&amp;list_uids=9352","9352")</f>
        <v>9352</v>
      </c>
      <c r="F616" s="24" t="s">
        <v>5384</v>
      </c>
      <c r="G616" s="24" t="s">
        <v>5385</v>
      </c>
      <c r="H616" s="14" t="s">
        <v>5334</v>
      </c>
      <c r="I616" s="14" t="s">
        <v>5335</v>
      </c>
      <c r="J616" s="15" t="s">
        <v>8619</v>
      </c>
      <c r="K616" s="16">
        <v>584.567949</v>
      </c>
      <c r="L616" s="17">
        <v>381.213123</v>
      </c>
      <c r="M616" s="18">
        <f t="shared" si="10"/>
        <v>0.65212799239528607</v>
      </c>
    </row>
    <row r="617" spans="1:13">
      <c r="A617" s="13" t="s">
        <v>5336</v>
      </c>
      <c r="B617" s="14" t="s">
        <v>5336</v>
      </c>
      <c r="C617" s="14" t="str">
        <f>HYPERLINK("http://uswest.ensembl.org/Homo_sapiens/Gene/Summary?g=","-")</f>
        <v>-</v>
      </c>
      <c r="D617" s="14" t="s">
        <v>8728</v>
      </c>
      <c r="E617" s="14" t="str">
        <f>HYPERLINK("http://www.ncbi.nlm.nih.gov/sites/entrez?db=gene&amp;cmd=Retrieve&amp;dopt=full_report&amp;list_uids=729549","729549")</f>
        <v>729549</v>
      </c>
      <c r="F617" s="24" t="s">
        <v>8728</v>
      </c>
      <c r="G617" s="24" t="s">
        <v>8728</v>
      </c>
      <c r="H617" s="14" t="s">
        <v>8728</v>
      </c>
      <c r="I617" s="14" t="s">
        <v>8728</v>
      </c>
      <c r="J617" s="15" t="s">
        <v>8728</v>
      </c>
      <c r="K617" s="16">
        <v>30.252089000000002</v>
      </c>
      <c r="L617" s="17">
        <v>19.735258999999999</v>
      </c>
      <c r="M617" s="18">
        <f t="shared" si="10"/>
        <v>0.65236020560431374</v>
      </c>
    </row>
    <row r="618" spans="1:13">
      <c r="A618" s="13" t="s">
        <v>5339</v>
      </c>
      <c r="B618" s="14" t="s">
        <v>5339</v>
      </c>
      <c r="C618" s="14" t="str">
        <f>HYPERLINK("http://uswest.ensembl.org/Homo_sapiens/Gene/Summary?g=ENSG00000184347","ENSG00000184347")</f>
        <v>ENSG00000184347</v>
      </c>
      <c r="D618" s="14" t="s">
        <v>5340</v>
      </c>
      <c r="E618" s="14" t="str">
        <f>HYPERLINK("http://www.ncbi.nlm.nih.gov/sites/entrez?db=gene&amp;cmd=Retrieve&amp;dopt=full_report&amp;list_uids=6586","6586")</f>
        <v>6586</v>
      </c>
      <c r="F618" s="24" t="s">
        <v>5341</v>
      </c>
      <c r="G618" s="24" t="s">
        <v>5338</v>
      </c>
      <c r="H618" s="14" t="s">
        <v>5374</v>
      </c>
      <c r="I618" s="14" t="s">
        <v>5375</v>
      </c>
      <c r="J618" s="15" t="s">
        <v>5376</v>
      </c>
      <c r="K618" s="16">
        <v>1132.925988</v>
      </c>
      <c r="L618" s="17">
        <v>739.21242700000005</v>
      </c>
      <c r="M618" s="18">
        <f t="shared" si="10"/>
        <v>0.65248077529315185</v>
      </c>
    </row>
    <row r="619" spans="1:13">
      <c r="A619" s="13" t="s">
        <v>5369</v>
      </c>
      <c r="B619" s="14" t="s">
        <v>5369</v>
      </c>
      <c r="C619" s="14" t="str">
        <f>HYPERLINK("http://uswest.ensembl.org/Homo_sapiens/Gene/Summary?g=","-")</f>
        <v>-</v>
      </c>
      <c r="D619" s="14" t="s">
        <v>5370</v>
      </c>
      <c r="E619" s="14" t="str">
        <f>HYPERLINK("http://www.ncbi.nlm.nih.gov/sites/entrez?db=gene&amp;cmd=Retrieve&amp;dopt=full_report&amp;list_uids=8675","8675")</f>
        <v>8675</v>
      </c>
      <c r="F619" s="24" t="s">
        <v>5371</v>
      </c>
      <c r="G619" s="24" t="s">
        <v>5372</v>
      </c>
      <c r="H619" s="14" t="s">
        <v>5373</v>
      </c>
      <c r="I619" s="14" t="s">
        <v>5337</v>
      </c>
      <c r="J619" s="15" t="s">
        <v>8691</v>
      </c>
      <c r="K619" s="16">
        <v>117.22906399999999</v>
      </c>
      <c r="L619" s="17">
        <v>76.510294000000002</v>
      </c>
      <c r="M619" s="18">
        <f t="shared" si="10"/>
        <v>0.65265635832424629</v>
      </c>
    </row>
    <row r="620" spans="1:13">
      <c r="A620" s="13" t="s">
        <v>5320</v>
      </c>
      <c r="B620" s="14" t="s">
        <v>5320</v>
      </c>
      <c r="C620" s="14" t="str">
        <f>HYPERLINK("http://uswest.ensembl.org/Homo_sapiens/Gene/Summary?g=","-")</f>
        <v>-</v>
      </c>
      <c r="D620" s="14" t="s">
        <v>8728</v>
      </c>
      <c r="E620" s="14" t="str">
        <f>HYPERLINK("http://www.ncbi.nlm.nih.gov/sites/entrez?db=gene&amp;cmd=Retrieve&amp;dopt=full_report&amp;list_uids=100129571","100129571")</f>
        <v>100129571</v>
      </c>
      <c r="F620" s="24" t="s">
        <v>8728</v>
      </c>
      <c r="G620" s="24" t="s">
        <v>8728</v>
      </c>
      <c r="H620" s="14" t="s">
        <v>8728</v>
      </c>
      <c r="I620" s="14" t="s">
        <v>8728</v>
      </c>
      <c r="J620" s="15" t="s">
        <v>8728</v>
      </c>
      <c r="K620" s="16">
        <v>265.93412699999999</v>
      </c>
      <c r="L620" s="17">
        <v>173.59752900000001</v>
      </c>
      <c r="M620" s="18">
        <f t="shared" si="10"/>
        <v>0.65278394675535578</v>
      </c>
    </row>
    <row r="621" spans="1:13">
      <c r="A621" s="13" t="s">
        <v>5321</v>
      </c>
      <c r="B621" s="14" t="s">
        <v>5321</v>
      </c>
      <c r="C621" s="14" t="str">
        <f>HYPERLINK("http://uswest.ensembl.org/Homo_sapiens/Gene/Summary?g=ENSG00000131446","ENSG00000131446")</f>
        <v>ENSG00000131446</v>
      </c>
      <c r="D621" s="14" t="s">
        <v>5322</v>
      </c>
      <c r="E621" s="14" t="str">
        <f>HYPERLINK("http://www.ncbi.nlm.nih.gov/sites/entrez?db=gene&amp;cmd=Retrieve&amp;dopt=full_report&amp;list_uids=","-")</f>
        <v>-</v>
      </c>
      <c r="F621" s="24" t="s">
        <v>5323</v>
      </c>
      <c r="G621" s="24" t="s">
        <v>5324</v>
      </c>
      <c r="H621" s="14" t="s">
        <v>7954</v>
      </c>
      <c r="I621" s="14" t="s">
        <v>5363</v>
      </c>
      <c r="J621" s="15" t="s">
        <v>5364</v>
      </c>
      <c r="K621" s="16">
        <v>96.789479999999998</v>
      </c>
      <c r="L621" s="17">
        <v>63.188566999999999</v>
      </c>
      <c r="M621" s="18">
        <f t="shared" si="10"/>
        <v>0.6528454022069341</v>
      </c>
    </row>
    <row r="622" spans="1:13">
      <c r="A622" s="13" t="s">
        <v>5365</v>
      </c>
      <c r="B622" s="14" t="s">
        <v>5365</v>
      </c>
      <c r="C622" s="14" t="str">
        <f>HYPERLINK("http://uswest.ensembl.org/Homo_sapiens/Gene/Summary?g=","-")</f>
        <v>-</v>
      </c>
      <c r="D622" s="14" t="s">
        <v>5366</v>
      </c>
      <c r="E622" s="14" t="str">
        <f>HYPERLINK("http://www.ncbi.nlm.nih.gov/sites/entrez?db=gene&amp;cmd=Retrieve&amp;dopt=full_report&amp;list_uids=214","214")</f>
        <v>214</v>
      </c>
      <c r="F622" s="24" t="s">
        <v>5367</v>
      </c>
      <c r="G622" s="24" t="s">
        <v>5377</v>
      </c>
      <c r="H622" s="14" t="s">
        <v>5378</v>
      </c>
      <c r="I622" s="14" t="s">
        <v>8494</v>
      </c>
      <c r="J622" s="15" t="s">
        <v>7988</v>
      </c>
      <c r="K622" s="16">
        <v>31.656734</v>
      </c>
      <c r="L622" s="17">
        <v>20.667752</v>
      </c>
      <c r="M622" s="18">
        <f t="shared" si="10"/>
        <v>0.65287063409636636</v>
      </c>
    </row>
    <row r="623" spans="1:13">
      <c r="A623" s="13" t="s">
        <v>5379</v>
      </c>
      <c r="B623" s="14" t="s">
        <v>5379</v>
      </c>
      <c r="C623" s="14" t="str">
        <f>HYPERLINK("http://uswest.ensembl.org/Homo_sapiens/Gene/Summary?g=ENSG00000169856","ENSG00000169856")</f>
        <v>ENSG00000169856</v>
      </c>
      <c r="D623" s="14" t="s">
        <v>5380</v>
      </c>
      <c r="E623" s="14" t="str">
        <f>HYPERLINK("http://www.ncbi.nlm.nih.gov/sites/entrez?db=gene&amp;cmd=Retrieve&amp;dopt=full_report&amp;list_uids=3175","3175")</f>
        <v>3175</v>
      </c>
      <c r="F623" s="24" t="s">
        <v>5381</v>
      </c>
      <c r="G623" s="24" t="s">
        <v>5368</v>
      </c>
      <c r="H623" s="19" t="s">
        <v>5344</v>
      </c>
      <c r="I623" s="14" t="s">
        <v>5345</v>
      </c>
      <c r="J623" s="15" t="s">
        <v>8558</v>
      </c>
      <c r="K623" s="16">
        <v>36.198019000000002</v>
      </c>
      <c r="L623" s="17">
        <v>23.632923999999999</v>
      </c>
      <c r="M623" s="18">
        <f t="shared" si="10"/>
        <v>0.65287893240787565</v>
      </c>
    </row>
    <row r="624" spans="1:13">
      <c r="A624" s="13" t="s">
        <v>5346</v>
      </c>
      <c r="B624" s="14" t="s">
        <v>5346</v>
      </c>
      <c r="C624" s="14" t="str">
        <f>HYPERLINK("http://uswest.ensembl.org/Homo_sapiens/Gene/Summary?g=","-")</f>
        <v>-</v>
      </c>
      <c r="D624" s="14" t="s">
        <v>5347</v>
      </c>
      <c r="E624" s="14" t="str">
        <f>HYPERLINK("http://www.ncbi.nlm.nih.gov/sites/entrez?db=gene&amp;cmd=Retrieve&amp;dopt=full_report&amp;list_uids=55599","55599")</f>
        <v>55599</v>
      </c>
      <c r="F624" s="24" t="s">
        <v>5348</v>
      </c>
      <c r="G624" s="24" t="s">
        <v>5349</v>
      </c>
      <c r="H624" s="14" t="s">
        <v>5350</v>
      </c>
      <c r="I624" s="14" t="s">
        <v>8147</v>
      </c>
      <c r="J624" s="15" t="s">
        <v>5351</v>
      </c>
      <c r="K624" s="16">
        <v>110.04585899999999</v>
      </c>
      <c r="L624" s="17">
        <v>71.852214000000004</v>
      </c>
      <c r="M624" s="18">
        <f t="shared" si="10"/>
        <v>0.65292973904633711</v>
      </c>
    </row>
    <row r="625" spans="1:13">
      <c r="A625" s="13" t="s">
        <v>5352</v>
      </c>
      <c r="B625" s="14" t="s">
        <v>5352</v>
      </c>
      <c r="C625" s="14" t="str">
        <f>HYPERLINK("http://uswest.ensembl.org/Homo_sapiens/Gene/Summary?g=ENSG00000137648","ENSG00000137648")</f>
        <v>ENSG00000137648</v>
      </c>
      <c r="D625" s="14" t="s">
        <v>5353</v>
      </c>
      <c r="E625" s="14" t="str">
        <f>HYPERLINK("http://www.ncbi.nlm.nih.gov/sites/entrez?db=gene&amp;cmd=Retrieve&amp;dopt=full_report&amp;list_uids=","-")</f>
        <v>-</v>
      </c>
      <c r="F625" s="24" t="s">
        <v>5354</v>
      </c>
      <c r="G625" s="24" t="s">
        <v>5355</v>
      </c>
      <c r="H625" s="14" t="s">
        <v>8623</v>
      </c>
      <c r="I625" s="14" t="s">
        <v>5356</v>
      </c>
      <c r="J625" s="15" t="s">
        <v>6414</v>
      </c>
      <c r="K625" s="16">
        <v>158.58854299999999</v>
      </c>
      <c r="L625" s="17">
        <v>103.58699900000001</v>
      </c>
      <c r="M625" s="18">
        <f t="shared" si="10"/>
        <v>0.65318084800110698</v>
      </c>
    </row>
    <row r="626" spans="1:13">
      <c r="A626" s="13" t="s">
        <v>5317</v>
      </c>
      <c r="B626" s="14" t="s">
        <v>5317</v>
      </c>
      <c r="C626" s="14" t="str">
        <f>HYPERLINK("http://uswest.ensembl.org/Homo_sapiens/Gene/Summary?g=ENSG00000153303","ENSG00000153303")</f>
        <v>ENSG00000153303</v>
      </c>
      <c r="D626" s="14" t="s">
        <v>5318</v>
      </c>
      <c r="E626" s="14" t="str">
        <f>HYPERLINK("http://www.ncbi.nlm.nih.gov/sites/entrez?db=gene&amp;cmd=Retrieve&amp;dopt=full_report&amp;list_uids=","-")</f>
        <v>-</v>
      </c>
      <c r="F626" s="24" t="s">
        <v>5319</v>
      </c>
      <c r="G626" s="24" t="s">
        <v>5299</v>
      </c>
      <c r="H626" s="14" t="s">
        <v>8728</v>
      </c>
      <c r="I626" s="14" t="s">
        <v>8383</v>
      </c>
      <c r="J626" s="15" t="s">
        <v>8317</v>
      </c>
      <c r="K626" s="16">
        <v>56.794597000000003</v>
      </c>
      <c r="L626" s="17">
        <v>37.098948999999998</v>
      </c>
      <c r="M626" s="18">
        <f t="shared" si="10"/>
        <v>0.65321264626633402</v>
      </c>
    </row>
    <row r="627" spans="1:13">
      <c r="A627" s="13" t="s">
        <v>5300</v>
      </c>
      <c r="B627" s="14" t="s">
        <v>5300</v>
      </c>
      <c r="C627" s="14" t="str">
        <f>HYPERLINK("http://uswest.ensembl.org/Homo_sapiens/Gene/Summary?g=ENSG00000138172","ENSG00000138172")</f>
        <v>ENSG00000138172</v>
      </c>
      <c r="D627" s="14" t="s">
        <v>5301</v>
      </c>
      <c r="E627" s="14" t="str">
        <f>HYPERLINK("http://www.ncbi.nlm.nih.gov/sites/entrez?db=gene&amp;cmd=Retrieve&amp;dopt=full_report&amp;list_uids=51063","51063")</f>
        <v>51063</v>
      </c>
      <c r="F627" s="24" t="s">
        <v>5302</v>
      </c>
      <c r="G627" s="24" t="s">
        <v>5303</v>
      </c>
      <c r="H627" s="14" t="s">
        <v>8728</v>
      </c>
      <c r="I627" s="14" t="s">
        <v>8728</v>
      </c>
      <c r="J627" s="15" t="s">
        <v>8698</v>
      </c>
      <c r="K627" s="16">
        <v>51.690600000000003</v>
      </c>
      <c r="L627" s="17">
        <v>33.772339000000002</v>
      </c>
      <c r="M627" s="18">
        <f t="shared" si="10"/>
        <v>0.65335552305448186</v>
      </c>
    </row>
    <row r="628" spans="1:13">
      <c r="A628" s="13" t="s">
        <v>5304</v>
      </c>
      <c r="B628" s="14" t="s">
        <v>5304</v>
      </c>
      <c r="C628" s="14" t="str">
        <f>HYPERLINK("http://uswest.ensembl.org/Homo_sapiens/Gene/Summary?g=ENSG00000160439","ENSG00000160439")</f>
        <v>ENSG00000160439</v>
      </c>
      <c r="D628" s="14" t="s">
        <v>5305</v>
      </c>
      <c r="E628" s="14" t="str">
        <f>HYPERLINK("http://www.ncbi.nlm.nih.gov/sites/entrez?db=gene&amp;cmd=Retrieve&amp;dopt=full_report&amp;list_uids=112724","112724")</f>
        <v>112724</v>
      </c>
      <c r="F628" s="24" t="s">
        <v>5306</v>
      </c>
      <c r="G628" s="24" t="s">
        <v>5307</v>
      </c>
      <c r="H628" s="14" t="s">
        <v>5308</v>
      </c>
      <c r="I628" s="14" t="s">
        <v>5309</v>
      </c>
      <c r="J628" s="15" t="s">
        <v>8728</v>
      </c>
      <c r="K628" s="16">
        <v>68.979802000000007</v>
      </c>
      <c r="L628" s="17">
        <v>45.069153</v>
      </c>
      <c r="M628" s="18">
        <f t="shared" si="10"/>
        <v>0.65336738716646359</v>
      </c>
    </row>
    <row r="629" spans="1:13">
      <c r="A629" s="13" t="s">
        <v>5310</v>
      </c>
      <c r="B629" s="14" t="s">
        <v>5310</v>
      </c>
      <c r="C629" s="14" t="str">
        <f>HYPERLINK("http://uswest.ensembl.org/Homo_sapiens/Gene/Summary?g=ENSG00000100393","ENSG00000100393")</f>
        <v>ENSG00000100393</v>
      </c>
      <c r="D629" s="14" t="s">
        <v>5311</v>
      </c>
      <c r="E629" s="14" t="str">
        <f>HYPERLINK("http://www.ncbi.nlm.nih.gov/sites/entrez?db=gene&amp;cmd=Retrieve&amp;dopt=full_report&amp;list_uids=2033","2033")</f>
        <v>2033</v>
      </c>
      <c r="F629" s="24" t="s">
        <v>5312</v>
      </c>
      <c r="G629" s="24" t="s">
        <v>5313</v>
      </c>
      <c r="H629" s="19" t="s">
        <v>5333</v>
      </c>
      <c r="I629" s="19" t="s">
        <v>5325</v>
      </c>
      <c r="J629" s="15" t="s">
        <v>5289</v>
      </c>
      <c r="K629" s="16">
        <v>48.026446</v>
      </c>
      <c r="L629" s="17">
        <v>31.389012999999998</v>
      </c>
      <c r="M629" s="18">
        <f t="shared" si="10"/>
        <v>0.65357767676583856</v>
      </c>
    </row>
    <row r="630" spans="1:13">
      <c r="A630" s="13" t="s">
        <v>5326</v>
      </c>
      <c r="B630" s="14" t="s">
        <v>5326</v>
      </c>
      <c r="C630" s="14" t="str">
        <f>HYPERLINK("http://uswest.ensembl.org/Homo_sapiens/Gene/Summary?g=ENSG00000136280","ENSG00000136280")</f>
        <v>ENSG00000136280</v>
      </c>
      <c r="D630" s="14" t="s">
        <v>5327</v>
      </c>
      <c r="E630" s="14" t="str">
        <f>HYPERLINK("http://www.ncbi.nlm.nih.gov/sites/entrez?db=gene&amp;cmd=Retrieve&amp;dopt=full_report&amp;list_uids=83605","83605")</f>
        <v>83605</v>
      </c>
      <c r="F630" s="24" t="s">
        <v>5328</v>
      </c>
      <c r="G630" s="24" t="s">
        <v>5329</v>
      </c>
      <c r="H630" s="14" t="s">
        <v>8728</v>
      </c>
      <c r="I630" s="14" t="s">
        <v>8728</v>
      </c>
      <c r="J630" s="15" t="s">
        <v>8728</v>
      </c>
      <c r="K630" s="16">
        <v>404.05334199999999</v>
      </c>
      <c r="L630" s="17">
        <v>264.13329700000003</v>
      </c>
      <c r="M630" s="18">
        <f t="shared" si="10"/>
        <v>0.6537089773656668</v>
      </c>
    </row>
    <row r="631" spans="1:13">
      <c r="A631" s="13" t="s">
        <v>5330</v>
      </c>
      <c r="B631" s="14" t="s">
        <v>5330</v>
      </c>
      <c r="C631" s="14" t="str">
        <f>HYPERLINK("http://uswest.ensembl.org/Homo_sapiens/Gene/Summary?g=ENSG00000163840","ENSG00000163840")</f>
        <v>ENSG00000163840</v>
      </c>
      <c r="D631" s="14" t="s">
        <v>5331</v>
      </c>
      <c r="E631" s="14" t="str">
        <f>HYPERLINK("http://www.ncbi.nlm.nih.gov/sites/entrez?db=gene&amp;cmd=Retrieve&amp;dopt=full_report&amp;list_uids=","-")</f>
        <v>-</v>
      </c>
      <c r="F631" s="24" t="s">
        <v>5332</v>
      </c>
      <c r="G631" s="24" t="s">
        <v>5298</v>
      </c>
      <c r="H631" s="14" t="s">
        <v>8728</v>
      </c>
      <c r="I631" s="14" t="s">
        <v>8728</v>
      </c>
      <c r="J631" s="15" t="s">
        <v>8728</v>
      </c>
      <c r="K631" s="16">
        <v>31.945674</v>
      </c>
      <c r="L631" s="17">
        <v>20.884924000000002</v>
      </c>
      <c r="M631" s="18">
        <f t="shared" si="10"/>
        <v>0.65376376156596361</v>
      </c>
    </row>
    <row r="632" spans="1:13">
      <c r="A632" s="13" t="s">
        <v>5296</v>
      </c>
      <c r="B632" s="14" t="s">
        <v>5296</v>
      </c>
      <c r="C632" s="14" t="str">
        <f>HYPERLINK("http://uswest.ensembl.org/Homo_sapiens/Gene/Summary?g=","-")</f>
        <v>-</v>
      </c>
      <c r="D632" s="14" t="s">
        <v>8728</v>
      </c>
      <c r="E632" s="14" t="str">
        <f>HYPERLINK("http://www.ncbi.nlm.nih.gov/sites/entrez?db=gene&amp;cmd=Retrieve&amp;dopt=full_report&amp;list_uids=100131504","100131504")</f>
        <v>100131504</v>
      </c>
      <c r="F632" s="24" t="s">
        <v>5297</v>
      </c>
      <c r="G632" s="24" t="s">
        <v>8728</v>
      </c>
      <c r="H632" s="14" t="s">
        <v>8728</v>
      </c>
      <c r="I632" s="14" t="s">
        <v>8728</v>
      </c>
      <c r="J632" s="15" t="s">
        <v>8728</v>
      </c>
      <c r="K632" s="16">
        <v>41.872568000000001</v>
      </c>
      <c r="L632" s="17">
        <v>27.375043999999999</v>
      </c>
      <c r="M632" s="18">
        <f t="shared" si="10"/>
        <v>0.65377036345131734</v>
      </c>
    </row>
    <row r="633" spans="1:13">
      <c r="A633" s="13" t="s">
        <v>5290</v>
      </c>
      <c r="B633" s="14" t="s">
        <v>5290</v>
      </c>
      <c r="C633" s="14" t="str">
        <f>HYPERLINK("http://uswest.ensembl.org/Homo_sapiens/Gene/Summary?g=ENSG00000198945","ENSG00000198945")</f>
        <v>ENSG00000198945</v>
      </c>
      <c r="D633" s="14" t="s">
        <v>5291</v>
      </c>
      <c r="E633" s="14" t="str">
        <f>HYPERLINK("http://www.ncbi.nlm.nih.gov/sites/entrez?db=gene&amp;cmd=Retrieve&amp;dopt=full_report&amp;list_uids=84456","84456")</f>
        <v>84456</v>
      </c>
      <c r="F633" s="24" t="s">
        <v>5292</v>
      </c>
      <c r="G633" s="24" t="s">
        <v>5293</v>
      </c>
      <c r="H633" s="14" t="s">
        <v>8490</v>
      </c>
      <c r="I633" s="14" t="s">
        <v>8728</v>
      </c>
      <c r="J633" s="15" t="s">
        <v>8558</v>
      </c>
      <c r="K633" s="16">
        <v>57.805990000000001</v>
      </c>
      <c r="L633" s="17">
        <v>37.842458000000001</v>
      </c>
      <c r="M633" s="18">
        <f t="shared" si="10"/>
        <v>0.65464596316056523</v>
      </c>
    </row>
    <row r="634" spans="1:13">
      <c r="A634" s="13" t="s">
        <v>5294</v>
      </c>
      <c r="B634" s="14" t="s">
        <v>5294</v>
      </c>
      <c r="C634" s="14" t="str">
        <f>HYPERLINK("http://uswest.ensembl.org/Homo_sapiens/Gene/Summary?g=ENSG00000064012","ENSG00000064012")</f>
        <v>ENSG00000064012</v>
      </c>
      <c r="D634" s="14" t="s">
        <v>5295</v>
      </c>
      <c r="E634" s="14" t="str">
        <f>HYPERLINK("http://www.ncbi.nlm.nih.gov/sites/entrez?db=gene&amp;cmd=Retrieve&amp;dopt=full_report&amp;list_uids=","-")</f>
        <v>-</v>
      </c>
      <c r="F634" s="24" t="s">
        <v>8708</v>
      </c>
      <c r="G634" s="25" t="s">
        <v>5285</v>
      </c>
      <c r="H634" s="14" t="s">
        <v>8664</v>
      </c>
      <c r="I634" s="14" t="s">
        <v>8665</v>
      </c>
      <c r="J634" s="15" t="s">
        <v>8728</v>
      </c>
      <c r="K634" s="16">
        <v>110.039883</v>
      </c>
      <c r="L634" s="17">
        <v>72.069565999999995</v>
      </c>
      <c r="M634" s="18">
        <f t="shared" si="10"/>
        <v>0.65494040919690899</v>
      </c>
    </row>
    <row r="635" spans="1:13">
      <c r="A635" s="13" t="s">
        <v>5315</v>
      </c>
      <c r="B635" s="14" t="s">
        <v>5315</v>
      </c>
      <c r="C635" s="14" t="str">
        <f>HYPERLINK("http://uswest.ensembl.org/Homo_sapiens/Gene/Summary?g=ENSG00000137413","ENSG00000137413")</f>
        <v>ENSG00000137413</v>
      </c>
      <c r="D635" s="14" t="s">
        <v>5316</v>
      </c>
      <c r="E635" s="14" t="str">
        <f>HYPERLINK("http://www.ncbi.nlm.nih.gov/sites/entrez?db=gene&amp;cmd=Retrieve&amp;dopt=full_report&amp;list_uids=129685","129685")</f>
        <v>129685</v>
      </c>
      <c r="F635" s="24" t="s">
        <v>5274</v>
      </c>
      <c r="G635" s="24" t="s">
        <v>5275</v>
      </c>
      <c r="H635" s="14" t="s">
        <v>5286</v>
      </c>
      <c r="I635" s="14" t="s">
        <v>5287</v>
      </c>
      <c r="J635" s="15" t="s">
        <v>5288</v>
      </c>
      <c r="K635" s="16">
        <v>33.241380999999997</v>
      </c>
      <c r="L635" s="17">
        <v>21.783162000000001</v>
      </c>
      <c r="M635" s="18">
        <f t="shared" si="10"/>
        <v>0.6553025579773597</v>
      </c>
    </row>
    <row r="636" spans="1:13">
      <c r="A636" s="13" t="s">
        <v>5277</v>
      </c>
      <c r="B636" s="14" t="s">
        <v>5277</v>
      </c>
      <c r="C636" s="14" t="str">
        <f>HYPERLINK("http://uswest.ensembl.org/Homo_sapiens/Gene/Summary?g=ENSG00000078674","ENSG00000078674")</f>
        <v>ENSG00000078674</v>
      </c>
      <c r="D636" s="14" t="s">
        <v>8728</v>
      </c>
      <c r="E636" s="14" t="str">
        <f>HYPERLINK("http://www.ncbi.nlm.nih.gov/sites/entrez?db=gene&amp;cmd=Retrieve&amp;dopt=full_report&amp;list_uids=5108","5108")</f>
        <v>5108</v>
      </c>
      <c r="F636" s="24" t="s">
        <v>5278</v>
      </c>
      <c r="G636" s="24" t="s">
        <v>5279</v>
      </c>
      <c r="H636" s="14" t="s">
        <v>5280</v>
      </c>
      <c r="I636" s="14" t="s">
        <v>5281</v>
      </c>
      <c r="J636" s="15" t="s">
        <v>5282</v>
      </c>
      <c r="K636" s="16">
        <v>59.889688999999997</v>
      </c>
      <c r="L636" s="17">
        <v>39.265740000000001</v>
      </c>
      <c r="M636" s="18">
        <f t="shared" si="10"/>
        <v>0.65563439476200991</v>
      </c>
    </row>
    <row r="637" spans="1:13">
      <c r="A637" s="13" t="s">
        <v>5283</v>
      </c>
      <c r="B637" s="14" t="s">
        <v>5283</v>
      </c>
      <c r="C637" s="14" t="str">
        <f>HYPERLINK("http://uswest.ensembl.org/Homo_sapiens/Gene/Summary?g=ENSG00000110367","ENSG00000110367")</f>
        <v>ENSG00000110367</v>
      </c>
      <c r="D637" s="14" t="s">
        <v>8728</v>
      </c>
      <c r="E637" s="14" t="str">
        <f>HYPERLINK("http://www.ncbi.nlm.nih.gov/sites/entrez?db=gene&amp;cmd=Retrieve&amp;dopt=full_report&amp;list_uids=1656","1656")</f>
        <v>1656</v>
      </c>
      <c r="F637" s="24" t="s">
        <v>5284</v>
      </c>
      <c r="G637" s="24" t="s">
        <v>5272</v>
      </c>
      <c r="H637" s="14" t="s">
        <v>8728</v>
      </c>
      <c r="I637" s="19" t="s">
        <v>5273</v>
      </c>
      <c r="J637" s="15" t="s">
        <v>5314</v>
      </c>
      <c r="K637" s="16">
        <v>37.135973</v>
      </c>
      <c r="L637" s="17">
        <v>24.348915000000002</v>
      </c>
      <c r="M637" s="18">
        <f t="shared" si="10"/>
        <v>0.65566923478751993</v>
      </c>
    </row>
    <row r="638" spans="1:13">
      <c r="A638" s="13" t="s">
        <v>5254</v>
      </c>
      <c r="B638" s="14" t="s">
        <v>5254</v>
      </c>
      <c r="C638" s="14" t="str">
        <f>HYPERLINK("http://uswest.ensembl.org/Homo_sapiens/Gene/Summary?g=ENSG00000204301","ENSG00000204301")</f>
        <v>ENSG00000204301</v>
      </c>
      <c r="D638" s="14" t="s">
        <v>5255</v>
      </c>
      <c r="E638" s="14" t="str">
        <f>HYPERLINK("http://www.ncbi.nlm.nih.gov/sites/entrez?db=gene&amp;cmd=Retrieve&amp;dopt=full_report&amp;list_uids=4855","4855")</f>
        <v>4855</v>
      </c>
      <c r="F638" s="24" t="s">
        <v>5256</v>
      </c>
      <c r="G638" s="24" t="s">
        <v>5257</v>
      </c>
      <c r="H638" s="19" t="s">
        <v>5276</v>
      </c>
      <c r="I638" s="14" t="s">
        <v>5258</v>
      </c>
      <c r="J638" s="20" t="s">
        <v>5259</v>
      </c>
      <c r="K638" s="16">
        <v>65.071167000000003</v>
      </c>
      <c r="L638" s="17">
        <v>42.668298999999998</v>
      </c>
      <c r="M638" s="18">
        <f t="shared" si="10"/>
        <v>0.65571743933837845</v>
      </c>
    </row>
    <row r="639" spans="1:13">
      <c r="A639" s="13" t="s">
        <v>5260</v>
      </c>
      <c r="B639" s="14" t="s">
        <v>5260</v>
      </c>
      <c r="C639" s="14" t="str">
        <f>HYPERLINK("http://uswest.ensembl.org/Homo_sapiens/Gene/Summary?g=ENSG00000136161","ENSG00000136161")</f>
        <v>ENSG00000136161</v>
      </c>
      <c r="D639" s="14" t="s">
        <v>5261</v>
      </c>
      <c r="E639" s="14" t="str">
        <f>HYPERLINK("http://www.ncbi.nlm.nih.gov/sites/entrez?db=gene&amp;cmd=Retrieve&amp;dopt=full_report&amp;list_uids=1102","1102")</f>
        <v>1102</v>
      </c>
      <c r="F639" s="24" t="s">
        <v>5262</v>
      </c>
      <c r="G639" s="24" t="s">
        <v>5246</v>
      </c>
      <c r="H639" s="14" t="s">
        <v>8728</v>
      </c>
      <c r="I639" s="14" t="s">
        <v>5247</v>
      </c>
      <c r="J639" s="15" t="s">
        <v>8728</v>
      </c>
      <c r="K639" s="16">
        <v>122.6223</v>
      </c>
      <c r="L639" s="17">
        <v>80.420175</v>
      </c>
      <c r="M639" s="18">
        <f t="shared" si="10"/>
        <v>0.65583645878441366</v>
      </c>
    </row>
    <row r="640" spans="1:13">
      <c r="A640" s="13" t="s">
        <v>5248</v>
      </c>
      <c r="B640" s="14" t="s">
        <v>5248</v>
      </c>
      <c r="C640" s="14" t="str">
        <f>HYPERLINK("http://uswest.ensembl.org/Homo_sapiens/Gene/Summary?g=ENSG00000109466","ENSG00000109466")</f>
        <v>ENSG00000109466</v>
      </c>
      <c r="D640" s="14" t="s">
        <v>5249</v>
      </c>
      <c r="E640" s="14" t="str">
        <f>HYPERLINK("http://www.ncbi.nlm.nih.gov/sites/entrez?db=gene&amp;cmd=Retrieve&amp;dopt=full_report&amp;list_uids=11275","11275")</f>
        <v>11275</v>
      </c>
      <c r="F640" s="24" t="s">
        <v>5250</v>
      </c>
      <c r="G640" s="24" t="s">
        <v>5251</v>
      </c>
      <c r="H640" s="14" t="s">
        <v>8574</v>
      </c>
      <c r="I640" s="14" t="s">
        <v>5252</v>
      </c>
      <c r="J640" s="15" t="s">
        <v>7287</v>
      </c>
      <c r="K640" s="16">
        <v>105.538793</v>
      </c>
      <c r="L640" s="17">
        <v>69.218767999999997</v>
      </c>
      <c r="M640" s="18">
        <f t="shared" si="10"/>
        <v>0.65586090225610216</v>
      </c>
    </row>
    <row r="641" spans="1:13">
      <c r="A641" s="13" t="s">
        <v>5263</v>
      </c>
      <c r="B641" s="14" t="s">
        <v>5263</v>
      </c>
      <c r="C641" s="14" t="str">
        <f>HYPERLINK("http://uswest.ensembl.org/Homo_sapiens/Gene/Summary?g=ENSG00000165898","ENSG00000165898")</f>
        <v>ENSG00000165898</v>
      </c>
      <c r="D641" s="14" t="s">
        <v>5264</v>
      </c>
      <c r="E641" s="14" t="str">
        <f>HYPERLINK("http://www.ncbi.nlm.nih.gov/sites/entrez?db=gene&amp;cmd=Retrieve&amp;dopt=full_report&amp;list_uids=122961","122961")</f>
        <v>122961</v>
      </c>
      <c r="F641" s="24" t="s">
        <v>5265</v>
      </c>
      <c r="G641" s="24" t="s">
        <v>5266</v>
      </c>
      <c r="H641" s="14" t="s">
        <v>5267</v>
      </c>
      <c r="I641" s="14" t="s">
        <v>5268</v>
      </c>
      <c r="J641" s="15" t="s">
        <v>8639</v>
      </c>
      <c r="K641" s="16">
        <v>512.54893000000004</v>
      </c>
      <c r="L641" s="17">
        <v>336.27603499999998</v>
      </c>
      <c r="M641" s="18">
        <f t="shared" si="10"/>
        <v>0.65608572239142116</v>
      </c>
    </row>
    <row r="642" spans="1:13">
      <c r="A642" s="13" t="s">
        <v>5269</v>
      </c>
      <c r="B642" s="14" t="s">
        <v>5269</v>
      </c>
      <c r="C642" s="14" t="str">
        <f>HYPERLINK("http://uswest.ensembl.org/Homo_sapiens/Gene/Summary?g=ENSG00000106799","ENSG00000106799")</f>
        <v>ENSG00000106799</v>
      </c>
      <c r="D642" s="14" t="s">
        <v>5270</v>
      </c>
      <c r="E642" s="14" t="str">
        <f>HYPERLINK("http://www.ncbi.nlm.nih.gov/sites/entrez?db=gene&amp;cmd=Retrieve&amp;dopt=full_report&amp;list_uids=7046","7046")</f>
        <v>7046</v>
      </c>
      <c r="F642" s="24" t="s">
        <v>5271</v>
      </c>
      <c r="G642" s="25" t="s">
        <v>5253</v>
      </c>
      <c r="H642" s="19" t="s">
        <v>5245</v>
      </c>
      <c r="I642" s="19" t="s">
        <v>5233</v>
      </c>
      <c r="J642" s="15" t="s">
        <v>5234</v>
      </c>
      <c r="K642" s="16">
        <v>53.228020000000001</v>
      </c>
      <c r="L642" s="17">
        <v>34.924588</v>
      </c>
      <c r="M642" s="18">
        <f t="shared" ref="M642:M705" si="11">L642/K642</f>
        <v>0.65613163893753701</v>
      </c>
    </row>
    <row r="643" spans="1:13">
      <c r="A643" s="13" t="s">
        <v>5235</v>
      </c>
      <c r="B643" s="14" t="s">
        <v>5235</v>
      </c>
      <c r="C643" s="14" t="str">
        <f>HYPERLINK("http://uswest.ensembl.org/Homo_sapiens/Gene/Summary?g=ENSG00000159450","ENSG00000159450")</f>
        <v>ENSG00000159450</v>
      </c>
      <c r="D643" s="14" t="s">
        <v>5236</v>
      </c>
      <c r="E643" s="14" t="str">
        <f>HYPERLINK("http://www.ncbi.nlm.nih.gov/sites/entrez?db=gene&amp;cmd=Retrieve&amp;dopt=full_report&amp;list_uids=7062","7062")</f>
        <v>7062</v>
      </c>
      <c r="F643" s="24" t="s">
        <v>5206</v>
      </c>
      <c r="G643" s="24" t="s">
        <v>5207</v>
      </c>
      <c r="H643" s="14" t="s">
        <v>5237</v>
      </c>
      <c r="I643" s="14" t="s">
        <v>5238</v>
      </c>
      <c r="J643" s="15" t="s">
        <v>5239</v>
      </c>
      <c r="K643" s="16">
        <v>38.315336000000002</v>
      </c>
      <c r="L643" s="17">
        <v>25.144518000000001</v>
      </c>
      <c r="M643" s="18">
        <f t="shared" si="11"/>
        <v>0.65625205531278652</v>
      </c>
    </row>
    <row r="644" spans="1:13">
      <c r="A644" s="13" t="s">
        <v>5240</v>
      </c>
      <c r="B644" s="14" t="s">
        <v>5240</v>
      </c>
      <c r="C644" s="14" t="str">
        <f>HYPERLINK("http://uswest.ensembl.org/Homo_sapiens/Gene/Summary?g=ENSG00000154269","ENSG00000154269")</f>
        <v>ENSG00000154269</v>
      </c>
      <c r="D644" s="14" t="s">
        <v>5241</v>
      </c>
      <c r="E644" s="14" t="str">
        <f>HYPERLINK("http://www.ncbi.nlm.nih.gov/sites/entrez?db=gene&amp;cmd=Retrieve&amp;dopt=full_report&amp;list_uids=5169","5169")</f>
        <v>5169</v>
      </c>
      <c r="F644" s="24" t="s">
        <v>5242</v>
      </c>
      <c r="G644" s="25" t="s">
        <v>5243</v>
      </c>
      <c r="H644" s="14" t="s">
        <v>5244</v>
      </c>
      <c r="I644" s="19" t="s">
        <v>5217</v>
      </c>
      <c r="J644" s="15" t="s">
        <v>5218</v>
      </c>
      <c r="K644" s="16">
        <v>397.89191699999998</v>
      </c>
      <c r="L644" s="17">
        <v>261.13872400000002</v>
      </c>
      <c r="M644" s="18">
        <f t="shared" si="11"/>
        <v>0.65630567710175436</v>
      </c>
    </row>
    <row r="645" spans="1:13">
      <c r="A645" s="13" t="s">
        <v>5219</v>
      </c>
      <c r="B645" s="14" t="s">
        <v>5219</v>
      </c>
      <c r="C645" s="14" t="str">
        <f>HYPERLINK("http://uswest.ensembl.org/Homo_sapiens/Gene/Summary?g=ENSG00000120253","ENSG00000120253")</f>
        <v>ENSG00000120253</v>
      </c>
      <c r="D645" s="14" t="s">
        <v>5220</v>
      </c>
      <c r="E645" s="14" t="str">
        <f>HYPERLINK("http://www.ncbi.nlm.nih.gov/sites/entrez?db=gene&amp;cmd=Retrieve&amp;dopt=full_report&amp;list_uids=348995","348995")</f>
        <v>348995</v>
      </c>
      <c r="F645" s="24" t="s">
        <v>5221</v>
      </c>
      <c r="G645" s="24" t="s">
        <v>5222</v>
      </c>
      <c r="H645" s="14" t="s">
        <v>5223</v>
      </c>
      <c r="I645" s="14" t="s">
        <v>8728</v>
      </c>
      <c r="J645" s="15" t="s">
        <v>5224</v>
      </c>
      <c r="K645" s="16">
        <v>280.71770199999997</v>
      </c>
      <c r="L645" s="17">
        <v>184.24975699999999</v>
      </c>
      <c r="M645" s="18">
        <f t="shared" si="11"/>
        <v>0.65635246971350603</v>
      </c>
    </row>
    <row r="646" spans="1:13">
      <c r="A646" s="13" t="s">
        <v>5225</v>
      </c>
      <c r="B646" s="14" t="s">
        <v>5225</v>
      </c>
      <c r="C646" s="14" t="str">
        <f>HYPERLINK("http://uswest.ensembl.org/Homo_sapiens/Gene/Summary?g=ENSG00000116350","ENSG00000116350")</f>
        <v>ENSG00000116350</v>
      </c>
      <c r="D646" s="14" t="s">
        <v>5226</v>
      </c>
      <c r="E646" s="14" t="str">
        <f>HYPERLINK("http://www.ncbi.nlm.nih.gov/sites/entrez?db=gene&amp;cmd=Retrieve&amp;dopt=full_report&amp;list_uids=6429","6429")</f>
        <v>6429</v>
      </c>
      <c r="F646" s="24" t="s">
        <v>5227</v>
      </c>
      <c r="G646" s="24" t="s">
        <v>5228</v>
      </c>
      <c r="H646" s="14" t="s">
        <v>5229</v>
      </c>
      <c r="I646" s="14" t="s">
        <v>5232</v>
      </c>
      <c r="J646" s="15" t="s">
        <v>5189</v>
      </c>
      <c r="K646" s="16">
        <v>397.38526200000001</v>
      </c>
      <c r="L646" s="17">
        <v>260.826324</v>
      </c>
      <c r="M646" s="18">
        <f t="shared" si="11"/>
        <v>0.65635630945971013</v>
      </c>
    </row>
    <row r="647" spans="1:13">
      <c r="A647" s="13" t="s">
        <v>5190</v>
      </c>
      <c r="B647" s="14" t="s">
        <v>5190</v>
      </c>
      <c r="C647" s="14" t="str">
        <f>HYPERLINK("http://uswest.ensembl.org/Homo_sapiens/Gene/Summary?g=ENSG00000147439","ENSG00000147439")</f>
        <v>ENSG00000147439</v>
      </c>
      <c r="D647" s="14" t="s">
        <v>8728</v>
      </c>
      <c r="E647" s="14" t="str">
        <f>HYPERLINK("http://www.ncbi.nlm.nih.gov/sites/entrez?db=gene&amp;cmd=Retrieve&amp;dopt=full_report&amp;list_uids=","-")</f>
        <v>-</v>
      </c>
      <c r="F647" s="24" t="s">
        <v>5191</v>
      </c>
      <c r="G647" s="24" t="s">
        <v>5192</v>
      </c>
      <c r="H647" s="14" t="s">
        <v>8728</v>
      </c>
      <c r="I647" s="14" t="s">
        <v>8665</v>
      </c>
      <c r="J647" s="15" t="s">
        <v>8619</v>
      </c>
      <c r="K647" s="16">
        <v>177.909963</v>
      </c>
      <c r="L647" s="17">
        <v>116.77692399999999</v>
      </c>
      <c r="M647" s="18">
        <f t="shared" si="11"/>
        <v>0.65638214988555754</v>
      </c>
    </row>
    <row r="648" spans="1:13">
      <c r="A648" s="13" t="s">
        <v>5193</v>
      </c>
      <c r="B648" s="14" t="s">
        <v>5193</v>
      </c>
      <c r="C648" s="14" t="str">
        <f>HYPERLINK("http://uswest.ensembl.org/Homo_sapiens/Gene/Summary?g=","-")</f>
        <v>-</v>
      </c>
      <c r="D648" s="14" t="s">
        <v>5194</v>
      </c>
      <c r="E648" s="14" t="str">
        <f>HYPERLINK("http://www.ncbi.nlm.nih.gov/sites/entrez?db=gene&amp;cmd=Retrieve&amp;dopt=full_report&amp;list_uids=5409","5409")</f>
        <v>5409</v>
      </c>
      <c r="F648" s="24" t="s">
        <v>6167</v>
      </c>
      <c r="G648" s="24" t="s">
        <v>6168</v>
      </c>
      <c r="H648" s="14" t="s">
        <v>5195</v>
      </c>
      <c r="I648" s="14" t="s">
        <v>5196</v>
      </c>
      <c r="J648" s="15" t="s">
        <v>8728</v>
      </c>
      <c r="K648" s="16">
        <v>63.571260000000002</v>
      </c>
      <c r="L648" s="17">
        <v>41.727566000000003</v>
      </c>
      <c r="M648" s="18">
        <f t="shared" si="11"/>
        <v>0.65639041919257224</v>
      </c>
    </row>
    <row r="649" spans="1:13">
      <c r="A649" s="13" t="s">
        <v>5197</v>
      </c>
      <c r="B649" s="14" t="s">
        <v>5197</v>
      </c>
      <c r="C649" s="14" t="str">
        <f>HYPERLINK("http://uswest.ensembl.org/Homo_sapiens/Gene/Summary?g=ENSG00000166145","ENSG00000166145")</f>
        <v>ENSG00000166145</v>
      </c>
      <c r="D649" s="14" t="s">
        <v>5198</v>
      </c>
      <c r="E649" s="14" t="str">
        <f>HYPERLINK("http://www.ncbi.nlm.nih.gov/sites/entrez?db=gene&amp;cmd=Retrieve&amp;dopt=full_report&amp;list_uids=6692","6692")</f>
        <v>6692</v>
      </c>
      <c r="F649" s="24" t="s">
        <v>5199</v>
      </c>
      <c r="G649" s="24" t="s">
        <v>5200</v>
      </c>
      <c r="H649" s="14" t="s">
        <v>5201</v>
      </c>
      <c r="I649" s="14" t="s">
        <v>5202</v>
      </c>
      <c r="J649" s="15" t="s">
        <v>5203</v>
      </c>
      <c r="K649" s="16">
        <v>38.650378000000003</v>
      </c>
      <c r="L649" s="17">
        <v>25.371189999999999</v>
      </c>
      <c r="M649" s="18">
        <f t="shared" si="11"/>
        <v>0.65642799146750896</v>
      </c>
    </row>
    <row r="650" spans="1:13">
      <c r="A650" s="13" t="s">
        <v>5204</v>
      </c>
      <c r="B650" s="14" t="s">
        <v>5204</v>
      </c>
      <c r="C650" s="14" t="str">
        <f>HYPERLINK("http://uswest.ensembl.org/Homo_sapiens/Gene/Summary?g=ENSG00000187983","ENSG00000187983")</f>
        <v>ENSG00000187983</v>
      </c>
      <c r="D650" s="14" t="s">
        <v>8728</v>
      </c>
      <c r="E650" s="14" t="str">
        <f>HYPERLINK("http://www.ncbi.nlm.nih.gov/sites/entrez?db=gene&amp;cmd=Retrieve&amp;dopt=full_report&amp;list_uids=","-")</f>
        <v>-</v>
      </c>
      <c r="F650" s="24" t="s">
        <v>5205</v>
      </c>
      <c r="G650" s="24" t="s">
        <v>8728</v>
      </c>
      <c r="H650" s="14" t="s">
        <v>8728</v>
      </c>
      <c r="I650" s="14" t="s">
        <v>8728</v>
      </c>
      <c r="J650" s="15" t="s">
        <v>8728</v>
      </c>
      <c r="K650" s="16">
        <v>3087.9935700000001</v>
      </c>
      <c r="L650" s="17">
        <v>2027.663757</v>
      </c>
      <c r="M650" s="18">
        <f t="shared" si="11"/>
        <v>0.65662823158015837</v>
      </c>
    </row>
    <row r="651" spans="1:13">
      <c r="A651" s="13" t="s">
        <v>5164</v>
      </c>
      <c r="B651" s="14" t="s">
        <v>5164</v>
      </c>
      <c r="C651" s="14" t="str">
        <f>HYPERLINK("http://uswest.ensembl.org/Homo_sapiens/Gene/Summary?g=","-")</f>
        <v>-</v>
      </c>
      <c r="D651" s="14" t="s">
        <v>5165</v>
      </c>
      <c r="E651" s="14" t="str">
        <f>HYPERLINK("http://www.ncbi.nlm.nih.gov/sites/entrez?db=gene&amp;cmd=Retrieve&amp;dopt=full_report&amp;list_uids=116143","116143")</f>
        <v>116143</v>
      </c>
      <c r="F651" s="24" t="s">
        <v>6284</v>
      </c>
      <c r="G651" s="24" t="s">
        <v>6275</v>
      </c>
      <c r="H651" s="14" t="s">
        <v>5166</v>
      </c>
      <c r="I651" s="14" t="s">
        <v>5167</v>
      </c>
      <c r="J651" s="15" t="s">
        <v>8619</v>
      </c>
      <c r="K651" s="16">
        <v>35.970050999999998</v>
      </c>
      <c r="L651" s="17">
        <v>23.625533999999998</v>
      </c>
      <c r="M651" s="18">
        <f t="shared" si="11"/>
        <v>0.65681124555536496</v>
      </c>
    </row>
    <row r="652" spans="1:13">
      <c r="A652" s="13" t="s">
        <v>5168</v>
      </c>
      <c r="B652" s="14" t="s">
        <v>5168</v>
      </c>
      <c r="C652" s="14" t="str">
        <f>HYPERLINK("http://uswest.ensembl.org/Homo_sapiens/Gene/Summary?g=","-")</f>
        <v>-</v>
      </c>
      <c r="D652" s="14" t="s">
        <v>5169</v>
      </c>
      <c r="E652" s="14" t="str">
        <f>HYPERLINK("http://www.ncbi.nlm.nih.gov/sites/entrez?db=gene&amp;cmd=Retrieve&amp;dopt=full_report&amp;list_uids=22","22")</f>
        <v>22</v>
      </c>
      <c r="F652" s="24" t="s">
        <v>5170</v>
      </c>
      <c r="G652" s="24" t="s">
        <v>5171</v>
      </c>
      <c r="H652" s="14" t="s">
        <v>8734</v>
      </c>
      <c r="I652" s="14" t="s">
        <v>5172</v>
      </c>
      <c r="J652" s="15" t="s">
        <v>8669</v>
      </c>
      <c r="K652" s="16">
        <v>158.994711</v>
      </c>
      <c r="L652" s="17">
        <v>104.43822900000001</v>
      </c>
      <c r="M652" s="18">
        <f t="shared" si="11"/>
        <v>0.65686605763886075</v>
      </c>
    </row>
    <row r="653" spans="1:13">
      <c r="A653" s="13" t="s">
        <v>5173</v>
      </c>
      <c r="B653" s="14" t="s">
        <v>5173</v>
      </c>
      <c r="C653" s="14" t="str">
        <f>HYPERLINK("http://uswest.ensembl.org/Homo_sapiens/Gene/Summary?g=ENSG00000186350","ENSG00000186350")</f>
        <v>ENSG00000186350</v>
      </c>
      <c r="D653" s="14" t="s">
        <v>5174</v>
      </c>
      <c r="E653" s="14" t="str">
        <f>HYPERLINK("http://www.ncbi.nlm.nih.gov/sites/entrez?db=gene&amp;cmd=Retrieve&amp;dopt=full_report&amp;list_uids=6256","6256")</f>
        <v>6256</v>
      </c>
      <c r="F653" s="24" t="s">
        <v>5175</v>
      </c>
      <c r="G653" s="24" t="s">
        <v>5230</v>
      </c>
      <c r="H653" s="19" t="s">
        <v>5231</v>
      </c>
      <c r="I653" s="19" t="s">
        <v>5213</v>
      </c>
      <c r="J653" s="15" t="s">
        <v>8558</v>
      </c>
      <c r="K653" s="16">
        <v>40.314824999999999</v>
      </c>
      <c r="L653" s="17">
        <v>26.482904999999999</v>
      </c>
      <c r="M653" s="18">
        <f t="shared" si="11"/>
        <v>0.65690239260619387</v>
      </c>
    </row>
    <row r="654" spans="1:13">
      <c r="A654" s="13" t="s">
        <v>5214</v>
      </c>
      <c r="B654" s="14" t="s">
        <v>5214</v>
      </c>
      <c r="C654" s="14" t="str">
        <f>HYPERLINK("http://uswest.ensembl.org/Homo_sapiens/Gene/Summary?g=ENSG00000113312","ENSG00000113312")</f>
        <v>ENSG00000113312</v>
      </c>
      <c r="D654" s="14" t="s">
        <v>5215</v>
      </c>
      <c r="E654" s="14" t="str">
        <f>HYPERLINK("http://www.ncbi.nlm.nih.gov/sites/entrez?db=gene&amp;cmd=Retrieve&amp;dopt=full_report&amp;list_uids=7265","7265")</f>
        <v>7265</v>
      </c>
      <c r="F654" s="24" t="s">
        <v>5216</v>
      </c>
      <c r="G654" s="24" t="s">
        <v>5159</v>
      </c>
      <c r="H654" s="14" t="s">
        <v>8671</v>
      </c>
      <c r="I654" s="14" t="s">
        <v>5160</v>
      </c>
      <c r="J654" s="15" t="s">
        <v>8728</v>
      </c>
      <c r="K654" s="16">
        <v>321.346721</v>
      </c>
      <c r="L654" s="17">
        <v>211.097486</v>
      </c>
      <c r="M654" s="18">
        <f t="shared" si="11"/>
        <v>0.65691501485711445</v>
      </c>
    </row>
    <row r="655" spans="1:13">
      <c r="A655" s="13" t="s">
        <v>5161</v>
      </c>
      <c r="B655" s="14" t="s">
        <v>5161</v>
      </c>
      <c r="C655" s="14" t="str">
        <f>HYPERLINK("http://uswest.ensembl.org/Homo_sapiens/Gene/Summary?g=ENSG00000181031","ENSG00000181031")</f>
        <v>ENSG00000181031</v>
      </c>
      <c r="D655" s="14" t="s">
        <v>5162</v>
      </c>
      <c r="E655" s="14" t="str">
        <f>HYPERLINK("http://www.ncbi.nlm.nih.gov/sites/entrez?db=gene&amp;cmd=Retrieve&amp;dopt=full_report&amp;list_uids=9501","9501")</f>
        <v>9501</v>
      </c>
      <c r="F655" s="24" t="s">
        <v>5163</v>
      </c>
      <c r="G655" s="24" t="s">
        <v>5187</v>
      </c>
      <c r="H655" s="14" t="s">
        <v>5188</v>
      </c>
      <c r="I655" s="14" t="s">
        <v>5132</v>
      </c>
      <c r="J655" s="15" t="s">
        <v>5133</v>
      </c>
      <c r="K655" s="16">
        <v>43.49689</v>
      </c>
      <c r="L655" s="17">
        <v>28.579583</v>
      </c>
      <c r="M655" s="18">
        <f t="shared" si="11"/>
        <v>0.65704888326498745</v>
      </c>
    </row>
    <row r="656" spans="1:13">
      <c r="A656" s="13" t="s">
        <v>5134</v>
      </c>
      <c r="B656" s="14" t="s">
        <v>5134</v>
      </c>
      <c r="C656" s="14" t="str">
        <f>HYPERLINK("http://uswest.ensembl.org/Homo_sapiens/Gene/Summary?g=ENSG00000130560","ENSG00000130560")</f>
        <v>ENSG00000130560</v>
      </c>
      <c r="D656" s="14" t="s">
        <v>5135</v>
      </c>
      <c r="E656" s="14" t="str">
        <f>HYPERLINK("http://www.ncbi.nlm.nih.gov/sites/entrez?db=gene&amp;cmd=Retrieve&amp;dopt=full_report&amp;list_uids=10422","10422")</f>
        <v>10422</v>
      </c>
      <c r="F656" s="24" t="s">
        <v>5136</v>
      </c>
      <c r="G656" s="25" t="s">
        <v>5137</v>
      </c>
      <c r="H656" s="14" t="s">
        <v>8600</v>
      </c>
      <c r="I656" s="14" t="s">
        <v>8665</v>
      </c>
      <c r="J656" s="15" t="s">
        <v>8619</v>
      </c>
      <c r="K656" s="16">
        <v>142.74410399999999</v>
      </c>
      <c r="L656" s="17">
        <v>93.796121999999997</v>
      </c>
      <c r="M656" s="18">
        <f t="shared" si="11"/>
        <v>0.65709279312860447</v>
      </c>
    </row>
    <row r="657" spans="1:13">
      <c r="A657" s="13" t="s">
        <v>5138</v>
      </c>
      <c r="B657" s="14" t="s">
        <v>5138</v>
      </c>
      <c r="C657" s="14" t="str">
        <f>HYPERLINK("http://uswest.ensembl.org/Homo_sapiens/Gene/Summary?g=ENSG00000059378","ENSG00000059378")</f>
        <v>ENSG00000059378</v>
      </c>
      <c r="D657" s="14" t="s">
        <v>5139</v>
      </c>
      <c r="E657" s="14" t="str">
        <f>HYPERLINK("http://www.ncbi.nlm.nih.gov/sites/entrez?db=gene&amp;cmd=Retrieve&amp;dopt=full_report&amp;list_uids=64761","64761")</f>
        <v>64761</v>
      </c>
      <c r="F657" s="24" t="s">
        <v>5140</v>
      </c>
      <c r="G657" s="24" t="s">
        <v>5141</v>
      </c>
      <c r="H657" s="14" t="s">
        <v>8728</v>
      </c>
      <c r="I657" s="14" t="s">
        <v>5142</v>
      </c>
      <c r="J657" s="15" t="s">
        <v>8558</v>
      </c>
      <c r="K657" s="16">
        <v>43.465060000000001</v>
      </c>
      <c r="L657" s="17">
        <v>28.565733999999999</v>
      </c>
      <c r="M657" s="18">
        <f t="shared" si="11"/>
        <v>0.65721142453271664</v>
      </c>
    </row>
    <row r="658" spans="1:13">
      <c r="A658" s="13" t="s">
        <v>5143</v>
      </c>
      <c r="B658" s="14" t="s">
        <v>5143</v>
      </c>
      <c r="C658" s="14" t="str">
        <f>HYPERLINK("http://uswest.ensembl.org/Homo_sapiens/Gene/Summary?g=ENSG00000102317","ENSG00000102317")</f>
        <v>ENSG00000102317</v>
      </c>
      <c r="D658" s="14" t="s">
        <v>5144</v>
      </c>
      <c r="E658" s="14" t="str">
        <f>HYPERLINK("http://www.ncbi.nlm.nih.gov/sites/entrez?db=gene&amp;cmd=Retrieve&amp;dopt=full_report&amp;list_uids=5935","5935")</f>
        <v>5935</v>
      </c>
      <c r="F658" s="24" t="s">
        <v>5145</v>
      </c>
      <c r="G658" s="24" t="s">
        <v>5208</v>
      </c>
      <c r="H658" s="14" t="s">
        <v>5124</v>
      </c>
      <c r="I658" s="14" t="s">
        <v>5209</v>
      </c>
      <c r="J658" s="15" t="s">
        <v>8728</v>
      </c>
      <c r="K658" s="16">
        <v>2236.4282859999998</v>
      </c>
      <c r="L658" s="17">
        <v>1470.2547549999999</v>
      </c>
      <c r="M658" s="18">
        <f t="shared" si="11"/>
        <v>0.65741198329665551</v>
      </c>
    </row>
    <row r="659" spans="1:13">
      <c r="A659" s="13" t="s">
        <v>5210</v>
      </c>
      <c r="B659" s="14" t="s">
        <v>5210</v>
      </c>
      <c r="C659" s="14" t="str">
        <f>HYPERLINK("http://uswest.ensembl.org/Homo_sapiens/Gene/Summary?g=ENSG00000111877","ENSG00000111877")</f>
        <v>ENSG00000111877</v>
      </c>
      <c r="D659" s="14" t="s">
        <v>5211</v>
      </c>
      <c r="E659" s="14" t="str">
        <f>HYPERLINK("http://www.ncbi.nlm.nih.gov/sites/entrez?db=gene&amp;cmd=Retrieve&amp;dopt=full_report&amp;list_uids=254394","254394")</f>
        <v>254394</v>
      </c>
      <c r="F659" s="24" t="s">
        <v>5212</v>
      </c>
      <c r="G659" s="24" t="s">
        <v>5126</v>
      </c>
      <c r="H659" s="14" t="s">
        <v>8728</v>
      </c>
      <c r="I659" s="14" t="s">
        <v>5176</v>
      </c>
      <c r="J659" s="15" t="s">
        <v>8728</v>
      </c>
      <c r="K659" s="16">
        <v>43.612557000000002</v>
      </c>
      <c r="L659" s="17">
        <v>28.676576000000001</v>
      </c>
      <c r="M659" s="18">
        <f t="shared" si="11"/>
        <v>0.65753026129607584</v>
      </c>
    </row>
    <row r="660" spans="1:13">
      <c r="A660" s="13" t="s">
        <v>5177</v>
      </c>
      <c r="B660" s="14" t="s">
        <v>5177</v>
      </c>
      <c r="C660" s="14" t="str">
        <f>HYPERLINK("http://uswest.ensembl.org/Homo_sapiens/Gene/Summary?g=ENSG00000151366","ENSG00000151366")</f>
        <v>ENSG00000151366</v>
      </c>
      <c r="D660" s="14" t="s">
        <v>5178</v>
      </c>
      <c r="E660" s="14" t="str">
        <f>HYPERLINK("http://www.ncbi.nlm.nih.gov/sites/entrez?db=gene&amp;cmd=Retrieve&amp;dopt=full_report&amp;list_uids=4718","4718")</f>
        <v>4718</v>
      </c>
      <c r="F660" s="24" t="s">
        <v>5179</v>
      </c>
      <c r="G660" s="24" t="s">
        <v>5180</v>
      </c>
      <c r="H660" s="14" t="s">
        <v>7349</v>
      </c>
      <c r="I660" s="14" t="s">
        <v>8433</v>
      </c>
      <c r="J660" s="15" t="s">
        <v>5181</v>
      </c>
      <c r="K660" s="16">
        <v>99.881804000000002</v>
      </c>
      <c r="L660" s="17">
        <v>65.680136000000005</v>
      </c>
      <c r="M660" s="18">
        <f t="shared" si="11"/>
        <v>0.65757859159211829</v>
      </c>
    </row>
    <row r="661" spans="1:13">
      <c r="A661" s="13" t="s">
        <v>5182</v>
      </c>
      <c r="B661" s="14" t="s">
        <v>5182</v>
      </c>
      <c r="C661" s="14" t="str">
        <f>HYPERLINK("http://uswest.ensembl.org/Homo_sapiens/Gene/Summary?g=ENSG00000134996","ENSG00000134996")</f>
        <v>ENSG00000134996</v>
      </c>
      <c r="D661" s="14" t="s">
        <v>5183</v>
      </c>
      <c r="E661" s="14" t="str">
        <f>HYPERLINK("http://www.ncbi.nlm.nih.gov/sites/entrez?db=gene&amp;cmd=Retrieve&amp;dopt=full_report&amp;list_uids=26578","26578")</f>
        <v>26578</v>
      </c>
      <c r="F661" s="24" t="s">
        <v>5184</v>
      </c>
      <c r="G661" s="24" t="s">
        <v>5185</v>
      </c>
      <c r="H661" s="14" t="s">
        <v>5186</v>
      </c>
      <c r="I661" s="14" t="s">
        <v>6048</v>
      </c>
      <c r="J661" s="15" t="s">
        <v>8294</v>
      </c>
      <c r="K661" s="16">
        <v>453.55332099999998</v>
      </c>
      <c r="L661" s="17">
        <v>298.315606</v>
      </c>
      <c r="M661" s="18">
        <f t="shared" si="11"/>
        <v>0.65772995629768527</v>
      </c>
    </row>
    <row r="662" spans="1:13">
      <c r="A662" s="13" t="s">
        <v>5155</v>
      </c>
      <c r="B662" s="14" t="s">
        <v>5155</v>
      </c>
      <c r="C662" s="14" t="str">
        <f>HYPERLINK("http://uswest.ensembl.org/Homo_sapiens/Gene/Summary?g=ENSG00000130402","ENSG00000130402")</f>
        <v>ENSG00000130402</v>
      </c>
      <c r="D662" s="14" t="s">
        <v>5156</v>
      </c>
      <c r="E662" s="14" t="str">
        <f>HYPERLINK("http://www.ncbi.nlm.nih.gov/sites/entrez?db=gene&amp;cmd=Retrieve&amp;dopt=full_report&amp;list_uids=81","81")</f>
        <v>81</v>
      </c>
      <c r="F662" s="24" t="s">
        <v>5157</v>
      </c>
      <c r="G662" s="24" t="s">
        <v>5158</v>
      </c>
      <c r="H662" s="19" t="s">
        <v>5122</v>
      </c>
      <c r="I662" s="19" t="s">
        <v>5123</v>
      </c>
      <c r="J662" s="15" t="s">
        <v>5125</v>
      </c>
      <c r="K662" s="16">
        <v>179.05787100000001</v>
      </c>
      <c r="L662" s="17">
        <v>117.813343</v>
      </c>
      <c r="M662" s="18">
        <f t="shared" si="11"/>
        <v>0.65796238021840436</v>
      </c>
    </row>
    <row r="663" spans="1:13">
      <c r="A663" s="13" t="s">
        <v>5107</v>
      </c>
      <c r="B663" s="14" t="s">
        <v>5107</v>
      </c>
      <c r="C663" s="14" t="str">
        <f>HYPERLINK("http://uswest.ensembl.org/Homo_sapiens/Gene/Summary?g=ENSG00000103275","ENSG00000103275")</f>
        <v>ENSG00000103275</v>
      </c>
      <c r="D663" s="14" t="s">
        <v>5108</v>
      </c>
      <c r="E663" s="14" t="str">
        <f>HYPERLINK("http://www.ncbi.nlm.nih.gov/sites/entrez?db=gene&amp;cmd=Retrieve&amp;dopt=full_report&amp;list_uids=7329","7329")</f>
        <v>7329</v>
      </c>
      <c r="F663" s="24" t="s">
        <v>5109</v>
      </c>
      <c r="G663" s="24" t="s">
        <v>5110</v>
      </c>
      <c r="H663" s="19" t="s">
        <v>5111</v>
      </c>
      <c r="I663" s="14" t="s">
        <v>5146</v>
      </c>
      <c r="J663" s="15" t="s">
        <v>5147</v>
      </c>
      <c r="K663" s="16">
        <v>544.11570099999994</v>
      </c>
      <c r="L663" s="17">
        <v>358.02337199999999</v>
      </c>
      <c r="M663" s="18">
        <f t="shared" si="11"/>
        <v>0.65799125322428442</v>
      </c>
    </row>
    <row r="664" spans="1:13">
      <c r="A664" s="13" t="s">
        <v>5148</v>
      </c>
      <c r="B664" s="14" t="s">
        <v>5148</v>
      </c>
      <c r="C664" s="14" t="str">
        <f>HYPERLINK("http://uswest.ensembl.org/Homo_sapiens/Gene/Summary?g=ENSG00000176343","ENSG00000176343")</f>
        <v>ENSG00000176343</v>
      </c>
      <c r="D664" s="14" t="s">
        <v>8728</v>
      </c>
      <c r="E664" s="14" t="str">
        <f>HYPERLINK("http://www.ncbi.nlm.nih.gov/sites/entrez?db=gene&amp;cmd=Retrieve&amp;dopt=full_report&amp;list_uids=","-")</f>
        <v>-</v>
      </c>
      <c r="F664" s="24" t="s">
        <v>5149</v>
      </c>
      <c r="G664" s="24" t="s">
        <v>5150</v>
      </c>
      <c r="H664" s="14" t="s">
        <v>7806</v>
      </c>
      <c r="I664" s="14" t="s">
        <v>5151</v>
      </c>
      <c r="J664" s="15" t="s">
        <v>7521</v>
      </c>
      <c r="K664" s="16">
        <v>2306.7635049999999</v>
      </c>
      <c r="L664" s="17">
        <v>1517.866297</v>
      </c>
      <c r="M664" s="18">
        <f t="shared" si="11"/>
        <v>0.65800689741708052</v>
      </c>
    </row>
    <row r="665" spans="1:13">
      <c r="A665" s="13" t="s">
        <v>5152</v>
      </c>
      <c r="B665" s="14" t="s">
        <v>5152</v>
      </c>
      <c r="C665" s="14" t="str">
        <f>HYPERLINK("http://uswest.ensembl.org/Homo_sapiens/Gene/Summary?g=ENSG00000137947","ENSG00000137947")</f>
        <v>ENSG00000137947</v>
      </c>
      <c r="D665" s="14" t="s">
        <v>5153</v>
      </c>
      <c r="E665" s="14" t="str">
        <f>HYPERLINK("http://www.ncbi.nlm.nih.gov/sites/entrez?db=gene&amp;cmd=Retrieve&amp;dopt=full_report&amp;list_uids=2959","2959")</f>
        <v>2959</v>
      </c>
      <c r="F665" s="24" t="s">
        <v>5154</v>
      </c>
      <c r="G665" s="24" t="s">
        <v>5130</v>
      </c>
      <c r="H665" s="19" t="s">
        <v>5131</v>
      </c>
      <c r="I665" s="14" t="s">
        <v>5098</v>
      </c>
      <c r="J665" s="15" t="s">
        <v>6600</v>
      </c>
      <c r="K665" s="16">
        <v>540.62608999999998</v>
      </c>
      <c r="L665" s="17">
        <v>355.76215500000001</v>
      </c>
      <c r="M665" s="18">
        <f t="shared" si="11"/>
        <v>0.65805583855562733</v>
      </c>
    </row>
    <row r="666" spans="1:13">
      <c r="A666" s="13" t="s">
        <v>5099</v>
      </c>
      <c r="B666" s="14" t="s">
        <v>5099</v>
      </c>
      <c r="C666" s="14" t="str">
        <f>HYPERLINK("http://uswest.ensembl.org/Homo_sapiens/Gene/Summary?g=","-")</f>
        <v>-</v>
      </c>
      <c r="D666" s="14" t="s">
        <v>5100</v>
      </c>
      <c r="E666" s="14" t="str">
        <f>HYPERLINK("http://www.ncbi.nlm.nih.gov/sites/entrez?db=gene&amp;cmd=Retrieve&amp;dopt=full_report&amp;list_uids=11334","11334")</f>
        <v>11334</v>
      </c>
      <c r="F666" s="24" t="s">
        <v>5101</v>
      </c>
      <c r="G666" s="24" t="s">
        <v>5102</v>
      </c>
      <c r="H666" s="14" t="s">
        <v>5103</v>
      </c>
      <c r="I666" s="14" t="s">
        <v>8665</v>
      </c>
      <c r="J666" s="15" t="s">
        <v>8728</v>
      </c>
      <c r="K666" s="16">
        <v>37.141499000000003</v>
      </c>
      <c r="L666" s="17">
        <v>24.444141999999999</v>
      </c>
      <c r="M666" s="18">
        <f t="shared" si="11"/>
        <v>0.65813558036524045</v>
      </c>
    </row>
    <row r="667" spans="1:13">
      <c r="A667" s="13" t="s">
        <v>5104</v>
      </c>
      <c r="B667" s="14" t="s">
        <v>5104</v>
      </c>
      <c r="C667" s="14" t="str">
        <f>HYPERLINK("http://uswest.ensembl.org/Homo_sapiens/Gene/Summary?g=ENSG00000214719","ENSG00000214719")</f>
        <v>ENSG00000214719</v>
      </c>
      <c r="D667" s="14" t="s">
        <v>8728</v>
      </c>
      <c r="E667" s="14" t="str">
        <f>HYPERLINK("http://www.ncbi.nlm.nih.gov/sites/entrez?db=gene&amp;cmd=Retrieve&amp;dopt=full_report&amp;list_uids=","-")</f>
        <v>-</v>
      </c>
      <c r="F667" s="24" t="s">
        <v>5105</v>
      </c>
      <c r="G667" s="24" t="s">
        <v>5072</v>
      </c>
      <c r="H667" s="14" t="s">
        <v>8728</v>
      </c>
      <c r="I667" s="14" t="s">
        <v>8728</v>
      </c>
      <c r="J667" s="15" t="s">
        <v>8698</v>
      </c>
      <c r="K667" s="16">
        <v>90.283450000000002</v>
      </c>
      <c r="L667" s="17">
        <v>59.426779000000003</v>
      </c>
      <c r="M667" s="18">
        <f t="shared" si="11"/>
        <v>0.65822450294046142</v>
      </c>
    </row>
    <row r="668" spans="1:13">
      <c r="A668" s="13" t="s">
        <v>5073</v>
      </c>
      <c r="B668" s="14" t="s">
        <v>5073</v>
      </c>
      <c r="C668" s="14" t="str">
        <f>HYPERLINK("http://uswest.ensembl.org/Homo_sapiens/Gene/Summary?g=ENSG00000107789","ENSG00000107789")</f>
        <v>ENSG00000107789</v>
      </c>
      <c r="D668" s="14" t="s">
        <v>5074</v>
      </c>
      <c r="E668" s="14" t="str">
        <f>HYPERLINK("http://www.ncbi.nlm.nih.gov/sites/entrez?db=gene&amp;cmd=Retrieve&amp;dopt=full_report&amp;list_uids=","-")</f>
        <v>-</v>
      </c>
      <c r="F668" s="24" t="s">
        <v>5075</v>
      </c>
      <c r="G668" s="24" t="s">
        <v>5076</v>
      </c>
      <c r="H668" s="14" t="s">
        <v>8728</v>
      </c>
      <c r="I668" s="14" t="s">
        <v>5077</v>
      </c>
      <c r="J668" s="15" t="s">
        <v>8728</v>
      </c>
      <c r="K668" s="16">
        <v>118.109334</v>
      </c>
      <c r="L668" s="17">
        <v>77.752621000000005</v>
      </c>
      <c r="M668" s="18">
        <f t="shared" si="11"/>
        <v>0.65831055316932019</v>
      </c>
    </row>
    <row r="669" spans="1:13">
      <c r="A669" s="13" t="s">
        <v>5078</v>
      </c>
      <c r="B669" s="14" t="s">
        <v>5078</v>
      </c>
      <c r="C669" s="14" t="str">
        <f>HYPERLINK("http://uswest.ensembl.org/Homo_sapiens/Gene/Summary?g=ENSG00000154781","ENSG00000154781")</f>
        <v>ENSG00000154781</v>
      </c>
      <c r="D669" s="14" t="s">
        <v>5079</v>
      </c>
      <c r="E669" s="14" t="str">
        <f>HYPERLINK("http://www.ncbi.nlm.nih.gov/sites/entrez?db=gene&amp;cmd=Retrieve&amp;dopt=full_report&amp;list_uids=","-")</f>
        <v>-</v>
      </c>
      <c r="F669" s="24" t="s">
        <v>5080</v>
      </c>
      <c r="G669" s="24" t="s">
        <v>5081</v>
      </c>
      <c r="H669" s="14" t="s">
        <v>8728</v>
      </c>
      <c r="I669" s="14" t="s">
        <v>8728</v>
      </c>
      <c r="J669" s="15" t="s">
        <v>8728</v>
      </c>
      <c r="K669" s="16">
        <v>37.406525999999999</v>
      </c>
      <c r="L669" s="17">
        <v>24.630281</v>
      </c>
      <c r="M669" s="18">
        <f t="shared" si="11"/>
        <v>0.6584487690730757</v>
      </c>
    </row>
    <row r="670" spans="1:13">
      <c r="A670" s="13" t="s">
        <v>5082</v>
      </c>
      <c r="B670" s="14" t="s">
        <v>5082</v>
      </c>
      <c r="C670" s="14" t="str">
        <f>HYPERLINK("http://uswest.ensembl.org/Homo_sapiens/Gene/Summary?g=ENSG00000173110","ENSG00000173110")</f>
        <v>ENSG00000173110</v>
      </c>
      <c r="D670" s="14" t="s">
        <v>5083</v>
      </c>
      <c r="E670" s="14" t="str">
        <f>HYPERLINK("http://www.ncbi.nlm.nih.gov/sites/entrez?db=gene&amp;cmd=Retrieve&amp;dopt=full_report&amp;list_uids=100133486","100133486")</f>
        <v>100133486</v>
      </c>
      <c r="F670" s="24" t="s">
        <v>5084</v>
      </c>
      <c r="G670" s="24" t="s">
        <v>5085</v>
      </c>
      <c r="H670" s="14" t="s">
        <v>5086</v>
      </c>
      <c r="I670" s="14" t="s">
        <v>5127</v>
      </c>
      <c r="J670" s="15" t="s">
        <v>8728</v>
      </c>
      <c r="K670" s="16">
        <v>35.687162000000001</v>
      </c>
      <c r="L670" s="17">
        <v>23.49973</v>
      </c>
      <c r="M670" s="18">
        <f t="shared" si="11"/>
        <v>0.65849254137944613</v>
      </c>
    </row>
    <row r="671" spans="1:13">
      <c r="A671" s="13" t="s">
        <v>5128</v>
      </c>
      <c r="B671" s="14" t="s">
        <v>5128</v>
      </c>
      <c r="C671" s="14" t="str">
        <f>HYPERLINK("http://uswest.ensembl.org/Homo_sapiens/Gene/Summary?g=ENSG00000179209","ENSG00000179209")</f>
        <v>ENSG00000179209</v>
      </c>
      <c r="D671" s="14" t="s">
        <v>8728</v>
      </c>
      <c r="E671" s="14" t="str">
        <f>HYPERLINK("http://www.ncbi.nlm.nih.gov/sites/entrez?db=gene&amp;cmd=Retrieve&amp;dopt=full_report&amp;list_uids=","-")</f>
        <v>-</v>
      </c>
      <c r="F671" s="24" t="s">
        <v>5129</v>
      </c>
      <c r="G671" s="24" t="s">
        <v>8728</v>
      </c>
      <c r="H671" s="14" t="s">
        <v>8728</v>
      </c>
      <c r="I671" s="14" t="s">
        <v>8728</v>
      </c>
      <c r="J671" s="15" t="s">
        <v>8728</v>
      </c>
      <c r="K671" s="16">
        <v>13065.581614999999</v>
      </c>
      <c r="L671" s="17">
        <v>8603.6337280000007</v>
      </c>
      <c r="M671" s="18">
        <f t="shared" si="11"/>
        <v>0.65849603802731294</v>
      </c>
    </row>
    <row r="672" spans="1:13">
      <c r="A672" s="13" t="s">
        <v>5121</v>
      </c>
      <c r="B672" s="14" t="s">
        <v>5121</v>
      </c>
      <c r="C672" s="14" t="str">
        <f>HYPERLINK("http://uswest.ensembl.org/Homo_sapiens/Gene/Summary?g=ENSG00000124578","ENSG00000124578")</f>
        <v>ENSG00000124578</v>
      </c>
      <c r="D672" s="14" t="s">
        <v>5061</v>
      </c>
      <c r="E672" s="14" t="str">
        <f>HYPERLINK("http://www.ncbi.nlm.nih.gov/sites/entrez?db=gene&amp;cmd=Retrieve&amp;dopt=full_report&amp;list_uids=8369","8369")</f>
        <v>8369</v>
      </c>
      <c r="F672" s="24" t="s">
        <v>5062</v>
      </c>
      <c r="G672" s="24" t="s">
        <v>5063</v>
      </c>
      <c r="H672" s="14" t="s">
        <v>8681</v>
      </c>
      <c r="I672" s="14" t="s">
        <v>8682</v>
      </c>
      <c r="J672" s="15" t="s">
        <v>8683</v>
      </c>
      <c r="K672" s="16">
        <v>86.604799</v>
      </c>
      <c r="L672" s="17">
        <v>57.059901000000004</v>
      </c>
      <c r="M672" s="18">
        <f t="shared" si="11"/>
        <v>0.6588538009308238</v>
      </c>
    </row>
    <row r="673" spans="1:13">
      <c r="A673" s="13" t="s">
        <v>5064</v>
      </c>
      <c r="B673" s="14" t="s">
        <v>5064</v>
      </c>
      <c r="C673" s="14" t="str">
        <f>HYPERLINK("http://uswest.ensembl.org/Homo_sapiens/Gene/Summary?g=ENSG00000165434","ENSG00000165434")</f>
        <v>ENSG00000165434</v>
      </c>
      <c r="D673" s="14" t="s">
        <v>5065</v>
      </c>
      <c r="E673" s="14" t="str">
        <f>HYPERLINK("http://www.ncbi.nlm.nih.gov/sites/entrez?db=gene&amp;cmd=Retrieve&amp;dopt=full_report&amp;list_uids=283209","283209")</f>
        <v>283209</v>
      </c>
      <c r="F673" s="24" t="s">
        <v>5066</v>
      </c>
      <c r="G673" s="24" t="s">
        <v>5067</v>
      </c>
      <c r="H673" s="14" t="s">
        <v>5068</v>
      </c>
      <c r="I673" s="14" t="s">
        <v>5069</v>
      </c>
      <c r="J673" s="15" t="s">
        <v>8728</v>
      </c>
      <c r="K673" s="16">
        <v>38.058751000000001</v>
      </c>
      <c r="L673" s="17">
        <v>25.075517000000001</v>
      </c>
      <c r="M673" s="18">
        <f t="shared" si="11"/>
        <v>0.65886337152787811</v>
      </c>
    </row>
    <row r="674" spans="1:13">
      <c r="A674" s="13" t="s">
        <v>5070</v>
      </c>
      <c r="B674" s="14" t="s">
        <v>5070</v>
      </c>
      <c r="C674" s="14" t="str">
        <f>HYPERLINK("http://uswest.ensembl.org/Homo_sapiens/Gene/Summary?g=ENSG00000186827","ENSG00000186827")</f>
        <v>ENSG00000186827</v>
      </c>
      <c r="D674" s="14" t="s">
        <v>5071</v>
      </c>
      <c r="E674" s="14" t="str">
        <f>HYPERLINK("http://www.ncbi.nlm.nih.gov/sites/entrez?db=gene&amp;cmd=Retrieve&amp;dopt=full_report&amp;list_uids=","-")</f>
        <v>-</v>
      </c>
      <c r="F674" s="24" t="s">
        <v>7570</v>
      </c>
      <c r="G674" s="24" t="s">
        <v>7588</v>
      </c>
      <c r="H674" s="14" t="s">
        <v>8728</v>
      </c>
      <c r="I674" s="14" t="s">
        <v>8549</v>
      </c>
      <c r="J674" s="15" t="s">
        <v>8728</v>
      </c>
      <c r="K674" s="16">
        <v>133.108318</v>
      </c>
      <c r="L674" s="17">
        <v>87.727316000000002</v>
      </c>
      <c r="M674" s="18">
        <f t="shared" si="11"/>
        <v>0.65906712156035208</v>
      </c>
    </row>
    <row r="675" spans="1:13">
      <c r="A675" s="13" t="s">
        <v>5117</v>
      </c>
      <c r="B675" s="14" t="s">
        <v>5117</v>
      </c>
      <c r="C675" s="14" t="str">
        <f>HYPERLINK("http://uswest.ensembl.org/Homo_sapiens/Gene/Summary?g=ENSG00000050820","ENSG00000050820")</f>
        <v>ENSG00000050820</v>
      </c>
      <c r="D675" s="14" t="s">
        <v>5118</v>
      </c>
      <c r="E675" s="14" t="str">
        <f>HYPERLINK("http://www.ncbi.nlm.nih.gov/sites/entrez?db=gene&amp;cmd=Retrieve&amp;dopt=full_report&amp;list_uids=","-")</f>
        <v>-</v>
      </c>
      <c r="F675" s="24" t="s">
        <v>8259</v>
      </c>
      <c r="G675" s="24" t="s">
        <v>8260</v>
      </c>
      <c r="H675" s="14" t="s">
        <v>5119</v>
      </c>
      <c r="I675" s="14" t="s">
        <v>8665</v>
      </c>
      <c r="J675" s="15" t="s">
        <v>5120</v>
      </c>
      <c r="K675" s="16">
        <v>44.876282000000003</v>
      </c>
      <c r="L675" s="17">
        <v>29.591721</v>
      </c>
      <c r="M675" s="18">
        <f t="shared" si="11"/>
        <v>0.65940669951222786</v>
      </c>
    </row>
    <row r="676" spans="1:13">
      <c r="A676" s="13" t="s">
        <v>5040</v>
      </c>
      <c r="B676" s="14" t="s">
        <v>5040</v>
      </c>
      <c r="C676" s="14" t="str">
        <f>HYPERLINK("http://uswest.ensembl.org/Homo_sapiens/Gene/Summary?g=ENSG00000067992","ENSG00000067992")</f>
        <v>ENSG00000067992</v>
      </c>
      <c r="D676" s="14" t="s">
        <v>5041</v>
      </c>
      <c r="E676" s="14" t="str">
        <f>HYPERLINK("http://www.ncbi.nlm.nih.gov/sites/entrez?db=gene&amp;cmd=Retrieve&amp;dopt=full_report&amp;list_uids=5165","5165")</f>
        <v>5165</v>
      </c>
      <c r="F676" s="24" t="s">
        <v>5042</v>
      </c>
      <c r="G676" s="24" t="s">
        <v>5043</v>
      </c>
      <c r="H676" s="14" t="s">
        <v>5044</v>
      </c>
      <c r="I676" s="19" t="s">
        <v>5112</v>
      </c>
      <c r="J676" s="15" t="s">
        <v>7994</v>
      </c>
      <c r="K676" s="16">
        <v>65.134902999999994</v>
      </c>
      <c r="L676" s="17">
        <v>42.958806000000003</v>
      </c>
      <c r="M676" s="18">
        <f t="shared" si="11"/>
        <v>0.65953588661980511</v>
      </c>
    </row>
    <row r="677" spans="1:13">
      <c r="A677" s="13" t="s">
        <v>5113</v>
      </c>
      <c r="B677" s="14" t="s">
        <v>5113</v>
      </c>
      <c r="C677" s="14" t="str">
        <f>HYPERLINK("http://uswest.ensembl.org/Homo_sapiens/Gene/Summary?g=ENSG00000126934","ENSG00000126934")</f>
        <v>ENSG00000126934</v>
      </c>
      <c r="D677" s="14" t="s">
        <v>5114</v>
      </c>
      <c r="E677" s="14" t="str">
        <f>HYPERLINK("http://www.ncbi.nlm.nih.gov/sites/entrez?db=gene&amp;cmd=Retrieve&amp;dopt=full_report&amp;list_uids=","-")</f>
        <v>-</v>
      </c>
      <c r="F677" s="24" t="s">
        <v>5115</v>
      </c>
      <c r="G677" s="24" t="s">
        <v>5116</v>
      </c>
      <c r="H677" s="14" t="s">
        <v>8656</v>
      </c>
      <c r="I677" s="14" t="s">
        <v>8504</v>
      </c>
      <c r="J677" s="15" t="s">
        <v>8728</v>
      </c>
      <c r="K677" s="16">
        <v>110.669245</v>
      </c>
      <c r="L677" s="17">
        <v>73.003349999999998</v>
      </c>
      <c r="M677" s="18">
        <f t="shared" si="11"/>
        <v>0.65965345656781149</v>
      </c>
    </row>
    <row r="678" spans="1:13">
      <c r="A678" s="13" t="s">
        <v>5092</v>
      </c>
      <c r="B678" s="14" t="s">
        <v>5092</v>
      </c>
      <c r="C678" s="14" t="str">
        <f>HYPERLINK("http://uswest.ensembl.org/Homo_sapiens/Gene/Summary?g=ENSG00000197063","ENSG00000197063")</f>
        <v>ENSG00000197063</v>
      </c>
      <c r="D678" s="14" t="s">
        <v>5093</v>
      </c>
      <c r="E678" s="14" t="str">
        <f>HYPERLINK("http://www.ncbi.nlm.nih.gov/sites/entrez?db=gene&amp;cmd=Retrieve&amp;dopt=full_report&amp;list_uids=4097","4097")</f>
        <v>4097</v>
      </c>
      <c r="F678" s="24" t="s">
        <v>5094</v>
      </c>
      <c r="G678" s="24" t="s">
        <v>5095</v>
      </c>
      <c r="H678" s="14" t="s">
        <v>8673</v>
      </c>
      <c r="I678" s="14" t="s">
        <v>5829</v>
      </c>
      <c r="J678" s="15" t="s">
        <v>8558</v>
      </c>
      <c r="K678" s="16">
        <v>68.014135999999993</v>
      </c>
      <c r="L678" s="17">
        <v>44.873057000000003</v>
      </c>
      <c r="M678" s="18">
        <f t="shared" si="11"/>
        <v>0.65976074444289068</v>
      </c>
    </row>
    <row r="679" spans="1:13">
      <c r="A679" s="13" t="s">
        <v>5096</v>
      </c>
      <c r="B679" s="14" t="s">
        <v>5096</v>
      </c>
      <c r="C679" s="14" t="str">
        <f>HYPERLINK("http://uswest.ensembl.org/Homo_sapiens/Gene/Summary?g=ENSG00000197880","ENSG00000197880")</f>
        <v>ENSG00000197880</v>
      </c>
      <c r="D679" s="14" t="s">
        <v>8728</v>
      </c>
      <c r="E679" s="14" t="str">
        <f>HYPERLINK("http://www.ncbi.nlm.nih.gov/sites/entrez?db=gene&amp;cmd=Retrieve&amp;dopt=full_report&amp;list_uids=","-")</f>
        <v>-</v>
      </c>
      <c r="F679" s="24" t="s">
        <v>5097</v>
      </c>
      <c r="G679" s="24" t="s">
        <v>5026</v>
      </c>
      <c r="H679" s="14" t="s">
        <v>8728</v>
      </c>
      <c r="I679" s="14" t="s">
        <v>8728</v>
      </c>
      <c r="J679" s="15" t="s">
        <v>8728</v>
      </c>
      <c r="K679" s="16">
        <v>88.512157000000002</v>
      </c>
      <c r="L679" s="17">
        <v>58.400691999999999</v>
      </c>
      <c r="M679" s="18">
        <f t="shared" si="11"/>
        <v>0.659804189383838</v>
      </c>
    </row>
    <row r="680" spans="1:13">
      <c r="A680" s="13" t="s">
        <v>5027</v>
      </c>
      <c r="B680" s="14" t="s">
        <v>5027</v>
      </c>
      <c r="C680" s="14" t="str">
        <f>HYPERLINK("http://uswest.ensembl.org/Homo_sapiens/Gene/Summary?g=","-")</f>
        <v>-</v>
      </c>
      <c r="D680" s="14" t="s">
        <v>5028</v>
      </c>
      <c r="E680" s="14" t="str">
        <f>HYPERLINK("http://www.ncbi.nlm.nih.gov/sites/entrez?db=gene&amp;cmd=Retrieve&amp;dopt=full_report&amp;list_uids=55791","55791")</f>
        <v>55791</v>
      </c>
      <c r="F680" s="24" t="s">
        <v>5029</v>
      </c>
      <c r="G680" s="24" t="s">
        <v>5030</v>
      </c>
      <c r="H680" s="14" t="s">
        <v>8728</v>
      </c>
      <c r="I680" s="14" t="s">
        <v>8665</v>
      </c>
      <c r="J680" s="15" t="s">
        <v>8728</v>
      </c>
      <c r="K680" s="16">
        <v>59.537309999999998</v>
      </c>
      <c r="L680" s="17">
        <v>39.298065999999999</v>
      </c>
      <c r="M680" s="18">
        <f t="shared" si="11"/>
        <v>0.66005780240995104</v>
      </c>
    </row>
    <row r="681" spans="1:13">
      <c r="A681" s="13" t="s">
        <v>5031</v>
      </c>
      <c r="B681" s="14" t="s">
        <v>5031</v>
      </c>
      <c r="C681" s="14" t="str">
        <f>HYPERLINK("http://uswest.ensembl.org/Homo_sapiens/Gene/Summary?g=ENSG00000175832","ENSG00000175832")</f>
        <v>ENSG00000175832</v>
      </c>
      <c r="D681" s="14" t="s">
        <v>5032</v>
      </c>
      <c r="E681" s="14" t="str">
        <f>HYPERLINK("http://www.ncbi.nlm.nih.gov/sites/entrez?db=gene&amp;cmd=Retrieve&amp;dopt=full_report&amp;list_uids=2118","2118")</f>
        <v>2118</v>
      </c>
      <c r="F681" s="24" t="s">
        <v>5033</v>
      </c>
      <c r="G681" s="24" t="s">
        <v>5034</v>
      </c>
      <c r="H681" s="14" t="s">
        <v>5035</v>
      </c>
      <c r="I681" s="14" t="s">
        <v>6750</v>
      </c>
      <c r="J681" s="15" t="s">
        <v>6617</v>
      </c>
      <c r="K681" s="16">
        <v>33.771661000000002</v>
      </c>
      <c r="L681" s="17">
        <v>22.292787000000001</v>
      </c>
      <c r="M681" s="18">
        <f t="shared" si="11"/>
        <v>0.66010336299419803</v>
      </c>
    </row>
    <row r="682" spans="1:13">
      <c r="A682" s="13" t="s">
        <v>5036</v>
      </c>
      <c r="B682" s="14" t="s">
        <v>5036</v>
      </c>
      <c r="C682" s="14" t="str">
        <f>HYPERLINK("http://uswest.ensembl.org/Homo_sapiens/Gene/Summary?g=","-")</f>
        <v>-</v>
      </c>
      <c r="D682" s="14" t="s">
        <v>8728</v>
      </c>
      <c r="E682" s="14" t="str">
        <f>HYPERLINK("http://www.ncbi.nlm.nih.gov/sites/entrez?db=gene&amp;cmd=Retrieve&amp;dopt=full_report&amp;list_uids=400027","400027")</f>
        <v>400027</v>
      </c>
      <c r="F682" s="24" t="s">
        <v>8728</v>
      </c>
      <c r="G682" s="24" t="s">
        <v>8728</v>
      </c>
      <c r="H682" s="14" t="s">
        <v>8728</v>
      </c>
      <c r="I682" s="14" t="s">
        <v>8728</v>
      </c>
      <c r="J682" s="15" t="s">
        <v>8728</v>
      </c>
      <c r="K682" s="16">
        <v>55.109679999999997</v>
      </c>
      <c r="L682" s="17">
        <v>36.383432999999997</v>
      </c>
      <c r="M682" s="18">
        <f t="shared" si="11"/>
        <v>0.66020040399436175</v>
      </c>
    </row>
    <row r="683" spans="1:13">
      <c r="A683" s="13" t="s">
        <v>5037</v>
      </c>
      <c r="B683" s="14" t="s">
        <v>5037</v>
      </c>
      <c r="C683" s="14" t="str">
        <f>HYPERLINK("http://uswest.ensembl.org/Homo_sapiens/Gene/Summary?g=ENSG00000131459","ENSG00000131459")</f>
        <v>ENSG00000131459</v>
      </c>
      <c r="D683" s="14" t="s">
        <v>5038</v>
      </c>
      <c r="E683" s="14" t="str">
        <f>HYPERLINK("http://www.ncbi.nlm.nih.gov/sites/entrez?db=gene&amp;cmd=Retrieve&amp;dopt=full_report&amp;list_uids=9945","9945")</f>
        <v>9945</v>
      </c>
      <c r="F683" s="24" t="s">
        <v>5039</v>
      </c>
      <c r="G683" s="25" t="s">
        <v>5007</v>
      </c>
      <c r="H683" s="14" t="s">
        <v>5008</v>
      </c>
      <c r="I683" s="14" t="s">
        <v>5009</v>
      </c>
      <c r="J683" s="15" t="s">
        <v>8619</v>
      </c>
      <c r="K683" s="16">
        <v>38.312871000000001</v>
      </c>
      <c r="L683" s="17">
        <v>25.295273000000002</v>
      </c>
      <c r="M683" s="18">
        <f t="shared" si="11"/>
        <v>0.66022911725931477</v>
      </c>
    </row>
    <row r="684" spans="1:13">
      <c r="A684" s="13" t="s">
        <v>5010</v>
      </c>
      <c r="B684" s="14" t="s">
        <v>5010</v>
      </c>
      <c r="C684" s="14" t="str">
        <f>HYPERLINK("http://uswest.ensembl.org/Homo_sapiens/Gene/Summary?g=ENSG00000187051","ENSG00000187051")</f>
        <v>ENSG00000187051</v>
      </c>
      <c r="D684" s="14" t="s">
        <v>5011</v>
      </c>
      <c r="E684" s="14" t="str">
        <f>HYPERLINK("http://www.ncbi.nlm.nih.gov/sites/entrez?db=gene&amp;cmd=Retrieve&amp;dopt=full_report&amp;list_uids=91582","91582")</f>
        <v>91582</v>
      </c>
      <c r="F684" s="24" t="s">
        <v>5012</v>
      </c>
      <c r="G684" s="24" t="s">
        <v>5013</v>
      </c>
      <c r="H684" s="14" t="s">
        <v>8728</v>
      </c>
      <c r="I684" s="14" t="s">
        <v>8665</v>
      </c>
      <c r="J684" s="15" t="s">
        <v>6775</v>
      </c>
      <c r="K684" s="16">
        <v>549.96531700000003</v>
      </c>
      <c r="L684" s="17">
        <v>363.23680999999999</v>
      </c>
      <c r="M684" s="18">
        <f t="shared" si="11"/>
        <v>0.66047221301411629</v>
      </c>
    </row>
    <row r="685" spans="1:13">
      <c r="A685" s="13" t="s">
        <v>5014</v>
      </c>
      <c r="B685" s="14" t="s">
        <v>5014</v>
      </c>
      <c r="C685" s="14" t="str">
        <f>HYPERLINK("http://uswest.ensembl.org/Homo_sapiens/Gene/Summary?g=ENSG00000110848","ENSG00000110848")</f>
        <v>ENSG00000110848</v>
      </c>
      <c r="D685" s="14" t="s">
        <v>5087</v>
      </c>
      <c r="E685" s="14" t="str">
        <f>HYPERLINK("http://www.ncbi.nlm.nih.gov/sites/entrez?db=gene&amp;cmd=Retrieve&amp;dopt=full_report&amp;list_uids=969","969")</f>
        <v>969</v>
      </c>
      <c r="F685" s="24" t="s">
        <v>5088</v>
      </c>
      <c r="G685" s="24" t="s">
        <v>5089</v>
      </c>
      <c r="H685" s="14" t="s">
        <v>8728</v>
      </c>
      <c r="I685" s="14" t="s">
        <v>5090</v>
      </c>
      <c r="J685" s="15" t="s">
        <v>5091</v>
      </c>
      <c r="K685" s="16">
        <v>558.79683899999998</v>
      </c>
      <c r="L685" s="17">
        <v>369.081073</v>
      </c>
      <c r="M685" s="18">
        <f t="shared" si="11"/>
        <v>0.66049241377329981</v>
      </c>
    </row>
    <row r="686" spans="1:13">
      <c r="A686" s="13" t="s">
        <v>5051</v>
      </c>
      <c r="B686" s="14" t="s">
        <v>5051</v>
      </c>
      <c r="C686" s="14" t="str">
        <f>HYPERLINK("http://uswest.ensembl.org/Homo_sapiens/Gene/Summary?g=","-")</f>
        <v>-</v>
      </c>
      <c r="D686" s="14" t="s">
        <v>5052</v>
      </c>
      <c r="E686" s="14" t="str">
        <f>HYPERLINK("http://www.ncbi.nlm.nih.gov/sites/entrez?db=gene&amp;cmd=Retrieve&amp;dopt=full_report&amp;list_uids=387521","387521")</f>
        <v>387521</v>
      </c>
      <c r="F686" s="24" t="s">
        <v>5053</v>
      </c>
      <c r="G686" s="24" t="s">
        <v>5054</v>
      </c>
      <c r="H686" s="14" t="s">
        <v>8728</v>
      </c>
      <c r="I686" s="14" t="s">
        <v>8728</v>
      </c>
      <c r="J686" s="15" t="s">
        <v>5055</v>
      </c>
      <c r="K686" s="16">
        <v>75.523410999999996</v>
      </c>
      <c r="L686" s="17">
        <v>49.889175000000002</v>
      </c>
      <c r="M686" s="18">
        <f t="shared" si="11"/>
        <v>0.66057894286580887</v>
      </c>
    </row>
    <row r="687" spans="1:13">
      <c r="A687" s="13" t="s">
        <v>5056</v>
      </c>
      <c r="B687" s="14" t="s">
        <v>5056</v>
      </c>
      <c r="C687" s="14" t="str">
        <f>HYPERLINK("http://uswest.ensembl.org/Homo_sapiens/Gene/Summary?g=","-")</f>
        <v>-</v>
      </c>
      <c r="D687" s="14" t="s">
        <v>5057</v>
      </c>
      <c r="E687" s="14" t="str">
        <f>HYPERLINK("http://www.ncbi.nlm.nih.gov/sites/entrez?db=gene&amp;cmd=Retrieve&amp;dopt=full_report&amp;list_uids=3091","3091")</f>
        <v>3091</v>
      </c>
      <c r="F687" s="24" t="s">
        <v>5898</v>
      </c>
      <c r="G687" s="24" t="s">
        <v>5839</v>
      </c>
      <c r="H687" s="14" t="s">
        <v>6537</v>
      </c>
      <c r="I687" s="14" t="s">
        <v>6521</v>
      </c>
      <c r="J687" s="15" t="s">
        <v>8558</v>
      </c>
      <c r="K687" s="16">
        <v>121.863001</v>
      </c>
      <c r="L687" s="17">
        <v>80.514290000000003</v>
      </c>
      <c r="M687" s="18">
        <f t="shared" si="11"/>
        <v>0.6606951194316969</v>
      </c>
    </row>
    <row r="688" spans="1:13">
      <c r="A688" s="13" t="s">
        <v>5058</v>
      </c>
      <c r="B688" s="14" t="s">
        <v>5058</v>
      </c>
      <c r="C688" s="14" t="str">
        <f>HYPERLINK("http://uswest.ensembl.org/Homo_sapiens/Gene/Summary?g=ENSG00000173821","ENSG00000173821")</f>
        <v>ENSG00000173821</v>
      </c>
      <c r="D688" s="14" t="s">
        <v>5059</v>
      </c>
      <c r="E688" s="14" t="str">
        <f>HYPERLINK("http://www.ncbi.nlm.nih.gov/sites/entrez?db=gene&amp;cmd=Retrieve&amp;dopt=full_report&amp;list_uids=57674","57674")</f>
        <v>57674</v>
      </c>
      <c r="F688" s="24" t="s">
        <v>5060</v>
      </c>
      <c r="G688" s="24" t="s">
        <v>5005</v>
      </c>
      <c r="H688" s="14" t="s">
        <v>8728</v>
      </c>
      <c r="I688" s="14" t="s">
        <v>5006</v>
      </c>
      <c r="J688" s="15" t="s">
        <v>8728</v>
      </c>
      <c r="K688" s="16">
        <v>75.642593000000005</v>
      </c>
      <c r="L688" s="17">
        <v>49.978140000000003</v>
      </c>
      <c r="M688" s="18">
        <f t="shared" si="11"/>
        <v>0.66071426187095406</v>
      </c>
    </row>
    <row r="689" spans="1:13">
      <c r="A689" s="13" t="s">
        <v>4990</v>
      </c>
      <c r="B689" s="14" t="s">
        <v>4990</v>
      </c>
      <c r="C689" s="14" t="str">
        <f>HYPERLINK("http://uswest.ensembl.org/Homo_sapiens/Gene/Summary?g=ENSG00000082258","ENSG00000082258")</f>
        <v>ENSG00000082258</v>
      </c>
      <c r="D689" s="14" t="s">
        <v>4991</v>
      </c>
      <c r="E689" s="14" t="str">
        <f>HYPERLINK("http://www.ncbi.nlm.nih.gov/sites/entrez?db=gene&amp;cmd=Retrieve&amp;dopt=full_report&amp;list_uids=905","905")</f>
        <v>905</v>
      </c>
      <c r="F689" s="24" t="s">
        <v>4992</v>
      </c>
      <c r="G689" s="24" t="s">
        <v>5045</v>
      </c>
      <c r="H689" s="19" t="s">
        <v>5050</v>
      </c>
      <c r="I689" s="14" t="s">
        <v>8665</v>
      </c>
      <c r="J689" s="15" t="s">
        <v>5046</v>
      </c>
      <c r="K689" s="16">
        <v>51.284053</v>
      </c>
      <c r="L689" s="17">
        <v>33.897309999999997</v>
      </c>
      <c r="M689" s="18">
        <f t="shared" si="11"/>
        <v>0.66097174495939304</v>
      </c>
    </row>
    <row r="690" spans="1:13">
      <c r="A690" s="13" t="s">
        <v>5047</v>
      </c>
      <c r="B690" s="14" t="s">
        <v>5047</v>
      </c>
      <c r="C690" s="14" t="str">
        <f>HYPERLINK("http://uswest.ensembl.org/Homo_sapiens/Gene/Summary?g=ENSG00000173681","ENSG00000173681")</f>
        <v>ENSG00000173681</v>
      </c>
      <c r="D690" s="14" t="s">
        <v>5048</v>
      </c>
      <c r="E690" s="14" t="str">
        <f>HYPERLINK("http://www.ncbi.nlm.nih.gov/sites/entrez?db=gene&amp;cmd=Retrieve&amp;dopt=full_report&amp;list_uids=256643","256643")</f>
        <v>256643</v>
      </c>
      <c r="F690" s="24" t="s">
        <v>5049</v>
      </c>
      <c r="G690" s="24" t="s">
        <v>5016</v>
      </c>
      <c r="H690" s="14" t="s">
        <v>8728</v>
      </c>
      <c r="I690" s="14" t="s">
        <v>8728</v>
      </c>
      <c r="J690" s="15" t="s">
        <v>8728</v>
      </c>
      <c r="K690" s="16">
        <v>55.423419000000003</v>
      </c>
      <c r="L690" s="17">
        <v>36.645488999999998</v>
      </c>
      <c r="M690" s="18">
        <f t="shared" si="11"/>
        <v>0.66119141801771553</v>
      </c>
    </row>
    <row r="691" spans="1:13">
      <c r="A691" s="13" t="s">
        <v>5018</v>
      </c>
      <c r="B691" s="14" t="s">
        <v>5018</v>
      </c>
      <c r="C691" s="14" t="str">
        <f>HYPERLINK("http://uswest.ensembl.org/Homo_sapiens/Gene/Summary?g=ENSG00000186577","ENSG00000186577")</f>
        <v>ENSG00000186577</v>
      </c>
      <c r="D691" s="14" t="s">
        <v>5019</v>
      </c>
      <c r="E691" s="14" t="str">
        <f>HYPERLINK("http://www.ncbi.nlm.nih.gov/sites/entrez?db=gene&amp;cmd=Retrieve&amp;dopt=full_report&amp;list_uids=221491","221491")</f>
        <v>221491</v>
      </c>
      <c r="F691" s="24" t="s">
        <v>5020</v>
      </c>
      <c r="G691" s="24" t="s">
        <v>5021</v>
      </c>
      <c r="H691" s="14" t="s">
        <v>8728</v>
      </c>
      <c r="I691" s="14" t="s">
        <v>8728</v>
      </c>
      <c r="J691" s="15" t="s">
        <v>8731</v>
      </c>
      <c r="K691" s="16">
        <v>61.346865000000001</v>
      </c>
      <c r="L691" s="17">
        <v>40.565981000000001</v>
      </c>
      <c r="M691" s="18">
        <f t="shared" si="11"/>
        <v>0.66125597453105389</v>
      </c>
    </row>
    <row r="692" spans="1:13">
      <c r="A692" s="13" t="s">
        <v>5022</v>
      </c>
      <c r="B692" s="14" t="s">
        <v>5022</v>
      </c>
      <c r="C692" s="14" t="str">
        <f>HYPERLINK("http://uswest.ensembl.org/Homo_sapiens/Gene/Summary?g=ENSG00000185361","ENSG00000185361")</f>
        <v>ENSG00000185361</v>
      </c>
      <c r="D692" s="14" t="s">
        <v>5023</v>
      </c>
      <c r="E692" s="14" t="str">
        <f>HYPERLINK("http://www.ncbi.nlm.nih.gov/sites/entrez?db=gene&amp;cmd=Retrieve&amp;dopt=full_report&amp;list_uids=126282","126282")</f>
        <v>126282</v>
      </c>
      <c r="F692" s="24" t="s">
        <v>5024</v>
      </c>
      <c r="G692" s="24" t="s">
        <v>5025</v>
      </c>
      <c r="H692" s="14" t="s">
        <v>8728</v>
      </c>
      <c r="I692" s="14" t="s">
        <v>8728</v>
      </c>
      <c r="J692" s="15" t="s">
        <v>8728</v>
      </c>
      <c r="K692" s="16">
        <v>61.505569999999999</v>
      </c>
      <c r="L692" s="17">
        <v>40.676006999999998</v>
      </c>
      <c r="M692" s="18">
        <f t="shared" si="11"/>
        <v>0.66133859096013581</v>
      </c>
    </row>
    <row r="693" spans="1:13">
      <c r="A693" s="13" t="s">
        <v>4972</v>
      </c>
      <c r="B693" s="14" t="s">
        <v>4972</v>
      </c>
      <c r="C693" s="14" t="str">
        <f>HYPERLINK("http://uswest.ensembl.org/Homo_sapiens/Gene/Summary?g=ENSG00000011258","ENSG00000011258")</f>
        <v>ENSG00000011258</v>
      </c>
      <c r="D693" s="14" t="s">
        <v>4973</v>
      </c>
      <c r="E693" s="14" t="str">
        <f>HYPERLINK("http://www.ncbi.nlm.nih.gov/sites/entrez?db=gene&amp;cmd=Retrieve&amp;dopt=full_report&amp;list_uids=54799","54799")</f>
        <v>54799</v>
      </c>
      <c r="F693" s="24" t="s">
        <v>4974</v>
      </c>
      <c r="G693" s="24" t="s">
        <v>4975</v>
      </c>
      <c r="H693" s="14" t="s">
        <v>8490</v>
      </c>
      <c r="I693" s="14" t="s">
        <v>8321</v>
      </c>
      <c r="J693" s="15" t="s">
        <v>8558</v>
      </c>
      <c r="K693" s="16">
        <v>71.934728000000007</v>
      </c>
      <c r="L693" s="17">
        <v>47.578741000000001</v>
      </c>
      <c r="M693" s="18">
        <f t="shared" si="11"/>
        <v>0.66141545707936777</v>
      </c>
    </row>
    <row r="694" spans="1:13">
      <c r="A694" s="13" t="s">
        <v>4976</v>
      </c>
      <c r="B694" s="14" t="s">
        <v>4976</v>
      </c>
      <c r="C694" s="14" t="str">
        <f>HYPERLINK("http://uswest.ensembl.org/Homo_sapiens/Gene/Summary?g=","-")</f>
        <v>-</v>
      </c>
      <c r="D694" s="14" t="s">
        <v>8728</v>
      </c>
      <c r="E694" s="14" t="str">
        <f>HYPERLINK("http://www.ncbi.nlm.nih.gov/sites/entrez?db=gene&amp;cmd=Retrieve&amp;dopt=full_report&amp;list_uids=439949","439949")</f>
        <v>439949</v>
      </c>
      <c r="F694" s="24" t="s">
        <v>4977</v>
      </c>
      <c r="G694" s="24" t="s">
        <v>8728</v>
      </c>
      <c r="H694" s="14" t="s">
        <v>8728</v>
      </c>
      <c r="I694" s="14" t="s">
        <v>8728</v>
      </c>
      <c r="J694" s="15" t="s">
        <v>8728</v>
      </c>
      <c r="K694" s="16">
        <v>103.231016</v>
      </c>
      <c r="L694" s="17">
        <v>68.281909999999996</v>
      </c>
      <c r="M694" s="18">
        <f t="shared" si="11"/>
        <v>0.66144762151716108</v>
      </c>
    </row>
    <row r="695" spans="1:13">
      <c r="A695" s="13" t="s">
        <v>4978</v>
      </c>
      <c r="B695" s="14" t="s">
        <v>4978</v>
      </c>
      <c r="C695" s="14" t="str">
        <f>HYPERLINK("http://uswest.ensembl.org/Homo_sapiens/Gene/Summary?g=ENSG00000213689","ENSG00000213689")</f>
        <v>ENSG00000213689</v>
      </c>
      <c r="D695" s="14" t="s">
        <v>4979</v>
      </c>
      <c r="E695" s="14" t="str">
        <f>HYPERLINK("http://www.ncbi.nlm.nih.gov/sites/entrez?db=gene&amp;cmd=Retrieve&amp;dopt=full_report&amp;list_uids=11277","11277")</f>
        <v>11277</v>
      </c>
      <c r="F695" s="24" t="s">
        <v>4980</v>
      </c>
      <c r="G695" s="24" t="s">
        <v>4981</v>
      </c>
      <c r="H695" s="14" t="s">
        <v>8728</v>
      </c>
      <c r="I695" s="14" t="s">
        <v>4982</v>
      </c>
      <c r="J695" s="15" t="s">
        <v>8707</v>
      </c>
      <c r="K695" s="16">
        <v>32.133144000000001</v>
      </c>
      <c r="L695" s="17">
        <v>21.256352</v>
      </c>
      <c r="M695" s="18">
        <f t="shared" si="11"/>
        <v>0.66150862797614818</v>
      </c>
    </row>
    <row r="696" spans="1:13">
      <c r="A696" s="13" t="s">
        <v>4983</v>
      </c>
      <c r="B696" s="14" t="s">
        <v>4983</v>
      </c>
      <c r="C696" s="14" t="str">
        <f>HYPERLINK("http://uswest.ensembl.org/Homo_sapiens/Gene/Summary?g=","-")</f>
        <v>-</v>
      </c>
      <c r="D696" s="14" t="s">
        <v>4984</v>
      </c>
      <c r="E696" s="14" t="str">
        <f>HYPERLINK("http://www.ncbi.nlm.nih.gov/sites/entrez?db=gene&amp;cmd=Retrieve&amp;dopt=full_report&amp;list_uids=8034","8034")</f>
        <v>8034</v>
      </c>
      <c r="F696" s="24" t="s">
        <v>4985</v>
      </c>
      <c r="G696" s="24" t="s">
        <v>4986</v>
      </c>
      <c r="H696" s="14" t="s">
        <v>4987</v>
      </c>
      <c r="I696" s="14" t="s">
        <v>4988</v>
      </c>
      <c r="J696" s="15" t="s">
        <v>4989</v>
      </c>
      <c r="K696" s="16">
        <v>48.338397000000001</v>
      </c>
      <c r="L696" s="17">
        <v>31.977613000000002</v>
      </c>
      <c r="M696" s="18">
        <f t="shared" si="11"/>
        <v>0.66153647999539578</v>
      </c>
    </row>
    <row r="697" spans="1:13">
      <c r="A697" s="13" t="s">
        <v>4953</v>
      </c>
      <c r="B697" s="14" t="s">
        <v>4953</v>
      </c>
      <c r="C697" s="14" t="str">
        <f>HYPERLINK("http://uswest.ensembl.org/Homo_sapiens/Gene/Summary?g=ENSG00000180770","ENSG00000180770")</f>
        <v>ENSG00000180770</v>
      </c>
      <c r="D697" s="14" t="s">
        <v>8728</v>
      </c>
      <c r="E697" s="14" t="str">
        <f>HYPERLINK("http://www.ncbi.nlm.nih.gov/sites/entrez?db=gene&amp;cmd=Retrieve&amp;dopt=full_report&amp;list_uids=650293","650293")</f>
        <v>650293</v>
      </c>
      <c r="F697" s="24" t="s">
        <v>4954</v>
      </c>
      <c r="G697" s="24" t="s">
        <v>4955</v>
      </c>
      <c r="H697" s="14" t="s">
        <v>8668</v>
      </c>
      <c r="I697" s="14" t="s">
        <v>4956</v>
      </c>
      <c r="J697" s="15" t="s">
        <v>8669</v>
      </c>
      <c r="K697" s="16">
        <v>50.790906999999997</v>
      </c>
      <c r="L697" s="17">
        <v>33.612428000000001</v>
      </c>
      <c r="M697" s="18">
        <f t="shared" si="11"/>
        <v>0.6617804245945047</v>
      </c>
    </row>
    <row r="698" spans="1:13">
      <c r="A698" s="13" t="s">
        <v>4957</v>
      </c>
      <c r="B698" s="14" t="s">
        <v>4957</v>
      </c>
      <c r="C698" s="14" t="str">
        <f>HYPERLINK("http://uswest.ensembl.org/Homo_sapiens/Gene/Summary?g=","-")</f>
        <v>-</v>
      </c>
      <c r="D698" s="14" t="s">
        <v>8728</v>
      </c>
      <c r="E698" s="14" t="str">
        <f>HYPERLINK("http://www.ncbi.nlm.nih.gov/sites/entrez?db=gene&amp;cmd=Retrieve&amp;dopt=full_report&amp;list_uids=729897","729897")</f>
        <v>729897</v>
      </c>
      <c r="F698" s="24" t="s">
        <v>4958</v>
      </c>
      <c r="G698" s="24" t="s">
        <v>8728</v>
      </c>
      <c r="H698" s="14" t="s">
        <v>8728</v>
      </c>
      <c r="I698" s="14" t="s">
        <v>8728</v>
      </c>
      <c r="J698" s="15" t="s">
        <v>8728</v>
      </c>
      <c r="K698" s="16">
        <v>130.08114</v>
      </c>
      <c r="L698" s="17">
        <v>86.106451000000007</v>
      </c>
      <c r="M698" s="18">
        <f t="shared" si="11"/>
        <v>0.66194416039096826</v>
      </c>
    </row>
    <row r="699" spans="1:13">
      <c r="A699" s="13" t="s">
        <v>4959</v>
      </c>
      <c r="B699" s="14" t="s">
        <v>4959</v>
      </c>
      <c r="C699" s="14" t="str">
        <f>HYPERLINK("http://uswest.ensembl.org/Homo_sapiens/Gene/Summary?g=ENSG00000197008","ENSG00000197008")</f>
        <v>ENSG00000197008</v>
      </c>
      <c r="D699" s="14" t="s">
        <v>4960</v>
      </c>
      <c r="E699" s="14" t="str">
        <f>HYPERLINK("http://www.ncbi.nlm.nih.gov/sites/entrez?db=gene&amp;cmd=Retrieve&amp;dopt=full_report&amp;list_uids=7697","7697")</f>
        <v>7697</v>
      </c>
      <c r="F699" s="24" t="s">
        <v>4961</v>
      </c>
      <c r="G699" s="24" t="s">
        <v>4962</v>
      </c>
      <c r="H699" s="14" t="s">
        <v>8581</v>
      </c>
      <c r="I699" s="14" t="s">
        <v>8164</v>
      </c>
      <c r="J699" s="15" t="s">
        <v>8622</v>
      </c>
      <c r="K699" s="16">
        <v>56.139381</v>
      </c>
      <c r="L699" s="17">
        <v>37.169241999999997</v>
      </c>
      <c r="M699" s="18">
        <f t="shared" si="11"/>
        <v>0.6620885613256049</v>
      </c>
    </row>
    <row r="700" spans="1:13">
      <c r="A700" s="13" t="s">
        <v>4963</v>
      </c>
      <c r="B700" s="14" t="s">
        <v>4963</v>
      </c>
      <c r="C700" s="14" t="str">
        <f>HYPERLINK("http://uswest.ensembl.org/Homo_sapiens/Gene/Summary?g=","-")</f>
        <v>-</v>
      </c>
      <c r="D700" s="14" t="s">
        <v>8728</v>
      </c>
      <c r="E700" s="14" t="str">
        <f>HYPERLINK("http://www.ncbi.nlm.nih.gov/sites/entrez?db=gene&amp;cmd=Retrieve&amp;dopt=full_report&amp;list_uids=390557","390557")</f>
        <v>390557</v>
      </c>
      <c r="F700" s="24" t="s">
        <v>4964</v>
      </c>
      <c r="G700" s="24" t="s">
        <v>8728</v>
      </c>
      <c r="H700" s="14" t="s">
        <v>8728</v>
      </c>
      <c r="I700" s="14" t="s">
        <v>8728</v>
      </c>
      <c r="J700" s="15" t="s">
        <v>8728</v>
      </c>
      <c r="K700" s="16">
        <v>82.605896999999999</v>
      </c>
      <c r="L700" s="17">
        <v>54.696539000000001</v>
      </c>
      <c r="M700" s="18">
        <f t="shared" si="11"/>
        <v>0.66213843062560052</v>
      </c>
    </row>
    <row r="701" spans="1:13">
      <c r="A701" s="13" t="s">
        <v>4965</v>
      </c>
      <c r="B701" s="14" t="s">
        <v>4965</v>
      </c>
      <c r="C701" s="14" t="str">
        <f>HYPERLINK("http://uswest.ensembl.org/Homo_sapiens/Gene/Summary?g=","-")</f>
        <v>-</v>
      </c>
      <c r="D701" s="14" t="s">
        <v>4966</v>
      </c>
      <c r="E701" s="14" t="str">
        <f>HYPERLINK("http://www.ncbi.nlm.nih.gov/sites/entrez?db=gene&amp;cmd=Retrieve&amp;dopt=full_report&amp;list_uids=1062","1062")</f>
        <v>1062</v>
      </c>
      <c r="F701" s="24" t="s">
        <v>4967</v>
      </c>
      <c r="G701" s="24" t="s">
        <v>4968</v>
      </c>
      <c r="H701" s="14" t="s">
        <v>5015</v>
      </c>
      <c r="I701" s="14" t="s">
        <v>5017</v>
      </c>
      <c r="J701" s="15" t="s">
        <v>4998</v>
      </c>
      <c r="K701" s="16">
        <v>104.189145</v>
      </c>
      <c r="L701" s="17">
        <v>68.993729999999999</v>
      </c>
      <c r="M701" s="18">
        <f t="shared" si="11"/>
        <v>0.66219691120413748</v>
      </c>
    </row>
    <row r="702" spans="1:13">
      <c r="A702" s="13" t="s">
        <v>4999</v>
      </c>
      <c r="B702" s="14" t="s">
        <v>4999</v>
      </c>
      <c r="C702" s="14" t="str">
        <f>HYPERLINK("http://uswest.ensembl.org/Homo_sapiens/Gene/Summary?g=","-")</f>
        <v>-</v>
      </c>
      <c r="D702" s="14" t="s">
        <v>5000</v>
      </c>
      <c r="E702" s="14" t="str">
        <f>HYPERLINK("http://www.ncbi.nlm.nih.gov/sites/entrez?db=gene&amp;cmd=Retrieve&amp;dopt=full_report&amp;list_uids=6810","6810")</f>
        <v>6810</v>
      </c>
      <c r="F702" s="24" t="s">
        <v>5001</v>
      </c>
      <c r="G702" s="24" t="s">
        <v>5002</v>
      </c>
      <c r="H702" s="14" t="s">
        <v>5003</v>
      </c>
      <c r="I702" s="14" t="s">
        <v>5004</v>
      </c>
      <c r="J702" s="15" t="s">
        <v>4943</v>
      </c>
      <c r="K702" s="16">
        <v>190.94689199999999</v>
      </c>
      <c r="L702" s="17">
        <v>126.447739</v>
      </c>
      <c r="M702" s="18">
        <f t="shared" si="11"/>
        <v>0.66221417733261667</v>
      </c>
    </row>
    <row r="703" spans="1:13">
      <c r="A703" s="13" t="s">
        <v>4944</v>
      </c>
      <c r="B703" s="14" t="s">
        <v>4944</v>
      </c>
      <c r="C703" s="14" t="str">
        <f>HYPERLINK("http://uswest.ensembl.org/Homo_sapiens/Gene/Summary?g=","-")</f>
        <v>-</v>
      </c>
      <c r="D703" s="14" t="s">
        <v>8728</v>
      </c>
      <c r="E703" s="14" t="str">
        <f>HYPERLINK("http://www.ncbi.nlm.nih.gov/sites/entrez?db=gene&amp;cmd=Retrieve&amp;dopt=full_report&amp;list_uids=727900","727900")</f>
        <v>727900</v>
      </c>
      <c r="F703" s="24" t="s">
        <v>4945</v>
      </c>
      <c r="G703" s="24" t="s">
        <v>8728</v>
      </c>
      <c r="H703" s="14" t="s">
        <v>8728</v>
      </c>
      <c r="I703" s="14" t="s">
        <v>8728</v>
      </c>
      <c r="J703" s="15" t="s">
        <v>8728</v>
      </c>
      <c r="K703" s="16">
        <v>36.931089999999998</v>
      </c>
      <c r="L703" s="17">
        <v>24.461048999999999</v>
      </c>
      <c r="M703" s="18">
        <f t="shared" si="11"/>
        <v>0.6623430015198577</v>
      </c>
    </row>
    <row r="704" spans="1:13">
      <c r="A704" s="13" t="s">
        <v>4946</v>
      </c>
      <c r="B704" s="14" t="s">
        <v>4946</v>
      </c>
      <c r="C704" s="14" t="str">
        <f>HYPERLINK("http://uswest.ensembl.org/Homo_sapiens/Gene/Summary?g=","-")</f>
        <v>-</v>
      </c>
      <c r="D704" s="14" t="s">
        <v>8728</v>
      </c>
      <c r="E704" s="14" t="str">
        <f>HYPERLINK("http://www.ncbi.nlm.nih.gov/sites/entrez?db=gene&amp;cmd=Retrieve&amp;dopt=full_report&amp;list_uids=727847","727847")</f>
        <v>727847</v>
      </c>
      <c r="F704" s="24" t="s">
        <v>8728</v>
      </c>
      <c r="G704" s="24" t="s">
        <v>8728</v>
      </c>
      <c r="H704" s="14" t="s">
        <v>8728</v>
      </c>
      <c r="I704" s="14" t="s">
        <v>8728</v>
      </c>
      <c r="J704" s="15" t="s">
        <v>8728</v>
      </c>
      <c r="K704" s="16">
        <v>73.230206999999993</v>
      </c>
      <c r="L704" s="17">
        <v>48.503680000000003</v>
      </c>
      <c r="M704" s="18">
        <f t="shared" si="11"/>
        <v>0.66234525323682358</v>
      </c>
    </row>
    <row r="705" spans="1:13">
      <c r="A705" s="13" t="s">
        <v>4947</v>
      </c>
      <c r="B705" s="14" t="s">
        <v>4947</v>
      </c>
      <c r="C705" s="14" t="str">
        <f>HYPERLINK("http://uswest.ensembl.org/Homo_sapiens/Gene/Summary?g=ENSG00000149679","ENSG00000149679")</f>
        <v>ENSG00000149679</v>
      </c>
      <c r="D705" s="14" t="s">
        <v>4948</v>
      </c>
      <c r="E705" s="14" t="str">
        <f>HYPERLINK("http://www.ncbi.nlm.nih.gov/sites/entrez?db=gene&amp;cmd=Retrieve&amp;dopt=full_report&amp;list_uids=81928","81928")</f>
        <v>81928</v>
      </c>
      <c r="F705" s="24" t="s">
        <v>4949</v>
      </c>
      <c r="G705" s="24" t="s">
        <v>4950</v>
      </c>
      <c r="H705" s="14" t="s">
        <v>4951</v>
      </c>
      <c r="I705" s="14" t="s">
        <v>4952</v>
      </c>
      <c r="J705" s="15" t="s">
        <v>8728</v>
      </c>
      <c r="K705" s="16">
        <v>43.407300999999997</v>
      </c>
      <c r="L705" s="17">
        <v>28.752967999999999</v>
      </c>
      <c r="M705" s="18">
        <f t="shared" si="11"/>
        <v>0.66239935074516609</v>
      </c>
    </row>
    <row r="706" spans="1:13">
      <c r="A706" s="13" t="s">
        <v>4931</v>
      </c>
      <c r="B706" s="14" t="s">
        <v>4931</v>
      </c>
      <c r="C706" s="14" t="str">
        <f>HYPERLINK("http://uswest.ensembl.org/Homo_sapiens/Gene/Summary?g=ENSG00000056736","ENSG00000056736")</f>
        <v>ENSG00000056736</v>
      </c>
      <c r="D706" s="14" t="s">
        <v>4932</v>
      </c>
      <c r="E706" s="14" t="str">
        <f>HYPERLINK("http://www.ncbi.nlm.nih.gov/sites/entrez?db=gene&amp;cmd=Retrieve&amp;dopt=full_report&amp;list_uids=55540","55540")</f>
        <v>55540</v>
      </c>
      <c r="F706" s="24" t="s">
        <v>4933</v>
      </c>
      <c r="G706" s="24" t="s">
        <v>4934</v>
      </c>
      <c r="H706" s="14" t="s">
        <v>4935</v>
      </c>
      <c r="I706" s="14" t="s">
        <v>4936</v>
      </c>
      <c r="J706" s="15" t="s">
        <v>8063</v>
      </c>
      <c r="K706" s="16">
        <v>227.76747399999999</v>
      </c>
      <c r="L706" s="17">
        <v>150.99941999999999</v>
      </c>
      <c r="M706" s="18">
        <f t="shared" ref="M706:M769" si="12">L706/K706</f>
        <v>0.6629542723909736</v>
      </c>
    </row>
    <row r="707" spans="1:13">
      <c r="A707" s="13" t="s">
        <v>4937</v>
      </c>
      <c r="B707" s="14" t="s">
        <v>4937</v>
      </c>
      <c r="C707" s="14" t="str">
        <f>HYPERLINK("http://uswest.ensembl.org/Homo_sapiens/Gene/Summary?g=ENSG00000102128","ENSG00000102128")</f>
        <v>ENSG00000102128</v>
      </c>
      <c r="D707" s="14" t="s">
        <v>4938</v>
      </c>
      <c r="E707" s="14" t="str">
        <f>HYPERLINK("http://www.ncbi.nlm.nih.gov/sites/entrez?db=gene&amp;cmd=Retrieve&amp;dopt=full_report&amp;list_uids=282808","282808")</f>
        <v>282808</v>
      </c>
      <c r="F707" s="24" t="s">
        <v>4939</v>
      </c>
      <c r="G707" s="24" t="s">
        <v>4993</v>
      </c>
      <c r="H707" s="19" t="s">
        <v>8482</v>
      </c>
      <c r="I707" s="14" t="s">
        <v>8467</v>
      </c>
      <c r="J707" s="15" t="s">
        <v>4994</v>
      </c>
      <c r="K707" s="16">
        <v>47.466498000000001</v>
      </c>
      <c r="L707" s="17">
        <v>31.468641999999999</v>
      </c>
      <c r="M707" s="18">
        <f t="shared" si="12"/>
        <v>0.66296531924474389</v>
      </c>
    </row>
    <row r="708" spans="1:13">
      <c r="A708" s="13" t="s">
        <v>4995</v>
      </c>
      <c r="B708" s="14" t="s">
        <v>4995</v>
      </c>
      <c r="C708" s="14" t="str">
        <f>HYPERLINK("http://uswest.ensembl.org/Homo_sapiens/Gene/Summary?g=ENSG00000176170","ENSG00000176170")</f>
        <v>ENSG00000176170</v>
      </c>
      <c r="D708" s="14" t="s">
        <v>4996</v>
      </c>
      <c r="E708" s="14" t="str">
        <f>HYPERLINK("http://www.ncbi.nlm.nih.gov/sites/entrez?db=gene&amp;cmd=Retrieve&amp;dopt=full_report&amp;list_uids=8877","8877")</f>
        <v>8877</v>
      </c>
      <c r="F708" s="24" t="s">
        <v>4997</v>
      </c>
      <c r="G708" s="24" t="s">
        <v>4971</v>
      </c>
      <c r="H708" s="19" t="s">
        <v>4928</v>
      </c>
      <c r="I708" s="19" t="s">
        <v>4929</v>
      </c>
      <c r="J708" s="15" t="s">
        <v>4930</v>
      </c>
      <c r="K708" s="16">
        <v>33.993653000000002</v>
      </c>
      <c r="L708" s="17">
        <v>22.537935999999998</v>
      </c>
      <c r="M708" s="18">
        <f t="shared" si="12"/>
        <v>0.66300423787934759</v>
      </c>
    </row>
    <row r="709" spans="1:13">
      <c r="A709" s="13" t="s">
        <v>4916</v>
      </c>
      <c r="B709" s="14" t="s">
        <v>4916</v>
      </c>
      <c r="C709" s="14" t="str">
        <f>HYPERLINK("http://uswest.ensembl.org/Homo_sapiens/Gene/Summary?g=ENSG00000214891","ENSG00000214891")</f>
        <v>ENSG00000214891</v>
      </c>
      <c r="D709" s="14" t="s">
        <v>8728</v>
      </c>
      <c r="E709" s="14" t="str">
        <f>HYPERLINK("http://www.ncbi.nlm.nih.gov/sites/entrez?db=gene&amp;cmd=Retrieve&amp;dopt=full_report&amp;list_uids=646754","646754")</f>
        <v>646754</v>
      </c>
      <c r="F709" s="24" t="s">
        <v>4917</v>
      </c>
      <c r="G709" s="24" t="s">
        <v>4918</v>
      </c>
      <c r="H709" s="14" t="s">
        <v>8728</v>
      </c>
      <c r="I709" s="14" t="s">
        <v>8609</v>
      </c>
      <c r="J709" s="15" t="s">
        <v>8707</v>
      </c>
      <c r="K709" s="16">
        <v>33.200356999999997</v>
      </c>
      <c r="L709" s="17">
        <v>22.015295999999999</v>
      </c>
      <c r="M709" s="18">
        <f t="shared" si="12"/>
        <v>0.66310419493380757</v>
      </c>
    </row>
    <row r="710" spans="1:13">
      <c r="A710" s="13" t="s">
        <v>4919</v>
      </c>
      <c r="B710" s="14" t="s">
        <v>4919</v>
      </c>
      <c r="C710" s="14" t="str">
        <f>HYPERLINK("http://uswest.ensembl.org/Homo_sapiens/Gene/Summary?g=","-")</f>
        <v>-</v>
      </c>
      <c r="D710" s="14" t="s">
        <v>8728</v>
      </c>
      <c r="E710" s="14" t="str">
        <f>HYPERLINK("http://www.ncbi.nlm.nih.gov/sites/entrez?db=gene&amp;cmd=Retrieve&amp;dopt=full_report&amp;list_uids=100289625","100289625")</f>
        <v>100289625</v>
      </c>
      <c r="F710" s="24" t="s">
        <v>4920</v>
      </c>
      <c r="G710" s="24" t="s">
        <v>8728</v>
      </c>
      <c r="H710" s="14" t="s">
        <v>8728</v>
      </c>
      <c r="I710" s="14" t="s">
        <v>8728</v>
      </c>
      <c r="J710" s="15" t="s">
        <v>8728</v>
      </c>
      <c r="K710" s="16">
        <v>40.701796999999999</v>
      </c>
      <c r="L710" s="17">
        <v>26.991696999999998</v>
      </c>
      <c r="M710" s="18">
        <f t="shared" si="12"/>
        <v>0.66315737853048595</v>
      </c>
    </row>
    <row r="711" spans="1:13">
      <c r="A711" s="13" t="s">
        <v>4921</v>
      </c>
      <c r="B711" s="14" t="s">
        <v>4921</v>
      </c>
      <c r="C711" s="14" t="str">
        <f>HYPERLINK("http://uswest.ensembl.org/Homo_sapiens/Gene/Summary?g=","-")</f>
        <v>-</v>
      </c>
      <c r="D711" s="14" t="s">
        <v>4922</v>
      </c>
      <c r="E711" s="14" t="str">
        <f>HYPERLINK("http://www.ncbi.nlm.nih.gov/sites/entrez?db=gene&amp;cmd=Retrieve&amp;dopt=full_report&amp;list_uids=9445","9445")</f>
        <v>9445</v>
      </c>
      <c r="F711" s="24" t="s">
        <v>7274</v>
      </c>
      <c r="G711" s="24" t="s">
        <v>7303</v>
      </c>
      <c r="H711" s="14" t="s">
        <v>4923</v>
      </c>
      <c r="I711" s="14" t="s">
        <v>8728</v>
      </c>
      <c r="J711" s="15" t="s">
        <v>4924</v>
      </c>
      <c r="K711" s="16">
        <v>2959.108358</v>
      </c>
      <c r="L711" s="17">
        <v>1962.655538</v>
      </c>
      <c r="M711" s="18">
        <f t="shared" si="12"/>
        <v>0.66325909718511222</v>
      </c>
    </row>
    <row r="712" spans="1:13">
      <c r="A712" s="13" t="s">
        <v>4925</v>
      </c>
      <c r="B712" s="14" t="s">
        <v>4925</v>
      </c>
      <c r="C712" s="14" t="str">
        <f>HYPERLINK("http://uswest.ensembl.org/Homo_sapiens/Gene/Summary?g=ENSG00000183010","ENSG00000183010")</f>
        <v>ENSG00000183010</v>
      </c>
      <c r="D712" s="14" t="s">
        <v>4926</v>
      </c>
      <c r="E712" s="14" t="str">
        <f>HYPERLINK("http://www.ncbi.nlm.nih.gov/sites/entrez?db=gene&amp;cmd=Retrieve&amp;dopt=full_report&amp;list_uids=5831","5831")</f>
        <v>5831</v>
      </c>
      <c r="F712" s="24" t="s">
        <v>4927</v>
      </c>
      <c r="G712" s="24" t="s">
        <v>4969</v>
      </c>
      <c r="H712" s="14" t="s">
        <v>4970</v>
      </c>
      <c r="I712" s="14" t="s">
        <v>4907</v>
      </c>
      <c r="J712" s="15" t="s">
        <v>8619</v>
      </c>
      <c r="K712" s="16">
        <v>109.71634400000001</v>
      </c>
      <c r="L712" s="17">
        <v>72.791002000000006</v>
      </c>
      <c r="M712" s="18">
        <f t="shared" si="12"/>
        <v>0.66344720709979177</v>
      </c>
    </row>
    <row r="713" spans="1:13">
      <c r="A713" s="13" t="s">
        <v>4908</v>
      </c>
      <c r="B713" s="14" t="s">
        <v>4908</v>
      </c>
      <c r="C713" s="14" t="str">
        <f>HYPERLINK("http://uswest.ensembl.org/Homo_sapiens/Gene/Summary?g=ENSG00000164088","ENSG00000164088")</f>
        <v>ENSG00000164088</v>
      </c>
      <c r="D713" s="14" t="s">
        <v>8728</v>
      </c>
      <c r="E713" s="14" t="str">
        <f>HYPERLINK("http://www.ncbi.nlm.nih.gov/sites/entrez?db=gene&amp;cmd=Retrieve&amp;dopt=full_report&amp;list_uids=132160","132160")</f>
        <v>132160</v>
      </c>
      <c r="F713" s="24" t="s">
        <v>4909</v>
      </c>
      <c r="G713" s="24" t="s">
        <v>4910</v>
      </c>
      <c r="H713" s="14" t="s">
        <v>7487</v>
      </c>
      <c r="I713" s="14" t="s">
        <v>4940</v>
      </c>
      <c r="J713" s="15" t="s">
        <v>8558</v>
      </c>
      <c r="K713" s="16">
        <v>33.373859000000003</v>
      </c>
      <c r="L713" s="17">
        <v>22.150894000000001</v>
      </c>
      <c r="M713" s="18">
        <f t="shared" si="12"/>
        <v>0.66371988927022196</v>
      </c>
    </row>
    <row r="714" spans="1:13">
      <c r="A714" s="13" t="s">
        <v>4911</v>
      </c>
      <c r="B714" s="14" t="s">
        <v>4911</v>
      </c>
      <c r="C714" s="14" t="str">
        <f>HYPERLINK("http://uswest.ensembl.org/Homo_sapiens/Gene/Summary?g=ENSG00000121552","ENSG00000121552")</f>
        <v>ENSG00000121552</v>
      </c>
      <c r="D714" s="14" t="s">
        <v>4912</v>
      </c>
      <c r="E714" s="14" t="str">
        <f>HYPERLINK("http://www.ncbi.nlm.nih.gov/sites/entrez?db=gene&amp;cmd=Retrieve&amp;dopt=full_report&amp;list_uids=1475","1475")</f>
        <v>1475</v>
      </c>
      <c r="F714" s="24" t="s">
        <v>4913</v>
      </c>
      <c r="G714" s="24" t="s">
        <v>4914</v>
      </c>
      <c r="H714" s="14" t="s">
        <v>4915</v>
      </c>
      <c r="I714" s="14" t="s">
        <v>4902</v>
      </c>
      <c r="J714" s="15" t="s">
        <v>4895</v>
      </c>
      <c r="K714" s="16">
        <v>1252.872887</v>
      </c>
      <c r="L714" s="17">
        <v>831.70026600000006</v>
      </c>
      <c r="M714" s="18">
        <f t="shared" si="12"/>
        <v>0.663834515560077</v>
      </c>
    </row>
    <row r="715" spans="1:13">
      <c r="A715" s="13" t="s">
        <v>4896</v>
      </c>
      <c r="B715" s="14" t="s">
        <v>4896</v>
      </c>
      <c r="C715" s="14" t="str">
        <f>HYPERLINK("http://uswest.ensembl.org/Homo_sapiens/Gene/Summary?g=","-")</f>
        <v>-</v>
      </c>
      <c r="D715" s="14" t="s">
        <v>4897</v>
      </c>
      <c r="E715" s="14" t="str">
        <f>HYPERLINK("http://www.ncbi.nlm.nih.gov/sites/entrez?db=gene&amp;cmd=Retrieve&amp;dopt=full_report&amp;list_uids=2665","2665")</f>
        <v>2665</v>
      </c>
      <c r="F715" s="24" t="s">
        <v>4898</v>
      </c>
      <c r="G715" s="24" t="s">
        <v>4903</v>
      </c>
      <c r="H715" s="14" t="s">
        <v>4904</v>
      </c>
      <c r="I715" s="14" t="s">
        <v>4905</v>
      </c>
      <c r="J715" s="15" t="s">
        <v>4906</v>
      </c>
      <c r="K715" s="16">
        <v>892.95327399999996</v>
      </c>
      <c r="L715" s="17">
        <v>592.93003399999998</v>
      </c>
      <c r="M715" s="18">
        <f t="shared" si="12"/>
        <v>0.66401014617927256</v>
      </c>
    </row>
    <row r="716" spans="1:13">
      <c r="A716" s="13" t="s">
        <v>4899</v>
      </c>
      <c r="B716" s="14" t="s">
        <v>4899</v>
      </c>
      <c r="C716" s="14" t="str">
        <f>HYPERLINK("http://uswest.ensembl.org/Homo_sapiens/Gene/Summary?g=","-")</f>
        <v>-</v>
      </c>
      <c r="D716" s="14" t="s">
        <v>4900</v>
      </c>
      <c r="E716" s="14" t="str">
        <f>HYPERLINK("http://www.ncbi.nlm.nih.gov/sites/entrez?db=gene&amp;cmd=Retrieve&amp;dopt=full_report&amp;list_uids=1266","1266")</f>
        <v>1266</v>
      </c>
      <c r="F716" s="24" t="s">
        <v>4901</v>
      </c>
      <c r="G716" s="24" t="s">
        <v>4887</v>
      </c>
      <c r="H716" s="14" t="s">
        <v>4888</v>
      </c>
      <c r="I716" s="14" t="s">
        <v>4889</v>
      </c>
      <c r="J716" s="15" t="s">
        <v>4890</v>
      </c>
      <c r="K716" s="16">
        <v>119.259933</v>
      </c>
      <c r="L716" s="17">
        <v>79.207770999999994</v>
      </c>
      <c r="M716" s="18">
        <f t="shared" si="12"/>
        <v>0.66416078734506745</v>
      </c>
    </row>
    <row r="717" spans="1:13">
      <c r="A717" s="13" t="s">
        <v>4942</v>
      </c>
      <c r="B717" s="14" t="s">
        <v>4942</v>
      </c>
      <c r="C717" s="14" t="str">
        <f>HYPERLINK("http://uswest.ensembl.org/Homo_sapiens/Gene/Summary?g=","-")</f>
        <v>-</v>
      </c>
      <c r="D717" s="14" t="s">
        <v>8728</v>
      </c>
      <c r="E717" s="14" t="str">
        <f>HYPERLINK("http://www.ncbi.nlm.nih.gov/sites/entrez?db=gene&amp;cmd=Retrieve&amp;dopt=full_report&amp;list_uids=100133405","100133405")</f>
        <v>100133405</v>
      </c>
      <c r="F717" s="24" t="s">
        <v>8728</v>
      </c>
      <c r="G717" s="24" t="s">
        <v>8728</v>
      </c>
      <c r="H717" s="14" t="s">
        <v>8728</v>
      </c>
      <c r="I717" s="14" t="s">
        <v>8728</v>
      </c>
      <c r="J717" s="15" t="s">
        <v>8728</v>
      </c>
      <c r="K717" s="16">
        <v>67.277473000000001</v>
      </c>
      <c r="L717" s="17">
        <v>44.691446999999997</v>
      </c>
      <c r="M717" s="18">
        <f t="shared" si="12"/>
        <v>0.66428545852190368</v>
      </c>
    </row>
    <row r="718" spans="1:13">
      <c r="A718" s="13" t="s">
        <v>4891</v>
      </c>
      <c r="B718" s="14" t="s">
        <v>4891</v>
      </c>
      <c r="C718" s="14" t="str">
        <f>HYPERLINK("http://uswest.ensembl.org/Homo_sapiens/Gene/Summary?g=","-")</f>
        <v>-</v>
      </c>
      <c r="D718" s="14" t="s">
        <v>4892</v>
      </c>
      <c r="E718" s="14" t="str">
        <f>HYPERLINK("http://www.ncbi.nlm.nih.gov/sites/entrez?db=gene&amp;cmd=Retrieve&amp;dopt=full_report&amp;list_uids=435","435")</f>
        <v>435</v>
      </c>
      <c r="F718" s="24" t="s">
        <v>4893</v>
      </c>
      <c r="G718" s="24" t="s">
        <v>4894</v>
      </c>
      <c r="H718" s="19" t="s">
        <v>4884</v>
      </c>
      <c r="I718" s="14" t="s">
        <v>4885</v>
      </c>
      <c r="J718" s="15" t="s">
        <v>8619</v>
      </c>
      <c r="K718" s="16">
        <v>172.75164599999999</v>
      </c>
      <c r="L718" s="17">
        <v>114.900002</v>
      </c>
      <c r="M718" s="18">
        <f t="shared" si="12"/>
        <v>0.66511668432959536</v>
      </c>
    </row>
    <row r="719" spans="1:13">
      <c r="A719" s="13" t="s">
        <v>4845</v>
      </c>
      <c r="B719" s="14" t="s">
        <v>4845</v>
      </c>
      <c r="C719" s="14" t="str">
        <f>HYPERLINK("http://uswest.ensembl.org/Homo_sapiens/Gene/Summary?g=ENSG00000115041","ENSG00000115041")</f>
        <v>ENSG00000115041</v>
      </c>
      <c r="D719" s="14" t="s">
        <v>4846</v>
      </c>
      <c r="E719" s="14" t="str">
        <f>HYPERLINK("http://www.ncbi.nlm.nih.gov/sites/entrez?db=gene&amp;cmd=Retrieve&amp;dopt=full_report&amp;list_uids=30818","30818")</f>
        <v>30818</v>
      </c>
      <c r="F719" s="24" t="s">
        <v>4847</v>
      </c>
      <c r="G719" s="24" t="s">
        <v>4848</v>
      </c>
      <c r="H719" s="19" t="s">
        <v>4886</v>
      </c>
      <c r="I719" s="19" t="s">
        <v>4859</v>
      </c>
      <c r="J719" s="15" t="s">
        <v>4860</v>
      </c>
      <c r="K719" s="16">
        <v>42.299512999999997</v>
      </c>
      <c r="L719" s="17">
        <v>28.136571</v>
      </c>
      <c r="M719" s="18">
        <f t="shared" si="12"/>
        <v>0.66517482127985728</v>
      </c>
    </row>
    <row r="720" spans="1:13">
      <c r="A720" s="13" t="s">
        <v>4861</v>
      </c>
      <c r="B720" s="14" t="s">
        <v>4861</v>
      </c>
      <c r="C720" s="14" t="str">
        <f>HYPERLINK("http://uswest.ensembl.org/Homo_sapiens/Gene/Summary?g=","-")</f>
        <v>-</v>
      </c>
      <c r="D720" s="14" t="s">
        <v>4862</v>
      </c>
      <c r="E720" s="14" t="str">
        <f>HYPERLINK("http://www.ncbi.nlm.nih.gov/sites/entrez?db=gene&amp;cmd=Retrieve&amp;dopt=full_report&amp;list_uids=387103","387103")</f>
        <v>387103</v>
      </c>
      <c r="F720" s="24" t="s">
        <v>4863</v>
      </c>
      <c r="G720" s="24" t="s">
        <v>4864</v>
      </c>
      <c r="H720" s="14" t="s">
        <v>8728</v>
      </c>
      <c r="I720" s="14" t="s">
        <v>8682</v>
      </c>
      <c r="J720" s="15" t="s">
        <v>8558</v>
      </c>
      <c r="K720" s="16">
        <v>410.75282199999998</v>
      </c>
      <c r="L720" s="17">
        <v>273.24741</v>
      </c>
      <c r="M720" s="18">
        <f t="shared" si="12"/>
        <v>0.66523562435804762</v>
      </c>
    </row>
    <row r="721" spans="1:13">
      <c r="A721" s="13" t="s">
        <v>4865</v>
      </c>
      <c r="B721" s="14" t="s">
        <v>4865</v>
      </c>
      <c r="C721" s="14" t="str">
        <f>HYPERLINK("http://uswest.ensembl.org/Homo_sapiens/Gene/Summary?g=ENSG00000011478","ENSG00000011478")</f>
        <v>ENSG00000011478</v>
      </c>
      <c r="D721" s="14" t="s">
        <v>4866</v>
      </c>
      <c r="E721" s="14" t="str">
        <f>HYPERLINK("http://www.ncbi.nlm.nih.gov/sites/entrez?db=gene&amp;cmd=Retrieve&amp;dopt=full_report&amp;list_uids=","-")</f>
        <v>-</v>
      </c>
      <c r="F721" s="24" t="s">
        <v>4867</v>
      </c>
      <c r="G721" s="24" t="s">
        <v>4868</v>
      </c>
      <c r="H721" s="14" t="s">
        <v>8623</v>
      </c>
      <c r="I721" s="14" t="s">
        <v>4869</v>
      </c>
      <c r="J721" s="15" t="s">
        <v>8728</v>
      </c>
      <c r="K721" s="16">
        <v>46.194104000000003</v>
      </c>
      <c r="L721" s="17">
        <v>30.733996000000001</v>
      </c>
      <c r="M721" s="18">
        <f t="shared" si="12"/>
        <v>0.66532291653497599</v>
      </c>
    </row>
    <row r="722" spans="1:13">
      <c r="A722" s="13" t="s">
        <v>4875</v>
      </c>
      <c r="B722" s="14" t="s">
        <v>4875</v>
      </c>
      <c r="C722" s="14" t="str">
        <f>HYPERLINK("http://uswest.ensembl.org/Homo_sapiens/Gene/Summary?g=ENSG00000135378","ENSG00000135378")</f>
        <v>ENSG00000135378</v>
      </c>
      <c r="D722" s="14" t="s">
        <v>4876</v>
      </c>
      <c r="E722" s="14" t="str">
        <f>HYPERLINK("http://www.ncbi.nlm.nih.gov/sites/entrez?db=gene&amp;cmd=Retrieve&amp;dopt=full_report&amp;list_uids=79056","79056")</f>
        <v>79056</v>
      </c>
      <c r="F722" s="24" t="s">
        <v>4877</v>
      </c>
      <c r="G722" s="24" t="s">
        <v>4878</v>
      </c>
      <c r="H722" s="14" t="s">
        <v>8076</v>
      </c>
      <c r="I722" s="14" t="s">
        <v>4879</v>
      </c>
      <c r="J722" s="15" t="s">
        <v>4880</v>
      </c>
      <c r="K722" s="16">
        <v>33.284193000000002</v>
      </c>
      <c r="L722" s="17">
        <v>22.146740000000001</v>
      </c>
      <c r="M722" s="18">
        <f t="shared" si="12"/>
        <v>0.66538311444114029</v>
      </c>
    </row>
    <row r="723" spans="1:13">
      <c r="A723" s="13" t="s">
        <v>4881</v>
      </c>
      <c r="B723" s="14" t="s">
        <v>4881</v>
      </c>
      <c r="C723" s="14" t="str">
        <f>HYPERLINK("http://uswest.ensembl.org/Homo_sapiens/Gene/Summary?g=ENSG00000148218","ENSG00000148218")</f>
        <v>ENSG00000148218</v>
      </c>
      <c r="D723" s="14" t="s">
        <v>4882</v>
      </c>
      <c r="E723" s="14" t="str">
        <f>HYPERLINK("http://www.ncbi.nlm.nih.gov/sites/entrez?db=gene&amp;cmd=Retrieve&amp;dopt=full_report&amp;list_uids=210","210")</f>
        <v>210</v>
      </c>
      <c r="F723" s="24" t="s">
        <v>4883</v>
      </c>
      <c r="G723" s="24" t="s">
        <v>4830</v>
      </c>
      <c r="H723" s="14" t="s">
        <v>4870</v>
      </c>
      <c r="I723" s="14" t="s">
        <v>4871</v>
      </c>
      <c r="J723" s="15" t="s">
        <v>8096</v>
      </c>
      <c r="K723" s="16">
        <v>85.540272999999999</v>
      </c>
      <c r="L723" s="17">
        <v>56.918841</v>
      </c>
      <c r="M723" s="18">
        <f t="shared" si="12"/>
        <v>0.66540401384971026</v>
      </c>
    </row>
    <row r="724" spans="1:13">
      <c r="A724" s="13" t="s">
        <v>4872</v>
      </c>
      <c r="B724" s="14" t="s">
        <v>4872</v>
      </c>
      <c r="C724" s="14" t="str">
        <f>HYPERLINK("http://uswest.ensembl.org/Homo_sapiens/Gene/Summary?g=","-")</f>
        <v>-</v>
      </c>
      <c r="D724" s="14" t="s">
        <v>4873</v>
      </c>
      <c r="E724" s="14" t="str">
        <f>HYPERLINK("http://www.ncbi.nlm.nih.gov/sites/entrez?db=gene&amp;cmd=Retrieve&amp;dopt=full_report&amp;list_uids=55967","55967")</f>
        <v>55967</v>
      </c>
      <c r="F724" s="24" t="s">
        <v>4874</v>
      </c>
      <c r="G724" s="24" t="s">
        <v>4835</v>
      </c>
      <c r="H724" s="14" t="s">
        <v>4836</v>
      </c>
      <c r="I724" s="14" t="s">
        <v>4837</v>
      </c>
      <c r="J724" s="15" t="s">
        <v>4838</v>
      </c>
      <c r="K724" s="16">
        <v>1440.785351</v>
      </c>
      <c r="L724" s="17">
        <v>958.85547599999995</v>
      </c>
      <c r="M724" s="18">
        <f t="shared" si="12"/>
        <v>0.6655089013325205</v>
      </c>
    </row>
    <row r="725" spans="1:13">
      <c r="A725" s="13" t="s">
        <v>4839</v>
      </c>
      <c r="B725" s="14" t="s">
        <v>4839</v>
      </c>
      <c r="C725" s="14" t="str">
        <f>HYPERLINK("http://uswest.ensembl.org/Homo_sapiens/Gene/Summary?g=","-")</f>
        <v>-</v>
      </c>
      <c r="D725" s="14" t="s">
        <v>4840</v>
      </c>
      <c r="E725" s="14" t="str">
        <f>HYPERLINK("http://www.ncbi.nlm.nih.gov/sites/entrez?db=gene&amp;cmd=Retrieve&amp;dopt=full_report&amp;list_uids=54682","54682")</f>
        <v>54682</v>
      </c>
      <c r="F725" s="24" t="s">
        <v>4841</v>
      </c>
      <c r="G725" s="24" t="s">
        <v>4842</v>
      </c>
      <c r="H725" s="14" t="s">
        <v>8728</v>
      </c>
      <c r="I725" s="14" t="s">
        <v>8728</v>
      </c>
      <c r="J725" s="15" t="s">
        <v>8698</v>
      </c>
      <c r="K725" s="16">
        <v>38.131155999999997</v>
      </c>
      <c r="L725" s="17">
        <v>25.385513</v>
      </c>
      <c r="M725" s="18">
        <f t="shared" si="12"/>
        <v>0.66574202471071164</v>
      </c>
    </row>
    <row r="726" spans="1:13">
      <c r="A726" s="13" t="s">
        <v>4843</v>
      </c>
      <c r="B726" s="14" t="s">
        <v>4843</v>
      </c>
      <c r="C726" s="14" t="str">
        <f>HYPERLINK("http://uswest.ensembl.org/Homo_sapiens/Gene/Summary?g=","-")</f>
        <v>-</v>
      </c>
      <c r="D726" s="14" t="s">
        <v>8728</v>
      </c>
      <c r="E726" s="14" t="str">
        <f>HYPERLINK("http://www.ncbi.nlm.nih.gov/sites/entrez?db=gene&amp;cmd=Retrieve&amp;dopt=full_report&amp;list_uids=100129083","100129083")</f>
        <v>100129083</v>
      </c>
      <c r="F726" s="24" t="s">
        <v>8728</v>
      </c>
      <c r="G726" s="24" t="s">
        <v>8728</v>
      </c>
      <c r="H726" s="14" t="s">
        <v>8728</v>
      </c>
      <c r="I726" s="14" t="s">
        <v>8728</v>
      </c>
      <c r="J726" s="15" t="s">
        <v>8728</v>
      </c>
      <c r="K726" s="16">
        <v>60.734237999999998</v>
      </c>
      <c r="L726" s="17">
        <v>40.441468999999998</v>
      </c>
      <c r="M726" s="18">
        <f t="shared" si="12"/>
        <v>0.66587595945469835</v>
      </c>
    </row>
    <row r="727" spans="1:13">
      <c r="A727" s="13" t="s">
        <v>4806</v>
      </c>
      <c r="B727" s="14" t="s">
        <v>4806</v>
      </c>
      <c r="C727" s="14" t="str">
        <f>HYPERLINK("http://uswest.ensembl.org/Homo_sapiens/Gene/Summary?g=ENSG00000173801","ENSG00000173801")</f>
        <v>ENSG00000173801</v>
      </c>
      <c r="D727" s="14" t="s">
        <v>4807</v>
      </c>
      <c r="E727" s="14" t="str">
        <f>HYPERLINK("http://www.ncbi.nlm.nih.gov/sites/entrez?db=gene&amp;cmd=Retrieve&amp;dopt=full_report&amp;list_uids=3728","3728")</f>
        <v>3728</v>
      </c>
      <c r="F727" s="24" t="s">
        <v>4808</v>
      </c>
      <c r="G727" s="24" t="s">
        <v>4809</v>
      </c>
      <c r="H727" s="14" t="s">
        <v>4810</v>
      </c>
      <c r="I727" s="14" t="s">
        <v>8612</v>
      </c>
      <c r="J727" s="20" t="s">
        <v>4811</v>
      </c>
      <c r="K727" s="16">
        <v>49.013036</v>
      </c>
      <c r="L727" s="17">
        <v>32.644534999999998</v>
      </c>
      <c r="M727" s="18">
        <f t="shared" si="12"/>
        <v>0.66603780675818569</v>
      </c>
    </row>
    <row r="728" spans="1:13">
      <c r="A728" s="13" t="s">
        <v>4812</v>
      </c>
      <c r="B728" s="14" t="s">
        <v>4812</v>
      </c>
      <c r="C728" s="14" t="str">
        <f>HYPERLINK("http://uswest.ensembl.org/Homo_sapiens/Gene/Summary?g=ENSG00000005844","ENSG00000005844")</f>
        <v>ENSG00000005844</v>
      </c>
      <c r="D728" s="14" t="s">
        <v>4849</v>
      </c>
      <c r="E728" s="14" t="str">
        <f>HYPERLINK("http://www.ncbi.nlm.nih.gov/sites/entrez?db=gene&amp;cmd=Retrieve&amp;dopt=full_report&amp;list_uids=3683","3683")</f>
        <v>3683</v>
      </c>
      <c r="F728" s="24" t="s">
        <v>4850</v>
      </c>
      <c r="G728" s="24" t="s">
        <v>4858</v>
      </c>
      <c r="H728" s="14" t="s">
        <v>8420</v>
      </c>
      <c r="I728" s="14" t="s">
        <v>8295</v>
      </c>
      <c r="J728" s="15" t="s">
        <v>8539</v>
      </c>
      <c r="K728" s="16">
        <v>102.521334</v>
      </c>
      <c r="L728" s="17">
        <v>68.290592000000004</v>
      </c>
      <c r="M728" s="18">
        <f t="shared" si="12"/>
        <v>0.66611103597227872</v>
      </c>
    </row>
    <row r="729" spans="1:13">
      <c r="A729" s="13" t="s">
        <v>4822</v>
      </c>
      <c r="B729" s="14" t="s">
        <v>4822</v>
      </c>
      <c r="C729" s="14" t="str">
        <f>HYPERLINK("http://uswest.ensembl.org/Homo_sapiens/Gene/Summary?g=ENSG00000220038","ENSG00000220038")</f>
        <v>ENSG00000220038</v>
      </c>
      <c r="D729" s="14" t="s">
        <v>8728</v>
      </c>
      <c r="E729" s="14" t="str">
        <f>HYPERLINK("http://www.ncbi.nlm.nih.gov/sites/entrez?db=gene&amp;cmd=Retrieve&amp;dopt=full_report&amp;list_uids=","-")</f>
        <v>-</v>
      </c>
      <c r="F729" s="24" t="s">
        <v>4823</v>
      </c>
      <c r="G729" s="24" t="s">
        <v>8728</v>
      </c>
      <c r="H729" s="14" t="s">
        <v>8728</v>
      </c>
      <c r="I729" s="14" t="s">
        <v>8728</v>
      </c>
      <c r="J729" s="15" t="s">
        <v>8728</v>
      </c>
      <c r="K729" s="16">
        <v>110.605358</v>
      </c>
      <c r="L729" s="17">
        <v>73.684611000000004</v>
      </c>
      <c r="M729" s="18">
        <f t="shared" si="12"/>
        <v>0.66619386558108706</v>
      </c>
    </row>
    <row r="730" spans="1:13">
      <c r="A730" s="13" t="s">
        <v>4831</v>
      </c>
      <c r="B730" s="14" t="s">
        <v>4831</v>
      </c>
      <c r="C730" s="14" t="str">
        <f>HYPERLINK("http://uswest.ensembl.org/Homo_sapiens/Gene/Summary?g=","-")</f>
        <v>-</v>
      </c>
      <c r="D730" s="14" t="s">
        <v>8728</v>
      </c>
      <c r="E730" s="14" t="str">
        <f>HYPERLINK("http://www.ncbi.nlm.nih.gov/sites/entrez?db=gene&amp;cmd=Retrieve&amp;dopt=full_report&amp;list_uids=100293126","100293126")</f>
        <v>100293126</v>
      </c>
      <c r="F730" s="24" t="s">
        <v>4832</v>
      </c>
      <c r="G730" s="24" t="s">
        <v>8728</v>
      </c>
      <c r="H730" s="14" t="s">
        <v>8728</v>
      </c>
      <c r="I730" s="14" t="s">
        <v>8728</v>
      </c>
      <c r="J730" s="15" t="s">
        <v>8728</v>
      </c>
      <c r="K730" s="16">
        <v>341.571572</v>
      </c>
      <c r="L730" s="17">
        <v>227.608149</v>
      </c>
      <c r="M730" s="18">
        <f t="shared" si="12"/>
        <v>0.66635565620197457</v>
      </c>
    </row>
    <row r="731" spans="1:13">
      <c r="A731" s="13" t="s">
        <v>4833</v>
      </c>
      <c r="B731" s="14" t="s">
        <v>4833</v>
      </c>
      <c r="C731" s="14" t="str">
        <f>HYPERLINK("http://uswest.ensembl.org/Homo_sapiens/Gene/Summary?g=ENSG00000177504","ENSG00000177504")</f>
        <v>ENSG00000177504</v>
      </c>
      <c r="D731" s="14" t="s">
        <v>8728</v>
      </c>
      <c r="E731" s="14" t="str">
        <f>HYPERLINK("http://www.ncbi.nlm.nih.gov/sites/entrez?db=gene&amp;cmd=Retrieve&amp;dopt=full_report&amp;list_uids=51480","51480")</f>
        <v>51480</v>
      </c>
      <c r="F731" s="24" t="s">
        <v>4834</v>
      </c>
      <c r="G731" s="24" t="s">
        <v>4853</v>
      </c>
      <c r="H731" s="14" t="s">
        <v>8076</v>
      </c>
      <c r="I731" s="14" t="s">
        <v>8648</v>
      </c>
      <c r="J731" s="15" t="s">
        <v>7768</v>
      </c>
      <c r="K731" s="16">
        <v>32.121338000000002</v>
      </c>
      <c r="L731" s="17">
        <v>21.407105999999999</v>
      </c>
      <c r="M731" s="18">
        <f t="shared" si="12"/>
        <v>0.66644502791259808</v>
      </c>
    </row>
    <row r="732" spans="1:13">
      <c r="A732" s="13" t="s">
        <v>4854</v>
      </c>
      <c r="B732" s="14" t="s">
        <v>4854</v>
      </c>
      <c r="C732" s="14" t="str">
        <f>HYPERLINK("http://uswest.ensembl.org/Homo_sapiens/Gene/Summary?g=","-")</f>
        <v>-</v>
      </c>
      <c r="D732" s="14" t="s">
        <v>8728</v>
      </c>
      <c r="E732" s="14" t="str">
        <f>HYPERLINK("http://www.ncbi.nlm.nih.gov/sites/entrez?db=gene&amp;cmd=Retrieve&amp;dopt=full_report&amp;list_uids=","-")</f>
        <v>-</v>
      </c>
      <c r="F732" s="24" t="s">
        <v>8728</v>
      </c>
      <c r="G732" s="24" t="s">
        <v>8728</v>
      </c>
      <c r="H732" s="14" t="s">
        <v>8728</v>
      </c>
      <c r="I732" s="14" t="s">
        <v>8728</v>
      </c>
      <c r="J732" s="15" t="s">
        <v>8728</v>
      </c>
      <c r="K732" s="16">
        <v>96.472219999999993</v>
      </c>
      <c r="L732" s="17">
        <v>64.297044999999997</v>
      </c>
      <c r="M732" s="18">
        <f t="shared" si="12"/>
        <v>0.66648248583892855</v>
      </c>
    </row>
    <row r="733" spans="1:13">
      <c r="A733" s="13" t="s">
        <v>4855</v>
      </c>
      <c r="B733" s="14" t="s">
        <v>4855</v>
      </c>
      <c r="C733" s="14" t="str">
        <f>HYPERLINK("http://uswest.ensembl.org/Homo_sapiens/Gene/Summary?g=ENSG00000026508","ENSG00000026508")</f>
        <v>ENSG00000026508</v>
      </c>
      <c r="D733" s="14" t="s">
        <v>4856</v>
      </c>
      <c r="E733" s="14" t="str">
        <f>HYPERLINK("http://www.ncbi.nlm.nih.gov/sites/entrez?db=gene&amp;cmd=Retrieve&amp;dopt=full_report&amp;list_uids=960","960")</f>
        <v>960</v>
      </c>
      <c r="F733" s="24" t="s">
        <v>4857</v>
      </c>
      <c r="G733" s="25" t="s">
        <v>4803</v>
      </c>
      <c r="H733" s="14" t="s">
        <v>4804</v>
      </c>
      <c r="I733" s="14" t="s">
        <v>4805</v>
      </c>
      <c r="J733" s="15" t="s">
        <v>4792</v>
      </c>
      <c r="K733" s="16">
        <v>154.416664</v>
      </c>
      <c r="L733" s="17">
        <v>102.93355200000001</v>
      </c>
      <c r="M733" s="18">
        <f t="shared" si="12"/>
        <v>0.66659613887268032</v>
      </c>
    </row>
    <row r="734" spans="1:13">
      <c r="A734" s="13" t="s">
        <v>4813</v>
      </c>
      <c r="B734" s="14" t="s">
        <v>4813</v>
      </c>
      <c r="C734" s="14" t="str">
        <f>HYPERLINK("http://uswest.ensembl.org/Homo_sapiens/Gene/Summary?g=ENSG00000164291","ENSG00000164291")</f>
        <v>ENSG00000164291</v>
      </c>
      <c r="D734" s="14" t="s">
        <v>4814</v>
      </c>
      <c r="E734" s="14" t="str">
        <f>HYPERLINK("http://www.ncbi.nlm.nih.gov/sites/entrez?db=gene&amp;cmd=Retrieve&amp;dopt=full_report&amp;list_uids=","-")</f>
        <v>-</v>
      </c>
      <c r="F734" s="24" t="s">
        <v>4815</v>
      </c>
      <c r="G734" s="24" t="s">
        <v>4816</v>
      </c>
      <c r="H734" s="14" t="s">
        <v>8329</v>
      </c>
      <c r="I734" s="14" t="s">
        <v>4817</v>
      </c>
      <c r="J734" s="15" t="s">
        <v>8728</v>
      </c>
      <c r="K734" s="16">
        <v>79.505728000000005</v>
      </c>
      <c r="L734" s="17">
        <v>53.000573000000003</v>
      </c>
      <c r="M734" s="18">
        <f t="shared" si="12"/>
        <v>0.66662584361217347</v>
      </c>
    </row>
    <row r="735" spans="1:13">
      <c r="A735" s="13" t="s">
        <v>4818</v>
      </c>
      <c r="B735" s="14" t="s">
        <v>4818</v>
      </c>
      <c r="C735" s="14" t="str">
        <f>HYPERLINK("http://uswest.ensembl.org/Homo_sapiens/Gene/Summary?g=ENSG00000119900","ENSG00000119900")</f>
        <v>ENSG00000119900</v>
      </c>
      <c r="D735" s="14" t="s">
        <v>4819</v>
      </c>
      <c r="E735" s="14" t="str">
        <f>HYPERLINK("http://www.ncbi.nlm.nih.gov/sites/entrez?db=gene&amp;cmd=Retrieve&amp;dopt=full_report&amp;list_uids=79627","79627")</f>
        <v>79627</v>
      </c>
      <c r="F735" s="24" t="s">
        <v>4820</v>
      </c>
      <c r="G735" s="24" t="s">
        <v>4821</v>
      </c>
      <c r="H735" s="14" t="s">
        <v>8728</v>
      </c>
      <c r="I735" s="14" t="s">
        <v>8607</v>
      </c>
      <c r="J735" s="15" t="s">
        <v>8691</v>
      </c>
      <c r="K735" s="16">
        <v>34.066279999999999</v>
      </c>
      <c r="L735" s="17">
        <v>22.710864000000001</v>
      </c>
      <c r="M735" s="18">
        <f t="shared" si="12"/>
        <v>0.6666669797817667</v>
      </c>
    </row>
    <row r="736" spans="1:13">
      <c r="A736" s="13" t="s">
        <v>4794</v>
      </c>
      <c r="B736" s="14" t="s">
        <v>4794</v>
      </c>
      <c r="C736" s="14" t="str">
        <f>HYPERLINK("http://uswest.ensembl.org/Homo_sapiens/Gene/Summary?g=ENSG00000146736","ENSG00000146736")</f>
        <v>ENSG00000146736</v>
      </c>
      <c r="D736" s="14" t="s">
        <v>8728</v>
      </c>
      <c r="E736" s="14" t="str">
        <f>HYPERLINK("http://www.ncbi.nlm.nih.gov/sites/entrez?db=gene&amp;cmd=Retrieve&amp;dopt=full_report&amp;list_uids=","-")</f>
        <v>-</v>
      </c>
      <c r="F736" s="24" t="s">
        <v>4795</v>
      </c>
      <c r="G736" s="24" t="s">
        <v>8728</v>
      </c>
      <c r="H736" s="14" t="s">
        <v>8728</v>
      </c>
      <c r="I736" s="14" t="s">
        <v>8728</v>
      </c>
      <c r="J736" s="15" t="s">
        <v>8728</v>
      </c>
      <c r="K736" s="16">
        <v>2396.4464579999999</v>
      </c>
      <c r="L736" s="17">
        <v>1598.4622469999999</v>
      </c>
      <c r="M736" s="18">
        <f t="shared" si="12"/>
        <v>0.66701354485258435</v>
      </c>
    </row>
    <row r="737" spans="1:13">
      <c r="A737" s="13" t="s">
        <v>4796</v>
      </c>
      <c r="B737" s="14" t="s">
        <v>4796</v>
      </c>
      <c r="C737" s="14" t="str">
        <f>HYPERLINK("http://uswest.ensembl.org/Homo_sapiens/Gene/Summary?g=ENSG00000128039","ENSG00000128039")</f>
        <v>ENSG00000128039</v>
      </c>
      <c r="D737" s="14" t="s">
        <v>4797</v>
      </c>
      <c r="E737" s="14" t="str">
        <f>HYPERLINK("http://www.ncbi.nlm.nih.gov/sites/entrez?db=gene&amp;cmd=Retrieve&amp;dopt=full_report&amp;list_uids=79644","79644")</f>
        <v>79644</v>
      </c>
      <c r="F737" s="24" t="s">
        <v>4798</v>
      </c>
      <c r="G737" s="24" t="s">
        <v>4799</v>
      </c>
      <c r="H737" s="14" t="s">
        <v>4800</v>
      </c>
      <c r="I737" s="14" t="s">
        <v>4782</v>
      </c>
      <c r="J737" s="15" t="s">
        <v>4783</v>
      </c>
      <c r="K737" s="16">
        <v>137.77856600000001</v>
      </c>
      <c r="L737" s="17">
        <v>91.902114999999995</v>
      </c>
      <c r="M737" s="18">
        <f t="shared" si="12"/>
        <v>0.66702766379496203</v>
      </c>
    </row>
    <row r="738" spans="1:13">
      <c r="A738" s="13" t="s">
        <v>4784</v>
      </c>
      <c r="B738" s="14" t="s">
        <v>4784</v>
      </c>
      <c r="C738" s="14" t="str">
        <f>HYPERLINK("http://uswest.ensembl.org/Homo_sapiens/Gene/Summary?g=ENSG00000123146","ENSG00000123146")</f>
        <v>ENSG00000123146</v>
      </c>
      <c r="D738" s="14" t="s">
        <v>4785</v>
      </c>
      <c r="E738" s="14" t="str">
        <f>HYPERLINK("http://www.ncbi.nlm.nih.gov/sites/entrez?db=gene&amp;cmd=Retrieve&amp;dopt=full_report&amp;list_uids=","-")</f>
        <v>-</v>
      </c>
      <c r="F738" s="24" t="s">
        <v>8032</v>
      </c>
      <c r="G738" s="24" t="s">
        <v>8033</v>
      </c>
      <c r="H738" s="14" t="s">
        <v>8587</v>
      </c>
      <c r="I738" s="14" t="s">
        <v>7181</v>
      </c>
      <c r="J738" s="15" t="s">
        <v>8589</v>
      </c>
      <c r="K738" s="16">
        <v>625.12515499999995</v>
      </c>
      <c r="L738" s="17">
        <v>416.98387200000002</v>
      </c>
      <c r="M738" s="18">
        <f t="shared" si="12"/>
        <v>0.66704062164959599</v>
      </c>
    </row>
    <row r="739" spans="1:13">
      <c r="A739" s="13" t="s">
        <v>4786</v>
      </c>
      <c r="B739" s="14" t="s">
        <v>4786</v>
      </c>
      <c r="C739" s="14" t="str">
        <f>HYPERLINK("http://uswest.ensembl.org/Homo_sapiens/Gene/Summary?g=ENSG00000164302","ENSG00000164302")</f>
        <v>ENSG00000164302</v>
      </c>
      <c r="D739" s="14" t="s">
        <v>8728</v>
      </c>
      <c r="E739" s="14" t="str">
        <f>HYPERLINK("http://www.ncbi.nlm.nih.gov/sites/entrez?db=gene&amp;cmd=Retrieve&amp;dopt=full_report&amp;list_uids=","-")</f>
        <v>-</v>
      </c>
      <c r="F739" s="24" t="s">
        <v>4787</v>
      </c>
      <c r="G739" s="24" t="s">
        <v>8728</v>
      </c>
      <c r="H739" s="14" t="s">
        <v>8728</v>
      </c>
      <c r="I739" s="14" t="s">
        <v>8728</v>
      </c>
      <c r="J739" s="15" t="s">
        <v>8728</v>
      </c>
      <c r="K739" s="16">
        <v>609.75661100000002</v>
      </c>
      <c r="L739" s="17">
        <v>406.73928699999999</v>
      </c>
      <c r="M739" s="18">
        <f t="shared" si="12"/>
        <v>0.66705186899564417</v>
      </c>
    </row>
    <row r="740" spans="1:13">
      <c r="A740" s="13" t="s">
        <v>4801</v>
      </c>
      <c r="B740" s="14" t="s">
        <v>4801</v>
      </c>
      <c r="C740" s="14" t="str">
        <f>HYPERLINK("http://uswest.ensembl.org/Homo_sapiens/Gene/Summary?g=ENSG00000108840","ENSG00000108840")</f>
        <v>ENSG00000108840</v>
      </c>
      <c r="D740" s="14" t="s">
        <v>4802</v>
      </c>
      <c r="E740" s="14" t="str">
        <f>HYPERLINK("http://www.ncbi.nlm.nih.gov/sites/entrez?db=gene&amp;cmd=Retrieve&amp;dopt=full_report&amp;list_uids=","-")</f>
        <v>-</v>
      </c>
      <c r="F740" s="24" t="s">
        <v>5806</v>
      </c>
      <c r="G740" s="24" t="s">
        <v>5807</v>
      </c>
      <c r="H740" s="14" t="s">
        <v>4851</v>
      </c>
      <c r="I740" s="14" t="s">
        <v>4852</v>
      </c>
      <c r="J740" s="15" t="s">
        <v>4788</v>
      </c>
      <c r="K740" s="16">
        <v>69.023064000000005</v>
      </c>
      <c r="L740" s="17">
        <v>46.047020000000003</v>
      </c>
      <c r="M740" s="18">
        <f t="shared" si="12"/>
        <v>0.66712512211860087</v>
      </c>
    </row>
    <row r="741" spans="1:13">
      <c r="A741" s="13" t="s">
        <v>4789</v>
      </c>
      <c r="B741" s="14" t="s">
        <v>4789</v>
      </c>
      <c r="C741" s="14" t="str">
        <f>HYPERLINK("http://uswest.ensembl.org/Homo_sapiens/Gene/Summary?g=ENSG00000120555","ENSG00000120555")</f>
        <v>ENSG00000120555</v>
      </c>
      <c r="D741" s="14" t="s">
        <v>8728</v>
      </c>
      <c r="E741" s="14" t="str">
        <f>HYPERLINK("http://www.ncbi.nlm.nih.gov/sites/entrez?db=gene&amp;cmd=Retrieve&amp;dopt=full_report&amp;list_uids=","-")</f>
        <v>-</v>
      </c>
      <c r="F741" s="24" t="s">
        <v>4790</v>
      </c>
      <c r="G741" s="24" t="s">
        <v>4791</v>
      </c>
      <c r="H741" s="14" t="s">
        <v>8203</v>
      </c>
      <c r="I741" s="14" t="s">
        <v>8706</v>
      </c>
      <c r="J741" s="15" t="s">
        <v>8728</v>
      </c>
      <c r="K741" s="16">
        <v>125.520582</v>
      </c>
      <c r="L741" s="17">
        <v>83.765636999999998</v>
      </c>
      <c r="M741" s="18">
        <f t="shared" si="12"/>
        <v>0.6673458301842482</v>
      </c>
    </row>
    <row r="742" spans="1:13">
      <c r="A742" s="13" t="s">
        <v>4774</v>
      </c>
      <c r="B742" s="14" t="s">
        <v>4774</v>
      </c>
      <c r="C742" s="14" t="str">
        <f>HYPERLINK("http://uswest.ensembl.org/Homo_sapiens/Gene/Summary?g=ENSG00000080608","ENSG00000080608")</f>
        <v>ENSG00000080608</v>
      </c>
      <c r="D742" s="14" t="s">
        <v>4775</v>
      </c>
      <c r="E742" s="14" t="str">
        <f>HYPERLINK("http://www.ncbi.nlm.nih.gov/sites/entrez?db=gene&amp;cmd=Retrieve&amp;dopt=full_report&amp;list_uids=","-")</f>
        <v>-</v>
      </c>
      <c r="F742" s="24" t="s">
        <v>4776</v>
      </c>
      <c r="G742" s="24" t="s">
        <v>4777</v>
      </c>
      <c r="H742" s="14" t="s">
        <v>8728</v>
      </c>
      <c r="I742" s="14" t="s">
        <v>4793</v>
      </c>
      <c r="J742" s="15" t="s">
        <v>8728</v>
      </c>
      <c r="K742" s="16">
        <v>143.399472</v>
      </c>
      <c r="L742" s="17">
        <v>95.729504000000006</v>
      </c>
      <c r="M742" s="18">
        <f t="shared" si="12"/>
        <v>0.66757222090748003</v>
      </c>
    </row>
    <row r="743" spans="1:13">
      <c r="A743" s="13" t="s">
        <v>4778</v>
      </c>
      <c r="B743" s="14" t="s">
        <v>4778</v>
      </c>
      <c r="C743" s="14" t="str">
        <f>HYPERLINK("http://uswest.ensembl.org/Homo_sapiens/Gene/Summary?g=ENSG00000128309","ENSG00000128309")</f>
        <v>ENSG00000128309</v>
      </c>
      <c r="D743" s="14" t="s">
        <v>4779</v>
      </c>
      <c r="E743" s="14" t="str">
        <f>HYPERLINK("http://www.ncbi.nlm.nih.gov/sites/entrez?db=gene&amp;cmd=Retrieve&amp;dopt=full_report&amp;list_uids=4357","4357")</f>
        <v>4357</v>
      </c>
      <c r="F743" s="24" t="s">
        <v>4780</v>
      </c>
      <c r="G743" s="24" t="s">
        <v>4824</v>
      </c>
      <c r="H743" s="14" t="s">
        <v>4825</v>
      </c>
      <c r="I743" s="14" t="s">
        <v>4826</v>
      </c>
      <c r="J743" s="15" t="s">
        <v>8075</v>
      </c>
      <c r="K743" s="16">
        <v>30.745235000000001</v>
      </c>
      <c r="L743" s="17">
        <v>20.527166999999999</v>
      </c>
      <c r="M743" s="18">
        <f t="shared" si="12"/>
        <v>0.66765360550992692</v>
      </c>
    </row>
    <row r="744" spans="1:13">
      <c r="A744" s="13" t="s">
        <v>4827</v>
      </c>
      <c r="B744" s="14" t="s">
        <v>4827</v>
      </c>
      <c r="C744" s="14" t="str">
        <f>HYPERLINK("http://uswest.ensembl.org/Homo_sapiens/Gene/Summary?g=","-")</f>
        <v>-</v>
      </c>
      <c r="D744" s="14" t="s">
        <v>4828</v>
      </c>
      <c r="E744" s="14" t="str">
        <f>HYPERLINK("http://www.ncbi.nlm.nih.gov/sites/entrez?db=gene&amp;cmd=Retrieve&amp;dopt=full_report&amp;list_uids=6347","6347")</f>
        <v>6347</v>
      </c>
      <c r="F744" s="24" t="s">
        <v>4829</v>
      </c>
      <c r="G744" s="25" t="s">
        <v>4781</v>
      </c>
      <c r="H744" s="19" t="s">
        <v>4773</v>
      </c>
      <c r="I744" s="19" t="s">
        <v>4747</v>
      </c>
      <c r="J744" s="15" t="s">
        <v>4748</v>
      </c>
      <c r="K744" s="16">
        <v>79.129360000000005</v>
      </c>
      <c r="L744" s="17">
        <v>52.840677999999997</v>
      </c>
      <c r="M744" s="18">
        <f t="shared" si="12"/>
        <v>0.6677758799009621</v>
      </c>
    </row>
    <row r="745" spans="1:13">
      <c r="A745" s="13" t="s">
        <v>4752</v>
      </c>
      <c r="B745" s="14" t="s">
        <v>4752</v>
      </c>
      <c r="C745" s="14" t="str">
        <f>HYPERLINK("http://uswest.ensembl.org/Homo_sapiens/Gene/Summary?g=ENSG00000183530","ENSG00000183530")</f>
        <v>ENSG00000183530</v>
      </c>
      <c r="D745" s="14" t="s">
        <v>8728</v>
      </c>
      <c r="E745" s="14" t="str">
        <f>HYPERLINK("http://www.ncbi.nlm.nih.gov/sites/entrez?db=gene&amp;cmd=Retrieve&amp;dopt=full_report&amp;list_uids=253143","253143")</f>
        <v>253143</v>
      </c>
      <c r="F745" s="24" t="s">
        <v>4753</v>
      </c>
      <c r="G745" s="24" t="s">
        <v>4754</v>
      </c>
      <c r="H745" s="14" t="s">
        <v>8728</v>
      </c>
      <c r="I745" s="14" t="s">
        <v>8728</v>
      </c>
      <c r="J745" s="15" t="s">
        <v>8728</v>
      </c>
      <c r="K745" s="16">
        <v>45.2776</v>
      </c>
      <c r="L745" s="17">
        <v>30.249780000000001</v>
      </c>
      <c r="M745" s="18">
        <f t="shared" si="12"/>
        <v>0.66809592381221627</v>
      </c>
    </row>
    <row r="746" spans="1:13">
      <c r="A746" s="13" t="s">
        <v>4755</v>
      </c>
      <c r="B746" s="14" t="s">
        <v>4755</v>
      </c>
      <c r="C746" s="14" t="str">
        <f>HYPERLINK("http://uswest.ensembl.org/Homo_sapiens/Gene/Summary?g=ENSG00000173369","ENSG00000173369")</f>
        <v>ENSG00000173369</v>
      </c>
      <c r="D746" s="14" t="s">
        <v>4756</v>
      </c>
      <c r="E746" s="14" t="str">
        <f>HYPERLINK("http://www.ncbi.nlm.nih.gov/sites/entrez?db=gene&amp;cmd=Retrieve&amp;dopt=full_report&amp;list_uids=713","713")</f>
        <v>713</v>
      </c>
      <c r="F746" s="24" t="s">
        <v>4757</v>
      </c>
      <c r="G746" s="24" t="s">
        <v>4758</v>
      </c>
      <c r="H746" s="14" t="s">
        <v>4759</v>
      </c>
      <c r="I746" s="14" t="s">
        <v>8728</v>
      </c>
      <c r="J746" s="15" t="s">
        <v>4760</v>
      </c>
      <c r="K746" s="16">
        <v>75.815270999999996</v>
      </c>
      <c r="L746" s="17">
        <v>50.657159999999998</v>
      </c>
      <c r="M746" s="18">
        <f t="shared" si="12"/>
        <v>0.66816565227340541</v>
      </c>
    </row>
    <row r="747" spans="1:13">
      <c r="A747" s="13" t="s">
        <v>4761</v>
      </c>
      <c r="B747" s="14" t="s">
        <v>4761</v>
      </c>
      <c r="C747" s="14" t="str">
        <f>HYPERLINK("http://uswest.ensembl.org/Homo_sapiens/Gene/Summary?g=","-")</f>
        <v>-</v>
      </c>
      <c r="D747" s="14" t="s">
        <v>4771</v>
      </c>
      <c r="E747" s="14" t="str">
        <f>HYPERLINK("http://www.ncbi.nlm.nih.gov/sites/entrez?db=gene&amp;cmd=Retrieve&amp;dopt=full_report&amp;list_uids=9278","9278")</f>
        <v>9278</v>
      </c>
      <c r="F747" s="24" t="s">
        <v>4772</v>
      </c>
      <c r="G747" s="24" t="s">
        <v>4717</v>
      </c>
      <c r="H747" s="14" t="s">
        <v>8581</v>
      </c>
      <c r="I747" s="14" t="s">
        <v>4719</v>
      </c>
      <c r="J747" s="15" t="s">
        <v>8255</v>
      </c>
      <c r="K747" s="16">
        <v>75.523042000000004</v>
      </c>
      <c r="L747" s="17">
        <v>50.476483000000002</v>
      </c>
      <c r="M747" s="18">
        <f t="shared" si="12"/>
        <v>0.66835871097459232</v>
      </c>
    </row>
    <row r="748" spans="1:13">
      <c r="A748" s="13" t="s">
        <v>4720</v>
      </c>
      <c r="B748" s="14" t="s">
        <v>4720</v>
      </c>
      <c r="C748" s="14" t="str">
        <f>HYPERLINK("http://uswest.ensembl.org/Homo_sapiens/Gene/Summary?g=ENSG00000114796","ENSG00000114796")</f>
        <v>ENSG00000114796</v>
      </c>
      <c r="D748" s="14" t="s">
        <v>4721</v>
      </c>
      <c r="E748" s="14" t="str">
        <f>HYPERLINK("http://www.ncbi.nlm.nih.gov/sites/entrez?db=gene&amp;cmd=Retrieve&amp;dopt=full_report&amp;list_uids=54800","54800")</f>
        <v>54800</v>
      </c>
      <c r="F748" s="24" t="s">
        <v>4722</v>
      </c>
      <c r="G748" s="24" t="s">
        <v>4723</v>
      </c>
      <c r="H748" s="14" t="s">
        <v>8728</v>
      </c>
      <c r="I748" s="14" t="s">
        <v>8665</v>
      </c>
      <c r="J748" s="15" t="s">
        <v>4762</v>
      </c>
      <c r="K748" s="16">
        <v>76.859095999999994</v>
      </c>
      <c r="L748" s="17">
        <v>51.379886999999997</v>
      </c>
      <c r="M748" s="18">
        <f t="shared" si="12"/>
        <v>0.66849455268118174</v>
      </c>
    </row>
    <row r="749" spans="1:13">
      <c r="A749" s="13" t="s">
        <v>4763</v>
      </c>
      <c r="B749" s="14" t="s">
        <v>4763</v>
      </c>
      <c r="C749" s="14" t="str">
        <f>HYPERLINK("http://uswest.ensembl.org/Homo_sapiens/Gene/Summary?g=ENSG00000108799","ENSG00000108799")</f>
        <v>ENSG00000108799</v>
      </c>
      <c r="D749" s="14" t="s">
        <v>4764</v>
      </c>
      <c r="E749" s="14" t="str">
        <f>HYPERLINK("http://www.ncbi.nlm.nih.gov/sites/entrez?db=gene&amp;cmd=Retrieve&amp;dopt=full_report&amp;list_uids=2145","2145")</f>
        <v>2145</v>
      </c>
      <c r="F749" s="24" t="s">
        <v>4765</v>
      </c>
      <c r="G749" s="24" t="s">
        <v>4766</v>
      </c>
      <c r="H749" s="14" t="s">
        <v>4767</v>
      </c>
      <c r="I749" s="14" t="s">
        <v>4768</v>
      </c>
      <c r="J749" s="15" t="s">
        <v>8622</v>
      </c>
      <c r="K749" s="16">
        <v>30.808971</v>
      </c>
      <c r="L749" s="17">
        <v>20.597000999999999</v>
      </c>
      <c r="M749" s="18">
        <f t="shared" si="12"/>
        <v>0.66853907584255245</v>
      </c>
    </row>
    <row r="750" spans="1:13">
      <c r="A750" s="13" t="s">
        <v>4769</v>
      </c>
      <c r="B750" s="14" t="s">
        <v>4769</v>
      </c>
      <c r="C750" s="14" t="str">
        <f>HYPERLINK("http://uswest.ensembl.org/Homo_sapiens/Gene/Summary?g=ENSG00000135919","ENSG00000135919")</f>
        <v>ENSG00000135919</v>
      </c>
      <c r="D750" s="14" t="s">
        <v>4736</v>
      </c>
      <c r="E750" s="14" t="str">
        <f>HYPERLINK("http://www.ncbi.nlm.nih.gov/sites/entrez?db=gene&amp;cmd=Retrieve&amp;dopt=full_report&amp;list_uids=5270","5270")</f>
        <v>5270</v>
      </c>
      <c r="F750" s="24" t="s">
        <v>4737</v>
      </c>
      <c r="G750" s="24" t="s">
        <v>4738</v>
      </c>
      <c r="H750" s="14" t="s">
        <v>4739</v>
      </c>
      <c r="I750" s="14" t="s">
        <v>8505</v>
      </c>
      <c r="J750" s="15" t="s">
        <v>8731</v>
      </c>
      <c r="K750" s="16">
        <v>29.994979000000001</v>
      </c>
      <c r="L750" s="17">
        <v>20.055508</v>
      </c>
      <c r="M750" s="18">
        <f t="shared" si="12"/>
        <v>0.66862883951343988</v>
      </c>
    </row>
    <row r="751" spans="1:13">
      <c r="A751" s="13" t="s">
        <v>4740</v>
      </c>
      <c r="B751" s="14" t="s">
        <v>4740</v>
      </c>
      <c r="C751" s="14" t="str">
        <f>HYPERLINK("http://uswest.ensembl.org/Homo_sapiens/Gene/Summary?g=ENSG00000198800","ENSG00000198800")</f>
        <v>ENSG00000198800</v>
      </c>
      <c r="D751" s="14" t="s">
        <v>8728</v>
      </c>
      <c r="E751" s="14" t="str">
        <f>HYPERLINK("http://www.ncbi.nlm.nih.gov/sites/entrez?db=gene&amp;cmd=Retrieve&amp;dopt=full_report&amp;list_uids=","-")</f>
        <v>-</v>
      </c>
      <c r="F751" s="24" t="s">
        <v>4741</v>
      </c>
      <c r="G751" s="24" t="s">
        <v>8728</v>
      </c>
      <c r="H751" s="14" t="s">
        <v>8728</v>
      </c>
      <c r="I751" s="14" t="s">
        <v>8728</v>
      </c>
      <c r="J751" s="15" t="s">
        <v>8728</v>
      </c>
      <c r="K751" s="16">
        <v>2306.880161</v>
      </c>
      <c r="L751" s="17">
        <v>1542.6571349999999</v>
      </c>
      <c r="M751" s="18">
        <f t="shared" si="12"/>
        <v>0.66872010132129267</v>
      </c>
    </row>
    <row r="752" spans="1:13">
      <c r="A752" s="13" t="s">
        <v>4742</v>
      </c>
      <c r="B752" s="14" t="s">
        <v>4742</v>
      </c>
      <c r="C752" s="14" t="str">
        <f>HYPERLINK("http://uswest.ensembl.org/Homo_sapiens/Gene/Summary?g=","-")</f>
        <v>-</v>
      </c>
      <c r="D752" s="14" t="s">
        <v>4743</v>
      </c>
      <c r="E752" s="14" t="str">
        <f>HYPERLINK("http://www.ncbi.nlm.nih.gov/sites/entrez?db=gene&amp;cmd=Retrieve&amp;dopt=full_report&amp;list_uids=4914","4914")</f>
        <v>4914</v>
      </c>
      <c r="F752" s="24" t="s">
        <v>4744</v>
      </c>
      <c r="G752" s="24" t="s">
        <v>4705</v>
      </c>
      <c r="H752" s="14" t="s">
        <v>8687</v>
      </c>
      <c r="I752" s="14" t="s">
        <v>4706</v>
      </c>
      <c r="J752" s="15" t="s">
        <v>8691</v>
      </c>
      <c r="K752" s="16">
        <v>94.725881000000001</v>
      </c>
      <c r="L752" s="17">
        <v>63.352142000000001</v>
      </c>
      <c r="M752" s="18">
        <f t="shared" si="12"/>
        <v>0.6687944343320491</v>
      </c>
    </row>
    <row r="753" spans="1:13">
      <c r="A753" s="13" t="s">
        <v>4707</v>
      </c>
      <c r="B753" s="14" t="s">
        <v>4707</v>
      </c>
      <c r="C753" s="14" t="str">
        <f>HYPERLINK("http://uswest.ensembl.org/Homo_sapiens/Gene/Summary?g=","-")</f>
        <v>-</v>
      </c>
      <c r="D753" s="14" t="s">
        <v>8728</v>
      </c>
      <c r="E753" s="14" t="str">
        <f>HYPERLINK("http://www.ncbi.nlm.nih.gov/sites/entrez?db=gene&amp;cmd=Retrieve&amp;dopt=full_report&amp;list_uids=100294234","100294234")</f>
        <v>100294234</v>
      </c>
      <c r="F753" s="24" t="s">
        <v>4708</v>
      </c>
      <c r="G753" s="24" t="s">
        <v>8728</v>
      </c>
      <c r="H753" s="14" t="s">
        <v>8728</v>
      </c>
      <c r="I753" s="14" t="s">
        <v>8728</v>
      </c>
      <c r="J753" s="15" t="s">
        <v>8728</v>
      </c>
      <c r="K753" s="16">
        <v>37.230936999999997</v>
      </c>
      <c r="L753" s="17">
        <v>24.900186000000001</v>
      </c>
      <c r="M753" s="18">
        <f t="shared" si="12"/>
        <v>0.66880363499849604</v>
      </c>
    </row>
    <row r="754" spans="1:13">
      <c r="A754" s="13" t="s">
        <v>4709</v>
      </c>
      <c r="B754" s="14" t="s">
        <v>4709</v>
      </c>
      <c r="C754" s="14" t="str">
        <f>HYPERLINK("http://uswest.ensembl.org/Homo_sapiens/Gene/Summary?g=ENSG00000217801","ENSG00000217801")</f>
        <v>ENSG00000217801</v>
      </c>
      <c r="D754" s="14" t="s">
        <v>8728</v>
      </c>
      <c r="E754" s="14" t="str">
        <f>HYPERLINK("http://www.ncbi.nlm.nih.gov/sites/entrez?db=gene&amp;cmd=Retrieve&amp;dopt=full_report&amp;list_uids=","-")</f>
        <v>-</v>
      </c>
      <c r="F754" s="24" t="s">
        <v>4710</v>
      </c>
      <c r="G754" s="24" t="s">
        <v>4749</v>
      </c>
      <c r="H754" s="14" t="s">
        <v>8559</v>
      </c>
      <c r="I754" s="14" t="s">
        <v>4750</v>
      </c>
      <c r="J754" s="15" t="s">
        <v>8728</v>
      </c>
      <c r="K754" s="16">
        <v>55.848278000000001</v>
      </c>
      <c r="L754" s="17">
        <v>37.354546999999997</v>
      </c>
      <c r="M754" s="18">
        <f t="shared" si="12"/>
        <v>0.6688576324591422</v>
      </c>
    </row>
    <row r="755" spans="1:13">
      <c r="A755" s="13" t="s">
        <v>4751</v>
      </c>
      <c r="B755" s="14" t="s">
        <v>4751</v>
      </c>
      <c r="C755" s="14" t="str">
        <f>HYPERLINK("http://uswest.ensembl.org/Homo_sapiens/Gene/Summary?g=ENSG00000011523","ENSG00000011523")</f>
        <v>ENSG00000011523</v>
      </c>
      <c r="D755" s="14" t="s">
        <v>4715</v>
      </c>
      <c r="E755" s="14" t="str">
        <f>HYPERLINK("http://www.ncbi.nlm.nih.gov/sites/entrez?db=gene&amp;cmd=Retrieve&amp;dopt=full_report&amp;list_uids=","-")</f>
        <v>-</v>
      </c>
      <c r="F755" s="24" t="s">
        <v>4716</v>
      </c>
      <c r="G755" s="24" t="s">
        <v>4770</v>
      </c>
      <c r="H755" s="14" t="s">
        <v>8728</v>
      </c>
      <c r="I755" s="14" t="s">
        <v>8728</v>
      </c>
      <c r="J755" s="15" t="s">
        <v>8728</v>
      </c>
      <c r="K755" s="16">
        <v>29.611668999999999</v>
      </c>
      <c r="L755" s="17">
        <v>19.809246999999999</v>
      </c>
      <c r="M755" s="18">
        <f t="shared" si="12"/>
        <v>0.66896759517337578</v>
      </c>
    </row>
    <row r="756" spans="1:13">
      <c r="A756" s="13" t="s">
        <v>4696</v>
      </c>
      <c r="B756" s="14" t="s">
        <v>4696</v>
      </c>
      <c r="C756" s="14" t="str">
        <f>HYPERLINK("http://uswest.ensembl.org/Homo_sapiens/Gene/Summary?g=ENSG00000105829","ENSG00000105829")</f>
        <v>ENSG00000105829</v>
      </c>
      <c r="D756" s="14" t="s">
        <v>4697</v>
      </c>
      <c r="E756" s="14" t="str">
        <f>HYPERLINK("http://www.ncbi.nlm.nih.gov/sites/entrez?db=gene&amp;cmd=Retrieve&amp;dopt=full_report&amp;list_uids=","-")</f>
        <v>-</v>
      </c>
      <c r="F756" s="24" t="s">
        <v>4698</v>
      </c>
      <c r="G756" s="24" t="s">
        <v>4718</v>
      </c>
      <c r="H756" s="14" t="s">
        <v>4746</v>
      </c>
      <c r="I756" s="14" t="s">
        <v>8728</v>
      </c>
      <c r="J756" s="15" t="s">
        <v>5364</v>
      </c>
      <c r="K756" s="16">
        <v>134.851596</v>
      </c>
      <c r="L756" s="17">
        <v>90.220014000000006</v>
      </c>
      <c r="M756" s="18">
        <f t="shared" si="12"/>
        <v>0.66903185928922937</v>
      </c>
    </row>
    <row r="757" spans="1:13">
      <c r="A757" s="13" t="s">
        <v>4700</v>
      </c>
      <c r="B757" s="14" t="s">
        <v>4700</v>
      </c>
      <c r="C757" s="14" t="str">
        <f>HYPERLINK("http://uswest.ensembl.org/Homo_sapiens/Gene/Summary?g=ENSG00000123268","ENSG00000123268")</f>
        <v>ENSG00000123268</v>
      </c>
      <c r="D757" s="14" t="s">
        <v>4701</v>
      </c>
      <c r="E757" s="14" t="str">
        <f>HYPERLINK("http://www.ncbi.nlm.nih.gov/sites/entrez?db=gene&amp;cmd=Retrieve&amp;dopt=full_report&amp;list_uids=466","466")</f>
        <v>466</v>
      </c>
      <c r="F757" s="24" t="s">
        <v>4702</v>
      </c>
      <c r="G757" s="24" t="s">
        <v>4703</v>
      </c>
      <c r="H757" s="14" t="s">
        <v>8581</v>
      </c>
      <c r="I757" s="14" t="s">
        <v>4724</v>
      </c>
      <c r="J757" s="15" t="s">
        <v>8282</v>
      </c>
      <c r="K757" s="16">
        <v>138.75096099999999</v>
      </c>
      <c r="L757" s="17">
        <v>92.831644999999995</v>
      </c>
      <c r="M757" s="18">
        <f t="shared" si="12"/>
        <v>0.66905226696051501</v>
      </c>
    </row>
    <row r="758" spans="1:13">
      <c r="A758" s="13" t="s">
        <v>4725</v>
      </c>
      <c r="B758" s="14" t="s">
        <v>4725</v>
      </c>
      <c r="C758" s="14" t="str">
        <f>HYPERLINK("http://uswest.ensembl.org/Homo_sapiens/Gene/Summary?g=ENSG00000164403","ENSG00000164403")</f>
        <v>ENSG00000164403</v>
      </c>
      <c r="D758" s="14" t="s">
        <v>4726</v>
      </c>
      <c r="E758" s="14" t="str">
        <f>HYPERLINK("http://www.ncbi.nlm.nih.gov/sites/entrez?db=gene&amp;cmd=Retrieve&amp;dopt=full_report&amp;list_uids=","-")</f>
        <v>-</v>
      </c>
      <c r="F758" s="24" t="s">
        <v>4727</v>
      </c>
      <c r="G758" s="24" t="s">
        <v>4728</v>
      </c>
      <c r="H758" s="14" t="s">
        <v>8728</v>
      </c>
      <c r="I758" s="14" t="s">
        <v>8728</v>
      </c>
      <c r="J758" s="15" t="s">
        <v>8728</v>
      </c>
      <c r="K758" s="16">
        <v>47.925272999999997</v>
      </c>
      <c r="L758" s="17">
        <v>32.065271000000003</v>
      </c>
      <c r="M758" s="18">
        <f t="shared" si="12"/>
        <v>0.66906809273679058</v>
      </c>
    </row>
    <row r="759" spans="1:13">
      <c r="A759" s="13" t="s">
        <v>4729</v>
      </c>
      <c r="B759" s="14" t="s">
        <v>4729</v>
      </c>
      <c r="C759" s="14" t="str">
        <f>HYPERLINK("http://uswest.ensembl.org/Homo_sapiens/Gene/Summary?g=ENSG00000107864","ENSG00000107864")</f>
        <v>ENSG00000107864</v>
      </c>
      <c r="D759" s="14" t="s">
        <v>4730</v>
      </c>
      <c r="E759" s="14" t="str">
        <f>HYPERLINK("http://www.ncbi.nlm.nih.gov/sites/entrez?db=gene&amp;cmd=Retrieve&amp;dopt=full_report&amp;list_uids=","-")</f>
        <v>-</v>
      </c>
      <c r="F759" s="24" t="s">
        <v>4731</v>
      </c>
      <c r="G759" s="24" t="s">
        <v>4732</v>
      </c>
      <c r="H759" s="14" t="s">
        <v>8668</v>
      </c>
      <c r="I759" s="14" t="s">
        <v>4733</v>
      </c>
      <c r="J759" s="15" t="s">
        <v>8669</v>
      </c>
      <c r="K759" s="16">
        <v>31.213052999999999</v>
      </c>
      <c r="L759" s="17">
        <v>20.884744999999999</v>
      </c>
      <c r="M759" s="18">
        <f t="shared" si="12"/>
        <v>0.66910292306234831</v>
      </c>
    </row>
    <row r="760" spans="1:13">
      <c r="A760" s="13" t="s">
        <v>4734</v>
      </c>
      <c r="B760" s="14" t="s">
        <v>4734</v>
      </c>
      <c r="C760" s="14" t="str">
        <f>HYPERLINK("http://uswest.ensembl.org/Homo_sapiens/Gene/Summary?g=ENSG00000185800","ENSG00000185800")</f>
        <v>ENSG00000185800</v>
      </c>
      <c r="D760" s="14" t="s">
        <v>4735</v>
      </c>
      <c r="E760" s="14" t="str">
        <f>HYPERLINK("http://www.ncbi.nlm.nih.gov/sites/entrez?db=gene&amp;cmd=Retrieve&amp;dopt=full_report&amp;list_uids=","-")</f>
        <v>-</v>
      </c>
      <c r="F760" s="24" t="s">
        <v>7610</v>
      </c>
      <c r="G760" s="24" t="s">
        <v>7632</v>
      </c>
      <c r="H760" s="14" t="s">
        <v>8728</v>
      </c>
      <c r="I760" s="14" t="s">
        <v>8728</v>
      </c>
      <c r="J760" s="15" t="s">
        <v>8728</v>
      </c>
      <c r="K760" s="16">
        <v>116.205562</v>
      </c>
      <c r="L760" s="17">
        <v>77.756152999999998</v>
      </c>
      <c r="M760" s="18">
        <f t="shared" si="12"/>
        <v>0.66912591498847529</v>
      </c>
    </row>
    <row r="761" spans="1:13">
      <c r="A761" s="13" t="s">
        <v>4676</v>
      </c>
      <c r="B761" s="14" t="s">
        <v>4676</v>
      </c>
      <c r="C761" s="14" t="str">
        <f>HYPERLINK("http://uswest.ensembl.org/Homo_sapiens/Gene/Summary?g=","-")</f>
        <v>-</v>
      </c>
      <c r="D761" s="14" t="s">
        <v>4677</v>
      </c>
      <c r="E761" s="14" t="str">
        <f>HYPERLINK("http://www.ncbi.nlm.nih.gov/sites/entrez?db=gene&amp;cmd=Retrieve&amp;dopt=full_report&amp;list_uids=10788","10788")</f>
        <v>10788</v>
      </c>
      <c r="F761" s="24" t="s">
        <v>6582</v>
      </c>
      <c r="G761" s="24" t="s">
        <v>6583</v>
      </c>
      <c r="H761" s="14" t="s">
        <v>4678</v>
      </c>
      <c r="I761" s="14" t="s">
        <v>4682</v>
      </c>
      <c r="J761" s="15" t="s">
        <v>4683</v>
      </c>
      <c r="K761" s="16">
        <v>165.25043400000001</v>
      </c>
      <c r="L761" s="17">
        <v>110.589427</v>
      </c>
      <c r="M761" s="18">
        <f t="shared" si="12"/>
        <v>0.66922321668456253</v>
      </c>
    </row>
    <row r="762" spans="1:13">
      <c r="A762" s="13" t="s">
        <v>4684</v>
      </c>
      <c r="B762" s="14" t="s">
        <v>4684</v>
      </c>
      <c r="C762" s="14" t="str">
        <f>HYPERLINK("http://uswest.ensembl.org/Homo_sapiens/Gene/Summary?g=","-")</f>
        <v>-</v>
      </c>
      <c r="D762" s="14" t="s">
        <v>4685</v>
      </c>
      <c r="E762" s="14" t="str">
        <f>HYPERLINK("http://www.ncbi.nlm.nih.gov/sites/entrez?db=gene&amp;cmd=Retrieve&amp;dopt=full_report&amp;list_uids=54509","54509")</f>
        <v>54509</v>
      </c>
      <c r="F762" s="24" t="s">
        <v>4686</v>
      </c>
      <c r="G762" s="24" t="s">
        <v>4711</v>
      </c>
      <c r="H762" s="14" t="s">
        <v>4712</v>
      </c>
      <c r="I762" s="14" t="s">
        <v>4713</v>
      </c>
      <c r="J762" s="15" t="s">
        <v>4714</v>
      </c>
      <c r="K762" s="16">
        <v>52.731589999999997</v>
      </c>
      <c r="L762" s="17">
        <v>35.292319999999997</v>
      </c>
      <c r="M762" s="18">
        <f t="shared" si="12"/>
        <v>0.66928230307487402</v>
      </c>
    </row>
    <row r="763" spans="1:13">
      <c r="A763" s="13" t="s">
        <v>4691</v>
      </c>
      <c r="B763" s="14" t="s">
        <v>4691</v>
      </c>
      <c r="C763" s="14" t="str">
        <f>HYPERLINK("http://uswest.ensembl.org/Homo_sapiens/Gene/Summary?g=ENSG00000111897","ENSG00000111897")</f>
        <v>ENSG00000111897</v>
      </c>
      <c r="D763" s="14" t="s">
        <v>4692</v>
      </c>
      <c r="E763" s="14" t="str">
        <f>HYPERLINK("http://www.ncbi.nlm.nih.gov/sites/entrez?db=gene&amp;cmd=Retrieve&amp;dopt=full_report&amp;list_uids=57515","57515")</f>
        <v>57515</v>
      </c>
      <c r="F763" s="24" t="s">
        <v>4693</v>
      </c>
      <c r="G763" s="24" t="s">
        <v>4694</v>
      </c>
      <c r="H763" s="14" t="s">
        <v>4695</v>
      </c>
      <c r="I763" s="14" t="s">
        <v>4656</v>
      </c>
      <c r="J763" s="15" t="s">
        <v>8261</v>
      </c>
      <c r="K763" s="16">
        <v>418.82360599999998</v>
      </c>
      <c r="L763" s="17">
        <v>280.34084799999999</v>
      </c>
      <c r="M763" s="18">
        <f t="shared" si="12"/>
        <v>0.66935302591325285</v>
      </c>
    </row>
    <row r="764" spans="1:13">
      <c r="A764" s="13" t="s">
        <v>4657</v>
      </c>
      <c r="B764" s="14" t="s">
        <v>4657</v>
      </c>
      <c r="C764" s="14" t="str">
        <f>HYPERLINK("http://uswest.ensembl.org/Homo_sapiens/Gene/Summary?g=ENSG00000139192","ENSG00000139192")</f>
        <v>ENSG00000139192</v>
      </c>
      <c r="D764" s="14" t="s">
        <v>4658</v>
      </c>
      <c r="E764" s="14" t="str">
        <f>HYPERLINK("http://www.ncbi.nlm.nih.gov/sites/entrez?db=gene&amp;cmd=Retrieve&amp;dopt=full_report&amp;list_uids=55080","55080")</f>
        <v>55080</v>
      </c>
      <c r="F764" s="24" t="s">
        <v>4659</v>
      </c>
      <c r="G764" s="24" t="s">
        <v>4660</v>
      </c>
      <c r="H764" s="14" t="s">
        <v>6621</v>
      </c>
      <c r="I764" s="14" t="s">
        <v>8728</v>
      </c>
      <c r="J764" s="15" t="s">
        <v>4661</v>
      </c>
      <c r="K764" s="16">
        <v>83.191922000000005</v>
      </c>
      <c r="L764" s="17">
        <v>55.686962999999999</v>
      </c>
      <c r="M764" s="18">
        <f t="shared" si="12"/>
        <v>0.6693794500865119</v>
      </c>
    </row>
    <row r="765" spans="1:13">
      <c r="A765" s="13" t="s">
        <v>4662</v>
      </c>
      <c r="B765" s="14" t="s">
        <v>4662</v>
      </c>
      <c r="C765" s="14" t="str">
        <f>HYPERLINK("http://uswest.ensembl.org/Homo_sapiens/Gene/Summary?g=ENSG00000175287","ENSG00000175287")</f>
        <v>ENSG00000175287</v>
      </c>
      <c r="D765" s="14" t="s">
        <v>4699</v>
      </c>
      <c r="E765" s="14" t="str">
        <f>HYPERLINK("http://www.ncbi.nlm.nih.gov/sites/entrez?db=gene&amp;cmd=Retrieve&amp;dopt=full_report&amp;list_uids=254295","254295")</f>
        <v>254295</v>
      </c>
      <c r="F765" s="24" t="s">
        <v>4745</v>
      </c>
      <c r="G765" s="24" t="s">
        <v>4664</v>
      </c>
      <c r="H765" s="14" t="s">
        <v>8690</v>
      </c>
      <c r="I765" s="14" t="s">
        <v>4665</v>
      </c>
      <c r="J765" s="15" t="s">
        <v>8728</v>
      </c>
      <c r="K765" s="16">
        <v>64.534310000000005</v>
      </c>
      <c r="L765" s="17">
        <v>43.201847000000001</v>
      </c>
      <c r="M765" s="18">
        <f t="shared" si="12"/>
        <v>0.66943997696729074</v>
      </c>
    </row>
    <row r="766" spans="1:13">
      <c r="A766" s="13" t="s">
        <v>4666</v>
      </c>
      <c r="B766" s="14" t="s">
        <v>4666</v>
      </c>
      <c r="C766" s="14" t="str">
        <f>HYPERLINK("http://uswest.ensembl.org/Homo_sapiens/Gene/Summary?g=ENSG00000003402","ENSG00000003402")</f>
        <v>ENSG00000003402</v>
      </c>
      <c r="D766" s="14" t="s">
        <v>4667</v>
      </c>
      <c r="E766" s="14" t="str">
        <f>HYPERLINK("http://www.ncbi.nlm.nih.gov/sites/entrez?db=gene&amp;cmd=Retrieve&amp;dopt=full_report&amp;list_uids=8837","8837")</f>
        <v>8837</v>
      </c>
      <c r="F766" s="24" t="s">
        <v>4668</v>
      </c>
      <c r="G766" s="25" t="s">
        <v>4704</v>
      </c>
      <c r="H766" s="19" t="s">
        <v>4671</v>
      </c>
      <c r="I766" s="14" t="s">
        <v>4672</v>
      </c>
      <c r="J766" s="15" t="s">
        <v>8728</v>
      </c>
      <c r="K766" s="16">
        <v>249.457796</v>
      </c>
      <c r="L766" s="17">
        <v>166.99849699999999</v>
      </c>
      <c r="M766" s="18">
        <f t="shared" si="12"/>
        <v>0.66944589296379409</v>
      </c>
    </row>
    <row r="767" spans="1:13">
      <c r="A767" s="13" t="s">
        <v>4673</v>
      </c>
      <c r="B767" s="14" t="s">
        <v>4673</v>
      </c>
      <c r="C767" s="14" t="str">
        <f>HYPERLINK("http://uswest.ensembl.org/Homo_sapiens/Gene/Summary?g=","-")</f>
        <v>-</v>
      </c>
      <c r="D767" s="14" t="s">
        <v>4674</v>
      </c>
      <c r="E767" s="14" t="str">
        <f>HYPERLINK("http://www.ncbi.nlm.nih.gov/sites/entrez?db=gene&amp;cmd=Retrieve&amp;dopt=full_report&amp;list_uids=10799","10799")</f>
        <v>10799</v>
      </c>
      <c r="F767" s="24" t="s">
        <v>4675</v>
      </c>
      <c r="G767" s="24" t="s">
        <v>4639</v>
      </c>
      <c r="H767" s="14" t="s">
        <v>4640</v>
      </c>
      <c r="I767" s="14" t="s">
        <v>4641</v>
      </c>
      <c r="J767" s="15" t="s">
        <v>4642</v>
      </c>
      <c r="K767" s="16">
        <v>61.993335999999999</v>
      </c>
      <c r="L767" s="17">
        <v>41.504769000000003</v>
      </c>
      <c r="M767" s="18">
        <f t="shared" si="12"/>
        <v>0.66950371891585259</v>
      </c>
    </row>
    <row r="768" spans="1:13">
      <c r="A768" s="13" t="s">
        <v>4643</v>
      </c>
      <c r="B768" s="14" t="s">
        <v>4643</v>
      </c>
      <c r="C768" s="14" t="str">
        <f>HYPERLINK("http://uswest.ensembl.org/Homo_sapiens/Gene/Summary?g=ENSG00000114416","ENSG00000114416")</f>
        <v>ENSG00000114416</v>
      </c>
      <c r="D768" s="14" t="s">
        <v>4644</v>
      </c>
      <c r="E768" s="14" t="str">
        <f>HYPERLINK("http://www.ncbi.nlm.nih.gov/sites/entrez?db=gene&amp;cmd=Retrieve&amp;dopt=full_report&amp;list_uids=8087","8087")</f>
        <v>8087</v>
      </c>
      <c r="F768" s="24" t="s">
        <v>4645</v>
      </c>
      <c r="G768" s="24" t="s">
        <v>4646</v>
      </c>
      <c r="H768" s="14" t="s">
        <v>4679</v>
      </c>
      <c r="I768" s="14" t="s">
        <v>4680</v>
      </c>
      <c r="J768" s="15" t="s">
        <v>4681</v>
      </c>
      <c r="K768" s="16">
        <v>115.90549300000001</v>
      </c>
      <c r="L768" s="17">
        <v>77.604923999999997</v>
      </c>
      <c r="M768" s="18">
        <f t="shared" si="12"/>
        <v>0.66955346111163161</v>
      </c>
    </row>
    <row r="769" spans="1:13">
      <c r="A769" s="13" t="s">
        <v>4687</v>
      </c>
      <c r="B769" s="14" t="s">
        <v>4687</v>
      </c>
      <c r="C769" s="14" t="str">
        <f>HYPERLINK("http://uswest.ensembl.org/Homo_sapiens/Gene/Summary?g=ENSG00000196826","ENSG00000196826")</f>
        <v>ENSG00000196826</v>
      </c>
      <c r="D769" s="14" t="s">
        <v>4688</v>
      </c>
      <c r="E769" s="14" t="str">
        <f>HYPERLINK("http://www.ncbi.nlm.nih.gov/sites/entrez?db=gene&amp;cmd=Retrieve&amp;dopt=full_report&amp;list_uids=163051","163051")</f>
        <v>163051</v>
      </c>
      <c r="F769" s="24" t="s">
        <v>4689</v>
      </c>
      <c r="G769" s="24" t="s">
        <v>4690</v>
      </c>
      <c r="H769" s="14" t="s">
        <v>8581</v>
      </c>
      <c r="I769" s="14" t="s">
        <v>8582</v>
      </c>
      <c r="J769" s="15" t="s">
        <v>8622</v>
      </c>
      <c r="K769" s="16">
        <v>59.344163000000002</v>
      </c>
      <c r="L769" s="17">
        <v>39.738036000000001</v>
      </c>
      <c r="M769" s="18">
        <f t="shared" si="12"/>
        <v>0.6696199590851083</v>
      </c>
    </row>
    <row r="770" spans="1:13">
      <c r="A770" s="13" t="s">
        <v>4654</v>
      </c>
      <c r="B770" s="14" t="s">
        <v>4654</v>
      </c>
      <c r="C770" s="14" t="str">
        <f>HYPERLINK("http://uswest.ensembl.org/Homo_sapiens/Gene/Summary?g=ENSG00000117054","ENSG00000117054")</f>
        <v>ENSG00000117054</v>
      </c>
      <c r="D770" s="14" t="s">
        <v>4655</v>
      </c>
      <c r="E770" s="14" t="str">
        <f>HYPERLINK("http://www.ncbi.nlm.nih.gov/sites/entrez?db=gene&amp;cmd=Retrieve&amp;dopt=full_report&amp;list_uids=34","34")</f>
        <v>34</v>
      </c>
      <c r="F770" s="24" t="s">
        <v>4653</v>
      </c>
      <c r="G770" s="24" t="s">
        <v>4624</v>
      </c>
      <c r="H770" s="14" t="s">
        <v>4625</v>
      </c>
      <c r="I770" s="14" t="s">
        <v>4626</v>
      </c>
      <c r="J770" s="15" t="s">
        <v>7994</v>
      </c>
      <c r="K770" s="16">
        <v>401.32617699999997</v>
      </c>
      <c r="L770" s="17">
        <v>268.76199400000002</v>
      </c>
      <c r="M770" s="18">
        <f t="shared" ref="M770:M833" si="13">L770/K770</f>
        <v>0.66968468393727543</v>
      </c>
    </row>
    <row r="771" spans="1:13">
      <c r="A771" s="13" t="s">
        <v>4627</v>
      </c>
      <c r="B771" s="14" t="s">
        <v>4627</v>
      </c>
      <c r="C771" s="14" t="str">
        <f>HYPERLINK("http://uswest.ensembl.org/Homo_sapiens/Gene/Summary?g=ENSG00000081237","ENSG00000081237")</f>
        <v>ENSG00000081237</v>
      </c>
      <c r="D771" s="14" t="s">
        <v>4628</v>
      </c>
      <c r="E771" s="14" t="str">
        <f>HYPERLINK("http://www.ncbi.nlm.nih.gov/sites/entrez?db=gene&amp;cmd=Retrieve&amp;dopt=full_report&amp;list_uids=5788","5788")</f>
        <v>5788</v>
      </c>
      <c r="F771" s="24" t="s">
        <v>4629</v>
      </c>
      <c r="G771" s="24" t="s">
        <v>4663</v>
      </c>
      <c r="H771" s="14" t="s">
        <v>8559</v>
      </c>
      <c r="I771" s="14" t="s">
        <v>8303</v>
      </c>
      <c r="J771" s="15" t="s">
        <v>8728</v>
      </c>
      <c r="K771" s="16">
        <v>775.11942799999997</v>
      </c>
      <c r="L771" s="17">
        <v>519.09173599999997</v>
      </c>
      <c r="M771" s="18">
        <f t="shared" si="13"/>
        <v>0.66969258832717582</v>
      </c>
    </row>
    <row r="772" spans="1:13">
      <c r="A772" s="13" t="s">
        <v>4630</v>
      </c>
      <c r="B772" s="14" t="s">
        <v>4630</v>
      </c>
      <c r="C772" s="14" t="str">
        <f>HYPERLINK("http://uswest.ensembl.org/Homo_sapiens/Gene/Summary?g=ENSG00000182923","ENSG00000182923")</f>
        <v>ENSG00000182923</v>
      </c>
      <c r="D772" s="14" t="s">
        <v>4631</v>
      </c>
      <c r="E772" s="14" t="str">
        <f>HYPERLINK("http://www.ncbi.nlm.nih.gov/sites/entrez?db=gene&amp;cmd=Retrieve&amp;dopt=full_report&amp;list_uids=80254","80254")</f>
        <v>80254</v>
      </c>
      <c r="F772" s="24" t="s">
        <v>4632</v>
      </c>
      <c r="G772" s="24" t="s">
        <v>4633</v>
      </c>
      <c r="H772" s="14" t="s">
        <v>7573</v>
      </c>
      <c r="I772" s="14" t="s">
        <v>8728</v>
      </c>
      <c r="J772" s="15" t="s">
        <v>8728</v>
      </c>
      <c r="K772" s="16">
        <v>190.74821800000001</v>
      </c>
      <c r="L772" s="17">
        <v>127.768908</v>
      </c>
      <c r="M772" s="18">
        <f t="shared" si="13"/>
        <v>0.66983015275141389</v>
      </c>
    </row>
    <row r="773" spans="1:13">
      <c r="A773" s="13" t="s">
        <v>4669</v>
      </c>
      <c r="B773" s="14" t="s">
        <v>4669</v>
      </c>
      <c r="C773" s="14" t="str">
        <f>HYPERLINK("http://uswest.ensembl.org/Homo_sapiens/Gene/Summary?g=","-")</f>
        <v>-</v>
      </c>
      <c r="D773" s="14" t="s">
        <v>4670</v>
      </c>
      <c r="E773" s="14" t="str">
        <f>HYPERLINK("http://www.ncbi.nlm.nih.gov/sites/entrez?db=gene&amp;cmd=Retrieve&amp;dopt=full_report&amp;list_uids=81606","81606")</f>
        <v>81606</v>
      </c>
      <c r="F773" s="24" t="s">
        <v>4634</v>
      </c>
      <c r="G773" s="24" t="s">
        <v>4635</v>
      </c>
      <c r="H773" s="14" t="s">
        <v>6717</v>
      </c>
      <c r="I773" s="14" t="s">
        <v>8728</v>
      </c>
      <c r="J773" s="15" t="s">
        <v>6330</v>
      </c>
      <c r="K773" s="16">
        <v>29.672041</v>
      </c>
      <c r="L773" s="17">
        <v>19.883413999999998</v>
      </c>
      <c r="M773" s="18">
        <f t="shared" si="13"/>
        <v>0.67010604359841641</v>
      </c>
    </row>
    <row r="774" spans="1:13">
      <c r="A774" s="13" t="s">
        <v>4636</v>
      </c>
      <c r="B774" s="14" t="s">
        <v>4636</v>
      </c>
      <c r="C774" s="14" t="str">
        <f>HYPERLINK("http://uswest.ensembl.org/Homo_sapiens/Gene/Summary?g=ENSG00000143164","ENSG00000143164")</f>
        <v>ENSG00000143164</v>
      </c>
      <c r="D774" s="14" t="s">
        <v>4637</v>
      </c>
      <c r="E774" s="14" t="str">
        <f>HYPERLINK("http://www.ncbi.nlm.nih.gov/sites/entrez?db=gene&amp;cmd=Retrieve&amp;dopt=full_report&amp;list_uids=","-")</f>
        <v>-</v>
      </c>
      <c r="F774" s="24" t="s">
        <v>4638</v>
      </c>
      <c r="G774" s="24" t="s">
        <v>4620</v>
      </c>
      <c r="H774" s="14" t="s">
        <v>8728</v>
      </c>
      <c r="I774" s="14" t="s">
        <v>8728</v>
      </c>
      <c r="J774" s="15" t="s">
        <v>8728</v>
      </c>
      <c r="K774" s="16">
        <v>72.678629999999998</v>
      </c>
      <c r="L774" s="17">
        <v>48.706054999999999</v>
      </c>
      <c r="M774" s="18">
        <f t="shared" si="13"/>
        <v>0.67015648203605382</v>
      </c>
    </row>
    <row r="775" spans="1:13">
      <c r="A775" s="13" t="s">
        <v>4647</v>
      </c>
      <c r="B775" s="14" t="s">
        <v>4647</v>
      </c>
      <c r="C775" s="14" t="str">
        <f>HYPERLINK("http://uswest.ensembl.org/Homo_sapiens/Gene/Summary?g=ENSG00000164031","ENSG00000164031")</f>
        <v>ENSG00000164031</v>
      </c>
      <c r="D775" s="14" t="s">
        <v>4648</v>
      </c>
      <c r="E775" s="14" t="str">
        <f>HYPERLINK("http://www.ncbi.nlm.nih.gov/sites/entrez?db=gene&amp;cmd=Retrieve&amp;dopt=full_report&amp;list_uids=79982","79982")</f>
        <v>79982</v>
      </c>
      <c r="F775" s="24" t="s">
        <v>4649</v>
      </c>
      <c r="G775" s="24" t="s">
        <v>4650</v>
      </c>
      <c r="H775" s="14" t="s">
        <v>4651</v>
      </c>
      <c r="I775" s="14" t="s">
        <v>4652</v>
      </c>
      <c r="J775" s="15" t="s">
        <v>8698</v>
      </c>
      <c r="K775" s="16">
        <v>45.133316999999998</v>
      </c>
      <c r="L775" s="17">
        <v>30.252362999999999</v>
      </c>
      <c r="M775" s="18">
        <f t="shared" si="13"/>
        <v>0.6702889353335143</v>
      </c>
    </row>
    <row r="776" spans="1:13">
      <c r="A776" s="13" t="s">
        <v>4606</v>
      </c>
      <c r="B776" s="14" t="s">
        <v>4606</v>
      </c>
      <c r="C776" s="14" t="str">
        <f>HYPERLINK("http://uswest.ensembl.org/Homo_sapiens/Gene/Summary?g=ENSG00000112077","ENSG00000112077")</f>
        <v>ENSG00000112077</v>
      </c>
      <c r="D776" s="14" t="s">
        <v>4607</v>
      </c>
      <c r="E776" s="14" t="str">
        <f>HYPERLINK("http://www.ncbi.nlm.nih.gov/sites/entrez?db=gene&amp;cmd=Retrieve&amp;dopt=full_report&amp;list_uids=6005","6005")</f>
        <v>6005</v>
      </c>
      <c r="F776" s="24" t="s">
        <v>4608</v>
      </c>
      <c r="G776" s="24" t="s">
        <v>4609</v>
      </c>
      <c r="H776" s="14" t="s">
        <v>4610</v>
      </c>
      <c r="I776" s="14" t="s">
        <v>4611</v>
      </c>
      <c r="J776" s="15" t="s">
        <v>7024</v>
      </c>
      <c r="K776" s="16">
        <v>300.262676</v>
      </c>
      <c r="L776" s="17">
        <v>201.37727599999999</v>
      </c>
      <c r="M776" s="18">
        <f t="shared" si="13"/>
        <v>0.67067035664466002</v>
      </c>
    </row>
    <row r="777" spans="1:13">
      <c r="A777" s="13" t="s">
        <v>4621</v>
      </c>
      <c r="B777" s="14" t="s">
        <v>4621</v>
      </c>
      <c r="C777" s="14" t="str">
        <f>HYPERLINK("http://uswest.ensembl.org/Homo_sapiens/Gene/Summary?g=ENSG00000145675","ENSG00000145675")</f>
        <v>ENSG00000145675</v>
      </c>
      <c r="D777" s="14" t="s">
        <v>4622</v>
      </c>
      <c r="E777" s="14" t="str">
        <f>HYPERLINK("http://www.ncbi.nlm.nih.gov/sites/entrez?db=gene&amp;cmd=Retrieve&amp;dopt=full_report&amp;list_uids=5295","5295")</f>
        <v>5295</v>
      </c>
      <c r="F777" s="24" t="s">
        <v>4623</v>
      </c>
      <c r="G777" s="24" t="s">
        <v>4612</v>
      </c>
      <c r="H777" s="14" t="s">
        <v>8728</v>
      </c>
      <c r="I777" s="14" t="s">
        <v>7411</v>
      </c>
      <c r="J777" s="15" t="s">
        <v>7412</v>
      </c>
      <c r="K777" s="16">
        <v>147.76740699999999</v>
      </c>
      <c r="L777" s="17">
        <v>99.151994999999999</v>
      </c>
      <c r="M777" s="18">
        <f t="shared" si="13"/>
        <v>0.67100043922405705</v>
      </c>
    </row>
    <row r="778" spans="1:13">
      <c r="A778" s="13" t="s">
        <v>4613</v>
      </c>
      <c r="B778" s="14" t="s">
        <v>4613</v>
      </c>
      <c r="C778" s="14" t="str">
        <f>HYPERLINK("http://uswest.ensembl.org/Homo_sapiens/Gene/Summary?g=ENSG00000172963","ENSG00000172963")</f>
        <v>ENSG00000172963</v>
      </c>
      <c r="D778" s="14" t="s">
        <v>8728</v>
      </c>
      <c r="E778" s="14" t="str">
        <f>HYPERLINK("http://www.ncbi.nlm.nih.gov/sites/entrez?db=gene&amp;cmd=Retrieve&amp;dopt=full_report&amp;list_uids=","-")</f>
        <v>-</v>
      </c>
      <c r="F778" s="24" t="s">
        <v>4614</v>
      </c>
      <c r="G778" s="24" t="s">
        <v>8728</v>
      </c>
      <c r="H778" s="14" t="s">
        <v>8728</v>
      </c>
      <c r="I778" s="14" t="s">
        <v>8728</v>
      </c>
      <c r="J778" s="15" t="s">
        <v>8728</v>
      </c>
      <c r="K778" s="16">
        <v>45.666511999999997</v>
      </c>
      <c r="L778" s="17">
        <v>30.647449999999999</v>
      </c>
      <c r="M778" s="18">
        <f t="shared" si="13"/>
        <v>0.67111431676673705</v>
      </c>
    </row>
    <row r="779" spans="1:13">
      <c r="A779" s="13" t="s">
        <v>4597</v>
      </c>
      <c r="B779" s="14" t="s">
        <v>4597</v>
      </c>
      <c r="C779" s="14" t="str">
        <f>HYPERLINK("http://uswest.ensembl.org/Homo_sapiens/Gene/Summary?g=ENSG00000023909","ENSG00000023909")</f>
        <v>ENSG00000023909</v>
      </c>
      <c r="D779" s="14" t="s">
        <v>4598</v>
      </c>
      <c r="E779" s="14" t="str">
        <f>HYPERLINK("http://www.ncbi.nlm.nih.gov/sites/entrez?db=gene&amp;cmd=Retrieve&amp;dopt=full_report&amp;list_uids=2730","2730")</f>
        <v>2730</v>
      </c>
      <c r="F779" s="24" t="s">
        <v>4599</v>
      </c>
      <c r="G779" s="24" t="s">
        <v>4600</v>
      </c>
      <c r="H779" s="19" t="s">
        <v>4601</v>
      </c>
      <c r="I779" s="14" t="s">
        <v>4615</v>
      </c>
      <c r="J779" s="15" t="s">
        <v>4616</v>
      </c>
      <c r="K779" s="16">
        <v>244.49194900000001</v>
      </c>
      <c r="L779" s="17">
        <v>164.112953</v>
      </c>
      <c r="M779" s="18">
        <f t="shared" si="13"/>
        <v>0.67124072457698802</v>
      </c>
    </row>
    <row r="780" spans="1:13">
      <c r="A780" s="13" t="s">
        <v>4619</v>
      </c>
      <c r="B780" s="14" t="s">
        <v>4619</v>
      </c>
      <c r="C780" s="14" t="str">
        <f>HYPERLINK("http://uswest.ensembl.org/Homo_sapiens/Gene/Summary?g=","-")</f>
        <v>-</v>
      </c>
      <c r="D780" s="14" t="s">
        <v>8728</v>
      </c>
      <c r="E780" s="14" t="str">
        <f>HYPERLINK("http://www.ncbi.nlm.nih.gov/sites/entrez?db=gene&amp;cmd=Retrieve&amp;dopt=full_report&amp;list_uids=100292008","100292008")</f>
        <v>100292008</v>
      </c>
      <c r="F780" s="24" t="s">
        <v>8728</v>
      </c>
      <c r="G780" s="24" t="s">
        <v>8728</v>
      </c>
      <c r="H780" s="14" t="s">
        <v>8728</v>
      </c>
      <c r="I780" s="14" t="s">
        <v>8728</v>
      </c>
      <c r="J780" s="15" t="s">
        <v>8728</v>
      </c>
      <c r="K780" s="16">
        <v>53.996062999999999</v>
      </c>
      <c r="L780" s="17">
        <v>36.255405000000003</v>
      </c>
      <c r="M780" s="18">
        <f t="shared" si="13"/>
        <v>0.67144534222800656</v>
      </c>
    </row>
    <row r="781" spans="1:13">
      <c r="A781" s="13" t="s">
        <v>4573</v>
      </c>
      <c r="B781" s="14" t="s">
        <v>4573</v>
      </c>
      <c r="C781" s="14" t="str">
        <f>HYPERLINK("http://uswest.ensembl.org/Homo_sapiens/Gene/Summary?g=ENSG00000146453","ENSG00000146453")</f>
        <v>ENSG00000146453</v>
      </c>
      <c r="D781" s="14" t="s">
        <v>4574</v>
      </c>
      <c r="E781" s="14" t="str">
        <f>HYPERLINK("http://www.ncbi.nlm.nih.gov/sites/entrez?db=gene&amp;cmd=Retrieve&amp;dopt=full_report&amp;list_uids=","-")</f>
        <v>-</v>
      </c>
      <c r="F781" s="24" t="s">
        <v>4575</v>
      </c>
      <c r="G781" s="24" t="s">
        <v>4576</v>
      </c>
      <c r="H781" s="14" t="s">
        <v>8728</v>
      </c>
      <c r="I781" s="14" t="s">
        <v>8064</v>
      </c>
      <c r="J781" s="15" t="s">
        <v>8558</v>
      </c>
      <c r="K781" s="16">
        <v>37.562690000000003</v>
      </c>
      <c r="L781" s="17">
        <v>25.223034999999999</v>
      </c>
      <c r="M781" s="18">
        <f t="shared" si="13"/>
        <v>0.67149171158934562</v>
      </c>
    </row>
    <row r="782" spans="1:13">
      <c r="A782" s="13" t="s">
        <v>4577</v>
      </c>
      <c r="B782" s="14" t="s">
        <v>4577</v>
      </c>
      <c r="C782" s="14" t="str">
        <f>HYPERLINK("http://uswest.ensembl.org/Homo_sapiens/Gene/Summary?g=ENSG00000115596","ENSG00000115596")</f>
        <v>ENSG00000115596</v>
      </c>
      <c r="D782" s="14" t="s">
        <v>4578</v>
      </c>
      <c r="E782" s="14" t="str">
        <f>HYPERLINK("http://www.ncbi.nlm.nih.gov/sites/entrez?db=gene&amp;cmd=Retrieve&amp;dopt=full_report&amp;list_uids=7475","7475")</f>
        <v>7475</v>
      </c>
      <c r="F782" s="24" t="s">
        <v>4579</v>
      </c>
      <c r="G782" s="24" t="s">
        <v>4580</v>
      </c>
      <c r="H782" s="14" t="s">
        <v>4581</v>
      </c>
      <c r="I782" s="14" t="s">
        <v>4582</v>
      </c>
      <c r="J782" s="15" t="s">
        <v>8320</v>
      </c>
      <c r="K782" s="16">
        <v>125.965536</v>
      </c>
      <c r="L782" s="17">
        <v>84.590998999999996</v>
      </c>
      <c r="M782" s="18">
        <f t="shared" si="13"/>
        <v>0.67154081732323989</v>
      </c>
    </row>
    <row r="783" spans="1:13">
      <c r="A783" s="13" t="s">
        <v>4592</v>
      </c>
      <c r="B783" s="14" t="s">
        <v>4592</v>
      </c>
      <c r="C783" s="14" t="str">
        <f>HYPERLINK("http://uswest.ensembl.org/Homo_sapiens/Gene/Summary?g=ENSG00000080293","ENSG00000080293")</f>
        <v>ENSG00000080293</v>
      </c>
      <c r="D783" s="14" t="s">
        <v>4593</v>
      </c>
      <c r="E783" s="14" t="str">
        <f>HYPERLINK("http://www.ncbi.nlm.nih.gov/sites/entrez?db=gene&amp;cmd=Retrieve&amp;dopt=full_report&amp;list_uids=6344","6344")</f>
        <v>6344</v>
      </c>
      <c r="F783" s="24" t="s">
        <v>4594</v>
      </c>
      <c r="G783" s="24" t="s">
        <v>4595</v>
      </c>
      <c r="H783" s="14" t="s">
        <v>4596</v>
      </c>
      <c r="I783" s="14" t="s">
        <v>4586</v>
      </c>
      <c r="J783" s="15" t="s">
        <v>7024</v>
      </c>
      <c r="K783" s="16">
        <v>44.936881</v>
      </c>
      <c r="L783" s="17">
        <v>30.183361999999999</v>
      </c>
      <c r="M783" s="18">
        <f t="shared" si="13"/>
        <v>0.67168351092279854</v>
      </c>
    </row>
    <row r="784" spans="1:13">
      <c r="A784" s="13" t="s">
        <v>4587</v>
      </c>
      <c r="B784" s="14" t="s">
        <v>4587</v>
      </c>
      <c r="C784" s="14" t="str">
        <f>HYPERLINK("http://uswest.ensembl.org/Homo_sapiens/Gene/Summary?g=ENSG00000025039","ENSG00000025039")</f>
        <v>ENSG00000025039</v>
      </c>
      <c r="D784" s="14" t="s">
        <v>4588</v>
      </c>
      <c r="E784" s="14" t="str">
        <f>HYPERLINK("http://www.ncbi.nlm.nih.gov/sites/entrez?db=gene&amp;cmd=Retrieve&amp;dopt=full_report&amp;list_uids=58528","58528")</f>
        <v>58528</v>
      </c>
      <c r="F784" s="24" t="s">
        <v>4589</v>
      </c>
      <c r="G784" s="24" t="s">
        <v>4590</v>
      </c>
      <c r="H784" s="14" t="s">
        <v>8668</v>
      </c>
      <c r="I784" s="14" t="s">
        <v>4591</v>
      </c>
      <c r="J784" s="15" t="s">
        <v>8608</v>
      </c>
      <c r="K784" s="16">
        <v>119.188277</v>
      </c>
      <c r="L784" s="17">
        <v>80.056955000000002</v>
      </c>
      <c r="M784" s="18">
        <f t="shared" si="13"/>
        <v>0.67168480839772526</v>
      </c>
    </row>
    <row r="785" spans="1:13">
      <c r="A785" s="13" t="s">
        <v>4565</v>
      </c>
      <c r="B785" s="14" t="s">
        <v>4565</v>
      </c>
      <c r="C785" s="14" t="str">
        <f>HYPERLINK("http://uswest.ensembl.org/Homo_sapiens/Gene/Summary?g=","-")</f>
        <v>-</v>
      </c>
      <c r="D785" s="14" t="s">
        <v>4566</v>
      </c>
      <c r="E785" s="14" t="str">
        <f>HYPERLINK("http://www.ncbi.nlm.nih.gov/sites/entrez?db=gene&amp;cmd=Retrieve&amp;dopt=full_report&amp;list_uids=7076","7076")</f>
        <v>7076</v>
      </c>
      <c r="F785" s="24" t="s">
        <v>4567</v>
      </c>
      <c r="G785" s="24" t="s">
        <v>4602</v>
      </c>
      <c r="H785" s="14" t="s">
        <v>4603</v>
      </c>
      <c r="I785" s="14" t="s">
        <v>4604</v>
      </c>
      <c r="J785" s="15" t="s">
        <v>8320</v>
      </c>
      <c r="K785" s="16">
        <v>2840.7834170000001</v>
      </c>
      <c r="L785" s="17">
        <v>1908.794956</v>
      </c>
      <c r="M785" s="18">
        <f t="shared" si="13"/>
        <v>0.67192554862763054</v>
      </c>
    </row>
    <row r="786" spans="1:13">
      <c r="A786" s="13" t="s">
        <v>4605</v>
      </c>
      <c r="B786" s="14" t="s">
        <v>4605</v>
      </c>
      <c r="C786" s="14" t="str">
        <f>HYPERLINK("http://uswest.ensembl.org/Homo_sapiens/Gene/Summary?g=","-")</f>
        <v>-</v>
      </c>
      <c r="D786" s="14" t="s">
        <v>4568</v>
      </c>
      <c r="E786" s="14" t="str">
        <f>HYPERLINK("http://www.ncbi.nlm.nih.gov/sites/entrez?db=gene&amp;cmd=Retrieve&amp;dopt=full_report&amp;list_uids=6574","6574")</f>
        <v>6574</v>
      </c>
      <c r="F786" s="24" t="s">
        <v>4569</v>
      </c>
      <c r="G786" s="24" t="s">
        <v>4570</v>
      </c>
      <c r="H786" s="14" t="s">
        <v>4571</v>
      </c>
      <c r="I786" s="14" t="s">
        <v>4572</v>
      </c>
      <c r="J786" s="15" t="s">
        <v>8697</v>
      </c>
      <c r="K786" s="16">
        <v>657.914717</v>
      </c>
      <c r="L786" s="17">
        <v>442.07374499999997</v>
      </c>
      <c r="M786" s="18">
        <f t="shared" si="13"/>
        <v>0.67193168594220698</v>
      </c>
    </row>
    <row r="787" spans="1:13">
      <c r="A787" s="13" t="s">
        <v>4549</v>
      </c>
      <c r="B787" s="14" t="s">
        <v>4549</v>
      </c>
      <c r="C787" s="14" t="str">
        <f>HYPERLINK("http://uswest.ensembl.org/Homo_sapiens/Gene/Summary?g=ENSG00000002822","ENSG00000002822")</f>
        <v>ENSG00000002822</v>
      </c>
      <c r="D787" s="14" t="s">
        <v>4550</v>
      </c>
      <c r="E787" s="14" t="str">
        <f>HYPERLINK("http://www.ncbi.nlm.nih.gov/sites/entrez?db=gene&amp;cmd=Retrieve&amp;dopt=full_report&amp;list_uids=","-")</f>
        <v>-</v>
      </c>
      <c r="F787" s="24" t="s">
        <v>4551</v>
      </c>
      <c r="G787" s="24" t="s">
        <v>4552</v>
      </c>
      <c r="H787" s="14" t="s">
        <v>8728</v>
      </c>
      <c r="I787" s="14" t="s">
        <v>8728</v>
      </c>
      <c r="J787" s="15" t="s">
        <v>7692</v>
      </c>
      <c r="K787" s="16">
        <v>80.214586999999995</v>
      </c>
      <c r="L787" s="17">
        <v>53.914130999999998</v>
      </c>
      <c r="M787" s="18">
        <f t="shared" si="13"/>
        <v>0.67212377469449547</v>
      </c>
    </row>
    <row r="788" spans="1:13">
      <c r="A788" s="13" t="s">
        <v>4553</v>
      </c>
      <c r="B788" s="14" t="s">
        <v>4553</v>
      </c>
      <c r="C788" s="14" t="str">
        <f>HYPERLINK("http://uswest.ensembl.org/Homo_sapiens/Gene/Summary?g=","-")</f>
        <v>-</v>
      </c>
      <c r="D788" s="14" t="s">
        <v>8728</v>
      </c>
      <c r="E788" s="14" t="str">
        <f>HYPERLINK("http://www.ncbi.nlm.nih.gov/sites/entrez?db=gene&amp;cmd=Retrieve&amp;dopt=full_report&amp;list_uids=100293983","100293983")</f>
        <v>100293983</v>
      </c>
      <c r="F788" s="24" t="s">
        <v>8728</v>
      </c>
      <c r="G788" s="24" t="s">
        <v>8728</v>
      </c>
      <c r="H788" s="14" t="s">
        <v>8728</v>
      </c>
      <c r="I788" s="14" t="s">
        <v>8728</v>
      </c>
      <c r="J788" s="15" t="s">
        <v>8728</v>
      </c>
      <c r="K788" s="16">
        <v>68.509968999999998</v>
      </c>
      <c r="L788" s="17">
        <v>46.055701999999997</v>
      </c>
      <c r="M788" s="18">
        <f t="shared" si="13"/>
        <v>0.67224818040714629</v>
      </c>
    </row>
    <row r="789" spans="1:13">
      <c r="A789" s="13" t="s">
        <v>4554</v>
      </c>
      <c r="B789" s="14" t="s">
        <v>4554</v>
      </c>
      <c r="C789" s="14" t="str">
        <f>HYPERLINK("http://uswest.ensembl.org/Homo_sapiens/Gene/Summary?g=","-")</f>
        <v>-</v>
      </c>
      <c r="D789" s="14" t="s">
        <v>4555</v>
      </c>
      <c r="E789" s="14" t="str">
        <f>HYPERLINK("http://www.ncbi.nlm.nih.gov/sites/entrez?db=gene&amp;cmd=Retrieve&amp;dopt=full_report&amp;list_uids=56259","56259")</f>
        <v>56259</v>
      </c>
      <c r="F789" s="24" t="s">
        <v>4556</v>
      </c>
      <c r="G789" s="24" t="s">
        <v>4583</v>
      </c>
      <c r="H789" s="14" t="s">
        <v>7813</v>
      </c>
      <c r="I789" s="14" t="s">
        <v>8383</v>
      </c>
      <c r="J789" s="15" t="s">
        <v>8558</v>
      </c>
      <c r="K789" s="16">
        <v>450.55058700000001</v>
      </c>
      <c r="L789" s="17">
        <v>302.95094</v>
      </c>
      <c r="M789" s="18">
        <f t="shared" si="13"/>
        <v>0.672401609810798</v>
      </c>
    </row>
    <row r="790" spans="1:13">
      <c r="A790" s="13" t="s">
        <v>4584</v>
      </c>
      <c r="B790" s="14" t="s">
        <v>4584</v>
      </c>
      <c r="C790" s="14" t="str">
        <f>HYPERLINK("http://uswest.ensembl.org/Homo_sapiens/Gene/Summary?g=ENSG00000166333","ENSG00000166333")</f>
        <v>ENSG00000166333</v>
      </c>
      <c r="D790" s="14" t="s">
        <v>8728</v>
      </c>
      <c r="E790" s="14" t="str">
        <f>HYPERLINK("http://www.ncbi.nlm.nih.gov/sites/entrez?db=gene&amp;cmd=Retrieve&amp;dopt=full_report&amp;list_uids=3611","3611")</f>
        <v>3611</v>
      </c>
      <c r="F790" s="24" t="s">
        <v>4585</v>
      </c>
      <c r="G790" s="24" t="s">
        <v>4530</v>
      </c>
      <c r="H790" s="19" t="s">
        <v>4562</v>
      </c>
      <c r="I790" s="14" t="s">
        <v>5796</v>
      </c>
      <c r="J790" s="15" t="s">
        <v>4563</v>
      </c>
      <c r="K790" s="16">
        <v>196.05619300000001</v>
      </c>
      <c r="L790" s="17">
        <v>131.89514399999999</v>
      </c>
      <c r="M790" s="18">
        <f t="shared" si="13"/>
        <v>0.67274153385198077</v>
      </c>
    </row>
    <row r="791" spans="1:13">
      <c r="A791" s="13" t="s">
        <v>4564</v>
      </c>
      <c r="B791" s="14" t="s">
        <v>4564</v>
      </c>
      <c r="C791" s="14" t="str">
        <f>HYPERLINK("http://uswest.ensembl.org/Homo_sapiens/Gene/Summary?g=","-")</f>
        <v>-</v>
      </c>
      <c r="D791" s="14" t="s">
        <v>8728</v>
      </c>
      <c r="E791" s="14" t="str">
        <f>HYPERLINK("http://www.ncbi.nlm.nih.gov/sites/entrez?db=gene&amp;cmd=Retrieve&amp;dopt=full_report&amp;list_uids=100290355","100290355")</f>
        <v>100290355</v>
      </c>
      <c r="F791" s="24" t="s">
        <v>8728</v>
      </c>
      <c r="G791" s="24" t="s">
        <v>8728</v>
      </c>
      <c r="H791" s="14" t="s">
        <v>8728</v>
      </c>
      <c r="I791" s="14" t="s">
        <v>8728</v>
      </c>
      <c r="J791" s="15" t="s">
        <v>8728</v>
      </c>
      <c r="K791" s="16">
        <v>41.368591000000002</v>
      </c>
      <c r="L791" s="17">
        <v>27.831087</v>
      </c>
      <c r="M791" s="18">
        <f t="shared" si="13"/>
        <v>0.67275888124881988</v>
      </c>
    </row>
    <row r="792" spans="1:13">
      <c r="A792" s="13" t="s">
        <v>4557</v>
      </c>
      <c r="B792" s="14" t="s">
        <v>4557</v>
      </c>
      <c r="C792" s="14" t="str">
        <f>HYPERLINK("http://uswest.ensembl.org/Homo_sapiens/Gene/Summary?g=ENSG00000180354","ENSG00000180354")</f>
        <v>ENSG00000180354</v>
      </c>
      <c r="D792" s="14" t="s">
        <v>5683</v>
      </c>
      <c r="E792" s="14" t="str">
        <f>HYPERLINK("http://www.ncbi.nlm.nih.gov/sites/entrez?db=gene&amp;cmd=Retrieve&amp;dopt=full_report&amp;list_uids=222166","222166")</f>
        <v>222166</v>
      </c>
      <c r="F792" s="24" t="s">
        <v>5684</v>
      </c>
      <c r="G792" s="24" t="s">
        <v>5685</v>
      </c>
      <c r="H792" s="14" t="s">
        <v>8728</v>
      </c>
      <c r="I792" s="14" t="s">
        <v>8728</v>
      </c>
      <c r="J792" s="15" t="s">
        <v>8728</v>
      </c>
      <c r="K792" s="16">
        <v>150.32004000000001</v>
      </c>
      <c r="L792" s="17">
        <v>101.182092</v>
      </c>
      <c r="M792" s="18">
        <f t="shared" si="13"/>
        <v>0.67311113009283385</v>
      </c>
    </row>
    <row r="793" spans="1:13">
      <c r="A793" s="13" t="s">
        <v>4558</v>
      </c>
      <c r="B793" s="14" t="s">
        <v>4558</v>
      </c>
      <c r="C793" s="14" t="str">
        <f>HYPERLINK("http://uswest.ensembl.org/Homo_sapiens/Gene/Summary?g=ENSG00000169118","ENSG00000169118")</f>
        <v>ENSG00000169118</v>
      </c>
      <c r="D793" s="14" t="s">
        <v>4559</v>
      </c>
      <c r="E793" s="14" t="str">
        <f>HYPERLINK("http://www.ncbi.nlm.nih.gov/sites/entrez?db=gene&amp;cmd=Retrieve&amp;dopt=full_report&amp;list_uids=53944","53944")</f>
        <v>53944</v>
      </c>
      <c r="F793" s="24" t="s">
        <v>4560</v>
      </c>
      <c r="G793" s="24" t="s">
        <v>4561</v>
      </c>
      <c r="H793" s="14" t="s">
        <v>4531</v>
      </c>
      <c r="I793" s="14" t="s">
        <v>8234</v>
      </c>
      <c r="J793" s="15" t="s">
        <v>8619</v>
      </c>
      <c r="K793" s="16">
        <v>61.415531000000001</v>
      </c>
      <c r="L793" s="17">
        <v>41.341357000000002</v>
      </c>
      <c r="M793" s="18">
        <f t="shared" si="13"/>
        <v>0.67314173348106365</v>
      </c>
    </row>
    <row r="794" spans="1:13">
      <c r="A794" s="13" t="s">
        <v>4532</v>
      </c>
      <c r="B794" s="14" t="s">
        <v>4532</v>
      </c>
      <c r="C794" s="14" t="str">
        <f>HYPERLINK("http://uswest.ensembl.org/Homo_sapiens/Gene/Summary?g=","-")</f>
        <v>-</v>
      </c>
      <c r="D794" s="14" t="s">
        <v>4533</v>
      </c>
      <c r="E794" s="14" t="str">
        <f>HYPERLINK("http://www.ncbi.nlm.nih.gov/sites/entrez?db=gene&amp;cmd=Retrieve&amp;dopt=full_report&amp;list_uids=4552","4552")</f>
        <v>4552</v>
      </c>
      <c r="F794" s="24" t="s">
        <v>4534</v>
      </c>
      <c r="G794" s="24" t="s">
        <v>4536</v>
      </c>
      <c r="H794" s="14" t="s">
        <v>4537</v>
      </c>
      <c r="I794" s="14" t="s">
        <v>4538</v>
      </c>
      <c r="J794" s="15" t="s">
        <v>5785</v>
      </c>
      <c r="K794" s="16">
        <v>54.128388999999999</v>
      </c>
      <c r="L794" s="17">
        <v>36.438764999999997</v>
      </c>
      <c r="M794" s="18">
        <f t="shared" si="13"/>
        <v>0.67319138206755047</v>
      </c>
    </row>
    <row r="795" spans="1:13">
      <c r="A795" s="13" t="s">
        <v>4523</v>
      </c>
      <c r="B795" s="14" t="s">
        <v>4523</v>
      </c>
      <c r="C795" s="14" t="str">
        <f>HYPERLINK("http://uswest.ensembl.org/Homo_sapiens/Gene/Summary?g=ENSG00000149781","ENSG00000149781")</f>
        <v>ENSG00000149781</v>
      </c>
      <c r="D795" s="14" t="s">
        <v>4524</v>
      </c>
      <c r="E795" s="14" t="str">
        <f>HYPERLINK("http://www.ncbi.nlm.nih.gov/sites/entrez?db=gene&amp;cmd=Retrieve&amp;dopt=full_report&amp;list_uids=83706","83706")</f>
        <v>83706</v>
      </c>
      <c r="F795" s="24" t="s">
        <v>4525</v>
      </c>
      <c r="G795" s="24" t="s">
        <v>4526</v>
      </c>
      <c r="H795" s="14" t="s">
        <v>8628</v>
      </c>
      <c r="I795" s="14" t="s">
        <v>8665</v>
      </c>
      <c r="J795" s="15" t="s">
        <v>4539</v>
      </c>
      <c r="K795" s="16">
        <v>272.05856</v>
      </c>
      <c r="L795" s="17">
        <v>183.19960499999999</v>
      </c>
      <c r="M795" s="18">
        <f t="shared" si="13"/>
        <v>0.67338298416340947</v>
      </c>
    </row>
    <row r="796" spans="1:13">
      <c r="A796" s="13" t="s">
        <v>4540</v>
      </c>
      <c r="B796" s="14" t="s">
        <v>4540</v>
      </c>
      <c r="C796" s="14" t="str">
        <f>HYPERLINK("http://uswest.ensembl.org/Homo_sapiens/Gene/Summary?g=ENSG00000169093","ENSG00000169093")</f>
        <v>ENSG00000169093</v>
      </c>
      <c r="D796" s="14" t="s">
        <v>4541</v>
      </c>
      <c r="E796" s="14" t="str">
        <f>HYPERLINK("http://www.ncbi.nlm.nih.gov/sites/entrez?db=gene&amp;cmd=Retrieve&amp;dopt=full_report&amp;list_uids=","-")</f>
        <v>-</v>
      </c>
      <c r="F796" s="24" t="s">
        <v>4542</v>
      </c>
      <c r="G796" s="24" t="s">
        <v>4543</v>
      </c>
      <c r="H796" s="14" t="s">
        <v>8728</v>
      </c>
      <c r="I796" s="14" t="s">
        <v>4544</v>
      </c>
      <c r="J796" s="15" t="s">
        <v>8619</v>
      </c>
      <c r="K796" s="16">
        <v>96.094063000000006</v>
      </c>
      <c r="L796" s="17">
        <v>64.709022000000004</v>
      </c>
      <c r="M796" s="18">
        <f t="shared" si="13"/>
        <v>0.67339250708964193</v>
      </c>
    </row>
    <row r="797" spans="1:13">
      <c r="A797" s="13" t="s">
        <v>4545</v>
      </c>
      <c r="B797" s="14" t="s">
        <v>4545</v>
      </c>
      <c r="C797" s="14" t="str">
        <f>HYPERLINK("http://uswest.ensembl.org/Homo_sapiens/Gene/Summary?g=","-")</f>
        <v>-</v>
      </c>
      <c r="D797" s="14" t="s">
        <v>4546</v>
      </c>
      <c r="E797" s="14" t="str">
        <f>HYPERLINK("http://www.ncbi.nlm.nih.gov/sites/entrez?db=gene&amp;cmd=Retrieve&amp;dopt=full_report&amp;list_uids=64241","64241")</f>
        <v>64241</v>
      </c>
      <c r="F797" s="24" t="s">
        <v>4547</v>
      </c>
      <c r="G797" s="24" t="s">
        <v>4548</v>
      </c>
      <c r="H797" s="19" t="s">
        <v>4527</v>
      </c>
      <c r="I797" s="19" t="s">
        <v>4528</v>
      </c>
      <c r="J797" s="15" t="s">
        <v>4502</v>
      </c>
      <c r="K797" s="16">
        <v>33.154331999999997</v>
      </c>
      <c r="L797" s="17">
        <v>22.326405000000001</v>
      </c>
      <c r="M797" s="18">
        <f t="shared" si="13"/>
        <v>0.67340837993659486</v>
      </c>
    </row>
    <row r="798" spans="1:13">
      <c r="A798" s="13" t="s">
        <v>4503</v>
      </c>
      <c r="B798" s="14" t="s">
        <v>4503</v>
      </c>
      <c r="C798" s="14" t="str">
        <f>HYPERLINK("http://uswest.ensembl.org/Homo_sapiens/Gene/Summary?g=ENSG00000215811","ENSG00000215811")</f>
        <v>ENSG00000215811</v>
      </c>
      <c r="D798" s="14" t="s">
        <v>8728</v>
      </c>
      <c r="E798" s="14" t="str">
        <f>HYPERLINK("http://www.ncbi.nlm.nih.gov/sites/entrez?db=gene&amp;cmd=Retrieve&amp;dopt=full_report&amp;list_uids=","-")</f>
        <v>-</v>
      </c>
      <c r="F798" s="24" t="s">
        <v>4504</v>
      </c>
      <c r="G798" s="24" t="s">
        <v>4505</v>
      </c>
      <c r="H798" s="14" t="s">
        <v>8728</v>
      </c>
      <c r="I798" s="14" t="s">
        <v>8728</v>
      </c>
      <c r="J798" s="15" t="s">
        <v>8728</v>
      </c>
      <c r="K798" s="16">
        <v>32.479394999999997</v>
      </c>
      <c r="L798" s="17">
        <v>21.872945000000001</v>
      </c>
      <c r="M798" s="18">
        <f t="shared" si="13"/>
        <v>0.67344065368212691</v>
      </c>
    </row>
    <row r="799" spans="1:13">
      <c r="A799" s="13" t="s">
        <v>4506</v>
      </c>
      <c r="B799" s="14" t="s">
        <v>4506</v>
      </c>
      <c r="C799" s="14" t="str">
        <f>HYPERLINK("http://uswest.ensembl.org/Homo_sapiens/Gene/Summary?g=ENSG00000081177","ENSG00000081177")</f>
        <v>ENSG00000081177</v>
      </c>
      <c r="D799" s="14" t="s">
        <v>4507</v>
      </c>
      <c r="E799" s="14" t="str">
        <f>HYPERLINK("http://www.ncbi.nlm.nih.gov/sites/entrez?db=gene&amp;cmd=Retrieve&amp;dopt=full_report&amp;list_uids=55218","55218")</f>
        <v>55218</v>
      </c>
      <c r="F799" s="24" t="s">
        <v>4508</v>
      </c>
      <c r="G799" s="24" t="s">
        <v>4509</v>
      </c>
      <c r="H799" s="14" t="s">
        <v>4511</v>
      </c>
      <c r="I799" s="14" t="s">
        <v>4529</v>
      </c>
      <c r="J799" s="15" t="s">
        <v>8707</v>
      </c>
      <c r="K799" s="16">
        <v>34.847993000000002</v>
      </c>
      <c r="L799" s="17">
        <v>23.471737000000001</v>
      </c>
      <c r="M799" s="18">
        <f t="shared" si="13"/>
        <v>0.67354630724357634</v>
      </c>
    </row>
    <row r="800" spans="1:13">
      <c r="A800" s="13" t="s">
        <v>4513</v>
      </c>
      <c r="B800" s="14" t="s">
        <v>4513</v>
      </c>
      <c r="C800" s="14" t="str">
        <f>HYPERLINK("http://uswest.ensembl.org/Homo_sapiens/Gene/Summary?g=ENSG00000179695","ENSG00000179695")</f>
        <v>ENSG00000179695</v>
      </c>
      <c r="D800" s="14" t="s">
        <v>4514</v>
      </c>
      <c r="E800" s="14" t="str">
        <f>HYPERLINK("http://www.ncbi.nlm.nih.gov/sites/entrez?db=gene&amp;cmd=Retrieve&amp;dopt=full_report&amp;list_uids=341416","341416")</f>
        <v>341416</v>
      </c>
      <c r="F800" s="24" t="s">
        <v>4515</v>
      </c>
      <c r="G800" s="24" t="s">
        <v>4492</v>
      </c>
      <c r="H800" s="14" t="s">
        <v>8699</v>
      </c>
      <c r="I800" s="14" t="s">
        <v>8700</v>
      </c>
      <c r="J800" s="15" t="s">
        <v>8701</v>
      </c>
      <c r="K800" s="16">
        <v>36.399759000000003</v>
      </c>
      <c r="L800" s="17">
        <v>24.530228999999999</v>
      </c>
      <c r="M800" s="18">
        <f t="shared" si="13"/>
        <v>0.67391185199880022</v>
      </c>
    </row>
    <row r="801" spans="1:13">
      <c r="A801" s="13" t="s">
        <v>4516</v>
      </c>
      <c r="B801" s="14" t="s">
        <v>4516</v>
      </c>
      <c r="C801" s="14" t="str">
        <f>HYPERLINK("http://uswest.ensembl.org/Homo_sapiens/Gene/Summary?g=ENSG00000162419","ENSG00000162419")</f>
        <v>ENSG00000162419</v>
      </c>
      <c r="D801" s="14" t="s">
        <v>4517</v>
      </c>
      <c r="E801" s="14" t="str">
        <f>HYPERLINK("http://www.ncbi.nlm.nih.gov/sites/entrez?db=gene&amp;cmd=Retrieve&amp;dopt=full_report&amp;list_uids=10691","10691")</f>
        <v>10691</v>
      </c>
      <c r="F801" s="24" t="s">
        <v>4518</v>
      </c>
      <c r="G801" s="24" t="s">
        <v>4519</v>
      </c>
      <c r="H801" s="14" t="s">
        <v>8728</v>
      </c>
      <c r="I801" s="14" t="s">
        <v>4520</v>
      </c>
      <c r="J801" s="15" t="s">
        <v>8558</v>
      </c>
      <c r="K801" s="16">
        <v>69.459278999999995</v>
      </c>
      <c r="L801" s="17">
        <v>46.816755000000001</v>
      </c>
      <c r="M801" s="18">
        <f t="shared" si="13"/>
        <v>0.67401729004414235</v>
      </c>
    </row>
    <row r="802" spans="1:13">
      <c r="A802" s="13" t="s">
        <v>4521</v>
      </c>
      <c r="B802" s="14" t="s">
        <v>4521</v>
      </c>
      <c r="C802" s="14" t="str">
        <f>HYPERLINK("http://uswest.ensembl.org/Homo_sapiens/Gene/Summary?g=ENSG00000185453","ENSG00000185453")</f>
        <v>ENSG00000185453</v>
      </c>
      <c r="D802" s="14" t="s">
        <v>8728</v>
      </c>
      <c r="E802" s="14" t="str">
        <f>HYPERLINK("http://www.ncbi.nlm.nih.gov/sites/entrez?db=gene&amp;cmd=Retrieve&amp;dopt=full_report&amp;list_uids=374920","374920")</f>
        <v>374920</v>
      </c>
      <c r="F802" s="24" t="s">
        <v>4522</v>
      </c>
      <c r="G802" s="24" t="s">
        <v>4494</v>
      </c>
      <c r="H802" s="14" t="s">
        <v>8728</v>
      </c>
      <c r="I802" s="14" t="s">
        <v>8728</v>
      </c>
      <c r="J802" s="15" t="s">
        <v>8728</v>
      </c>
      <c r="K802" s="16">
        <v>89.011056999999994</v>
      </c>
      <c r="L802" s="17">
        <v>59.997734000000001</v>
      </c>
      <c r="M802" s="18">
        <f t="shared" si="13"/>
        <v>0.67404810168696239</v>
      </c>
    </row>
    <row r="803" spans="1:13">
      <c r="A803" s="13" t="s">
        <v>4499</v>
      </c>
      <c r="B803" s="14" t="s">
        <v>4499</v>
      </c>
      <c r="C803" s="14" t="str">
        <f>HYPERLINK("http://uswest.ensembl.org/Homo_sapiens/Gene/Summary?g=ENSG00000105835","ENSG00000105835")</f>
        <v>ENSG00000105835</v>
      </c>
      <c r="D803" s="14" t="s">
        <v>4500</v>
      </c>
      <c r="E803" s="14" t="str">
        <f>HYPERLINK("http://www.ncbi.nlm.nih.gov/sites/entrez?db=gene&amp;cmd=Retrieve&amp;dopt=full_report&amp;list_uids=10135","10135")</f>
        <v>10135</v>
      </c>
      <c r="F803" s="24" t="s">
        <v>4501</v>
      </c>
      <c r="G803" s="24" t="s">
        <v>4479</v>
      </c>
      <c r="H803" s="14" t="s">
        <v>4480</v>
      </c>
      <c r="I803" s="14" t="s">
        <v>4512</v>
      </c>
      <c r="J803" s="15" t="s">
        <v>8702</v>
      </c>
      <c r="K803" s="16">
        <v>381.19053700000001</v>
      </c>
      <c r="L803" s="17">
        <v>256.99478099999999</v>
      </c>
      <c r="M803" s="18">
        <f t="shared" si="13"/>
        <v>0.67418982386753212</v>
      </c>
    </row>
    <row r="804" spans="1:13">
      <c r="A804" s="13" t="s">
        <v>4489</v>
      </c>
      <c r="B804" s="14" t="s">
        <v>4489</v>
      </c>
      <c r="C804" s="14" t="str">
        <f>HYPERLINK("http://uswest.ensembl.org/Homo_sapiens/Gene/Summary?g=","-")</f>
        <v>-</v>
      </c>
      <c r="D804" s="14" t="s">
        <v>4490</v>
      </c>
      <c r="E804" s="14" t="str">
        <f>HYPERLINK("http://www.ncbi.nlm.nih.gov/sites/entrez?db=gene&amp;cmd=Retrieve&amp;dopt=full_report&amp;list_uids=3897","3897")</f>
        <v>3897</v>
      </c>
      <c r="F804" s="24" t="s">
        <v>4491</v>
      </c>
      <c r="G804" s="24" t="s">
        <v>4510</v>
      </c>
      <c r="H804" s="19" t="s">
        <v>4493</v>
      </c>
      <c r="I804" s="14" t="s">
        <v>4470</v>
      </c>
      <c r="J804" s="15" t="s">
        <v>4471</v>
      </c>
      <c r="K804" s="16">
        <v>63.366225999999997</v>
      </c>
      <c r="L804" s="17">
        <v>42.735712999999997</v>
      </c>
      <c r="M804" s="18">
        <f t="shared" si="13"/>
        <v>0.67442414828366137</v>
      </c>
    </row>
    <row r="805" spans="1:13">
      <c r="A805" s="13" t="s">
        <v>4495</v>
      </c>
      <c r="B805" s="14" t="s">
        <v>4495</v>
      </c>
      <c r="C805" s="14" t="str">
        <f>HYPERLINK("http://uswest.ensembl.org/Homo_sapiens/Gene/Summary?g=ENSG00000163481","ENSG00000163481")</f>
        <v>ENSG00000163481</v>
      </c>
      <c r="D805" s="14" t="s">
        <v>4496</v>
      </c>
      <c r="E805" s="14" t="str">
        <f>HYPERLINK("http://www.ncbi.nlm.nih.gov/sites/entrez?db=gene&amp;cmd=Retrieve&amp;dopt=full_report&amp;list_uids=64320","64320")</f>
        <v>64320</v>
      </c>
      <c r="F805" s="24" t="s">
        <v>4497</v>
      </c>
      <c r="G805" s="24" t="s">
        <v>4472</v>
      </c>
      <c r="H805" s="14" t="s">
        <v>8600</v>
      </c>
      <c r="I805" s="14" t="s">
        <v>8415</v>
      </c>
      <c r="J805" s="15" t="s">
        <v>8728</v>
      </c>
      <c r="K805" s="16">
        <v>53.914541</v>
      </c>
      <c r="L805" s="17">
        <v>36.365414000000001</v>
      </c>
      <c r="M805" s="18">
        <f t="shared" si="13"/>
        <v>0.6745010404521482</v>
      </c>
    </row>
    <row r="806" spans="1:13">
      <c r="A806" s="13" t="s">
        <v>4473</v>
      </c>
      <c r="B806" s="14" t="s">
        <v>4473</v>
      </c>
      <c r="C806" s="14" t="str">
        <f>HYPERLINK("http://uswest.ensembl.org/Homo_sapiens/Gene/Summary?g=","-")</f>
        <v>-</v>
      </c>
      <c r="D806" s="14" t="s">
        <v>4474</v>
      </c>
      <c r="E806" s="14" t="str">
        <f>HYPERLINK("http://www.ncbi.nlm.nih.gov/sites/entrez?db=gene&amp;cmd=Retrieve&amp;dopt=full_report&amp;list_uids=1841","1841")</f>
        <v>1841</v>
      </c>
      <c r="F806" s="24" t="s">
        <v>4475</v>
      </c>
      <c r="G806" s="24" t="s">
        <v>4476</v>
      </c>
      <c r="H806" s="14" t="s">
        <v>4477</v>
      </c>
      <c r="I806" s="14" t="s">
        <v>4478</v>
      </c>
      <c r="J806" s="15" t="s">
        <v>8096</v>
      </c>
      <c r="K806" s="16">
        <v>486.61568</v>
      </c>
      <c r="L806" s="17">
        <v>328.25769000000003</v>
      </c>
      <c r="M806" s="18">
        <f t="shared" si="13"/>
        <v>0.67457277578889363</v>
      </c>
    </row>
    <row r="807" spans="1:13">
      <c r="A807" s="13" t="s">
        <v>4453</v>
      </c>
      <c r="B807" s="14" t="s">
        <v>4453</v>
      </c>
      <c r="C807" s="14" t="str">
        <f>HYPERLINK("http://uswest.ensembl.org/Homo_sapiens/Gene/Summary?g=ENSG00000162032","ENSG00000162032")</f>
        <v>ENSG00000162032</v>
      </c>
      <c r="D807" s="14" t="s">
        <v>4454</v>
      </c>
      <c r="E807" s="14" t="str">
        <f>HYPERLINK("http://www.ncbi.nlm.nih.gov/sites/entrez?db=gene&amp;cmd=Retrieve&amp;dopt=full_report&amp;list_uids=90864","90864")</f>
        <v>90864</v>
      </c>
      <c r="F807" s="24" t="s">
        <v>4455</v>
      </c>
      <c r="G807" s="24" t="s">
        <v>4456</v>
      </c>
      <c r="H807" s="14" t="s">
        <v>7573</v>
      </c>
      <c r="I807" s="14" t="s">
        <v>8728</v>
      </c>
      <c r="J807" s="15" t="s">
        <v>8728</v>
      </c>
      <c r="K807" s="16">
        <v>161.50273799999999</v>
      </c>
      <c r="L807" s="17">
        <v>108.956362</v>
      </c>
      <c r="M807" s="18">
        <f t="shared" si="13"/>
        <v>0.67464095871860696</v>
      </c>
    </row>
    <row r="808" spans="1:13">
      <c r="A808" s="13" t="s">
        <v>4457</v>
      </c>
      <c r="B808" s="14" t="s">
        <v>4457</v>
      </c>
      <c r="C808" s="14" t="str">
        <f>HYPERLINK("http://uswest.ensembl.org/Homo_sapiens/Gene/Summary?g=ENSG00000163798","ENSG00000163798")</f>
        <v>ENSG00000163798</v>
      </c>
      <c r="D808" s="14" t="s">
        <v>4458</v>
      </c>
      <c r="E808" s="14" t="str">
        <f>HYPERLINK("http://www.ncbi.nlm.nih.gov/sites/entrez?db=gene&amp;cmd=Retrieve&amp;dopt=full_report&amp;list_uids=22950","22950")</f>
        <v>22950</v>
      </c>
      <c r="F808" s="24" t="s">
        <v>4459</v>
      </c>
      <c r="G808" s="24" t="s">
        <v>4460</v>
      </c>
      <c r="H808" s="14" t="s">
        <v>8728</v>
      </c>
      <c r="I808" s="14" t="s">
        <v>4461</v>
      </c>
      <c r="J808" s="15" t="s">
        <v>8610</v>
      </c>
      <c r="K808" s="16">
        <v>91.751981999999998</v>
      </c>
      <c r="L808" s="17">
        <v>61.902928000000003</v>
      </c>
      <c r="M808" s="18">
        <f t="shared" si="13"/>
        <v>0.6746767388632543</v>
      </c>
    </row>
    <row r="809" spans="1:13">
      <c r="A809" s="13" t="s">
        <v>4462</v>
      </c>
      <c r="B809" s="14" t="s">
        <v>4462</v>
      </c>
      <c r="C809" s="14" t="str">
        <f>HYPERLINK("http://uswest.ensembl.org/Homo_sapiens/Gene/Summary?g=ENSG00000140859","ENSG00000140859")</f>
        <v>ENSG00000140859</v>
      </c>
      <c r="D809" s="14" t="s">
        <v>4463</v>
      </c>
      <c r="E809" s="14" t="str">
        <f>HYPERLINK("http://www.ncbi.nlm.nih.gov/sites/entrez?db=gene&amp;cmd=Retrieve&amp;dopt=full_report&amp;list_uids=3801","3801")</f>
        <v>3801</v>
      </c>
      <c r="F809" s="24" t="s">
        <v>4464</v>
      </c>
      <c r="G809" s="24" t="s">
        <v>4535</v>
      </c>
      <c r="H809" s="14" t="s">
        <v>4483</v>
      </c>
      <c r="I809" s="14" t="s">
        <v>5523</v>
      </c>
      <c r="J809" s="15" t="s">
        <v>4484</v>
      </c>
      <c r="K809" s="16">
        <v>86.385272000000001</v>
      </c>
      <c r="L809" s="17">
        <v>58.288083</v>
      </c>
      <c r="M809" s="18">
        <f t="shared" si="13"/>
        <v>0.67474560941360462</v>
      </c>
    </row>
    <row r="810" spans="1:13">
      <c r="A810" s="13" t="s">
        <v>4485</v>
      </c>
      <c r="B810" s="14" t="s">
        <v>4485</v>
      </c>
      <c r="C810" s="14" t="str">
        <f>HYPERLINK("http://uswest.ensembl.org/Homo_sapiens/Gene/Summary?g=","-")</f>
        <v>-</v>
      </c>
      <c r="D810" s="14" t="s">
        <v>4486</v>
      </c>
      <c r="E810" s="14" t="str">
        <f>HYPERLINK("http://www.ncbi.nlm.nih.gov/sites/entrez?db=gene&amp;cmd=Retrieve&amp;dopt=full_report&amp;list_uids=4780","4780")</f>
        <v>4780</v>
      </c>
      <c r="F810" s="24" t="s">
        <v>4487</v>
      </c>
      <c r="G810" s="24" t="s">
        <v>4488</v>
      </c>
      <c r="H810" s="14" t="s">
        <v>8673</v>
      </c>
      <c r="I810" s="14" t="s">
        <v>4465</v>
      </c>
      <c r="J810" s="15" t="s">
        <v>8558</v>
      </c>
      <c r="K810" s="16">
        <v>333.49016499999999</v>
      </c>
      <c r="L810" s="17">
        <v>225.044748</v>
      </c>
      <c r="M810" s="18">
        <f t="shared" si="13"/>
        <v>0.67481674609504605</v>
      </c>
    </row>
    <row r="811" spans="1:13">
      <c r="A811" s="13" t="s">
        <v>4466</v>
      </c>
      <c r="B811" s="14" t="s">
        <v>4466</v>
      </c>
      <c r="C811" s="14" t="str">
        <f>HYPERLINK("http://uswest.ensembl.org/Homo_sapiens/Gene/Summary?g=ENSG00000128487","ENSG00000128487")</f>
        <v>ENSG00000128487</v>
      </c>
      <c r="D811" s="14" t="s">
        <v>4467</v>
      </c>
      <c r="E811" s="14" t="str">
        <f>HYPERLINK("http://www.ncbi.nlm.nih.gov/sites/entrez?db=gene&amp;cmd=Retrieve&amp;dopt=full_report&amp;list_uids=92521","92521")</f>
        <v>92521</v>
      </c>
      <c r="F811" s="24" t="s">
        <v>4468</v>
      </c>
      <c r="G811" s="24" t="s">
        <v>4469</v>
      </c>
      <c r="H811" s="14" t="s">
        <v>8728</v>
      </c>
      <c r="I811" s="14" t="s">
        <v>8728</v>
      </c>
      <c r="J811" s="15" t="s">
        <v>8728</v>
      </c>
      <c r="K811" s="16">
        <v>38.555337000000002</v>
      </c>
      <c r="L811" s="17">
        <v>26.019292</v>
      </c>
      <c r="M811" s="18">
        <f t="shared" si="13"/>
        <v>0.67485577936979257</v>
      </c>
    </row>
    <row r="812" spans="1:13">
      <c r="A812" s="13" t="s">
        <v>4446</v>
      </c>
      <c r="B812" s="14" t="s">
        <v>4446</v>
      </c>
      <c r="C812" s="14" t="str">
        <f>HYPERLINK("http://uswest.ensembl.org/Homo_sapiens/Gene/Summary?g=","-")</f>
        <v>-</v>
      </c>
      <c r="D812" s="14" t="s">
        <v>8728</v>
      </c>
      <c r="E812" s="14" t="str">
        <f>HYPERLINK("http://www.ncbi.nlm.nih.gov/sites/entrez?db=gene&amp;cmd=Retrieve&amp;dopt=full_report&amp;list_uids=100133655","100133655")</f>
        <v>100133655</v>
      </c>
      <c r="F812" s="24" t="s">
        <v>8728</v>
      </c>
      <c r="G812" s="24" t="s">
        <v>8728</v>
      </c>
      <c r="H812" s="14" t="s">
        <v>8728</v>
      </c>
      <c r="I812" s="14" t="s">
        <v>8728</v>
      </c>
      <c r="J812" s="15" t="s">
        <v>8728</v>
      </c>
      <c r="K812" s="16">
        <v>110.77204999999999</v>
      </c>
      <c r="L812" s="17">
        <v>74.763805000000005</v>
      </c>
      <c r="M812" s="18">
        <f t="shared" si="13"/>
        <v>0.67493383935749141</v>
      </c>
    </row>
    <row r="813" spans="1:13">
      <c r="A813" s="13" t="s">
        <v>4447</v>
      </c>
      <c r="B813" s="14" t="s">
        <v>4447</v>
      </c>
      <c r="C813" s="14" t="str">
        <f>HYPERLINK("http://uswest.ensembl.org/Homo_sapiens/Gene/Summary?g=ENSG00000136144","ENSG00000136144")</f>
        <v>ENSG00000136144</v>
      </c>
      <c r="D813" s="14" t="s">
        <v>4448</v>
      </c>
      <c r="E813" s="14" t="str">
        <f>HYPERLINK("http://www.ncbi.nlm.nih.gov/sites/entrez?db=gene&amp;cmd=Retrieve&amp;dopt=full_report&amp;list_uids=55213","55213")</f>
        <v>55213</v>
      </c>
      <c r="F813" s="24" t="s">
        <v>4449</v>
      </c>
      <c r="G813" s="24" t="s">
        <v>4450</v>
      </c>
      <c r="H813" s="14" t="s">
        <v>4451</v>
      </c>
      <c r="I813" s="14" t="s">
        <v>8665</v>
      </c>
      <c r="J813" s="15" t="s">
        <v>8608</v>
      </c>
      <c r="K813" s="16">
        <v>191.46320399999999</v>
      </c>
      <c r="L813" s="17">
        <v>129.225661</v>
      </c>
      <c r="M813" s="18">
        <f t="shared" si="13"/>
        <v>0.67493731589282302</v>
      </c>
    </row>
    <row r="814" spans="1:13">
      <c r="A814" s="13" t="s">
        <v>4452</v>
      </c>
      <c r="B814" s="14" t="s">
        <v>4452</v>
      </c>
      <c r="C814" s="14" t="str">
        <f>HYPERLINK("http://uswest.ensembl.org/Homo_sapiens/Gene/Summary?g=ENSG00000020922","ENSG00000020922")</f>
        <v>ENSG00000020922</v>
      </c>
      <c r="D814" s="14" t="s">
        <v>4429</v>
      </c>
      <c r="E814" s="14" t="str">
        <f>HYPERLINK("http://www.ncbi.nlm.nih.gov/sites/entrez?db=gene&amp;cmd=Retrieve&amp;dopt=full_report&amp;list_uids=4361","4361")</f>
        <v>4361</v>
      </c>
      <c r="F814" s="24" t="s">
        <v>4430</v>
      </c>
      <c r="G814" s="24" t="s">
        <v>4431</v>
      </c>
      <c r="H814" s="14" t="s">
        <v>4432</v>
      </c>
      <c r="I814" s="14" t="s">
        <v>4481</v>
      </c>
      <c r="J814" s="15" t="s">
        <v>8558</v>
      </c>
      <c r="K814" s="16">
        <v>96.959238999999997</v>
      </c>
      <c r="L814" s="17">
        <v>65.445124000000007</v>
      </c>
      <c r="M814" s="18">
        <f t="shared" si="13"/>
        <v>0.67497563589582221</v>
      </c>
    </row>
    <row r="815" spans="1:13">
      <c r="A815" s="13" t="s">
        <v>4421</v>
      </c>
      <c r="B815" s="14" t="s">
        <v>4421</v>
      </c>
      <c r="C815" s="14" t="str">
        <f>HYPERLINK("http://uswest.ensembl.org/Homo_sapiens/Gene/Summary?g=ENSG00000144895","ENSG00000144895")</f>
        <v>ENSG00000144895</v>
      </c>
      <c r="D815" s="14" t="s">
        <v>8728</v>
      </c>
      <c r="E815" s="14" t="str">
        <f>HYPERLINK("http://www.ncbi.nlm.nih.gov/sites/entrez?db=gene&amp;cmd=Retrieve&amp;dopt=full_report&amp;list_uids=","-")</f>
        <v>-</v>
      </c>
      <c r="F815" s="24" t="s">
        <v>4422</v>
      </c>
      <c r="G815" s="24" t="s">
        <v>4423</v>
      </c>
      <c r="H815" s="14" t="s">
        <v>8728</v>
      </c>
      <c r="I815" s="14" t="s">
        <v>8728</v>
      </c>
      <c r="J815" s="15" t="s">
        <v>8728</v>
      </c>
      <c r="K815" s="16">
        <v>325.23660999999998</v>
      </c>
      <c r="L815" s="17">
        <v>219.62201899999999</v>
      </c>
      <c r="M815" s="18">
        <f t="shared" si="13"/>
        <v>0.67526844225808402</v>
      </c>
    </row>
    <row r="816" spans="1:13">
      <c r="A816" s="13" t="s">
        <v>4424</v>
      </c>
      <c r="B816" s="14" t="s">
        <v>4424</v>
      </c>
      <c r="C816" s="14" t="str">
        <f>HYPERLINK("http://uswest.ensembl.org/Homo_sapiens/Gene/Summary?g=ENSG00000143224","ENSG00000143224")</f>
        <v>ENSG00000143224</v>
      </c>
      <c r="D816" s="14" t="s">
        <v>4425</v>
      </c>
      <c r="E816" s="14" t="str">
        <f>HYPERLINK("http://www.ncbi.nlm.nih.gov/sites/entrez?db=gene&amp;cmd=Retrieve&amp;dopt=full_report&amp;list_uids=5498","5498")</f>
        <v>5498</v>
      </c>
      <c r="F816" s="24" t="s">
        <v>4426</v>
      </c>
      <c r="G816" s="24" t="s">
        <v>4434</v>
      </c>
      <c r="H816" s="14" t="s">
        <v>4435</v>
      </c>
      <c r="I816" s="14" t="s">
        <v>4436</v>
      </c>
      <c r="J816" s="15" t="s">
        <v>4437</v>
      </c>
      <c r="K816" s="16">
        <v>59.422170000000001</v>
      </c>
      <c r="L816" s="17">
        <v>40.126843999999998</v>
      </c>
      <c r="M816" s="18">
        <f t="shared" si="13"/>
        <v>0.6752840564388678</v>
      </c>
    </row>
    <row r="817" spans="1:13">
      <c r="A817" s="13" t="s">
        <v>4438</v>
      </c>
      <c r="B817" s="14" t="s">
        <v>4438</v>
      </c>
      <c r="C817" s="14" t="str">
        <f>HYPERLINK("http://uswest.ensembl.org/Homo_sapiens/Gene/Summary?g=","-")</f>
        <v>-</v>
      </c>
      <c r="D817" s="14" t="s">
        <v>4439</v>
      </c>
      <c r="E817" s="14" t="str">
        <f>HYPERLINK("http://www.ncbi.nlm.nih.gov/sites/entrez?db=gene&amp;cmd=Retrieve&amp;dopt=full_report&amp;list_uids=26043","26043")</f>
        <v>26043</v>
      </c>
      <c r="F817" s="24" t="s">
        <v>4440</v>
      </c>
      <c r="G817" s="24" t="s">
        <v>4441</v>
      </c>
      <c r="H817" s="14" t="s">
        <v>8728</v>
      </c>
      <c r="I817" s="14" t="s">
        <v>8665</v>
      </c>
      <c r="J817" s="15" t="s">
        <v>8728</v>
      </c>
      <c r="K817" s="16">
        <v>49.388728</v>
      </c>
      <c r="L817" s="17">
        <v>33.356192</v>
      </c>
      <c r="M817" s="18">
        <f t="shared" si="13"/>
        <v>0.6753806658069833</v>
      </c>
    </row>
    <row r="818" spans="1:13">
      <c r="A818" s="13" t="s">
        <v>4442</v>
      </c>
      <c r="B818" s="14" t="s">
        <v>4442</v>
      </c>
      <c r="C818" s="14" t="str">
        <f>HYPERLINK("http://uswest.ensembl.org/Homo_sapiens/Gene/Summary?g=ENSG00000064607","ENSG00000064607")</f>
        <v>ENSG00000064607</v>
      </c>
      <c r="D818" s="14" t="s">
        <v>4443</v>
      </c>
      <c r="E818" s="14" t="str">
        <f>HYPERLINK("http://www.ncbi.nlm.nih.gov/sites/entrez?db=gene&amp;cmd=Retrieve&amp;dopt=full_report&amp;list_uids=10147","10147")</f>
        <v>10147</v>
      </c>
      <c r="F818" s="24" t="s">
        <v>4444</v>
      </c>
      <c r="G818" s="24" t="s">
        <v>4445</v>
      </c>
      <c r="H818" s="14" t="s">
        <v>4401</v>
      </c>
      <c r="I818" s="14" t="s">
        <v>6421</v>
      </c>
      <c r="J818" s="15" t="s">
        <v>8622</v>
      </c>
      <c r="K818" s="16">
        <v>129.32319000000001</v>
      </c>
      <c r="L818" s="17">
        <v>87.342693999999995</v>
      </c>
      <c r="M818" s="18">
        <f t="shared" si="13"/>
        <v>0.67538307707998846</v>
      </c>
    </row>
    <row r="819" spans="1:13">
      <c r="A819" s="13" t="s">
        <v>4402</v>
      </c>
      <c r="B819" s="14" t="s">
        <v>4402</v>
      </c>
      <c r="C819" s="14" t="str">
        <f>HYPERLINK("http://uswest.ensembl.org/Homo_sapiens/Gene/Summary?g=ENSG00000125089","ENSG00000125089")</f>
        <v>ENSG00000125089</v>
      </c>
      <c r="D819" s="14" t="s">
        <v>4403</v>
      </c>
      <c r="E819" s="14" t="str">
        <f>HYPERLINK("http://www.ncbi.nlm.nih.gov/sites/entrez?db=gene&amp;cmd=Retrieve&amp;dopt=full_report&amp;list_uids=54436","54436")</f>
        <v>54436</v>
      </c>
      <c r="F819" s="24" t="s">
        <v>4404</v>
      </c>
      <c r="G819" s="24" t="s">
        <v>4428</v>
      </c>
      <c r="H819" s="14" t="s">
        <v>8076</v>
      </c>
      <c r="I819" s="14" t="s">
        <v>8383</v>
      </c>
      <c r="J819" s="15" t="s">
        <v>7768</v>
      </c>
      <c r="K819" s="16">
        <v>32.150556999999999</v>
      </c>
      <c r="L819" s="17">
        <v>21.714798999999999</v>
      </c>
      <c r="M819" s="18">
        <f t="shared" si="13"/>
        <v>0.67540972929333698</v>
      </c>
    </row>
    <row r="820" spans="1:13">
      <c r="A820" s="13" t="s">
        <v>4482</v>
      </c>
      <c r="B820" s="14" t="s">
        <v>4482</v>
      </c>
      <c r="C820" s="14" t="str">
        <f>HYPERLINK("http://uswest.ensembl.org/Homo_sapiens/Gene/Summary?g=ENSG00000163286","ENSG00000163286")</f>
        <v>ENSG00000163286</v>
      </c>
      <c r="D820" s="14" t="s">
        <v>4433</v>
      </c>
      <c r="E820" s="14" t="str">
        <f>HYPERLINK("http://www.ncbi.nlm.nih.gov/sites/entrez?db=gene&amp;cmd=Retrieve&amp;dopt=full_report&amp;list_uids=251","251")</f>
        <v>251</v>
      </c>
      <c r="F820" s="24" t="s">
        <v>4416</v>
      </c>
      <c r="G820" s="24" t="s">
        <v>4417</v>
      </c>
      <c r="H820" s="14" t="s">
        <v>8227</v>
      </c>
      <c r="I820" s="14" t="s">
        <v>8168</v>
      </c>
      <c r="J820" s="15" t="s">
        <v>8495</v>
      </c>
      <c r="K820" s="16">
        <v>55.103624000000003</v>
      </c>
      <c r="L820" s="17">
        <v>37.240009000000001</v>
      </c>
      <c r="M820" s="18">
        <f t="shared" si="13"/>
        <v>0.675817782873954</v>
      </c>
    </row>
    <row r="821" spans="1:13">
      <c r="A821" s="13" t="s">
        <v>4418</v>
      </c>
      <c r="B821" s="14" t="s">
        <v>4418</v>
      </c>
      <c r="C821" s="14" t="str">
        <f>HYPERLINK("http://uswest.ensembl.org/Homo_sapiens/Gene/Summary?g=ENSG00000107447","ENSG00000107447")</f>
        <v>ENSG00000107447</v>
      </c>
      <c r="D821" s="14" t="s">
        <v>4419</v>
      </c>
      <c r="E821" s="14" t="str">
        <f>HYPERLINK("http://www.ncbi.nlm.nih.gov/sites/entrez?db=gene&amp;cmd=Retrieve&amp;dopt=full_report&amp;list_uids=1791","1791")</f>
        <v>1791</v>
      </c>
      <c r="F821" s="24" t="s">
        <v>4420</v>
      </c>
      <c r="G821" s="24" t="s">
        <v>4395</v>
      </c>
      <c r="H821" s="14" t="s">
        <v>4396</v>
      </c>
      <c r="I821" s="19" t="s">
        <v>4397</v>
      </c>
      <c r="J821" s="15" t="s">
        <v>8622</v>
      </c>
      <c r="K821" s="16">
        <v>49.653753999999999</v>
      </c>
      <c r="L821" s="17">
        <v>33.561444999999999</v>
      </c>
      <c r="M821" s="18">
        <f t="shared" si="13"/>
        <v>0.67590951934872834</v>
      </c>
    </row>
    <row r="822" spans="1:13">
      <c r="A822" s="13" t="s">
        <v>4427</v>
      </c>
      <c r="B822" s="14" t="s">
        <v>4427</v>
      </c>
      <c r="C822" s="14" t="str">
        <f>HYPERLINK("http://uswest.ensembl.org/Homo_sapiens/Gene/Summary?g=","-")</f>
        <v>-</v>
      </c>
      <c r="D822" s="14" t="s">
        <v>8728</v>
      </c>
      <c r="E822" s="14" t="str">
        <f>HYPERLINK("http://www.ncbi.nlm.nih.gov/sites/entrez?db=gene&amp;cmd=Retrieve&amp;dopt=full_report&amp;list_uids=400682","400682")</f>
        <v>400682</v>
      </c>
      <c r="F822" s="24" t="s">
        <v>8728</v>
      </c>
      <c r="G822" s="24" t="s">
        <v>8728</v>
      </c>
      <c r="H822" s="14" t="s">
        <v>8728</v>
      </c>
      <c r="I822" s="14" t="s">
        <v>8728</v>
      </c>
      <c r="J822" s="15" t="s">
        <v>8728</v>
      </c>
      <c r="K822" s="16">
        <v>535.60317499999996</v>
      </c>
      <c r="L822" s="17">
        <v>362.06875100000002</v>
      </c>
      <c r="M822" s="18">
        <f t="shared" si="13"/>
        <v>0.67600187582905957</v>
      </c>
    </row>
    <row r="823" spans="1:13">
      <c r="A823" s="13" t="s">
        <v>4405</v>
      </c>
      <c r="B823" s="14" t="s">
        <v>4405</v>
      </c>
      <c r="C823" s="14" t="str">
        <f>HYPERLINK("http://uswest.ensembl.org/Homo_sapiens/Gene/Summary?g=ENSG00000163877","ENSG00000163877")</f>
        <v>ENSG00000163877</v>
      </c>
      <c r="D823" s="14" t="s">
        <v>4406</v>
      </c>
      <c r="E823" s="14" t="str">
        <f>HYPERLINK("http://www.ncbi.nlm.nih.gov/sites/entrez?db=gene&amp;cmd=Retrieve&amp;dopt=full_report&amp;list_uids=79753","79753")</f>
        <v>79753</v>
      </c>
      <c r="F823" s="24" t="s">
        <v>4407</v>
      </c>
      <c r="G823" s="24" t="s">
        <v>4381</v>
      </c>
      <c r="H823" s="14" t="s">
        <v>4382</v>
      </c>
      <c r="I823" s="14" t="s">
        <v>8665</v>
      </c>
      <c r="J823" s="15" t="s">
        <v>8558</v>
      </c>
      <c r="K823" s="16">
        <v>75.976285000000004</v>
      </c>
      <c r="L823" s="17">
        <v>51.367050999999996</v>
      </c>
      <c r="M823" s="18">
        <f t="shared" si="13"/>
        <v>0.67609321777183495</v>
      </c>
    </row>
    <row r="824" spans="1:13">
      <c r="A824" s="13" t="s">
        <v>4383</v>
      </c>
      <c r="B824" s="14" t="s">
        <v>4383</v>
      </c>
      <c r="C824" s="14" t="str">
        <f>HYPERLINK("http://uswest.ensembl.org/Homo_sapiens/Gene/Summary?g=ENSG00000105323","ENSG00000105323")</f>
        <v>ENSG00000105323</v>
      </c>
      <c r="D824" s="14" t="s">
        <v>4384</v>
      </c>
      <c r="E824" s="14" t="str">
        <f>HYPERLINK("http://www.ncbi.nlm.nih.gov/sites/entrez?db=gene&amp;cmd=Retrieve&amp;dopt=full_report&amp;list_uids=11100","11100")</f>
        <v>11100</v>
      </c>
      <c r="F824" s="24" t="s">
        <v>4385</v>
      </c>
      <c r="G824" s="24" t="s">
        <v>4386</v>
      </c>
      <c r="H824" s="14" t="s">
        <v>4387</v>
      </c>
      <c r="I824" s="14" t="s">
        <v>4388</v>
      </c>
      <c r="J824" s="15" t="s">
        <v>4408</v>
      </c>
      <c r="K824" s="16">
        <v>87.943318000000005</v>
      </c>
      <c r="L824" s="17">
        <v>59.465741000000001</v>
      </c>
      <c r="M824" s="18">
        <f t="shared" si="13"/>
        <v>0.67618259524845303</v>
      </c>
    </row>
    <row r="825" spans="1:13">
      <c r="A825" s="13" t="s">
        <v>4409</v>
      </c>
      <c r="B825" s="14" t="s">
        <v>4409</v>
      </c>
      <c r="C825" s="14" t="str">
        <f>HYPERLINK("http://uswest.ensembl.org/Homo_sapiens/Gene/Summary?g=","-")</f>
        <v>-</v>
      </c>
      <c r="D825" s="14" t="s">
        <v>8728</v>
      </c>
      <c r="E825" s="14" t="str">
        <f>HYPERLINK("http://www.ncbi.nlm.nih.gov/sites/entrez?db=gene&amp;cmd=Retrieve&amp;dopt=full_report&amp;list_uids=644334","644334")</f>
        <v>644334</v>
      </c>
      <c r="F825" s="24" t="s">
        <v>8728</v>
      </c>
      <c r="G825" s="24" t="s">
        <v>8728</v>
      </c>
      <c r="H825" s="14" t="s">
        <v>8728</v>
      </c>
      <c r="I825" s="14" t="s">
        <v>8728</v>
      </c>
      <c r="J825" s="15" t="s">
        <v>8728</v>
      </c>
      <c r="K825" s="16">
        <v>178.855605</v>
      </c>
      <c r="L825" s="17">
        <v>120.951739</v>
      </c>
      <c r="M825" s="18">
        <f t="shared" si="13"/>
        <v>0.67625355660506137</v>
      </c>
    </row>
    <row r="826" spans="1:13">
      <c r="A826" s="13" t="s">
        <v>4410</v>
      </c>
      <c r="B826" s="14" t="s">
        <v>4410</v>
      </c>
      <c r="C826" s="14" t="str">
        <f>HYPERLINK("http://uswest.ensembl.org/Homo_sapiens/Gene/Summary?g=","-")</f>
        <v>-</v>
      </c>
      <c r="D826" s="14" t="s">
        <v>4411</v>
      </c>
      <c r="E826" s="14" t="str">
        <f>HYPERLINK("http://www.ncbi.nlm.nih.gov/sites/entrez?db=gene&amp;cmd=Retrieve&amp;dopt=full_report&amp;list_uids=6430","6430")</f>
        <v>6430</v>
      </c>
      <c r="F826" s="24" t="s">
        <v>4412</v>
      </c>
      <c r="G826" s="24" t="s">
        <v>4413</v>
      </c>
      <c r="H826" s="14" t="s">
        <v>4414</v>
      </c>
      <c r="I826" s="14" t="s">
        <v>4415</v>
      </c>
      <c r="J826" s="15" t="s">
        <v>8558</v>
      </c>
      <c r="K826" s="16">
        <v>2073.899414</v>
      </c>
      <c r="L826" s="17">
        <v>1402.681675</v>
      </c>
      <c r="M826" s="18">
        <f t="shared" si="13"/>
        <v>0.67634990662088113</v>
      </c>
    </row>
    <row r="827" spans="1:13">
      <c r="A827" s="13" t="s">
        <v>4389</v>
      </c>
      <c r="B827" s="14" t="s">
        <v>4389</v>
      </c>
      <c r="C827" s="14" t="str">
        <f>HYPERLINK("http://uswest.ensembl.org/Homo_sapiens/Gene/Summary?g=","-")</f>
        <v>-</v>
      </c>
      <c r="D827" s="14" t="s">
        <v>8728</v>
      </c>
      <c r="E827" s="14" t="str">
        <f>HYPERLINK("http://www.ncbi.nlm.nih.gov/sites/entrez?db=gene&amp;cmd=Retrieve&amp;dopt=full_report&amp;list_uids=100293142","100293142")</f>
        <v>100293142</v>
      </c>
      <c r="F827" s="24" t="s">
        <v>4390</v>
      </c>
      <c r="G827" s="24" t="s">
        <v>4391</v>
      </c>
      <c r="H827" s="14" t="s">
        <v>8728</v>
      </c>
      <c r="I827" s="14" t="s">
        <v>8728</v>
      </c>
      <c r="J827" s="15" t="s">
        <v>8728</v>
      </c>
      <c r="K827" s="16">
        <v>36.062404000000001</v>
      </c>
      <c r="L827" s="17">
        <v>24.396201999999999</v>
      </c>
      <c r="M827" s="18">
        <f t="shared" si="13"/>
        <v>0.67649960329877057</v>
      </c>
    </row>
    <row r="828" spans="1:13">
      <c r="A828" s="13" t="s">
        <v>4392</v>
      </c>
      <c r="B828" s="14" t="s">
        <v>4392</v>
      </c>
      <c r="C828" s="14" t="str">
        <f>HYPERLINK("http://uswest.ensembl.org/Homo_sapiens/Gene/Summary?g=ENSG00000139289","ENSG00000139289")</f>
        <v>ENSG00000139289</v>
      </c>
      <c r="D828" s="14" t="s">
        <v>4393</v>
      </c>
      <c r="E828" s="14" t="str">
        <f>HYPERLINK("http://www.ncbi.nlm.nih.gov/sites/entrez?db=gene&amp;cmd=Retrieve&amp;dopt=full_report&amp;list_uids=22822","22822")</f>
        <v>22822</v>
      </c>
      <c r="F828" s="24" t="s">
        <v>4394</v>
      </c>
      <c r="G828" s="25" t="s">
        <v>4366</v>
      </c>
      <c r="H828" s="14" t="s">
        <v>4367</v>
      </c>
      <c r="I828" s="14" t="s">
        <v>8665</v>
      </c>
      <c r="J828" s="15" t="s">
        <v>4368</v>
      </c>
      <c r="K828" s="16">
        <v>29.571247</v>
      </c>
      <c r="L828" s="17">
        <v>20.007109</v>
      </c>
      <c r="M828" s="18">
        <f t="shared" si="13"/>
        <v>0.67657305760558561</v>
      </c>
    </row>
    <row r="829" spans="1:13">
      <c r="A829" s="13" t="s">
        <v>4369</v>
      </c>
      <c r="B829" s="14" t="s">
        <v>4369</v>
      </c>
      <c r="C829" s="14" t="str">
        <f>HYPERLINK("http://uswest.ensembl.org/Homo_sapiens/Gene/Summary?g=ENSG00000198431","ENSG00000198431")</f>
        <v>ENSG00000198431</v>
      </c>
      <c r="D829" s="14" t="s">
        <v>8728</v>
      </c>
      <c r="E829" s="14" t="str">
        <f>HYPERLINK("http://www.ncbi.nlm.nih.gov/sites/entrez?db=gene&amp;cmd=Retrieve&amp;dopt=full_report&amp;list_uids=7296","7296")</f>
        <v>7296</v>
      </c>
      <c r="F829" s="24" t="s">
        <v>4370</v>
      </c>
      <c r="G829" s="24" t="s">
        <v>4373</v>
      </c>
      <c r="H829" s="14" t="s">
        <v>4398</v>
      </c>
      <c r="I829" s="14" t="s">
        <v>4399</v>
      </c>
      <c r="J829" s="15" t="s">
        <v>8702</v>
      </c>
      <c r="K829" s="16">
        <v>850.45971399999996</v>
      </c>
      <c r="L829" s="17">
        <v>575.41079200000001</v>
      </c>
      <c r="M829" s="18">
        <f t="shared" si="13"/>
        <v>0.67658794711585835</v>
      </c>
    </row>
    <row r="830" spans="1:13">
      <c r="A830" s="13" t="s">
        <v>4374</v>
      </c>
      <c r="B830" s="14" t="s">
        <v>4374</v>
      </c>
      <c r="C830" s="14" t="str">
        <f>HYPERLINK("http://uswest.ensembl.org/Homo_sapiens/Gene/Summary?g=","-")</f>
        <v>-</v>
      </c>
      <c r="D830" s="14" t="s">
        <v>4375</v>
      </c>
      <c r="E830" s="14" t="str">
        <f>HYPERLINK("http://www.ncbi.nlm.nih.gov/sites/entrez?db=gene&amp;cmd=Retrieve&amp;dopt=full_report&amp;list_uids=29123","29123")</f>
        <v>29123</v>
      </c>
      <c r="F830" s="24" t="s">
        <v>4376</v>
      </c>
      <c r="G830" s="24" t="s">
        <v>4377</v>
      </c>
      <c r="H830" s="14" t="s">
        <v>8728</v>
      </c>
      <c r="I830" s="14" t="s">
        <v>8728</v>
      </c>
      <c r="J830" s="15" t="s">
        <v>8558</v>
      </c>
      <c r="K830" s="16">
        <v>132.26025799999999</v>
      </c>
      <c r="L830" s="17">
        <v>89.527028999999999</v>
      </c>
      <c r="M830" s="18">
        <f t="shared" si="13"/>
        <v>0.67690045637140672</v>
      </c>
    </row>
    <row r="831" spans="1:13">
      <c r="A831" s="13" t="s">
        <v>4378</v>
      </c>
      <c r="B831" s="14" t="s">
        <v>4378</v>
      </c>
      <c r="C831" s="14" t="str">
        <f>HYPERLINK("http://uswest.ensembl.org/Homo_sapiens/Gene/Summary?g=ENSG00000035928","ENSG00000035928")</f>
        <v>ENSG00000035928</v>
      </c>
      <c r="D831" s="14" t="s">
        <v>4379</v>
      </c>
      <c r="E831" s="14" t="str">
        <f>HYPERLINK("http://www.ncbi.nlm.nih.gov/sites/entrez?db=gene&amp;cmd=Retrieve&amp;dopt=full_report&amp;list_uids=","-")</f>
        <v>-</v>
      </c>
      <c r="F831" s="24" t="s">
        <v>4380</v>
      </c>
      <c r="G831" s="25" t="s">
        <v>4358</v>
      </c>
      <c r="H831" s="14" t="s">
        <v>4342</v>
      </c>
      <c r="I831" s="19" t="s">
        <v>4343</v>
      </c>
      <c r="J831" s="15" t="s">
        <v>4344</v>
      </c>
      <c r="K831" s="16">
        <v>179.417867</v>
      </c>
      <c r="L831" s="17">
        <v>121.459777</v>
      </c>
      <c r="M831" s="18">
        <f t="shared" si="13"/>
        <v>0.6769658954868748</v>
      </c>
    </row>
    <row r="832" spans="1:13">
      <c r="A832" s="13" t="s">
        <v>4359</v>
      </c>
      <c r="B832" s="14" t="s">
        <v>4359</v>
      </c>
      <c r="C832" s="14" t="str">
        <f>HYPERLINK("http://uswest.ensembl.org/Homo_sapiens/Gene/Summary?g=ENSG00000164603","ENSG00000164603")</f>
        <v>ENSG00000164603</v>
      </c>
      <c r="D832" s="14" t="s">
        <v>4360</v>
      </c>
      <c r="E832" s="14" t="str">
        <f>HYPERLINK("http://www.ncbi.nlm.nih.gov/sites/entrez?db=gene&amp;cmd=Retrieve&amp;dopt=full_report&amp;list_uids=","-")</f>
        <v>-</v>
      </c>
      <c r="F832" s="24" t="s">
        <v>4361</v>
      </c>
      <c r="G832" s="24" t="s">
        <v>4362</v>
      </c>
      <c r="H832" s="14" t="s">
        <v>8681</v>
      </c>
      <c r="I832" s="14" t="s">
        <v>8682</v>
      </c>
      <c r="J832" s="15" t="s">
        <v>8048</v>
      </c>
      <c r="K832" s="16">
        <v>40.390366999999998</v>
      </c>
      <c r="L832" s="17">
        <v>27.348817</v>
      </c>
      <c r="M832" s="18">
        <f t="shared" si="13"/>
        <v>0.67711236691659682</v>
      </c>
    </row>
    <row r="833" spans="1:13">
      <c r="A833" s="13" t="s">
        <v>4363</v>
      </c>
      <c r="B833" s="14" t="s">
        <v>4363</v>
      </c>
      <c r="C833" s="14" t="str">
        <f>HYPERLINK("http://uswest.ensembl.org/Homo_sapiens/Gene/Summary?g=ENSG00000183134","ENSG00000183134")</f>
        <v>ENSG00000183134</v>
      </c>
      <c r="D833" s="14" t="s">
        <v>4364</v>
      </c>
      <c r="E833" s="14" t="str">
        <f>HYPERLINK("http://www.ncbi.nlm.nih.gov/sites/entrez?db=gene&amp;cmd=Retrieve&amp;dopt=full_report&amp;list_uids=11251","11251")</f>
        <v>11251</v>
      </c>
      <c r="F833" s="24" t="s">
        <v>4365</v>
      </c>
      <c r="G833" s="24" t="s">
        <v>4345</v>
      </c>
      <c r="H833" s="19" t="s">
        <v>4324</v>
      </c>
      <c r="I833" s="19" t="s">
        <v>4325</v>
      </c>
      <c r="J833" s="15" t="s">
        <v>8667</v>
      </c>
      <c r="K833" s="16">
        <v>182.71575000000001</v>
      </c>
      <c r="L833" s="17">
        <v>123.728728</v>
      </c>
      <c r="M833" s="18">
        <f t="shared" si="13"/>
        <v>0.67716509386848145</v>
      </c>
    </row>
    <row r="834" spans="1:13">
      <c r="A834" s="13" t="s">
        <v>4326</v>
      </c>
      <c r="B834" s="14" t="s">
        <v>4326</v>
      </c>
      <c r="C834" s="14" t="str">
        <f>HYPERLINK("http://uswest.ensembl.org/Homo_sapiens/Gene/Summary?g=","-")</f>
        <v>-</v>
      </c>
      <c r="D834" s="14" t="s">
        <v>4327</v>
      </c>
      <c r="E834" s="14" t="str">
        <f>HYPERLINK("http://www.ncbi.nlm.nih.gov/sites/entrez?db=gene&amp;cmd=Retrieve&amp;dopt=full_report&amp;list_uids=170680","170680")</f>
        <v>170680</v>
      </c>
      <c r="F834" s="24" t="s">
        <v>4328</v>
      </c>
      <c r="G834" s="24" t="s">
        <v>4329</v>
      </c>
      <c r="H834" s="14" t="s">
        <v>8728</v>
      </c>
      <c r="I834" s="14" t="s">
        <v>8728</v>
      </c>
      <c r="J834" s="15" t="s">
        <v>8728</v>
      </c>
      <c r="K834" s="16">
        <v>57.483956999999997</v>
      </c>
      <c r="L834" s="17">
        <v>38.928762999999996</v>
      </c>
      <c r="M834" s="18">
        <f t="shared" ref="M834:M897" si="14">L834/K834</f>
        <v>0.67721091295089508</v>
      </c>
    </row>
    <row r="835" spans="1:13">
      <c r="A835" s="13" t="s">
        <v>4330</v>
      </c>
      <c r="B835" s="14" t="s">
        <v>4330</v>
      </c>
      <c r="C835" s="14" t="str">
        <f>HYPERLINK("http://uswest.ensembl.org/Homo_sapiens/Gene/Summary?g=ENSG00000143742","ENSG00000143742")</f>
        <v>ENSG00000143742</v>
      </c>
      <c r="D835" s="14" t="s">
        <v>8728</v>
      </c>
      <c r="E835" s="14" t="str">
        <f>HYPERLINK("http://www.ncbi.nlm.nih.gov/sites/entrez?db=gene&amp;cmd=Retrieve&amp;dopt=full_report&amp;list_uids=6726","6726")</f>
        <v>6726</v>
      </c>
      <c r="F835" s="24" t="s">
        <v>4331</v>
      </c>
      <c r="G835" s="24" t="s">
        <v>4346</v>
      </c>
      <c r="H835" s="14" t="s">
        <v>4347</v>
      </c>
      <c r="I835" s="14" t="s">
        <v>4348</v>
      </c>
      <c r="J835" s="15" t="s">
        <v>4349</v>
      </c>
      <c r="K835" s="16">
        <v>135.03517500000001</v>
      </c>
      <c r="L835" s="17">
        <v>91.456878000000003</v>
      </c>
      <c r="M835" s="18">
        <f t="shared" si="14"/>
        <v>0.67728188599748174</v>
      </c>
    </row>
    <row r="836" spans="1:13">
      <c r="A836" s="13" t="s">
        <v>4350</v>
      </c>
      <c r="B836" s="14" t="s">
        <v>4350</v>
      </c>
      <c r="C836" s="14" t="str">
        <f>HYPERLINK("http://uswest.ensembl.org/Homo_sapiens/Gene/Summary?g=ENSG00000203843","ENSG00000203843")</f>
        <v>ENSG00000203843</v>
      </c>
      <c r="D836" s="14" t="s">
        <v>8728</v>
      </c>
      <c r="E836" s="14" t="str">
        <f>HYPERLINK("http://www.ncbi.nlm.nih.gov/sites/entrez?db=gene&amp;cmd=Retrieve&amp;dopt=full_report&amp;list_uids=","-")</f>
        <v>-</v>
      </c>
      <c r="F836" s="24" t="s">
        <v>4351</v>
      </c>
      <c r="G836" s="24" t="s">
        <v>4352</v>
      </c>
      <c r="H836" s="14" t="s">
        <v>8728</v>
      </c>
      <c r="I836" s="14" t="s">
        <v>8728</v>
      </c>
      <c r="J836" s="15" t="s">
        <v>8728</v>
      </c>
      <c r="K836" s="16">
        <v>39.040188999999998</v>
      </c>
      <c r="L836" s="17">
        <v>26.445412999999999</v>
      </c>
      <c r="M836" s="18">
        <f t="shared" si="14"/>
        <v>0.67738947165445329</v>
      </c>
    </row>
    <row r="837" spans="1:13">
      <c r="A837" s="13" t="s">
        <v>4353</v>
      </c>
      <c r="B837" s="14" t="s">
        <v>4353</v>
      </c>
      <c r="C837" s="14" t="str">
        <f>HYPERLINK("http://uswest.ensembl.org/Homo_sapiens/Gene/Summary?g=ENSG00000106991","ENSG00000106991")</f>
        <v>ENSG00000106991</v>
      </c>
      <c r="D837" s="14" t="s">
        <v>4354</v>
      </c>
      <c r="E837" s="14" t="str">
        <f>HYPERLINK("http://www.ncbi.nlm.nih.gov/sites/entrez?db=gene&amp;cmd=Retrieve&amp;dopt=full_report&amp;list_uids=2022","2022")</f>
        <v>2022</v>
      </c>
      <c r="F837" s="24" t="s">
        <v>4355</v>
      </c>
      <c r="G837" s="24" t="s">
        <v>4356</v>
      </c>
      <c r="H837" s="14" t="s">
        <v>8728</v>
      </c>
      <c r="I837" s="14" t="s">
        <v>8728</v>
      </c>
      <c r="J837" s="15" t="s">
        <v>8728</v>
      </c>
      <c r="K837" s="16">
        <v>78.743438999999995</v>
      </c>
      <c r="L837" s="17">
        <v>53.341425000000001</v>
      </c>
      <c r="M837" s="18">
        <f t="shared" si="14"/>
        <v>0.67740786632394867</v>
      </c>
    </row>
    <row r="838" spans="1:13">
      <c r="A838" s="13" t="s">
        <v>4340</v>
      </c>
      <c r="B838" s="14" t="s">
        <v>4340</v>
      </c>
      <c r="C838" s="14" t="str">
        <f>HYPERLINK("http://uswest.ensembl.org/Homo_sapiens/Gene/Summary?g=ENSG00000187185","ENSG00000187185")</f>
        <v>ENSG00000187185</v>
      </c>
      <c r="D838" s="14" t="s">
        <v>8728</v>
      </c>
      <c r="E838" s="14" t="str">
        <f>HYPERLINK("http://www.ncbi.nlm.nih.gov/sites/entrez?db=gene&amp;cmd=Retrieve&amp;dopt=full_report&amp;list_uids=","-")</f>
        <v>-</v>
      </c>
      <c r="F838" s="24" t="s">
        <v>4341</v>
      </c>
      <c r="G838" s="24" t="s">
        <v>4357</v>
      </c>
      <c r="H838" s="14" t="s">
        <v>8728</v>
      </c>
      <c r="I838" s="14" t="s">
        <v>8728</v>
      </c>
      <c r="J838" s="15" t="s">
        <v>8728</v>
      </c>
      <c r="K838" s="16">
        <v>52.344987000000003</v>
      </c>
      <c r="L838" s="17">
        <v>35.462009999999999</v>
      </c>
      <c r="M838" s="18">
        <f t="shared" si="14"/>
        <v>0.67746716605355151</v>
      </c>
    </row>
    <row r="839" spans="1:13">
      <c r="A839" s="13" t="s">
        <v>4315</v>
      </c>
      <c r="B839" s="14" t="s">
        <v>4315</v>
      </c>
      <c r="C839" s="14" t="str">
        <f>HYPERLINK("http://uswest.ensembl.org/Homo_sapiens/Gene/Summary?g=ENSG00000204366","ENSG00000204366")</f>
        <v>ENSG00000204366</v>
      </c>
      <c r="D839" s="14" t="s">
        <v>4316</v>
      </c>
      <c r="E839" s="14" t="str">
        <f>HYPERLINK("http://www.ncbi.nlm.nih.gov/sites/entrez?db=gene&amp;cmd=Retrieve&amp;dopt=full_report&amp;list_uids=221527","221527")</f>
        <v>221527</v>
      </c>
      <c r="F839" s="24" t="s">
        <v>4317</v>
      </c>
      <c r="G839" s="24" t="s">
        <v>4318</v>
      </c>
      <c r="H839" s="14" t="s">
        <v>8581</v>
      </c>
      <c r="I839" s="14" t="s">
        <v>4319</v>
      </c>
      <c r="J839" s="15" t="s">
        <v>8622</v>
      </c>
      <c r="K839" s="16">
        <v>56.468147999999999</v>
      </c>
      <c r="L839" s="17">
        <v>38.259895999999998</v>
      </c>
      <c r="M839" s="18">
        <f t="shared" si="14"/>
        <v>0.6775482702212936</v>
      </c>
    </row>
    <row r="840" spans="1:13">
      <c r="A840" s="13" t="s">
        <v>4320</v>
      </c>
      <c r="B840" s="14" t="s">
        <v>4320</v>
      </c>
      <c r="C840" s="14" t="str">
        <f>HYPERLINK("http://uswest.ensembl.org/Homo_sapiens/Gene/Summary?g=","-")</f>
        <v>-</v>
      </c>
      <c r="D840" s="14" t="s">
        <v>8728</v>
      </c>
      <c r="E840" s="14" t="str">
        <f>HYPERLINK("http://www.ncbi.nlm.nih.gov/sites/entrez?db=gene&amp;cmd=Retrieve&amp;dopt=full_report&amp;list_uids=100287464","100287464")</f>
        <v>100287464</v>
      </c>
      <c r="F840" s="24" t="s">
        <v>4321</v>
      </c>
      <c r="G840" s="24" t="s">
        <v>8728</v>
      </c>
      <c r="H840" s="14" t="s">
        <v>8728</v>
      </c>
      <c r="I840" s="14" t="s">
        <v>8728</v>
      </c>
      <c r="J840" s="15" t="s">
        <v>8728</v>
      </c>
      <c r="K840" s="16">
        <v>32.900509999999997</v>
      </c>
      <c r="L840" s="17">
        <v>22.295829000000001</v>
      </c>
      <c r="M840" s="18">
        <f t="shared" si="14"/>
        <v>0.67767426705543476</v>
      </c>
    </row>
    <row r="841" spans="1:13">
      <c r="A841" s="13" t="s">
        <v>4332</v>
      </c>
      <c r="B841" s="14" t="s">
        <v>4332</v>
      </c>
      <c r="C841" s="14" t="str">
        <f>HYPERLINK("http://uswest.ensembl.org/Homo_sapiens/Gene/Summary?g=ENSG00000107897","ENSG00000107897")</f>
        <v>ENSG00000107897</v>
      </c>
      <c r="D841" s="14" t="s">
        <v>4333</v>
      </c>
      <c r="E841" s="14" t="str">
        <f>HYPERLINK("http://www.ncbi.nlm.nih.gov/sites/entrez?db=gene&amp;cmd=Retrieve&amp;dopt=full_report&amp;list_uids=","-")</f>
        <v>-</v>
      </c>
      <c r="F841" s="24" t="s">
        <v>4334</v>
      </c>
      <c r="G841" s="24" t="s">
        <v>4335</v>
      </c>
      <c r="H841" s="14" t="s">
        <v>8728</v>
      </c>
      <c r="I841" s="14" t="s">
        <v>4336</v>
      </c>
      <c r="J841" s="15" t="s">
        <v>8728</v>
      </c>
      <c r="K841" s="16">
        <v>53.044218000000001</v>
      </c>
      <c r="L841" s="17">
        <v>35.967939999999999</v>
      </c>
      <c r="M841" s="18">
        <f t="shared" si="14"/>
        <v>0.6780746583916083</v>
      </c>
    </row>
    <row r="842" spans="1:13">
      <c r="A842" s="13" t="s">
        <v>4338</v>
      </c>
      <c r="B842" s="14" t="s">
        <v>4338</v>
      </c>
      <c r="C842" s="14" t="str">
        <f>HYPERLINK("http://uswest.ensembl.org/Homo_sapiens/Gene/Summary?g=","-")</f>
        <v>-</v>
      </c>
      <c r="D842" s="14" t="s">
        <v>4339</v>
      </c>
      <c r="E842" s="14" t="str">
        <f>HYPERLINK("http://www.ncbi.nlm.nih.gov/sites/entrez?db=gene&amp;cmd=Retrieve&amp;dopt=full_report&amp;list_uids=80219","80219")</f>
        <v>80219</v>
      </c>
      <c r="F842" s="24" t="s">
        <v>4312</v>
      </c>
      <c r="G842" s="24" t="s">
        <v>4313</v>
      </c>
      <c r="H842" s="14" t="s">
        <v>8728</v>
      </c>
      <c r="I842" s="14" t="s">
        <v>8728</v>
      </c>
      <c r="J842" s="15" t="s">
        <v>8639</v>
      </c>
      <c r="K842" s="16">
        <v>167.54341500000001</v>
      </c>
      <c r="L842" s="17">
        <v>113.613088</v>
      </c>
      <c r="M842" s="18">
        <f t="shared" si="14"/>
        <v>0.67811133012896985</v>
      </c>
    </row>
    <row r="843" spans="1:13">
      <c r="A843" s="13" t="s">
        <v>4309</v>
      </c>
      <c r="B843" s="14" t="s">
        <v>4309</v>
      </c>
      <c r="C843" s="14" t="str">
        <f>HYPERLINK("http://uswest.ensembl.org/Homo_sapiens/Gene/Summary?g=","-")</f>
        <v>-</v>
      </c>
      <c r="D843" s="14" t="s">
        <v>4310</v>
      </c>
      <c r="E843" s="14" t="str">
        <f>HYPERLINK("http://www.ncbi.nlm.nih.gov/sites/entrez?db=gene&amp;cmd=Retrieve&amp;dopt=full_report&amp;list_uids=54472","54472")</f>
        <v>54472</v>
      </c>
      <c r="F843" s="24" t="s">
        <v>4311</v>
      </c>
      <c r="G843" s="24" t="s">
        <v>4274</v>
      </c>
      <c r="H843" s="14" t="s">
        <v>4275</v>
      </c>
      <c r="I843" s="14" t="s">
        <v>4276</v>
      </c>
      <c r="J843" s="15" t="s">
        <v>4277</v>
      </c>
      <c r="K843" s="16">
        <v>29.810797999999998</v>
      </c>
      <c r="L843" s="17">
        <v>20.223628000000001</v>
      </c>
      <c r="M843" s="18">
        <f t="shared" si="14"/>
        <v>0.67839941755333089</v>
      </c>
    </row>
    <row r="844" spans="1:13">
      <c r="A844" s="13" t="s">
        <v>4278</v>
      </c>
      <c r="B844" s="14" t="s">
        <v>4278</v>
      </c>
      <c r="C844" s="14" t="str">
        <f>HYPERLINK("http://uswest.ensembl.org/Homo_sapiens/Gene/Summary?g=ENSG00000127993","ENSG00000127993")</f>
        <v>ENSG00000127993</v>
      </c>
      <c r="D844" s="14" t="s">
        <v>4279</v>
      </c>
      <c r="E844" s="14" t="str">
        <f>HYPERLINK("http://www.ncbi.nlm.nih.gov/sites/entrez?db=gene&amp;cmd=Retrieve&amp;dopt=full_report&amp;list_uids=84060","84060")</f>
        <v>84060</v>
      </c>
      <c r="F844" s="24" t="s">
        <v>4280</v>
      </c>
      <c r="G844" s="24" t="s">
        <v>4281</v>
      </c>
      <c r="H844" s="14" t="s">
        <v>8728</v>
      </c>
      <c r="I844" s="14" t="s">
        <v>8728</v>
      </c>
      <c r="J844" s="15" t="s">
        <v>8728</v>
      </c>
      <c r="K844" s="16">
        <v>143.618099</v>
      </c>
      <c r="L844" s="17">
        <v>97.431568999999996</v>
      </c>
      <c r="M844" s="18">
        <f t="shared" si="14"/>
        <v>0.67840731550137001</v>
      </c>
    </row>
    <row r="845" spans="1:13">
      <c r="A845" s="13" t="s">
        <v>4322</v>
      </c>
      <c r="B845" s="14" t="s">
        <v>4322</v>
      </c>
      <c r="C845" s="14" t="str">
        <f>HYPERLINK("http://uswest.ensembl.org/Homo_sapiens/Gene/Summary?g=","-")</f>
        <v>-</v>
      </c>
      <c r="D845" s="14" t="s">
        <v>4371</v>
      </c>
      <c r="E845" s="14" t="str">
        <f>HYPERLINK("http://www.ncbi.nlm.nih.gov/sites/entrez?db=gene&amp;cmd=Retrieve&amp;dopt=full_report&amp;list_uids=64759","64759")</f>
        <v>64759</v>
      </c>
      <c r="F845" s="24" t="s">
        <v>4372</v>
      </c>
      <c r="G845" s="24" t="s">
        <v>4323</v>
      </c>
      <c r="H845" s="14" t="s">
        <v>4291</v>
      </c>
      <c r="I845" s="14" t="s">
        <v>4292</v>
      </c>
      <c r="J845" s="15" t="s">
        <v>4257</v>
      </c>
      <c r="K845" s="16">
        <v>29.11815</v>
      </c>
      <c r="L845" s="17">
        <v>19.760193999999998</v>
      </c>
      <c r="M845" s="18">
        <f t="shared" si="14"/>
        <v>0.67862120361355371</v>
      </c>
    </row>
    <row r="846" spans="1:13">
      <c r="A846" s="13" t="s">
        <v>4258</v>
      </c>
      <c r="B846" s="14" t="s">
        <v>4258</v>
      </c>
      <c r="C846" s="14" t="str">
        <f>HYPERLINK("http://uswest.ensembl.org/Homo_sapiens/Gene/Summary?g=ENSG00000167384","ENSG00000167384")</f>
        <v>ENSG00000167384</v>
      </c>
      <c r="D846" s="14" t="s">
        <v>4259</v>
      </c>
      <c r="E846" s="14" t="str">
        <f>HYPERLINK("http://www.ncbi.nlm.nih.gov/sites/entrez?db=gene&amp;cmd=Retrieve&amp;dopt=full_report&amp;list_uids=7733","7733")</f>
        <v>7733</v>
      </c>
      <c r="F846" s="24" t="s">
        <v>4260</v>
      </c>
      <c r="G846" s="24" t="s">
        <v>4261</v>
      </c>
      <c r="H846" s="14" t="s">
        <v>8581</v>
      </c>
      <c r="I846" s="14" t="s">
        <v>8582</v>
      </c>
      <c r="J846" s="15" t="s">
        <v>8622</v>
      </c>
      <c r="K846" s="16">
        <v>39.218919</v>
      </c>
      <c r="L846" s="17">
        <v>26.616574</v>
      </c>
      <c r="M846" s="18">
        <f t="shared" si="14"/>
        <v>0.67866669145062364</v>
      </c>
    </row>
    <row r="847" spans="1:13">
      <c r="A847" s="13" t="s">
        <v>4303</v>
      </c>
      <c r="B847" s="14" t="s">
        <v>4303</v>
      </c>
      <c r="C847" s="14" t="str">
        <f>HYPERLINK("http://uswest.ensembl.org/Homo_sapiens/Gene/Summary?g=","-")</f>
        <v>-</v>
      </c>
      <c r="D847" s="14" t="s">
        <v>8728</v>
      </c>
      <c r="E847" s="14" t="str">
        <f>HYPERLINK("http://www.ncbi.nlm.nih.gov/sites/entrez?db=gene&amp;cmd=Retrieve&amp;dopt=full_report&amp;list_uids=100129500","100129500")</f>
        <v>100129500</v>
      </c>
      <c r="F847" s="24" t="s">
        <v>4304</v>
      </c>
      <c r="G847" s="24" t="s">
        <v>8728</v>
      </c>
      <c r="H847" s="14" t="s">
        <v>8728</v>
      </c>
      <c r="I847" s="14" t="s">
        <v>8728</v>
      </c>
      <c r="J847" s="15" t="s">
        <v>8728</v>
      </c>
      <c r="K847" s="16">
        <v>62.722518000000001</v>
      </c>
      <c r="L847" s="17">
        <v>42.587200000000003</v>
      </c>
      <c r="M847" s="18">
        <f t="shared" si="14"/>
        <v>0.67897784333211886</v>
      </c>
    </row>
    <row r="848" spans="1:13">
      <c r="A848" s="13" t="s">
        <v>4305</v>
      </c>
      <c r="B848" s="14" t="s">
        <v>4305</v>
      </c>
      <c r="C848" s="14" t="str">
        <f>HYPERLINK("http://uswest.ensembl.org/Homo_sapiens/Gene/Summary?g=ENSG00000174015","ENSG00000174015")</f>
        <v>ENSG00000174015</v>
      </c>
      <c r="D848" s="14" t="s">
        <v>4306</v>
      </c>
      <c r="E848" s="14" t="str">
        <f>HYPERLINK("http://www.ncbi.nlm.nih.gov/sites/entrez?db=gene&amp;cmd=Retrieve&amp;dopt=full_report&amp;list_uids=","-")</f>
        <v>-</v>
      </c>
      <c r="F848" s="24" t="s">
        <v>4307</v>
      </c>
      <c r="G848" s="24" t="s">
        <v>4308</v>
      </c>
      <c r="H848" s="14" t="s">
        <v>8728</v>
      </c>
      <c r="I848" s="14" t="s">
        <v>8728</v>
      </c>
      <c r="J848" s="15" t="s">
        <v>8728</v>
      </c>
      <c r="K848" s="16">
        <v>31.345606</v>
      </c>
      <c r="L848" s="17">
        <v>21.285457000000001</v>
      </c>
      <c r="M848" s="18">
        <f t="shared" si="14"/>
        <v>0.67905712207318625</v>
      </c>
    </row>
    <row r="849" spans="1:13">
      <c r="A849" s="13" t="s">
        <v>4246</v>
      </c>
      <c r="B849" s="14" t="s">
        <v>4246</v>
      </c>
      <c r="C849" s="14" t="str">
        <f>HYPERLINK("http://uswest.ensembl.org/Homo_sapiens/Gene/Summary?g=ENSG00000198725","ENSG00000198725")</f>
        <v>ENSG00000198725</v>
      </c>
      <c r="D849" s="14" t="s">
        <v>8728</v>
      </c>
      <c r="E849" s="14" t="str">
        <f>HYPERLINK("http://www.ncbi.nlm.nih.gov/sites/entrez?db=gene&amp;cmd=Retrieve&amp;dopt=full_report&amp;list_uids=","-")</f>
        <v>-</v>
      </c>
      <c r="F849" s="24" t="s">
        <v>4247</v>
      </c>
      <c r="G849" s="24" t="s">
        <v>8728</v>
      </c>
      <c r="H849" s="14" t="s">
        <v>8728</v>
      </c>
      <c r="I849" s="14" t="s">
        <v>8728</v>
      </c>
      <c r="J849" s="15" t="s">
        <v>8728</v>
      </c>
      <c r="K849" s="16">
        <v>680.10027600000001</v>
      </c>
      <c r="L849" s="17">
        <v>461.91136</v>
      </c>
      <c r="M849" s="18">
        <f t="shared" si="14"/>
        <v>0.67918125650047523</v>
      </c>
    </row>
    <row r="850" spans="1:13">
      <c r="A850" s="13" t="s">
        <v>4248</v>
      </c>
      <c r="B850" s="14" t="s">
        <v>4248</v>
      </c>
      <c r="C850" s="14" t="str">
        <f>HYPERLINK("http://uswest.ensembl.org/Homo_sapiens/Gene/Summary?g=ENSG00000174282","ENSG00000174282")</f>
        <v>ENSG00000174282</v>
      </c>
      <c r="D850" s="14" t="s">
        <v>4249</v>
      </c>
      <c r="E850" s="14" t="str">
        <f>HYPERLINK("http://www.ncbi.nlm.nih.gov/sites/entrez?db=gene&amp;cmd=Retrieve&amp;dopt=full_report&amp;list_uids=57659","57659")</f>
        <v>57659</v>
      </c>
      <c r="F850" s="24" t="s">
        <v>4250</v>
      </c>
      <c r="G850" s="24" t="s">
        <v>4251</v>
      </c>
      <c r="H850" s="14" t="s">
        <v>8581</v>
      </c>
      <c r="I850" s="14" t="s">
        <v>4282</v>
      </c>
      <c r="J850" s="15" t="s">
        <v>8622</v>
      </c>
      <c r="K850" s="16">
        <v>42.074610999999997</v>
      </c>
      <c r="L850" s="17">
        <v>28.578291</v>
      </c>
      <c r="M850" s="18">
        <f t="shared" si="14"/>
        <v>0.67922888223494216</v>
      </c>
    </row>
    <row r="851" spans="1:13">
      <c r="A851" s="13" t="s">
        <v>4283</v>
      </c>
      <c r="B851" s="14" t="s">
        <v>4283</v>
      </c>
      <c r="C851" s="14" t="str">
        <f>HYPERLINK("http://uswest.ensembl.org/Homo_sapiens/Gene/Summary?g=ENSG00000125895","ENSG00000125895")</f>
        <v>ENSG00000125895</v>
      </c>
      <c r="D851" s="14" t="s">
        <v>4284</v>
      </c>
      <c r="E851" s="14" t="str">
        <f>HYPERLINK("http://www.ncbi.nlm.nih.gov/sites/entrez?db=gene&amp;cmd=Retrieve&amp;dopt=full_report&amp;list_uids=55321","55321")</f>
        <v>55321</v>
      </c>
      <c r="F851" s="24" t="s">
        <v>4285</v>
      </c>
      <c r="G851" s="24" t="s">
        <v>4286</v>
      </c>
      <c r="H851" s="14" t="s">
        <v>8728</v>
      </c>
      <c r="I851" s="14" t="s">
        <v>8665</v>
      </c>
      <c r="J851" s="15" t="s">
        <v>8698</v>
      </c>
      <c r="K851" s="16">
        <v>47.899645999999997</v>
      </c>
      <c r="L851" s="17">
        <v>32.535457999999998</v>
      </c>
      <c r="M851" s="18">
        <f t="shared" si="14"/>
        <v>0.67924213886674656</v>
      </c>
    </row>
    <row r="852" spans="1:13">
      <c r="A852" s="13" t="s">
        <v>4287</v>
      </c>
      <c r="B852" s="14" t="s">
        <v>4287</v>
      </c>
      <c r="C852" s="14" t="str">
        <f>HYPERLINK("http://uswest.ensembl.org/Homo_sapiens/Gene/Summary?g=ENSG00000096070","ENSG00000096070")</f>
        <v>ENSG00000096070</v>
      </c>
      <c r="D852" s="14" t="s">
        <v>4288</v>
      </c>
      <c r="E852" s="14" t="str">
        <f>HYPERLINK("http://www.ncbi.nlm.nih.gov/sites/entrez?db=gene&amp;cmd=Retrieve&amp;dopt=full_report&amp;list_uids=","-")</f>
        <v>-</v>
      </c>
      <c r="F852" s="24" t="s">
        <v>4289</v>
      </c>
      <c r="G852" s="24" t="s">
        <v>4290</v>
      </c>
      <c r="H852" s="14" t="s">
        <v>7573</v>
      </c>
      <c r="I852" s="14" t="s">
        <v>8609</v>
      </c>
      <c r="J852" s="15" t="s">
        <v>8728</v>
      </c>
      <c r="K852" s="16">
        <v>48.899982000000001</v>
      </c>
      <c r="L852" s="17">
        <v>33.217357</v>
      </c>
      <c r="M852" s="18">
        <f t="shared" si="14"/>
        <v>0.67929180423829194</v>
      </c>
    </row>
    <row r="853" spans="1:13">
      <c r="A853" s="13" t="s">
        <v>4262</v>
      </c>
      <c r="B853" s="14" t="s">
        <v>4262</v>
      </c>
      <c r="C853" s="14" t="str">
        <f>HYPERLINK("http://uswest.ensembl.org/Homo_sapiens/Gene/Summary?g=ENSG00000151948","ENSG00000151948")</f>
        <v>ENSG00000151948</v>
      </c>
      <c r="D853" s="14" t="s">
        <v>4293</v>
      </c>
      <c r="E853" s="14" t="str">
        <f>HYPERLINK("http://www.ncbi.nlm.nih.gov/sites/entrez?db=gene&amp;cmd=Retrieve&amp;dopt=full_report&amp;list_uids=144423","144423")</f>
        <v>144423</v>
      </c>
      <c r="F853" s="24" t="s">
        <v>4294</v>
      </c>
      <c r="G853" s="24" t="s">
        <v>4295</v>
      </c>
      <c r="H853" s="14" t="s">
        <v>4296</v>
      </c>
      <c r="I853" s="14" t="s">
        <v>8728</v>
      </c>
      <c r="J853" s="15" t="s">
        <v>8728</v>
      </c>
      <c r="K853" s="16">
        <v>28.760618000000001</v>
      </c>
      <c r="L853" s="17">
        <v>19.551245000000002</v>
      </c>
      <c r="M853" s="18">
        <f t="shared" si="14"/>
        <v>0.67979224229465451</v>
      </c>
    </row>
    <row r="854" spans="1:13">
      <c r="A854" s="13" t="s">
        <v>4297</v>
      </c>
      <c r="B854" s="14" t="s">
        <v>4297</v>
      </c>
      <c r="C854" s="14" t="str">
        <f>HYPERLINK("http://uswest.ensembl.org/Homo_sapiens/Gene/Summary?g=ENSG00000212789","ENSG00000212789")</f>
        <v>ENSG00000212789</v>
      </c>
      <c r="D854" s="14" t="s">
        <v>8728</v>
      </c>
      <c r="E854" s="14" t="str">
        <f>HYPERLINK("http://www.ncbi.nlm.nih.gov/sites/entrez?db=gene&amp;cmd=Retrieve&amp;dopt=full_report&amp;list_uids=","-")</f>
        <v>-</v>
      </c>
      <c r="F854" s="24" t="s">
        <v>4298</v>
      </c>
      <c r="G854" s="24" t="s">
        <v>4299</v>
      </c>
      <c r="H854" s="14" t="s">
        <v>8728</v>
      </c>
      <c r="I854" s="14" t="s">
        <v>8383</v>
      </c>
      <c r="J854" s="15" t="s">
        <v>8619</v>
      </c>
      <c r="K854" s="16">
        <v>445.999143</v>
      </c>
      <c r="L854" s="17">
        <v>303.19314700000001</v>
      </c>
      <c r="M854" s="18">
        <f t="shared" si="14"/>
        <v>0.67980656859692667</v>
      </c>
    </row>
    <row r="855" spans="1:13">
      <c r="A855" s="13" t="s">
        <v>4300</v>
      </c>
      <c r="B855" s="14" t="s">
        <v>4300</v>
      </c>
      <c r="C855" s="14" t="str">
        <f>HYPERLINK("http://uswest.ensembl.org/Homo_sapiens/Gene/Summary?g=","-")</f>
        <v>-</v>
      </c>
      <c r="D855" s="14" t="s">
        <v>4301</v>
      </c>
      <c r="E855" s="14" t="str">
        <f>HYPERLINK("http://www.ncbi.nlm.nih.gov/sites/entrez?db=gene&amp;cmd=Retrieve&amp;dopt=full_report&amp;list_uids=197131","197131")</f>
        <v>197131</v>
      </c>
      <c r="F855" s="24" t="s">
        <v>7519</v>
      </c>
      <c r="G855" s="24" t="s">
        <v>7520</v>
      </c>
      <c r="H855" s="14" t="s">
        <v>4302</v>
      </c>
      <c r="I855" s="14" t="s">
        <v>4264</v>
      </c>
      <c r="J855" s="15" t="s">
        <v>4265</v>
      </c>
      <c r="K855" s="16">
        <v>47.412329999999997</v>
      </c>
      <c r="L855" s="17">
        <v>32.236089999999997</v>
      </c>
      <c r="M855" s="18">
        <f t="shared" si="14"/>
        <v>0.67990942440500179</v>
      </c>
    </row>
    <row r="856" spans="1:13">
      <c r="A856" s="13" t="s">
        <v>4266</v>
      </c>
      <c r="B856" s="14" t="s">
        <v>4266</v>
      </c>
      <c r="C856" s="14" t="str">
        <f>HYPERLINK("http://uswest.ensembl.org/Homo_sapiens/Gene/Summary?g=ENSG00000171561","ENSG00000171561")</f>
        <v>ENSG00000171561</v>
      </c>
      <c r="D856" s="14" t="s">
        <v>4267</v>
      </c>
      <c r="E856" s="14" t="str">
        <f>HYPERLINK("http://www.ncbi.nlm.nih.gov/sites/entrez?db=gene&amp;cmd=Retrieve&amp;dopt=full_report&amp;list_uids=341152","341152")</f>
        <v>341152</v>
      </c>
      <c r="F856" s="24" t="s">
        <v>4268</v>
      </c>
      <c r="G856" s="24" t="s">
        <v>4269</v>
      </c>
      <c r="H856" s="14" t="s">
        <v>8699</v>
      </c>
      <c r="I856" s="14" t="s">
        <v>8700</v>
      </c>
      <c r="J856" s="15" t="s">
        <v>8701</v>
      </c>
      <c r="K856" s="16">
        <v>43.364412999999999</v>
      </c>
      <c r="L856" s="17">
        <v>29.485211</v>
      </c>
      <c r="M856" s="18">
        <f t="shared" si="14"/>
        <v>0.67994027729604001</v>
      </c>
    </row>
    <row r="857" spans="1:13">
      <c r="A857" s="13" t="s">
        <v>4270</v>
      </c>
      <c r="B857" s="14" t="s">
        <v>4270</v>
      </c>
      <c r="C857" s="14" t="str">
        <f>HYPERLINK("http://uswest.ensembl.org/Homo_sapiens/Gene/Summary?g=ENSG00000170927","ENSG00000170927")</f>
        <v>ENSG00000170927</v>
      </c>
      <c r="D857" s="14" t="s">
        <v>4271</v>
      </c>
      <c r="E857" s="14" t="str">
        <f>HYPERLINK("http://www.ncbi.nlm.nih.gov/sites/entrez?db=gene&amp;cmd=Retrieve&amp;dopt=full_report&amp;list_uids=","-")</f>
        <v>-</v>
      </c>
      <c r="F857" s="24" t="s">
        <v>7624</v>
      </c>
      <c r="G857" s="24" t="s">
        <v>7625</v>
      </c>
      <c r="H857" s="14" t="s">
        <v>8728</v>
      </c>
      <c r="I857" s="14" t="s">
        <v>8728</v>
      </c>
      <c r="J857" s="15" t="s">
        <v>8728</v>
      </c>
      <c r="K857" s="16">
        <v>138.042102</v>
      </c>
      <c r="L857" s="17">
        <v>93.878809000000004</v>
      </c>
      <c r="M857" s="18">
        <f t="shared" si="14"/>
        <v>0.68007374300921619</v>
      </c>
    </row>
    <row r="858" spans="1:13">
      <c r="A858" s="13" t="s">
        <v>4272</v>
      </c>
      <c r="B858" s="14" t="s">
        <v>4272</v>
      </c>
      <c r="C858" s="14" t="str">
        <f>HYPERLINK("http://uswest.ensembl.org/Homo_sapiens/Gene/Summary?g=ENSG00000141424","ENSG00000141424")</f>
        <v>ENSG00000141424</v>
      </c>
      <c r="D858" s="14" t="s">
        <v>4273</v>
      </c>
      <c r="E858" s="14" t="str">
        <f>HYPERLINK("http://www.ncbi.nlm.nih.gov/sites/entrez?db=gene&amp;cmd=Retrieve&amp;dopt=full_report&amp;list_uids=25800","25800")</f>
        <v>25800</v>
      </c>
      <c r="F858" s="24" t="s">
        <v>4245</v>
      </c>
      <c r="G858" s="24" t="s">
        <v>4252</v>
      </c>
      <c r="H858" s="14" t="s">
        <v>8722</v>
      </c>
      <c r="I858" s="14" t="s">
        <v>8723</v>
      </c>
      <c r="J858" s="15" t="s">
        <v>4253</v>
      </c>
      <c r="K858" s="16">
        <v>95.741012999999995</v>
      </c>
      <c r="L858" s="17">
        <v>65.117761999999999</v>
      </c>
      <c r="M858" s="18">
        <f t="shared" si="14"/>
        <v>0.68014490299992969</v>
      </c>
    </row>
    <row r="859" spans="1:13">
      <c r="A859" s="13" t="s">
        <v>4254</v>
      </c>
      <c r="B859" s="14" t="s">
        <v>4254</v>
      </c>
      <c r="C859" s="14" t="str">
        <f>HYPERLINK("http://uswest.ensembl.org/Homo_sapiens/Gene/Summary?g=ENSG00000110492","ENSG00000110492")</f>
        <v>ENSG00000110492</v>
      </c>
      <c r="D859" s="14" t="s">
        <v>4255</v>
      </c>
      <c r="E859" s="14" t="str">
        <f>HYPERLINK("http://www.ncbi.nlm.nih.gov/sites/entrez?db=gene&amp;cmd=Retrieve&amp;dopt=full_report&amp;list_uids=4192","4192")</f>
        <v>4192</v>
      </c>
      <c r="F859" s="24" t="s">
        <v>4256</v>
      </c>
      <c r="G859" s="24" t="s">
        <v>4235</v>
      </c>
      <c r="H859" s="14" t="s">
        <v>4236</v>
      </c>
      <c r="I859" s="14" t="s">
        <v>4237</v>
      </c>
      <c r="J859" s="15" t="s">
        <v>8731</v>
      </c>
      <c r="K859" s="16">
        <v>319.26526000000001</v>
      </c>
      <c r="L859" s="17">
        <v>217.28472099999999</v>
      </c>
      <c r="M859" s="18">
        <f t="shared" si="14"/>
        <v>0.68057740137464373</v>
      </c>
    </row>
    <row r="860" spans="1:13">
      <c r="A860" s="13" t="s">
        <v>4238</v>
      </c>
      <c r="B860" s="14" t="s">
        <v>4238</v>
      </c>
      <c r="C860" s="14" t="str">
        <f>HYPERLINK("http://uswest.ensembl.org/Homo_sapiens/Gene/Summary?g=ENSG00000174007","ENSG00000174007")</f>
        <v>ENSG00000174007</v>
      </c>
      <c r="D860" s="14" t="s">
        <v>4239</v>
      </c>
      <c r="E860" s="14" t="str">
        <f>HYPERLINK("http://www.ncbi.nlm.nih.gov/sites/entrez?db=gene&amp;cmd=Retrieve&amp;dopt=full_report&amp;list_uids=","-")</f>
        <v>-</v>
      </c>
      <c r="F860" s="24" t="s">
        <v>5465</v>
      </c>
      <c r="G860" s="24" t="s">
        <v>4240</v>
      </c>
      <c r="H860" s="14" t="s">
        <v>8728</v>
      </c>
      <c r="I860" s="14" t="s">
        <v>8728</v>
      </c>
      <c r="J860" s="15" t="s">
        <v>8728</v>
      </c>
      <c r="K860" s="16">
        <v>74.129900000000006</v>
      </c>
      <c r="L860" s="17">
        <v>50.455601999999999</v>
      </c>
      <c r="M860" s="18">
        <f t="shared" si="14"/>
        <v>0.68063766442420659</v>
      </c>
    </row>
    <row r="861" spans="1:13">
      <c r="A861" s="13" t="s">
        <v>4241</v>
      </c>
      <c r="B861" s="14" t="s">
        <v>4241</v>
      </c>
      <c r="C861" s="14" t="str">
        <f>HYPERLINK("http://uswest.ensembl.org/Homo_sapiens/Gene/Summary?g=ENSG00000138698","ENSG00000138698")</f>
        <v>ENSG00000138698</v>
      </c>
      <c r="D861" s="14" t="s">
        <v>4242</v>
      </c>
      <c r="E861" s="14" t="str">
        <f>HYPERLINK("http://www.ncbi.nlm.nih.gov/sites/entrez?db=gene&amp;cmd=Retrieve&amp;dopt=full_report&amp;list_uids=5910","5910")</f>
        <v>5910</v>
      </c>
      <c r="F861" s="24" t="s">
        <v>4243</v>
      </c>
      <c r="G861" s="24" t="s">
        <v>4263</v>
      </c>
      <c r="H861" s="14" t="s">
        <v>8728</v>
      </c>
      <c r="I861" s="14" t="s">
        <v>8383</v>
      </c>
      <c r="J861" s="15" t="s">
        <v>8728</v>
      </c>
      <c r="K861" s="16">
        <v>211.19915800000001</v>
      </c>
      <c r="L861" s="17">
        <v>143.75275999999999</v>
      </c>
      <c r="M861" s="18">
        <f t="shared" si="14"/>
        <v>0.68065025145602132</v>
      </c>
    </row>
    <row r="862" spans="1:13">
      <c r="A862" s="13" t="s">
        <v>4212</v>
      </c>
      <c r="B862" s="14" t="s">
        <v>4212</v>
      </c>
      <c r="C862" s="14" t="str">
        <f>HYPERLINK("http://uswest.ensembl.org/Homo_sapiens/Gene/Summary?g=","-")</f>
        <v>-</v>
      </c>
      <c r="D862" s="14" t="s">
        <v>4213</v>
      </c>
      <c r="E862" s="14" t="str">
        <f>HYPERLINK("http://www.ncbi.nlm.nih.gov/sites/entrez?db=gene&amp;cmd=Retrieve&amp;dopt=full_report&amp;list_uids=231","231")</f>
        <v>231</v>
      </c>
      <c r="F862" s="24" t="s">
        <v>4214</v>
      </c>
      <c r="G862" s="24" t="s">
        <v>4215</v>
      </c>
      <c r="H862" s="14" t="s">
        <v>4216</v>
      </c>
      <c r="I862" s="14" t="s">
        <v>4218</v>
      </c>
      <c r="J862" s="15" t="s">
        <v>4219</v>
      </c>
      <c r="K862" s="16">
        <v>351.89342900000003</v>
      </c>
      <c r="L862" s="17">
        <v>239.61021</v>
      </c>
      <c r="M862" s="18">
        <f t="shared" si="14"/>
        <v>0.68091697728177802</v>
      </c>
    </row>
    <row r="863" spans="1:13">
      <c r="A863" s="13" t="s">
        <v>4220</v>
      </c>
      <c r="B863" s="14" t="s">
        <v>4220</v>
      </c>
      <c r="C863" s="14" t="str">
        <f>HYPERLINK("http://uswest.ensembl.org/Homo_sapiens/Gene/Summary?g=ENSG00000106128","ENSG00000106128")</f>
        <v>ENSG00000106128</v>
      </c>
      <c r="D863" s="14" t="s">
        <v>4221</v>
      </c>
      <c r="E863" s="14" t="str">
        <f>HYPERLINK("http://www.ncbi.nlm.nih.gov/sites/entrez?db=gene&amp;cmd=Retrieve&amp;dopt=full_report&amp;list_uids=2692","2692")</f>
        <v>2692</v>
      </c>
      <c r="F863" s="24" t="s">
        <v>4222</v>
      </c>
      <c r="G863" s="24" t="s">
        <v>4223</v>
      </c>
      <c r="H863" s="19" t="s">
        <v>4234</v>
      </c>
      <c r="I863" s="14" t="s">
        <v>4226</v>
      </c>
      <c r="J863" s="15" t="s">
        <v>4227</v>
      </c>
      <c r="K863" s="16">
        <v>103.470941</v>
      </c>
      <c r="L863" s="17">
        <v>70.458854000000002</v>
      </c>
      <c r="M863" s="18">
        <f t="shared" si="14"/>
        <v>0.68095306101449304</v>
      </c>
    </row>
    <row r="864" spans="1:13">
      <c r="A864" s="13" t="s">
        <v>4228</v>
      </c>
      <c r="B864" s="14" t="s">
        <v>4228</v>
      </c>
      <c r="C864" s="14" t="str">
        <f>HYPERLINK("http://uswest.ensembl.org/Homo_sapiens/Gene/Summary?g=","-")</f>
        <v>-</v>
      </c>
      <c r="D864" s="14" t="s">
        <v>4203</v>
      </c>
      <c r="E864" s="14" t="str">
        <f>HYPERLINK("http://www.ncbi.nlm.nih.gov/sites/entrez?db=gene&amp;cmd=Retrieve&amp;dopt=full_report&amp;list_uids=7089","7089")</f>
        <v>7089</v>
      </c>
      <c r="F864" s="24" t="s">
        <v>4204</v>
      </c>
      <c r="G864" s="24" t="s">
        <v>4205</v>
      </c>
      <c r="H864" s="14" t="s">
        <v>4206</v>
      </c>
      <c r="I864" s="14" t="s">
        <v>4207</v>
      </c>
      <c r="J864" s="15" t="s">
        <v>8558</v>
      </c>
      <c r="K864" s="16">
        <v>31.007797</v>
      </c>
      <c r="L864" s="17">
        <v>21.119461999999999</v>
      </c>
      <c r="M864" s="18">
        <f t="shared" si="14"/>
        <v>0.68110165968901304</v>
      </c>
    </row>
    <row r="865" spans="1:13">
      <c r="A865" s="13" t="s">
        <v>4208</v>
      </c>
      <c r="B865" s="14" t="s">
        <v>4208</v>
      </c>
      <c r="C865" s="14" t="str">
        <f>HYPERLINK("http://uswest.ensembl.org/Homo_sapiens/Gene/Summary?g=ENSG00000182718","ENSG00000182718")</f>
        <v>ENSG00000182718</v>
      </c>
      <c r="D865" s="14" t="s">
        <v>4209</v>
      </c>
      <c r="E865" s="14" t="str">
        <f>HYPERLINK("http://www.ncbi.nlm.nih.gov/sites/entrez?db=gene&amp;cmd=Retrieve&amp;dopt=full_report&amp;list_uids=302","302")</f>
        <v>302</v>
      </c>
      <c r="F865" s="24" t="s">
        <v>4210</v>
      </c>
      <c r="G865" s="24" t="s">
        <v>4211</v>
      </c>
      <c r="H865" s="14" t="s">
        <v>4224</v>
      </c>
      <c r="I865" s="14" t="s">
        <v>4225</v>
      </c>
      <c r="J865" s="15" t="s">
        <v>4229</v>
      </c>
      <c r="K865" s="16">
        <v>1531.821614</v>
      </c>
      <c r="L865" s="17">
        <v>1043.8144199999999</v>
      </c>
      <c r="M865" s="18">
        <f t="shared" si="14"/>
        <v>0.68142034977187627</v>
      </c>
    </row>
    <row r="866" spans="1:13">
      <c r="A866" s="13" t="s">
        <v>4230</v>
      </c>
      <c r="B866" s="14" t="s">
        <v>4230</v>
      </c>
      <c r="C866" s="14" t="str">
        <f>HYPERLINK("http://uswest.ensembl.org/Homo_sapiens/Gene/Summary?g=","-")</f>
        <v>-</v>
      </c>
      <c r="D866" s="14" t="s">
        <v>4231</v>
      </c>
      <c r="E866" s="14" t="str">
        <f>HYPERLINK("http://www.ncbi.nlm.nih.gov/sites/entrez?db=gene&amp;cmd=Retrieve&amp;dopt=full_report&amp;list_uids=5148","5148")</f>
        <v>5148</v>
      </c>
      <c r="F866" s="24" t="s">
        <v>4232</v>
      </c>
      <c r="G866" s="24" t="s">
        <v>4233</v>
      </c>
      <c r="H866" s="19" t="s">
        <v>4201</v>
      </c>
      <c r="I866" s="14" t="s">
        <v>4202</v>
      </c>
      <c r="J866" s="15" t="s">
        <v>8728</v>
      </c>
      <c r="K866" s="16">
        <v>41.067844999999998</v>
      </c>
      <c r="L866" s="17">
        <v>28.002723</v>
      </c>
      <c r="M866" s="18">
        <f t="shared" si="14"/>
        <v>0.6818649237621307</v>
      </c>
    </row>
    <row r="867" spans="1:13">
      <c r="A867" s="13" t="s">
        <v>4188</v>
      </c>
      <c r="B867" s="14" t="s">
        <v>4188</v>
      </c>
      <c r="C867" s="14" t="str">
        <f>HYPERLINK("http://uswest.ensembl.org/Homo_sapiens/Gene/Summary?g=ENSG00000092439","ENSG00000092439")</f>
        <v>ENSG00000092439</v>
      </c>
      <c r="D867" s="14" t="s">
        <v>4189</v>
      </c>
      <c r="E867" s="14" t="str">
        <f>HYPERLINK("http://www.ncbi.nlm.nih.gov/sites/entrez?db=gene&amp;cmd=Retrieve&amp;dopt=full_report&amp;list_uids=54822","54822")</f>
        <v>54822</v>
      </c>
      <c r="F867" s="24" t="s">
        <v>4190</v>
      </c>
      <c r="G867" s="24" t="s">
        <v>4191</v>
      </c>
      <c r="H867" s="14" t="s">
        <v>4192</v>
      </c>
      <c r="I867" s="19" t="s">
        <v>4193</v>
      </c>
      <c r="J867" s="15" t="s">
        <v>4194</v>
      </c>
      <c r="K867" s="16">
        <v>138.01557600000001</v>
      </c>
      <c r="L867" s="17">
        <v>94.114621999999997</v>
      </c>
      <c r="M867" s="18">
        <f t="shared" si="14"/>
        <v>0.68191304726359281</v>
      </c>
    </row>
    <row r="868" spans="1:13">
      <c r="A868" s="13" t="s">
        <v>4195</v>
      </c>
      <c r="B868" s="14" t="s">
        <v>4195</v>
      </c>
      <c r="C868" s="14" t="str">
        <f>HYPERLINK("http://uswest.ensembl.org/Homo_sapiens/Gene/Summary?g=","-")</f>
        <v>-</v>
      </c>
      <c r="D868" s="14" t="s">
        <v>4199</v>
      </c>
      <c r="E868" s="14" t="str">
        <f>HYPERLINK("http://www.ncbi.nlm.nih.gov/sites/entrez?db=gene&amp;cmd=Retrieve&amp;dopt=full_report&amp;list_uids=79921","79921")</f>
        <v>79921</v>
      </c>
      <c r="F868" s="24" t="s">
        <v>4200</v>
      </c>
      <c r="G868" s="24" t="s">
        <v>4196</v>
      </c>
      <c r="H868" s="14" t="s">
        <v>8490</v>
      </c>
      <c r="I868" s="14" t="s">
        <v>8728</v>
      </c>
      <c r="J868" s="15" t="s">
        <v>8558</v>
      </c>
      <c r="K868" s="16">
        <v>93.866833999999997</v>
      </c>
      <c r="L868" s="17">
        <v>64.017966999999999</v>
      </c>
      <c r="M868" s="18">
        <f t="shared" si="14"/>
        <v>0.68200837582313689</v>
      </c>
    </row>
    <row r="869" spans="1:13">
      <c r="A869" s="13" t="s">
        <v>4197</v>
      </c>
      <c r="B869" s="14" t="s">
        <v>4197</v>
      </c>
      <c r="C869" s="14" t="str">
        <f>HYPERLINK("http://uswest.ensembl.org/Homo_sapiens/Gene/Summary?g=","-")</f>
        <v>-</v>
      </c>
      <c r="D869" s="14" t="s">
        <v>8728</v>
      </c>
      <c r="E869" s="14" t="str">
        <f>HYPERLINK("http://www.ncbi.nlm.nih.gov/sites/entrez?db=gene&amp;cmd=Retrieve&amp;dopt=full_report&amp;list_uids=100291224","100291224")</f>
        <v>100291224</v>
      </c>
      <c r="F869" s="24" t="s">
        <v>4198</v>
      </c>
      <c r="G869" s="24" t="s">
        <v>8728</v>
      </c>
      <c r="H869" s="14" t="s">
        <v>8728</v>
      </c>
      <c r="I869" s="14" t="s">
        <v>8728</v>
      </c>
      <c r="J869" s="15" t="s">
        <v>8728</v>
      </c>
      <c r="K869" s="16">
        <v>229.86626699999999</v>
      </c>
      <c r="L869" s="17">
        <v>156.80615399999999</v>
      </c>
      <c r="M869" s="18">
        <f t="shared" si="14"/>
        <v>0.68216252887597462</v>
      </c>
    </row>
    <row r="870" spans="1:13">
      <c r="A870" s="13" t="s">
        <v>4173</v>
      </c>
      <c r="B870" s="14" t="s">
        <v>4173</v>
      </c>
      <c r="C870" s="14" t="str">
        <f>HYPERLINK("http://uswest.ensembl.org/Homo_sapiens/Gene/Summary?g=ENSG00000175105","ENSG00000175105")</f>
        <v>ENSG00000175105</v>
      </c>
      <c r="D870" s="14" t="s">
        <v>8728</v>
      </c>
      <c r="E870" s="14" t="str">
        <f>HYPERLINK("http://www.ncbi.nlm.nih.gov/sites/entrez?db=gene&amp;cmd=Retrieve&amp;dopt=full_report&amp;list_uids=55279","55279")</f>
        <v>55279</v>
      </c>
      <c r="F870" s="24" t="s">
        <v>4174</v>
      </c>
      <c r="G870" s="24" t="s">
        <v>4175</v>
      </c>
      <c r="H870" s="14" t="s">
        <v>8581</v>
      </c>
      <c r="I870" s="14" t="s">
        <v>7323</v>
      </c>
      <c r="J870" s="15" t="s">
        <v>8622</v>
      </c>
      <c r="K870" s="16">
        <v>90.335228999999998</v>
      </c>
      <c r="L870" s="17">
        <v>61.634773000000003</v>
      </c>
      <c r="M870" s="18">
        <f t="shared" si="14"/>
        <v>0.68228944214000942</v>
      </c>
    </row>
    <row r="871" spans="1:13">
      <c r="A871" s="13" t="s">
        <v>4176</v>
      </c>
      <c r="B871" s="14" t="s">
        <v>4176</v>
      </c>
      <c r="C871" s="14" t="str">
        <f>HYPERLINK("http://uswest.ensembl.org/Homo_sapiens/Gene/Summary?g=ENSG00000197956","ENSG00000197956")</f>
        <v>ENSG00000197956</v>
      </c>
      <c r="D871" s="14" t="s">
        <v>4177</v>
      </c>
      <c r="E871" s="14" t="str">
        <f>HYPERLINK("http://www.ncbi.nlm.nih.gov/sites/entrez?db=gene&amp;cmd=Retrieve&amp;dopt=full_report&amp;list_uids=6277","6277")</f>
        <v>6277</v>
      </c>
      <c r="F871" s="24" t="s">
        <v>4178</v>
      </c>
      <c r="G871" s="24" t="s">
        <v>4179</v>
      </c>
      <c r="H871" s="14" t="s">
        <v>4180</v>
      </c>
      <c r="I871" s="14" t="s">
        <v>4181</v>
      </c>
      <c r="J871" s="15" t="s">
        <v>4182</v>
      </c>
      <c r="K871" s="16">
        <v>7693.8829800000003</v>
      </c>
      <c r="L871" s="17">
        <v>5249.5644840000004</v>
      </c>
      <c r="M871" s="18">
        <f t="shared" si="14"/>
        <v>0.68230365572833296</v>
      </c>
    </row>
    <row r="872" spans="1:13">
      <c r="A872" s="13" t="s">
        <v>4183</v>
      </c>
      <c r="B872" s="14" t="s">
        <v>4183</v>
      </c>
      <c r="C872" s="14" t="str">
        <f>HYPERLINK("http://uswest.ensembl.org/Homo_sapiens/Gene/Summary?g=ENSG00000204257","ENSG00000204257")</f>
        <v>ENSG00000204257</v>
      </c>
      <c r="D872" s="14" t="s">
        <v>4184</v>
      </c>
      <c r="E872" s="14" t="str">
        <f>HYPERLINK("http://www.ncbi.nlm.nih.gov/sites/entrez?db=gene&amp;cmd=Retrieve&amp;dopt=full_report&amp;list_uids=3108","3108")</f>
        <v>3108</v>
      </c>
      <c r="F872" s="24" t="s">
        <v>4185</v>
      </c>
      <c r="G872" s="24" t="s">
        <v>4217</v>
      </c>
      <c r="H872" s="19" t="s">
        <v>4187</v>
      </c>
      <c r="I872" s="19" t="s">
        <v>4165</v>
      </c>
      <c r="J872" s="20" t="s">
        <v>4166</v>
      </c>
      <c r="K872" s="16">
        <v>181.51008300000001</v>
      </c>
      <c r="L872" s="17">
        <v>123.85131</v>
      </c>
      <c r="M872" s="18">
        <f t="shared" si="14"/>
        <v>0.6823384571974439</v>
      </c>
    </row>
    <row r="873" spans="1:13">
      <c r="A873" s="13" t="s">
        <v>4167</v>
      </c>
      <c r="B873" s="14" t="s">
        <v>4167</v>
      </c>
      <c r="C873" s="14" t="str">
        <f>HYPERLINK("http://uswest.ensembl.org/Homo_sapiens/Gene/Summary?g=","-")</f>
        <v>-</v>
      </c>
      <c r="D873" s="14" t="s">
        <v>4168</v>
      </c>
      <c r="E873" s="14" t="str">
        <f>HYPERLINK("http://www.ncbi.nlm.nih.gov/sites/entrez?db=gene&amp;cmd=Retrieve&amp;dopt=full_report&amp;list_uids=4900","4900")</f>
        <v>4900</v>
      </c>
      <c r="F873" s="24" t="s">
        <v>4169</v>
      </c>
      <c r="G873" s="24" t="s">
        <v>4170</v>
      </c>
      <c r="H873" s="14" t="s">
        <v>4171</v>
      </c>
      <c r="I873" s="14" t="s">
        <v>4172</v>
      </c>
      <c r="J873" s="15" t="s">
        <v>8669</v>
      </c>
      <c r="K873" s="16">
        <v>79.805126000000001</v>
      </c>
      <c r="L873" s="17">
        <v>54.459418999999997</v>
      </c>
      <c r="M873" s="18">
        <f t="shared" si="14"/>
        <v>0.68240502496042665</v>
      </c>
    </row>
    <row r="874" spans="1:13">
      <c r="A874" s="13" t="s">
        <v>4151</v>
      </c>
      <c r="B874" s="14" t="s">
        <v>4151</v>
      </c>
      <c r="C874" s="14" t="str">
        <f>HYPERLINK("http://uswest.ensembl.org/Homo_sapiens/Gene/Summary?g=ENSG00000115524","ENSG00000115524")</f>
        <v>ENSG00000115524</v>
      </c>
      <c r="D874" s="14" t="s">
        <v>4152</v>
      </c>
      <c r="E874" s="14" t="str">
        <f>HYPERLINK("http://www.ncbi.nlm.nih.gov/sites/entrez?db=gene&amp;cmd=Retrieve&amp;dopt=full_report&amp;list_uids=23451","23451")</f>
        <v>23451</v>
      </c>
      <c r="F874" s="24" t="s">
        <v>4153</v>
      </c>
      <c r="G874" s="24" t="s">
        <v>4154</v>
      </c>
      <c r="H874" s="14" t="s">
        <v>8728</v>
      </c>
      <c r="I874" s="14" t="s">
        <v>8728</v>
      </c>
      <c r="J874" s="15" t="s">
        <v>8728</v>
      </c>
      <c r="K874" s="16">
        <v>300.82515999999998</v>
      </c>
      <c r="L874" s="17">
        <v>205.31660400000001</v>
      </c>
      <c r="M874" s="18">
        <f t="shared" si="14"/>
        <v>0.68251140961746692</v>
      </c>
    </row>
    <row r="875" spans="1:13">
      <c r="A875" s="13" t="s">
        <v>4155</v>
      </c>
      <c r="B875" s="14" t="s">
        <v>4155</v>
      </c>
      <c r="C875" s="14" t="str">
        <f>HYPERLINK("http://uswest.ensembl.org/Homo_sapiens/Gene/Summary?g=ENSG00000169549","ENSG00000169549")</f>
        <v>ENSG00000169549</v>
      </c>
      <c r="D875" s="14" t="s">
        <v>8728</v>
      </c>
      <c r="E875" s="14" t="str">
        <f>HYPERLINK("http://www.ncbi.nlm.nih.gov/sites/entrez?db=gene&amp;cmd=Retrieve&amp;dopt=full_report&amp;list_uids=","-")</f>
        <v>-</v>
      </c>
      <c r="F875" s="24" t="s">
        <v>4156</v>
      </c>
      <c r="G875" s="24" t="s">
        <v>8728</v>
      </c>
      <c r="H875" s="14" t="s">
        <v>8728</v>
      </c>
      <c r="I875" s="14" t="s">
        <v>8728</v>
      </c>
      <c r="J875" s="15" t="s">
        <v>8728</v>
      </c>
      <c r="K875" s="16">
        <v>301.16288900000001</v>
      </c>
      <c r="L875" s="17">
        <v>205.54911200000001</v>
      </c>
      <c r="M875" s="18">
        <f t="shared" si="14"/>
        <v>0.68251806416958627</v>
      </c>
    </row>
    <row r="876" spans="1:13">
      <c r="A876" s="13" t="s">
        <v>4157</v>
      </c>
      <c r="B876" s="14" t="s">
        <v>4157</v>
      </c>
      <c r="C876" s="14" t="str">
        <f>HYPERLINK("http://uswest.ensembl.org/Homo_sapiens/Gene/Summary?g=ENSG00000063244","ENSG00000063244")</f>
        <v>ENSG00000063244</v>
      </c>
      <c r="D876" s="14" t="s">
        <v>4158</v>
      </c>
      <c r="E876" s="14" t="str">
        <f>HYPERLINK("http://www.ncbi.nlm.nih.gov/sites/entrez?db=gene&amp;cmd=Retrieve&amp;dopt=full_report&amp;list_uids=11338","11338")</f>
        <v>11338</v>
      </c>
      <c r="F876" s="24" t="s">
        <v>4159</v>
      </c>
      <c r="G876" s="24" t="s">
        <v>4160</v>
      </c>
      <c r="H876" s="14" t="s">
        <v>4110</v>
      </c>
      <c r="I876" s="14" t="s">
        <v>7963</v>
      </c>
      <c r="J876" s="15" t="s">
        <v>5351</v>
      </c>
      <c r="K876" s="16">
        <v>43.903734999999998</v>
      </c>
      <c r="L876" s="17">
        <v>29.967023000000001</v>
      </c>
      <c r="M876" s="18">
        <f t="shared" si="14"/>
        <v>0.68256204170328572</v>
      </c>
    </row>
    <row r="877" spans="1:13">
      <c r="A877" s="13" t="s">
        <v>4111</v>
      </c>
      <c r="B877" s="14" t="s">
        <v>4111</v>
      </c>
      <c r="C877" s="14" t="str">
        <f>HYPERLINK("http://uswest.ensembl.org/Homo_sapiens/Gene/Summary?g=ENSG00000211943","ENSG00000211943")</f>
        <v>ENSG00000211943</v>
      </c>
      <c r="D877" s="14" t="s">
        <v>8728</v>
      </c>
      <c r="E877" s="14" t="str">
        <f>HYPERLINK("http://www.ncbi.nlm.nih.gov/sites/entrez?db=gene&amp;cmd=Retrieve&amp;dopt=full_report&amp;list_uids=","-")</f>
        <v>-</v>
      </c>
      <c r="F877" s="24" t="s">
        <v>4112</v>
      </c>
      <c r="G877" s="24" t="s">
        <v>4161</v>
      </c>
      <c r="H877" s="14" t="s">
        <v>8728</v>
      </c>
      <c r="I877" s="14" t="s">
        <v>8728</v>
      </c>
      <c r="J877" s="15" t="s">
        <v>8728</v>
      </c>
      <c r="K877" s="16">
        <v>30.734026</v>
      </c>
      <c r="L877" s="17">
        <v>20.978860000000001</v>
      </c>
      <c r="M877" s="18">
        <f t="shared" si="14"/>
        <v>0.68259394327316569</v>
      </c>
    </row>
    <row r="878" spans="1:13">
      <c r="A878" s="13" t="s">
        <v>4125</v>
      </c>
      <c r="B878" s="14" t="s">
        <v>4125</v>
      </c>
      <c r="C878" s="14" t="str">
        <f>HYPERLINK("http://uswest.ensembl.org/Homo_sapiens/Gene/Summary?g=ENSG00000129518","ENSG00000129518")</f>
        <v>ENSG00000129518</v>
      </c>
      <c r="D878" s="14" t="s">
        <v>4126</v>
      </c>
      <c r="E878" s="14" t="str">
        <f>HYPERLINK("http://www.ncbi.nlm.nih.gov/sites/entrez?db=gene&amp;cmd=Retrieve&amp;dopt=full_report&amp;list_uids=55837","55837")</f>
        <v>55837</v>
      </c>
      <c r="F878" s="24" t="s">
        <v>4127</v>
      </c>
      <c r="G878" s="24" t="s">
        <v>4128</v>
      </c>
      <c r="H878" s="14" t="s">
        <v>8728</v>
      </c>
      <c r="I878" s="14" t="s">
        <v>8728</v>
      </c>
      <c r="J878" s="15" t="s">
        <v>5106</v>
      </c>
      <c r="K878" s="16">
        <v>210.700784</v>
      </c>
      <c r="L878" s="17">
        <v>143.88929200000001</v>
      </c>
      <c r="M878" s="18">
        <f t="shared" si="14"/>
        <v>0.68290819458934715</v>
      </c>
    </row>
    <row r="879" spans="1:13">
      <c r="A879" s="13" t="s">
        <v>4129</v>
      </c>
      <c r="B879" s="14" t="s">
        <v>4129</v>
      </c>
      <c r="C879" s="14" t="str">
        <f>HYPERLINK("http://uswest.ensembl.org/Homo_sapiens/Gene/Summary?g=ENSG00000198033","ENSG00000198033")</f>
        <v>ENSG00000198033</v>
      </c>
      <c r="D879" s="14" t="s">
        <v>4130</v>
      </c>
      <c r="E879" s="14" t="str">
        <f>HYPERLINK("http://www.ncbi.nlm.nih.gov/sites/entrez?db=gene&amp;cmd=Retrieve&amp;dopt=full_report&amp;list_uids=","-")</f>
        <v>-</v>
      </c>
      <c r="F879" s="24" t="s">
        <v>4131</v>
      </c>
      <c r="G879" s="24" t="s">
        <v>4163</v>
      </c>
      <c r="H879" s="14" t="s">
        <v>6370</v>
      </c>
      <c r="I879" s="14" t="s">
        <v>4164</v>
      </c>
      <c r="J879" s="15" t="s">
        <v>6434</v>
      </c>
      <c r="K879" s="16">
        <v>111.951641</v>
      </c>
      <c r="L879" s="17">
        <v>76.454963000000006</v>
      </c>
      <c r="M879" s="18">
        <f t="shared" si="14"/>
        <v>0.68292847087431263</v>
      </c>
    </row>
    <row r="880" spans="1:13">
      <c r="A880" s="13" t="s">
        <v>4132</v>
      </c>
      <c r="B880" s="14" t="s">
        <v>4132</v>
      </c>
      <c r="C880" s="14" t="str">
        <f>HYPERLINK("http://uswest.ensembl.org/Homo_sapiens/Gene/Summary?g=ENSG00000162714","ENSG00000162714")</f>
        <v>ENSG00000162714</v>
      </c>
      <c r="D880" s="14" t="s">
        <v>4133</v>
      </c>
      <c r="E880" s="14" t="str">
        <f>HYPERLINK("http://www.ncbi.nlm.nih.gov/sites/entrez?db=gene&amp;cmd=Retrieve&amp;dopt=full_report&amp;list_uids=","-")</f>
        <v>-</v>
      </c>
      <c r="F880" s="24" t="s">
        <v>4134</v>
      </c>
      <c r="G880" s="24" t="s">
        <v>4186</v>
      </c>
      <c r="H880" s="14" t="s">
        <v>4136</v>
      </c>
      <c r="I880" s="14" t="s">
        <v>4137</v>
      </c>
      <c r="J880" s="15" t="s">
        <v>8622</v>
      </c>
      <c r="K880" s="16">
        <v>229.68155999999999</v>
      </c>
      <c r="L880" s="17">
        <v>156.860848</v>
      </c>
      <c r="M880" s="18">
        <f t="shared" si="14"/>
        <v>0.6829492450329927</v>
      </c>
    </row>
    <row r="881" spans="1:13">
      <c r="A881" s="13" t="s">
        <v>4138</v>
      </c>
      <c r="B881" s="14" t="s">
        <v>4138</v>
      </c>
      <c r="C881" s="14" t="str">
        <f>HYPERLINK("http://uswest.ensembl.org/Homo_sapiens/Gene/Summary?g=ENSG00000075340","ENSG00000075340")</f>
        <v>ENSG00000075340</v>
      </c>
      <c r="D881" s="14" t="s">
        <v>4139</v>
      </c>
      <c r="E881" s="14" t="str">
        <f>HYPERLINK("http://www.ncbi.nlm.nih.gov/sites/entrez?db=gene&amp;cmd=Retrieve&amp;dopt=full_report&amp;list_uids=119","119")</f>
        <v>119</v>
      </c>
      <c r="F881" s="24" t="s">
        <v>4140</v>
      </c>
      <c r="G881" s="24" t="s">
        <v>4141</v>
      </c>
      <c r="H881" s="14" t="s">
        <v>8728</v>
      </c>
      <c r="I881" s="14" t="s">
        <v>6262</v>
      </c>
      <c r="J881" s="15" t="s">
        <v>8728</v>
      </c>
      <c r="K881" s="16">
        <v>28.875758999999999</v>
      </c>
      <c r="L881" s="17">
        <v>19.720935000000001</v>
      </c>
      <c r="M881" s="18">
        <f t="shared" si="14"/>
        <v>0.68295815185325526</v>
      </c>
    </row>
    <row r="882" spans="1:13">
      <c r="A882" s="13" t="s">
        <v>4143</v>
      </c>
      <c r="B882" s="14" t="s">
        <v>4143</v>
      </c>
      <c r="C882" s="14" t="str">
        <f>HYPERLINK("http://uswest.ensembl.org/Homo_sapiens/Gene/Summary?g=ENSG00000187172","ENSG00000187172")</f>
        <v>ENSG00000187172</v>
      </c>
      <c r="D882" s="14" t="s">
        <v>8728</v>
      </c>
      <c r="E882" s="14" t="str">
        <f>HYPERLINK("http://www.ncbi.nlm.nih.gov/sites/entrez?db=gene&amp;cmd=Retrieve&amp;dopt=full_report&amp;list_uids=85317","85317")</f>
        <v>85317</v>
      </c>
      <c r="F882" s="24" t="s">
        <v>4144</v>
      </c>
      <c r="G882" s="24" t="s">
        <v>4145</v>
      </c>
      <c r="H882" s="14" t="s">
        <v>8728</v>
      </c>
      <c r="I882" s="14" t="s">
        <v>8728</v>
      </c>
      <c r="J882" s="15" t="s">
        <v>8731</v>
      </c>
      <c r="K882" s="16">
        <v>33.866928999999999</v>
      </c>
      <c r="L882" s="17">
        <v>23.137623000000001</v>
      </c>
      <c r="M882" s="18">
        <f t="shared" si="14"/>
        <v>0.68319223747745184</v>
      </c>
    </row>
    <row r="883" spans="1:13">
      <c r="A883" s="13" t="s">
        <v>4146</v>
      </c>
      <c r="B883" s="14" t="s">
        <v>4146</v>
      </c>
      <c r="C883" s="14" t="str">
        <f>HYPERLINK("http://uswest.ensembl.org/Homo_sapiens/Gene/Summary?g=ENSG00000106052","ENSG00000106052")</f>
        <v>ENSG00000106052</v>
      </c>
      <c r="D883" s="14" t="s">
        <v>4147</v>
      </c>
      <c r="E883" s="14" t="str">
        <f>HYPERLINK("http://www.ncbi.nlm.nih.gov/sites/entrez?db=gene&amp;cmd=Retrieve&amp;dopt=full_report&amp;list_uids=8887","8887")</f>
        <v>8887</v>
      </c>
      <c r="F883" s="24" t="s">
        <v>4148</v>
      </c>
      <c r="G883" s="24" t="s">
        <v>4149</v>
      </c>
      <c r="H883" s="14" t="s">
        <v>4150</v>
      </c>
      <c r="I883" s="14" t="s">
        <v>4109</v>
      </c>
      <c r="J883" s="15" t="s">
        <v>8707</v>
      </c>
      <c r="K883" s="16">
        <v>1294.1036810000001</v>
      </c>
      <c r="L883" s="17">
        <v>884.34337200000004</v>
      </c>
      <c r="M883" s="18">
        <f t="shared" si="14"/>
        <v>0.68336361682909086</v>
      </c>
    </row>
    <row r="884" spans="1:13">
      <c r="A884" s="13" t="s">
        <v>4113</v>
      </c>
      <c r="B884" s="14" t="s">
        <v>4113</v>
      </c>
      <c r="C884" s="14" t="str">
        <f>HYPERLINK("http://uswest.ensembl.org/Homo_sapiens/Gene/Summary?g=","-")</f>
        <v>-</v>
      </c>
      <c r="D884" s="14" t="s">
        <v>4114</v>
      </c>
      <c r="E884" s="14" t="str">
        <f>HYPERLINK("http://www.ncbi.nlm.nih.gov/sites/entrez?db=gene&amp;cmd=Retrieve&amp;dopt=full_report&amp;list_uids=4152","4152")</f>
        <v>4152</v>
      </c>
      <c r="F884" s="24" t="s">
        <v>4115</v>
      </c>
      <c r="G884" s="24" t="s">
        <v>4116</v>
      </c>
      <c r="H884" s="14" t="s">
        <v>8728</v>
      </c>
      <c r="I884" s="14" t="s">
        <v>7870</v>
      </c>
      <c r="J884" s="15" t="s">
        <v>8558</v>
      </c>
      <c r="K884" s="16">
        <v>191.16925699999999</v>
      </c>
      <c r="L884" s="17">
        <v>130.73187200000001</v>
      </c>
      <c r="M884" s="18">
        <f t="shared" si="14"/>
        <v>0.6838540571405789</v>
      </c>
    </row>
    <row r="885" spans="1:13">
      <c r="A885" s="13" t="s">
        <v>4117</v>
      </c>
      <c r="B885" s="14" t="s">
        <v>4117</v>
      </c>
      <c r="C885" s="14" t="str">
        <f>HYPERLINK("http://uswest.ensembl.org/Homo_sapiens/Gene/Summary?g=","-")</f>
        <v>-</v>
      </c>
      <c r="D885" s="14" t="s">
        <v>4118</v>
      </c>
      <c r="E885" s="14" t="str">
        <f>HYPERLINK("http://www.ncbi.nlm.nih.gov/sites/entrez?db=gene&amp;cmd=Retrieve&amp;dopt=full_report&amp;list_uids=2782","2782")</f>
        <v>2782</v>
      </c>
      <c r="F885" s="24" t="s">
        <v>4119</v>
      </c>
      <c r="G885" s="24" t="s">
        <v>4162</v>
      </c>
      <c r="H885" s="14" t="s">
        <v>4124</v>
      </c>
      <c r="I885" s="14" t="s">
        <v>4090</v>
      </c>
      <c r="J885" s="15" t="s">
        <v>4091</v>
      </c>
      <c r="K885" s="16">
        <v>422.18059799999997</v>
      </c>
      <c r="L885" s="17">
        <v>288.743989</v>
      </c>
      <c r="M885" s="18">
        <f t="shared" si="14"/>
        <v>0.6839347671775291</v>
      </c>
    </row>
    <row r="886" spans="1:13">
      <c r="A886" s="13" t="s">
        <v>4092</v>
      </c>
      <c r="B886" s="14" t="s">
        <v>4092</v>
      </c>
      <c r="C886" s="14" t="str">
        <f>HYPERLINK("http://uswest.ensembl.org/Homo_sapiens/Gene/Summary?g=ENSG00000219435","ENSG00000219435")</f>
        <v>ENSG00000219435</v>
      </c>
      <c r="D886" s="14" t="s">
        <v>8728</v>
      </c>
      <c r="E886" s="14" t="str">
        <f>HYPERLINK("http://www.ncbi.nlm.nih.gov/sites/entrez?db=gene&amp;cmd=Retrieve&amp;dopt=full_report&amp;list_uids=25858","25858")</f>
        <v>25858</v>
      </c>
      <c r="F886" s="24" t="s">
        <v>4093</v>
      </c>
      <c r="G886" s="24" t="s">
        <v>4094</v>
      </c>
      <c r="H886" s="14" t="s">
        <v>8728</v>
      </c>
      <c r="I886" s="14" t="s">
        <v>8728</v>
      </c>
      <c r="J886" s="15" t="s">
        <v>8619</v>
      </c>
      <c r="K886" s="16">
        <v>56.409939000000001</v>
      </c>
      <c r="L886" s="17">
        <v>38.586899000000003</v>
      </c>
      <c r="M886" s="18">
        <f t="shared" si="14"/>
        <v>0.68404433126580766</v>
      </c>
    </row>
    <row r="887" spans="1:13">
      <c r="A887" s="13" t="s">
        <v>4095</v>
      </c>
      <c r="B887" s="14" t="s">
        <v>4095</v>
      </c>
      <c r="C887" s="14" t="str">
        <f>HYPERLINK("http://uswest.ensembl.org/Homo_sapiens/Gene/Summary?g=ENSG00000134242","ENSG00000134242")</f>
        <v>ENSG00000134242</v>
      </c>
      <c r="D887" s="14" t="s">
        <v>4096</v>
      </c>
      <c r="E887" s="14" t="str">
        <f>HYPERLINK("http://www.ncbi.nlm.nih.gov/sites/entrez?db=gene&amp;cmd=Retrieve&amp;dopt=full_report&amp;list_uids=","-")</f>
        <v>-</v>
      </c>
      <c r="F887" s="24" t="s">
        <v>4097</v>
      </c>
      <c r="G887" s="24" t="s">
        <v>4099</v>
      </c>
      <c r="H887" s="14" t="s">
        <v>7487</v>
      </c>
      <c r="I887" s="14" t="s">
        <v>4100</v>
      </c>
      <c r="J887" s="15" t="s">
        <v>8728</v>
      </c>
      <c r="K887" s="16">
        <v>68.184420000000003</v>
      </c>
      <c r="L887" s="17">
        <v>46.644123</v>
      </c>
      <c r="M887" s="18">
        <f t="shared" si="14"/>
        <v>0.68408769921339796</v>
      </c>
    </row>
    <row r="888" spans="1:13">
      <c r="A888" s="13" t="s">
        <v>4101</v>
      </c>
      <c r="B888" s="14" t="s">
        <v>4101</v>
      </c>
      <c r="C888" s="14" t="str">
        <f>HYPERLINK("http://uswest.ensembl.org/Homo_sapiens/Gene/Summary?g=ENSG00000204388","ENSG00000204388")</f>
        <v>ENSG00000204388</v>
      </c>
      <c r="D888" s="14" t="s">
        <v>4102</v>
      </c>
      <c r="E888" s="14" t="str">
        <f>HYPERLINK("http://www.ncbi.nlm.nih.gov/sites/entrez?db=gene&amp;cmd=Retrieve&amp;dopt=full_report&amp;list_uids=3304","3304")</f>
        <v>3304</v>
      </c>
      <c r="F888" s="24" t="s">
        <v>4103</v>
      </c>
      <c r="G888" s="24" t="s">
        <v>7341</v>
      </c>
      <c r="H888" s="14" t="s">
        <v>4142</v>
      </c>
      <c r="I888" s="14" t="s">
        <v>7356</v>
      </c>
      <c r="J888" s="15" t="s">
        <v>4104</v>
      </c>
      <c r="K888" s="16">
        <v>205.213255</v>
      </c>
      <c r="L888" s="17">
        <v>140.421785</v>
      </c>
      <c r="M888" s="18">
        <f t="shared" si="14"/>
        <v>0.68427249009816637</v>
      </c>
    </row>
    <row r="889" spans="1:13">
      <c r="A889" s="13" t="s">
        <v>4105</v>
      </c>
      <c r="B889" s="14" t="s">
        <v>4105</v>
      </c>
      <c r="C889" s="14" t="str">
        <f>HYPERLINK("http://uswest.ensembl.org/Homo_sapiens/Gene/Summary?g=","-")</f>
        <v>-</v>
      </c>
      <c r="D889" s="14" t="s">
        <v>4106</v>
      </c>
      <c r="E889" s="14" t="str">
        <f>HYPERLINK("http://www.ncbi.nlm.nih.gov/sites/entrez?db=gene&amp;cmd=Retrieve&amp;dopt=full_report&amp;list_uids=10336","10336")</f>
        <v>10336</v>
      </c>
      <c r="F889" s="24" t="s">
        <v>4107</v>
      </c>
      <c r="G889" s="24" t="s">
        <v>4108</v>
      </c>
      <c r="H889" s="14" t="s">
        <v>8490</v>
      </c>
      <c r="I889" s="14" t="s">
        <v>8609</v>
      </c>
      <c r="J889" s="15" t="s">
        <v>8728</v>
      </c>
      <c r="K889" s="16">
        <v>39.766758000000003</v>
      </c>
      <c r="L889" s="17">
        <v>27.212744000000001</v>
      </c>
      <c r="M889" s="18">
        <f t="shared" si="14"/>
        <v>0.68430883905597728</v>
      </c>
    </row>
    <row r="890" spans="1:13">
      <c r="A890" s="13" t="s">
        <v>4068</v>
      </c>
      <c r="B890" s="14" t="s">
        <v>4068</v>
      </c>
      <c r="C890" s="14" t="str">
        <f>HYPERLINK("http://uswest.ensembl.org/Homo_sapiens/Gene/Summary?g=ENSG00000112343","ENSG00000112343")</f>
        <v>ENSG00000112343</v>
      </c>
      <c r="D890" s="14" t="s">
        <v>4069</v>
      </c>
      <c r="E890" s="14" t="str">
        <f>HYPERLINK("http://www.ncbi.nlm.nih.gov/sites/entrez?db=gene&amp;cmd=Retrieve&amp;dopt=full_report&amp;list_uids=10475","10475")</f>
        <v>10475</v>
      </c>
      <c r="F890" s="24" t="s">
        <v>4070</v>
      </c>
      <c r="G890" s="24" t="s">
        <v>4071</v>
      </c>
      <c r="H890" s="14" t="s">
        <v>4072</v>
      </c>
      <c r="I890" s="14" t="s">
        <v>4073</v>
      </c>
      <c r="J890" s="15" t="s">
        <v>4074</v>
      </c>
      <c r="K890" s="16">
        <v>134.013992</v>
      </c>
      <c r="L890" s="17">
        <v>91.712655999999996</v>
      </c>
      <c r="M890" s="18">
        <f t="shared" si="14"/>
        <v>0.6843513474324382</v>
      </c>
    </row>
    <row r="891" spans="1:13">
      <c r="A891" s="13" t="s">
        <v>4075</v>
      </c>
      <c r="B891" s="14" t="s">
        <v>4075</v>
      </c>
      <c r="C891" s="14" t="str">
        <f>HYPERLINK("http://uswest.ensembl.org/Homo_sapiens/Gene/Summary?g=ENSG00000160352","ENSG00000160352")</f>
        <v>ENSG00000160352</v>
      </c>
      <c r="D891" s="14" t="s">
        <v>8728</v>
      </c>
      <c r="E891" s="14" t="str">
        <f>HYPERLINK("http://www.ncbi.nlm.nih.gov/sites/entrez?db=gene&amp;cmd=Retrieve&amp;dopt=full_report&amp;list_uids=148206","148206")</f>
        <v>148206</v>
      </c>
      <c r="F891" s="24" t="s">
        <v>4076</v>
      </c>
      <c r="G891" s="24" t="s">
        <v>4077</v>
      </c>
      <c r="H891" s="14" t="s">
        <v>8581</v>
      </c>
      <c r="I891" s="14" t="s">
        <v>8582</v>
      </c>
      <c r="J891" s="15" t="s">
        <v>8622</v>
      </c>
      <c r="K891" s="16">
        <v>135.40451200000001</v>
      </c>
      <c r="L891" s="17">
        <v>92.670278999999994</v>
      </c>
      <c r="M891" s="18">
        <f t="shared" si="14"/>
        <v>0.68439579768213321</v>
      </c>
    </row>
    <row r="892" spans="1:13">
      <c r="A892" s="13" t="s">
        <v>4078</v>
      </c>
      <c r="B892" s="14" t="s">
        <v>4078</v>
      </c>
      <c r="C892" s="14" t="str">
        <f>HYPERLINK("http://uswest.ensembl.org/Homo_sapiens/Gene/Summary?g=","-")</f>
        <v>-</v>
      </c>
      <c r="D892" s="14" t="s">
        <v>4079</v>
      </c>
      <c r="E892" s="14" t="str">
        <f>HYPERLINK("http://www.ncbi.nlm.nih.gov/sites/entrez?db=gene&amp;cmd=Retrieve&amp;dopt=full_report&amp;list_uids=90313","90313")</f>
        <v>90313</v>
      </c>
      <c r="F892" s="24" t="s">
        <v>4080</v>
      </c>
      <c r="G892" s="24" t="s">
        <v>4081</v>
      </c>
      <c r="H892" s="14" t="s">
        <v>8728</v>
      </c>
      <c r="I892" s="14" t="s">
        <v>8728</v>
      </c>
      <c r="J892" s="15" t="s">
        <v>4082</v>
      </c>
      <c r="K892" s="16">
        <v>92.81568</v>
      </c>
      <c r="L892" s="17">
        <v>63.529777000000003</v>
      </c>
      <c r="M892" s="18">
        <f t="shared" si="14"/>
        <v>0.68447246198056189</v>
      </c>
    </row>
    <row r="893" spans="1:13">
      <c r="A893" s="13" t="s">
        <v>4083</v>
      </c>
      <c r="B893" s="14" t="s">
        <v>4083</v>
      </c>
      <c r="C893" s="14" t="str">
        <f>HYPERLINK("http://uswest.ensembl.org/Homo_sapiens/Gene/Summary?g=ENSG00000100802","ENSG00000100802")</f>
        <v>ENSG00000100802</v>
      </c>
      <c r="D893" s="14" t="s">
        <v>4084</v>
      </c>
      <c r="E893" s="14" t="str">
        <f>HYPERLINK("http://www.ncbi.nlm.nih.gov/sites/entrez?db=gene&amp;cmd=Retrieve&amp;dopt=full_report&amp;list_uids=","-")</f>
        <v>-</v>
      </c>
      <c r="F893" s="24" t="s">
        <v>4085</v>
      </c>
      <c r="G893" s="24" t="s">
        <v>4086</v>
      </c>
      <c r="H893" s="14" t="s">
        <v>8728</v>
      </c>
      <c r="I893" s="14" t="s">
        <v>8728</v>
      </c>
      <c r="J893" s="15" t="s">
        <v>8728</v>
      </c>
      <c r="K893" s="16">
        <v>36.818637000000003</v>
      </c>
      <c r="L893" s="17">
        <v>25.203904000000001</v>
      </c>
      <c r="M893" s="18">
        <f t="shared" si="14"/>
        <v>0.68454201604475473</v>
      </c>
    </row>
    <row r="894" spans="1:13">
      <c r="A894" s="13" t="s">
        <v>4087</v>
      </c>
      <c r="B894" s="14" t="s">
        <v>4087</v>
      </c>
      <c r="C894" s="14" t="str">
        <f>HYPERLINK("http://uswest.ensembl.org/Homo_sapiens/Gene/Summary?g=","-")</f>
        <v>-</v>
      </c>
      <c r="D894" s="14" t="s">
        <v>4088</v>
      </c>
      <c r="E894" s="14" t="str">
        <f>HYPERLINK("http://www.ncbi.nlm.nih.gov/sites/entrez?db=gene&amp;cmd=Retrieve&amp;dopt=full_report&amp;list_uids=5584","5584")</f>
        <v>5584</v>
      </c>
      <c r="F894" s="24" t="s">
        <v>4089</v>
      </c>
      <c r="G894" s="24" t="s">
        <v>4120</v>
      </c>
      <c r="H894" s="14" t="s">
        <v>8728</v>
      </c>
      <c r="I894" s="14" t="s">
        <v>8728</v>
      </c>
      <c r="J894" s="15" t="s">
        <v>8728</v>
      </c>
      <c r="K894" s="16">
        <v>41.016289</v>
      </c>
      <c r="L894" s="17">
        <v>28.079294000000001</v>
      </c>
      <c r="M894" s="18">
        <f t="shared" si="14"/>
        <v>0.6845888471285152</v>
      </c>
    </row>
    <row r="895" spans="1:13">
      <c r="A895" s="13" t="s">
        <v>4121</v>
      </c>
      <c r="B895" s="14" t="s">
        <v>4121</v>
      </c>
      <c r="C895" s="14" t="str">
        <f>HYPERLINK("http://uswest.ensembl.org/Homo_sapiens/Gene/Summary?g=","-")</f>
        <v>-</v>
      </c>
      <c r="D895" s="14" t="s">
        <v>4122</v>
      </c>
      <c r="E895" s="14" t="str">
        <f>HYPERLINK("http://www.ncbi.nlm.nih.gov/sites/entrez?db=gene&amp;cmd=Retrieve&amp;dopt=full_report&amp;list_uids=8740","8740")</f>
        <v>8740</v>
      </c>
      <c r="F895" s="24" t="s">
        <v>4123</v>
      </c>
      <c r="G895" s="25" t="s">
        <v>4058</v>
      </c>
      <c r="H895" s="19" t="s">
        <v>4059</v>
      </c>
      <c r="I895" s="14" t="s">
        <v>4060</v>
      </c>
      <c r="J895" s="15" t="s">
        <v>4061</v>
      </c>
      <c r="K895" s="16">
        <v>53.433129000000001</v>
      </c>
      <c r="L895" s="17">
        <v>36.579825</v>
      </c>
      <c r="M895" s="18">
        <f t="shared" si="14"/>
        <v>0.6845907339620706</v>
      </c>
    </row>
    <row r="896" spans="1:13">
      <c r="A896" s="13" t="s">
        <v>4053</v>
      </c>
      <c r="B896" s="14" t="s">
        <v>4053</v>
      </c>
      <c r="C896" s="14" t="str">
        <f>HYPERLINK("http://uswest.ensembl.org/Homo_sapiens/Gene/Summary?g=","-")</f>
        <v>-</v>
      </c>
      <c r="D896" s="14" t="s">
        <v>4054</v>
      </c>
      <c r="E896" s="14" t="str">
        <f>HYPERLINK("http://www.ncbi.nlm.nih.gov/sites/entrez?db=gene&amp;cmd=Retrieve&amp;dopt=full_report&amp;list_uids=402682","402682")</f>
        <v>402682</v>
      </c>
      <c r="F896" s="24" t="s">
        <v>4055</v>
      </c>
      <c r="G896" s="24" t="s">
        <v>4056</v>
      </c>
      <c r="H896" s="14" t="s">
        <v>8076</v>
      </c>
      <c r="I896" s="14" t="s">
        <v>4057</v>
      </c>
      <c r="J896" s="15" t="s">
        <v>7768</v>
      </c>
      <c r="K896" s="16">
        <v>33.812235999999999</v>
      </c>
      <c r="L896" s="17">
        <v>23.158683</v>
      </c>
      <c r="M896" s="18">
        <f t="shared" si="14"/>
        <v>0.68492018688145917</v>
      </c>
    </row>
    <row r="897" spans="1:13">
      <c r="A897" s="13" t="s">
        <v>4033</v>
      </c>
      <c r="B897" s="14" t="s">
        <v>4033</v>
      </c>
      <c r="C897" s="14" t="str">
        <f>HYPERLINK("http://uswest.ensembl.org/Homo_sapiens/Gene/Summary?g=ENSG00000050165","ENSG00000050165")</f>
        <v>ENSG00000050165</v>
      </c>
      <c r="D897" s="14" t="s">
        <v>4034</v>
      </c>
      <c r="E897" s="14" t="str">
        <f>HYPERLINK("http://www.ncbi.nlm.nih.gov/sites/entrez?db=gene&amp;cmd=Retrieve&amp;dopt=full_report&amp;list_uids=27122","27122")</f>
        <v>27122</v>
      </c>
      <c r="F897" s="24" t="s">
        <v>4035</v>
      </c>
      <c r="G897" s="24" t="s">
        <v>4036</v>
      </c>
      <c r="H897" s="14" t="s">
        <v>4098</v>
      </c>
      <c r="I897" s="14" t="s">
        <v>4042</v>
      </c>
      <c r="J897" s="15" t="s">
        <v>5820</v>
      </c>
      <c r="K897" s="16">
        <v>36.325344999999999</v>
      </c>
      <c r="L897" s="17">
        <v>24.884111999999998</v>
      </c>
      <c r="M897" s="18">
        <f t="shared" si="14"/>
        <v>0.68503442981752816</v>
      </c>
    </row>
    <row r="898" spans="1:13">
      <c r="A898" s="13" t="s">
        <v>4043</v>
      </c>
      <c r="B898" s="14" t="s">
        <v>4043</v>
      </c>
      <c r="C898" s="14" t="str">
        <f>HYPERLINK("http://uswest.ensembl.org/Homo_sapiens/Gene/Summary?g=ENSG00000197948","ENSG00000197948")</f>
        <v>ENSG00000197948</v>
      </c>
      <c r="D898" s="14" t="s">
        <v>8728</v>
      </c>
      <c r="E898" s="14" t="str">
        <f>HYPERLINK("http://www.ncbi.nlm.nih.gov/sites/entrez?db=gene&amp;cmd=Retrieve&amp;dopt=full_report&amp;list_uids=89848","89848")</f>
        <v>89848</v>
      </c>
      <c r="F898" s="24" t="s">
        <v>4044</v>
      </c>
      <c r="G898" s="24" t="s">
        <v>4045</v>
      </c>
      <c r="H898" s="14" t="s">
        <v>8728</v>
      </c>
      <c r="I898" s="14" t="s">
        <v>8728</v>
      </c>
      <c r="J898" s="15" t="s">
        <v>8728</v>
      </c>
      <c r="K898" s="16">
        <v>39.697718000000002</v>
      </c>
      <c r="L898" s="17">
        <v>27.198896000000001</v>
      </c>
      <c r="M898" s="18">
        <f t="shared" ref="M898:M961" si="15">L898/K898</f>
        <v>0.68515011366648326</v>
      </c>
    </row>
    <row r="899" spans="1:13">
      <c r="A899" s="13" t="s">
        <v>4046</v>
      </c>
      <c r="B899" s="14" t="s">
        <v>4046</v>
      </c>
      <c r="C899" s="14" t="str">
        <f>HYPERLINK("http://uswest.ensembl.org/Homo_sapiens/Gene/Summary?g=","-")</f>
        <v>-</v>
      </c>
      <c r="D899" s="14" t="s">
        <v>4047</v>
      </c>
      <c r="E899" s="14" t="str">
        <f>HYPERLINK("http://www.ncbi.nlm.nih.gov/sites/entrez?db=gene&amp;cmd=Retrieve&amp;dopt=full_report&amp;list_uids=7295","7295")</f>
        <v>7295</v>
      </c>
      <c r="F899" s="24" t="s">
        <v>4048</v>
      </c>
      <c r="G899" s="24" t="s">
        <v>4049</v>
      </c>
      <c r="H899" s="14" t="s">
        <v>4050</v>
      </c>
      <c r="I899" s="14" t="s">
        <v>8665</v>
      </c>
      <c r="J899" s="15" t="s">
        <v>5785</v>
      </c>
      <c r="K899" s="16">
        <v>3157.187762</v>
      </c>
      <c r="L899" s="17">
        <v>2163.2065899999998</v>
      </c>
      <c r="M899" s="18">
        <f t="shared" si="15"/>
        <v>0.68516881258581286</v>
      </c>
    </row>
    <row r="900" spans="1:13">
      <c r="A900" s="13" t="s">
        <v>4051</v>
      </c>
      <c r="B900" s="14" t="s">
        <v>4051</v>
      </c>
      <c r="C900" s="14" t="str">
        <f>HYPERLINK("http://uswest.ensembl.org/Homo_sapiens/Gene/Summary?g=ENSG00000101695","ENSG00000101695")</f>
        <v>ENSG00000101695</v>
      </c>
      <c r="D900" s="14" t="s">
        <v>4052</v>
      </c>
      <c r="E900" s="14" t="str">
        <f>HYPERLINK("http://www.ncbi.nlm.nih.gov/sites/entrez?db=gene&amp;cmd=Retrieve&amp;dopt=full_report&amp;list_uids=54941","54941")</f>
        <v>54941</v>
      </c>
      <c r="F900" s="24" t="s">
        <v>4062</v>
      </c>
      <c r="G900" s="24" t="s">
        <v>4135</v>
      </c>
      <c r="H900" s="14" t="s">
        <v>4067</v>
      </c>
      <c r="I900" s="14" t="s">
        <v>4021</v>
      </c>
      <c r="J900" s="15" t="s">
        <v>7515</v>
      </c>
      <c r="K900" s="16">
        <v>198.89507800000001</v>
      </c>
      <c r="L900" s="17">
        <v>136.27702500000001</v>
      </c>
      <c r="M900" s="18">
        <f t="shared" si="15"/>
        <v>0.68517042437822417</v>
      </c>
    </row>
    <row r="901" spans="1:13">
      <c r="A901" s="13" t="s">
        <v>4022</v>
      </c>
      <c r="B901" s="14" t="s">
        <v>4022</v>
      </c>
      <c r="C901" s="14" t="str">
        <f>HYPERLINK("http://uswest.ensembl.org/Homo_sapiens/Gene/Summary?g=ENSG00000105866","ENSG00000105866")</f>
        <v>ENSG00000105866</v>
      </c>
      <c r="D901" s="14" t="s">
        <v>4023</v>
      </c>
      <c r="E901" s="14" t="str">
        <f>HYPERLINK("http://www.ncbi.nlm.nih.gov/sites/entrez?db=gene&amp;cmd=Retrieve&amp;dopt=full_report&amp;list_uids=6671","6671")</f>
        <v>6671</v>
      </c>
      <c r="F901" s="24" t="s">
        <v>4024</v>
      </c>
      <c r="G901" s="24" t="s">
        <v>4025</v>
      </c>
      <c r="H901" s="14" t="s">
        <v>4026</v>
      </c>
      <c r="I901" s="14" t="s">
        <v>4027</v>
      </c>
      <c r="J901" s="15" t="s">
        <v>8622</v>
      </c>
      <c r="K901" s="16">
        <v>41.396082</v>
      </c>
      <c r="L901" s="17">
        <v>28.367218000000001</v>
      </c>
      <c r="M901" s="18">
        <f t="shared" si="15"/>
        <v>0.68526335415027928</v>
      </c>
    </row>
    <row r="902" spans="1:13">
      <c r="A902" s="13" t="s">
        <v>4029</v>
      </c>
      <c r="B902" s="14" t="s">
        <v>4029</v>
      </c>
      <c r="C902" s="14" t="str">
        <f>HYPERLINK("http://uswest.ensembl.org/Homo_sapiens/Gene/Summary?g=ENSG00000083814","ENSG00000083814")</f>
        <v>ENSG00000083814</v>
      </c>
      <c r="D902" s="14" t="s">
        <v>4030</v>
      </c>
      <c r="E902" s="14" t="str">
        <f>HYPERLINK("http://www.ncbi.nlm.nih.gov/sites/entrez?db=gene&amp;cmd=Retrieve&amp;dopt=full_report&amp;list_uids=79891","79891")</f>
        <v>79891</v>
      </c>
      <c r="F902" s="24" t="s">
        <v>4031</v>
      </c>
      <c r="G902" s="24" t="s">
        <v>4032</v>
      </c>
      <c r="H902" s="14" t="s">
        <v>8163</v>
      </c>
      <c r="I902" s="14" t="s">
        <v>8582</v>
      </c>
      <c r="J902" s="15" t="s">
        <v>8622</v>
      </c>
      <c r="K902" s="16">
        <v>39.839461</v>
      </c>
      <c r="L902" s="17">
        <v>27.303460000000001</v>
      </c>
      <c r="M902" s="18">
        <f t="shared" si="15"/>
        <v>0.6853370832501976</v>
      </c>
    </row>
    <row r="903" spans="1:13">
      <c r="A903" s="13" t="s">
        <v>3993</v>
      </c>
      <c r="B903" s="14" t="s">
        <v>3993</v>
      </c>
      <c r="C903" s="14" t="str">
        <f>HYPERLINK("http://uswest.ensembl.org/Homo_sapiens/Gene/Summary?g=ENSG00000142661","ENSG00000142661")</f>
        <v>ENSG00000142661</v>
      </c>
      <c r="D903" s="14" t="s">
        <v>3994</v>
      </c>
      <c r="E903" s="14" t="str">
        <f>HYPERLINK("http://www.ncbi.nlm.nih.gov/sites/entrez?db=gene&amp;cmd=Retrieve&amp;dopt=full_report&amp;list_uids=","-")</f>
        <v>-</v>
      </c>
      <c r="F903" s="24" t="s">
        <v>3995</v>
      </c>
      <c r="G903" s="24" t="s">
        <v>4015</v>
      </c>
      <c r="H903" s="14" t="s">
        <v>8728</v>
      </c>
      <c r="I903" s="14" t="s">
        <v>8684</v>
      </c>
      <c r="J903" s="15" t="s">
        <v>8728</v>
      </c>
      <c r="K903" s="16">
        <v>35.589657000000003</v>
      </c>
      <c r="L903" s="17">
        <v>24.400729999999999</v>
      </c>
      <c r="M903" s="18">
        <f t="shared" si="15"/>
        <v>0.68561295771971043</v>
      </c>
    </row>
    <row r="904" spans="1:13">
      <c r="A904" s="13" t="s">
        <v>4016</v>
      </c>
      <c r="B904" s="14" t="s">
        <v>4016</v>
      </c>
      <c r="C904" s="14" t="str">
        <f>HYPERLINK("http://uswest.ensembl.org/Homo_sapiens/Gene/Summary?g=ENSG00000163644","ENSG00000163644")</f>
        <v>ENSG00000163644</v>
      </c>
      <c r="D904" s="14" t="s">
        <v>4017</v>
      </c>
      <c r="E904" s="14" t="str">
        <f>HYPERLINK("http://www.ncbi.nlm.nih.gov/sites/entrez?db=gene&amp;cmd=Retrieve&amp;dopt=full_report&amp;list_uids=152926","152926")</f>
        <v>152926</v>
      </c>
      <c r="F904" s="24" t="s">
        <v>4018</v>
      </c>
      <c r="G904" s="25" t="s">
        <v>4019</v>
      </c>
      <c r="H904" s="14" t="s">
        <v>7487</v>
      </c>
      <c r="I904" s="14" t="s">
        <v>4000</v>
      </c>
      <c r="J904" s="15" t="s">
        <v>7488</v>
      </c>
      <c r="K904" s="16">
        <v>59.122323000000002</v>
      </c>
      <c r="L904" s="17">
        <v>40.536237999999997</v>
      </c>
      <c r="M904" s="18">
        <f t="shared" si="15"/>
        <v>0.68563337743004438</v>
      </c>
    </row>
    <row r="905" spans="1:13">
      <c r="A905" s="13" t="s">
        <v>4001</v>
      </c>
      <c r="B905" s="14" t="s">
        <v>4001</v>
      </c>
      <c r="C905" s="14" t="str">
        <f>HYPERLINK("http://uswest.ensembl.org/Homo_sapiens/Gene/Summary?g=ENSG00000178662","ENSG00000178662")</f>
        <v>ENSG00000178662</v>
      </c>
      <c r="D905" s="14" t="s">
        <v>4002</v>
      </c>
      <c r="E905" s="14" t="str">
        <f>HYPERLINK("http://www.ncbi.nlm.nih.gov/sites/entrez?db=gene&amp;cmd=Retrieve&amp;dopt=full_report&amp;list_uids=80034","80034")</f>
        <v>80034</v>
      </c>
      <c r="F905" s="24" t="s">
        <v>4003</v>
      </c>
      <c r="G905" s="24" t="s">
        <v>4004</v>
      </c>
      <c r="H905" s="14" t="s">
        <v>4063</v>
      </c>
      <c r="I905" s="14" t="s">
        <v>7987</v>
      </c>
      <c r="J905" s="15" t="s">
        <v>8558</v>
      </c>
      <c r="K905" s="16">
        <v>216.08184499999999</v>
      </c>
      <c r="L905" s="17">
        <v>148.15552199999999</v>
      </c>
      <c r="M905" s="18">
        <f t="shared" si="15"/>
        <v>0.68564539515108269</v>
      </c>
    </row>
    <row r="906" spans="1:13">
      <c r="A906" s="13" t="s">
        <v>3982</v>
      </c>
      <c r="B906" s="14" t="s">
        <v>3982</v>
      </c>
      <c r="C906" s="14" t="str">
        <f>HYPERLINK("http://uswest.ensembl.org/Homo_sapiens/Gene/Summary?g=","-")</f>
        <v>-</v>
      </c>
      <c r="D906" s="14" t="s">
        <v>3983</v>
      </c>
      <c r="E906" s="14" t="str">
        <f>HYPERLINK("http://www.ncbi.nlm.nih.gov/sites/entrez?db=gene&amp;cmd=Retrieve&amp;dopt=full_report&amp;list_uids=55049","55049")</f>
        <v>55049</v>
      </c>
      <c r="F906" s="24" t="s">
        <v>3984</v>
      </c>
      <c r="G906" s="24" t="s">
        <v>3985</v>
      </c>
      <c r="H906" s="14" t="s">
        <v>8728</v>
      </c>
      <c r="I906" s="14" t="s">
        <v>8728</v>
      </c>
      <c r="J906" s="15" t="s">
        <v>8728</v>
      </c>
      <c r="K906" s="16">
        <v>311.187591</v>
      </c>
      <c r="L906" s="17">
        <v>213.38205199999999</v>
      </c>
      <c r="M906" s="18">
        <f t="shared" si="15"/>
        <v>0.68570231645258628</v>
      </c>
    </row>
    <row r="907" spans="1:13">
      <c r="A907" s="13" t="s">
        <v>4064</v>
      </c>
      <c r="B907" s="14" t="s">
        <v>4064</v>
      </c>
      <c r="C907" s="14" t="str">
        <f>HYPERLINK("http://uswest.ensembl.org/Homo_sapiens/Gene/Summary?g=ENSG00000161677","ENSG00000161677")</f>
        <v>ENSG00000161677</v>
      </c>
      <c r="D907" s="14" t="s">
        <v>4065</v>
      </c>
      <c r="E907" s="14" t="str">
        <f>HYPERLINK("http://www.ncbi.nlm.nih.gov/sites/entrez?db=gene&amp;cmd=Retrieve&amp;dopt=full_report&amp;list_uids=126119","126119")</f>
        <v>126119</v>
      </c>
      <c r="F907" s="24" t="s">
        <v>4066</v>
      </c>
      <c r="G907" s="24" t="s">
        <v>4010</v>
      </c>
      <c r="H907" s="14" t="s">
        <v>8728</v>
      </c>
      <c r="I907" s="14" t="s">
        <v>8728</v>
      </c>
      <c r="J907" s="15" t="s">
        <v>8728</v>
      </c>
      <c r="K907" s="16">
        <v>72.996561</v>
      </c>
      <c r="L907" s="17">
        <v>50.064210000000003</v>
      </c>
      <c r="M907" s="18">
        <f t="shared" si="15"/>
        <v>0.68584340569139968</v>
      </c>
    </row>
    <row r="908" spans="1:13">
      <c r="A908" s="13" t="s">
        <v>4039</v>
      </c>
      <c r="B908" s="14" t="s">
        <v>4039</v>
      </c>
      <c r="C908" s="14" t="str">
        <f>HYPERLINK("http://uswest.ensembl.org/Homo_sapiens/Gene/Summary?g=ENSG00000182824","ENSG00000182824")</f>
        <v>ENSG00000182824</v>
      </c>
      <c r="D908" s="14" t="s">
        <v>8728</v>
      </c>
      <c r="E908" s="14" t="str">
        <f>HYPERLINK("http://www.ncbi.nlm.nih.gov/sites/entrez?db=gene&amp;cmd=Retrieve&amp;dopt=full_report&amp;list_uids=729461","729461")</f>
        <v>729461</v>
      </c>
      <c r="F908" s="24" t="s">
        <v>4040</v>
      </c>
      <c r="G908" s="24" t="s">
        <v>4041</v>
      </c>
      <c r="H908" s="14" t="s">
        <v>8728</v>
      </c>
      <c r="I908" s="14" t="s">
        <v>8728</v>
      </c>
      <c r="J908" s="15" t="s">
        <v>8728</v>
      </c>
      <c r="K908" s="16">
        <v>67.096509999999995</v>
      </c>
      <c r="L908" s="17">
        <v>46.043145000000003</v>
      </c>
      <c r="M908" s="18">
        <f t="shared" si="15"/>
        <v>0.68622265152092121</v>
      </c>
    </row>
    <row r="909" spans="1:13">
      <c r="A909" s="13" t="s">
        <v>3968</v>
      </c>
      <c r="B909" s="14" t="s">
        <v>3968</v>
      </c>
      <c r="C909" s="14" t="str">
        <f>HYPERLINK("http://uswest.ensembl.org/Homo_sapiens/Gene/Summary?g=ENSG00000100030","ENSG00000100030")</f>
        <v>ENSG00000100030</v>
      </c>
      <c r="D909" s="14" t="s">
        <v>3969</v>
      </c>
      <c r="E909" s="14" t="str">
        <f>HYPERLINK("http://www.ncbi.nlm.nih.gov/sites/entrez?db=gene&amp;cmd=Retrieve&amp;dopt=full_report&amp;list_uids=5594","5594")</f>
        <v>5594</v>
      </c>
      <c r="F909" s="24" t="s">
        <v>3970</v>
      </c>
      <c r="G909" s="24" t="s">
        <v>3971</v>
      </c>
      <c r="H909" s="19" t="s">
        <v>3996</v>
      </c>
      <c r="I909" s="19" t="s">
        <v>3997</v>
      </c>
      <c r="J909" s="15" t="s">
        <v>4020</v>
      </c>
      <c r="K909" s="16">
        <v>173.497938</v>
      </c>
      <c r="L909" s="17">
        <v>119.08743699999999</v>
      </c>
      <c r="M909" s="18">
        <f t="shared" si="15"/>
        <v>0.68639107976026781</v>
      </c>
    </row>
    <row r="910" spans="1:13">
      <c r="A910" s="13" t="s">
        <v>3957</v>
      </c>
      <c r="B910" s="14" t="s">
        <v>3957</v>
      </c>
      <c r="C910" s="14" t="str">
        <f>HYPERLINK("http://uswest.ensembl.org/Homo_sapiens/Gene/Summary?g=ENSG00000140939","ENSG00000140939")</f>
        <v>ENSG00000140939</v>
      </c>
      <c r="D910" s="14" t="s">
        <v>3958</v>
      </c>
      <c r="E910" s="14" t="str">
        <f>HYPERLINK("http://www.ncbi.nlm.nih.gov/sites/entrez?db=gene&amp;cmd=Retrieve&amp;dopt=full_report&amp;list_uids=8996","8996")</f>
        <v>8996</v>
      </c>
      <c r="F910" s="24" t="s">
        <v>3959</v>
      </c>
      <c r="G910" s="24" t="s">
        <v>3960</v>
      </c>
      <c r="H910" s="14" t="s">
        <v>3961</v>
      </c>
      <c r="I910" s="14" t="s">
        <v>8665</v>
      </c>
      <c r="J910" s="15" t="s">
        <v>8707</v>
      </c>
      <c r="K910" s="16">
        <v>31.434816999999999</v>
      </c>
      <c r="L910" s="17">
        <v>21.578088000000001</v>
      </c>
      <c r="M910" s="18">
        <f t="shared" si="15"/>
        <v>0.68643911621944553</v>
      </c>
    </row>
    <row r="911" spans="1:13">
      <c r="A911" s="13" t="s">
        <v>3986</v>
      </c>
      <c r="B911" s="14" t="s">
        <v>3986</v>
      </c>
      <c r="C911" s="14" t="str">
        <f>HYPERLINK("http://uswest.ensembl.org/Homo_sapiens/Gene/Summary?g=ENSG00000217645","ENSG00000217645")</f>
        <v>ENSG00000217645</v>
      </c>
      <c r="D911" s="14" t="s">
        <v>8728</v>
      </c>
      <c r="E911" s="14" t="str">
        <f>HYPERLINK("http://www.ncbi.nlm.nih.gov/sites/entrez?db=gene&amp;cmd=Retrieve&amp;dopt=full_report&amp;list_uids=","-")</f>
        <v>-</v>
      </c>
      <c r="F911" s="24" t="s">
        <v>3987</v>
      </c>
      <c r="G911" s="24" t="s">
        <v>8728</v>
      </c>
      <c r="H911" s="14" t="s">
        <v>8728</v>
      </c>
      <c r="I911" s="14" t="s">
        <v>8728</v>
      </c>
      <c r="J911" s="15" t="s">
        <v>8728</v>
      </c>
      <c r="K911" s="16">
        <v>124.295638</v>
      </c>
      <c r="L911" s="17">
        <v>85.331450000000004</v>
      </c>
      <c r="M911" s="18">
        <f t="shared" si="15"/>
        <v>0.68652006919180875</v>
      </c>
    </row>
    <row r="912" spans="1:13">
      <c r="A912" s="13" t="s">
        <v>3988</v>
      </c>
      <c r="B912" s="14" t="s">
        <v>3988</v>
      </c>
      <c r="C912" s="14" t="str">
        <f>HYPERLINK("http://uswest.ensembl.org/Homo_sapiens/Gene/Summary?g=","-")</f>
        <v>-</v>
      </c>
      <c r="D912" s="14" t="s">
        <v>3989</v>
      </c>
      <c r="E912" s="14" t="str">
        <f>HYPERLINK("http://www.ncbi.nlm.nih.gov/sites/entrez?db=gene&amp;cmd=Retrieve&amp;dopt=full_report&amp;list_uids=54872","54872")</f>
        <v>54872</v>
      </c>
      <c r="F912" s="24" t="s">
        <v>3990</v>
      </c>
      <c r="G912" s="24" t="s">
        <v>3991</v>
      </c>
      <c r="H912" s="14" t="s">
        <v>3992</v>
      </c>
      <c r="I912" s="14" t="s">
        <v>4817</v>
      </c>
      <c r="J912" s="15" t="s">
        <v>8728</v>
      </c>
      <c r="K912" s="16">
        <v>64.866587999999993</v>
      </c>
      <c r="L912" s="17">
        <v>44.535068000000003</v>
      </c>
      <c r="M912" s="18">
        <f t="shared" si="15"/>
        <v>0.68656405975908597</v>
      </c>
    </row>
    <row r="913" spans="1:13">
      <c r="A913" s="13" t="s">
        <v>4011</v>
      </c>
      <c r="B913" s="14" t="s">
        <v>4011</v>
      </c>
      <c r="C913" s="14" t="str">
        <f>HYPERLINK("http://uswest.ensembl.org/Homo_sapiens/Gene/Summary?g=","-")</f>
        <v>-</v>
      </c>
      <c r="D913" s="14" t="s">
        <v>4012</v>
      </c>
      <c r="E913" s="14" t="str">
        <f>HYPERLINK("http://www.ncbi.nlm.nih.gov/sites/entrez?db=gene&amp;cmd=Retrieve&amp;dopt=full_report&amp;list_uids=6655","6655")</f>
        <v>6655</v>
      </c>
      <c r="F913" s="24" t="s">
        <v>4013</v>
      </c>
      <c r="G913" s="24" t="s">
        <v>4038</v>
      </c>
      <c r="H913" s="19" t="s">
        <v>3967</v>
      </c>
      <c r="I913" s="19" t="s">
        <v>3932</v>
      </c>
      <c r="J913" s="15" t="s">
        <v>3933</v>
      </c>
      <c r="K913" s="16">
        <v>116.76483899999999</v>
      </c>
      <c r="L913" s="17">
        <v>80.179716999999997</v>
      </c>
      <c r="M913" s="18">
        <f t="shared" si="15"/>
        <v>0.68667689423183298</v>
      </c>
    </row>
    <row r="914" spans="1:13">
      <c r="A914" s="13" t="s">
        <v>3972</v>
      </c>
      <c r="B914" s="14" t="s">
        <v>3972</v>
      </c>
      <c r="C914" s="14" t="str">
        <f>HYPERLINK("http://uswest.ensembl.org/Homo_sapiens/Gene/Summary?g=ENSG00000164919","ENSG00000164919")</f>
        <v>ENSG00000164919</v>
      </c>
      <c r="D914" s="14" t="s">
        <v>8728</v>
      </c>
      <c r="E914" s="14" t="str">
        <f>HYPERLINK("http://www.ncbi.nlm.nih.gov/sites/entrez?db=gene&amp;cmd=Retrieve&amp;dopt=full_report&amp;list_uids=1345","1345")</f>
        <v>1345</v>
      </c>
      <c r="F914" s="24" t="s">
        <v>3973</v>
      </c>
      <c r="G914" s="24" t="s">
        <v>3974</v>
      </c>
      <c r="H914" s="14" t="s">
        <v>4498</v>
      </c>
      <c r="I914" s="14" t="s">
        <v>7546</v>
      </c>
      <c r="J914" s="15" t="s">
        <v>8296</v>
      </c>
      <c r="K914" s="16">
        <v>1668.2699259999999</v>
      </c>
      <c r="L914" s="17">
        <v>1145.589244</v>
      </c>
      <c r="M914" s="18">
        <f t="shared" si="15"/>
        <v>0.68669297824409747</v>
      </c>
    </row>
    <row r="915" spans="1:13">
      <c r="A915" s="13" t="s">
        <v>3975</v>
      </c>
      <c r="B915" s="14" t="s">
        <v>3975</v>
      </c>
      <c r="C915" s="14" t="str">
        <f>HYPERLINK("http://uswest.ensembl.org/Homo_sapiens/Gene/Summary?g=ENSG00000166128","ENSG00000166128")</f>
        <v>ENSG00000166128</v>
      </c>
      <c r="D915" s="14" t="s">
        <v>3976</v>
      </c>
      <c r="E915" s="14" t="str">
        <f>HYPERLINK("http://www.ncbi.nlm.nih.gov/sites/entrez?db=gene&amp;cmd=Retrieve&amp;dopt=full_report&amp;list_uids=51762","51762")</f>
        <v>51762</v>
      </c>
      <c r="F915" s="24" t="s">
        <v>3977</v>
      </c>
      <c r="G915" s="24" t="s">
        <v>3978</v>
      </c>
      <c r="H915" s="14" t="s">
        <v>7554</v>
      </c>
      <c r="I915" s="14" t="s">
        <v>8256</v>
      </c>
      <c r="J915" s="15" t="s">
        <v>3998</v>
      </c>
      <c r="K915" s="16">
        <v>107.071212</v>
      </c>
      <c r="L915" s="17">
        <v>73.526007000000007</v>
      </c>
      <c r="M915" s="18">
        <f t="shared" si="15"/>
        <v>0.68670192133437324</v>
      </c>
    </row>
    <row r="916" spans="1:13">
      <c r="A916" s="13" t="s">
        <v>3999</v>
      </c>
      <c r="B916" s="14" t="s">
        <v>3999</v>
      </c>
      <c r="C916" s="14" t="str">
        <f>HYPERLINK("http://uswest.ensembl.org/Homo_sapiens/Gene/Summary?g=ENSG00000187609","ENSG00000187609")</f>
        <v>ENSG00000187609</v>
      </c>
      <c r="D916" s="14" t="s">
        <v>8728</v>
      </c>
      <c r="E916" s="14" t="str">
        <f>HYPERLINK("http://www.ncbi.nlm.nih.gov/sites/entrez?db=gene&amp;cmd=Retrieve&amp;dopt=full_report&amp;list_uids=54932","54932")</f>
        <v>54932</v>
      </c>
      <c r="F916" s="24" t="s">
        <v>3979</v>
      </c>
      <c r="G916" s="24" t="s">
        <v>3980</v>
      </c>
      <c r="H916" s="14" t="s">
        <v>4511</v>
      </c>
      <c r="I916" s="14" t="s">
        <v>3981</v>
      </c>
      <c r="J916" s="15" t="s">
        <v>8707</v>
      </c>
      <c r="K916" s="16">
        <v>74.897565</v>
      </c>
      <c r="L916" s="17">
        <v>51.433926999999997</v>
      </c>
      <c r="M916" s="18">
        <f t="shared" si="15"/>
        <v>0.68672362045414959</v>
      </c>
    </row>
    <row r="917" spans="1:13">
      <c r="A917" s="13" t="s">
        <v>3949</v>
      </c>
      <c r="B917" s="14" t="s">
        <v>3949</v>
      </c>
      <c r="C917" s="14" t="str">
        <f>HYPERLINK("http://uswest.ensembl.org/Homo_sapiens/Gene/Summary?g=ENSG00000152102","ENSG00000152102")</f>
        <v>ENSG00000152102</v>
      </c>
      <c r="D917" s="14" t="s">
        <v>3950</v>
      </c>
      <c r="E917" s="14" t="str">
        <f>HYPERLINK("http://www.ncbi.nlm.nih.gov/sites/entrez?db=gene&amp;cmd=Retrieve&amp;dopt=full_report&amp;list_uids=130074","130074")</f>
        <v>130074</v>
      </c>
      <c r="F917" s="24" t="s">
        <v>3951</v>
      </c>
      <c r="G917" s="24" t="s">
        <v>3952</v>
      </c>
      <c r="H917" s="14" t="s">
        <v>8728</v>
      </c>
      <c r="I917" s="14" t="s">
        <v>8728</v>
      </c>
      <c r="J917" s="15" t="s">
        <v>8728</v>
      </c>
      <c r="K917" s="16">
        <v>35.329630999999999</v>
      </c>
      <c r="L917" s="17">
        <v>24.265115999999999</v>
      </c>
      <c r="M917" s="18">
        <f t="shared" si="15"/>
        <v>0.68682053316662151</v>
      </c>
    </row>
    <row r="918" spans="1:13">
      <c r="A918" s="13" t="s">
        <v>3953</v>
      </c>
      <c r="B918" s="14" t="s">
        <v>3953</v>
      </c>
      <c r="C918" s="14" t="str">
        <f>HYPERLINK("http://uswest.ensembl.org/Homo_sapiens/Gene/Summary?g=ENSG00000149792","ENSG00000149792")</f>
        <v>ENSG00000149792</v>
      </c>
      <c r="D918" s="14" t="s">
        <v>3954</v>
      </c>
      <c r="E918" s="14" t="str">
        <f>HYPERLINK("http://www.ncbi.nlm.nih.gov/sites/entrez?db=gene&amp;cmd=Retrieve&amp;dopt=full_report&amp;list_uids=740","740")</f>
        <v>740</v>
      </c>
      <c r="F918" s="24" t="s">
        <v>3955</v>
      </c>
      <c r="G918" s="24" t="s">
        <v>3956</v>
      </c>
      <c r="H918" s="14" t="s">
        <v>7806</v>
      </c>
      <c r="I918" s="14" t="s">
        <v>3910</v>
      </c>
      <c r="J918" s="15" t="s">
        <v>3911</v>
      </c>
      <c r="K918" s="16">
        <v>122.20028499999999</v>
      </c>
      <c r="L918" s="17">
        <v>83.939201999999995</v>
      </c>
      <c r="M918" s="18">
        <f t="shared" si="15"/>
        <v>0.68689857801886467</v>
      </c>
    </row>
    <row r="919" spans="1:13">
      <c r="A919" s="13" t="s">
        <v>3912</v>
      </c>
      <c r="B919" s="14" t="s">
        <v>3912</v>
      </c>
      <c r="C919" s="14" t="str">
        <f>HYPERLINK("http://uswest.ensembl.org/Homo_sapiens/Gene/Summary?g=ENSG00000138756","ENSG00000138756")</f>
        <v>ENSG00000138756</v>
      </c>
      <c r="D919" s="14" t="s">
        <v>3913</v>
      </c>
      <c r="E919" s="14" t="str">
        <f>HYPERLINK("http://www.ncbi.nlm.nih.gov/sites/entrez?db=gene&amp;cmd=Retrieve&amp;dopt=full_report&amp;list_uids=","-")</f>
        <v>-</v>
      </c>
      <c r="F919" s="24" t="s">
        <v>3914</v>
      </c>
      <c r="G919" s="24" t="s">
        <v>3915</v>
      </c>
      <c r="H919" s="14" t="s">
        <v>8656</v>
      </c>
      <c r="I919" s="14" t="s">
        <v>8504</v>
      </c>
      <c r="J919" s="15" t="s">
        <v>8728</v>
      </c>
      <c r="K919" s="16">
        <v>146.51541700000001</v>
      </c>
      <c r="L919" s="17">
        <v>100.658143</v>
      </c>
      <c r="M919" s="18">
        <f t="shared" si="15"/>
        <v>0.68701400208279784</v>
      </c>
    </row>
    <row r="920" spans="1:13">
      <c r="A920" s="13" t="s">
        <v>3962</v>
      </c>
      <c r="B920" s="14" t="s">
        <v>3962</v>
      </c>
      <c r="C920" s="14" t="str">
        <f>HYPERLINK("http://uswest.ensembl.org/Homo_sapiens/Gene/Summary?g=","-")</f>
        <v>-</v>
      </c>
      <c r="D920" s="14" t="s">
        <v>3963</v>
      </c>
      <c r="E920" s="14" t="str">
        <f>HYPERLINK("http://www.ncbi.nlm.nih.gov/sites/entrez?db=gene&amp;cmd=Retrieve&amp;dopt=full_report&amp;list_uids=50619","50619")</f>
        <v>50619</v>
      </c>
      <c r="F920" s="24" t="s">
        <v>3964</v>
      </c>
      <c r="G920" s="24" t="s">
        <v>3965</v>
      </c>
      <c r="H920" s="14" t="s">
        <v>7573</v>
      </c>
      <c r="I920" s="14" t="s">
        <v>4005</v>
      </c>
      <c r="J920" s="15" t="s">
        <v>4006</v>
      </c>
      <c r="K920" s="16">
        <v>116.123666</v>
      </c>
      <c r="L920" s="17">
        <v>79.793149999999997</v>
      </c>
      <c r="M920" s="18">
        <f t="shared" si="15"/>
        <v>0.68713943288700507</v>
      </c>
    </row>
    <row r="921" spans="1:13">
      <c r="A921" s="13" t="s">
        <v>4007</v>
      </c>
      <c r="B921" s="14" t="s">
        <v>4007</v>
      </c>
      <c r="C921" s="14" t="str">
        <f>HYPERLINK("http://uswest.ensembl.org/Homo_sapiens/Gene/Summary?g=ENSG00000103150","ENSG00000103150")</f>
        <v>ENSG00000103150</v>
      </c>
      <c r="D921" s="14" t="s">
        <v>4008</v>
      </c>
      <c r="E921" s="14" t="str">
        <f>HYPERLINK("http://www.ncbi.nlm.nih.gov/sites/entrez?db=gene&amp;cmd=Retrieve&amp;dopt=full_report&amp;list_uids=23417","23417")</f>
        <v>23417</v>
      </c>
      <c r="F921" s="24" t="s">
        <v>4009</v>
      </c>
      <c r="G921" s="24" t="s">
        <v>4037</v>
      </c>
      <c r="H921" s="19" t="s">
        <v>3966</v>
      </c>
      <c r="I921" s="14" t="s">
        <v>3927</v>
      </c>
      <c r="J921" s="15" t="s">
        <v>3928</v>
      </c>
      <c r="K921" s="16">
        <v>54.431677000000001</v>
      </c>
      <c r="L921" s="17">
        <v>37.403320999999998</v>
      </c>
      <c r="M921" s="18">
        <f t="shared" si="15"/>
        <v>0.68716091550881298</v>
      </c>
    </row>
    <row r="922" spans="1:13">
      <c r="A922" s="13" t="s">
        <v>3929</v>
      </c>
      <c r="B922" s="14" t="s">
        <v>3929</v>
      </c>
      <c r="C922" s="14" t="str">
        <f>HYPERLINK("http://uswest.ensembl.org/Homo_sapiens/Gene/Summary?g=ENSG00000126821","ENSG00000126821")</f>
        <v>ENSG00000126821</v>
      </c>
      <c r="D922" s="14" t="s">
        <v>3930</v>
      </c>
      <c r="E922" s="14" t="str">
        <f>HYPERLINK("http://www.ncbi.nlm.nih.gov/sites/entrez?db=gene&amp;cmd=Retrieve&amp;dopt=full_report&amp;list_uids=81537","81537")</f>
        <v>81537</v>
      </c>
      <c r="F922" s="24" t="s">
        <v>3931</v>
      </c>
      <c r="G922" s="24" t="s">
        <v>3887</v>
      </c>
      <c r="H922" s="14" t="s">
        <v>3888</v>
      </c>
      <c r="I922" s="14" t="s">
        <v>3889</v>
      </c>
      <c r="J922" s="15" t="s">
        <v>5925</v>
      </c>
      <c r="K922" s="16">
        <v>89.720288999999994</v>
      </c>
      <c r="L922" s="17">
        <v>61.653967000000002</v>
      </c>
      <c r="M922" s="18">
        <f t="shared" si="15"/>
        <v>0.68717976376558487</v>
      </c>
    </row>
    <row r="923" spans="1:13">
      <c r="A923" s="13" t="s">
        <v>3890</v>
      </c>
      <c r="B923" s="14" t="s">
        <v>3890</v>
      </c>
      <c r="C923" s="14" t="str">
        <f>HYPERLINK("http://uswest.ensembl.org/Homo_sapiens/Gene/Summary?g=ENSG00000164902","ENSG00000164902")</f>
        <v>ENSG00000164902</v>
      </c>
      <c r="D923" s="14" t="s">
        <v>3891</v>
      </c>
      <c r="E923" s="14" t="str">
        <f>HYPERLINK("http://www.ncbi.nlm.nih.gov/sites/entrez?db=gene&amp;cmd=Retrieve&amp;dopt=full_report&amp;list_uids=51808","51808")</f>
        <v>51808</v>
      </c>
      <c r="F923" s="24" t="s">
        <v>3892</v>
      </c>
      <c r="G923" s="24" t="s">
        <v>3934</v>
      </c>
      <c r="H923" s="14" t="s">
        <v>3935</v>
      </c>
      <c r="I923" s="14" t="s">
        <v>3936</v>
      </c>
      <c r="J923" s="15" t="s">
        <v>3937</v>
      </c>
      <c r="K923" s="16">
        <v>110.63979999999999</v>
      </c>
      <c r="L923" s="17">
        <v>76.037818999999999</v>
      </c>
      <c r="M923" s="18">
        <f t="shared" si="15"/>
        <v>0.68725557168396911</v>
      </c>
    </row>
    <row r="924" spans="1:13">
      <c r="A924" s="13" t="s">
        <v>3938</v>
      </c>
      <c r="B924" s="14" t="s">
        <v>3938</v>
      </c>
      <c r="C924" s="14" t="str">
        <f>HYPERLINK("http://uswest.ensembl.org/Homo_sapiens/Gene/Summary?g=ENSG00000144214","ENSG00000144214")</f>
        <v>ENSG00000144214</v>
      </c>
      <c r="D924" s="14" t="s">
        <v>3939</v>
      </c>
      <c r="E924" s="14" t="str">
        <f>HYPERLINK("http://www.ncbi.nlm.nih.gov/sites/entrez?db=gene&amp;cmd=Retrieve&amp;dopt=full_report&amp;list_uids=129530","129530")</f>
        <v>129530</v>
      </c>
      <c r="F924" s="24" t="s">
        <v>3940</v>
      </c>
      <c r="G924" s="24" t="s">
        <v>3941</v>
      </c>
      <c r="H924" s="14" t="s">
        <v>3942</v>
      </c>
      <c r="I924" s="14" t="s">
        <v>3943</v>
      </c>
      <c r="J924" s="15" t="s">
        <v>8731</v>
      </c>
      <c r="K924" s="16">
        <v>40.020353</v>
      </c>
      <c r="L924" s="17">
        <v>27.505016999999999</v>
      </c>
      <c r="M924" s="18">
        <f t="shared" si="15"/>
        <v>0.68727572193078856</v>
      </c>
    </row>
    <row r="925" spans="1:13">
      <c r="A925" s="13" t="s">
        <v>3946</v>
      </c>
      <c r="B925" s="14" t="s">
        <v>3946</v>
      </c>
      <c r="C925" s="14" t="str">
        <f>HYPERLINK("http://uswest.ensembl.org/Homo_sapiens/Gene/Summary?g=ENSG00000134291","ENSG00000134291")</f>
        <v>ENSG00000134291</v>
      </c>
      <c r="D925" s="14" t="s">
        <v>3947</v>
      </c>
      <c r="E925" s="14" t="str">
        <f>HYPERLINK("http://www.ncbi.nlm.nih.gov/sites/entrez?db=gene&amp;cmd=Retrieve&amp;dopt=full_report&amp;list_uids=79022","79022")</f>
        <v>79022</v>
      </c>
      <c r="F925" s="24" t="s">
        <v>3948</v>
      </c>
      <c r="G925" s="24" t="s">
        <v>3905</v>
      </c>
      <c r="H925" s="14" t="s">
        <v>8728</v>
      </c>
      <c r="I925" s="14" t="s">
        <v>8728</v>
      </c>
      <c r="J925" s="15" t="s">
        <v>8579</v>
      </c>
      <c r="K925" s="16">
        <v>269.53992399999998</v>
      </c>
      <c r="L925" s="17">
        <v>185.302087</v>
      </c>
      <c r="M925" s="18">
        <f t="shared" si="15"/>
        <v>0.68747547394871278</v>
      </c>
    </row>
    <row r="926" spans="1:13">
      <c r="A926" s="13" t="s">
        <v>3906</v>
      </c>
      <c r="B926" s="14" t="s">
        <v>3906</v>
      </c>
      <c r="C926" s="14" t="str">
        <f>HYPERLINK("http://uswest.ensembl.org/Homo_sapiens/Gene/Summary?g=","-")</f>
        <v>-</v>
      </c>
      <c r="D926" s="14" t="s">
        <v>3907</v>
      </c>
      <c r="E926" s="14" t="str">
        <f>HYPERLINK("http://www.ncbi.nlm.nih.gov/sites/entrez?db=gene&amp;cmd=Retrieve&amp;dopt=full_report&amp;list_uids=7186","7186")</f>
        <v>7186</v>
      </c>
      <c r="F926" s="24" t="s">
        <v>3908</v>
      </c>
      <c r="G926" s="24" t="s">
        <v>3909</v>
      </c>
      <c r="H926" s="19" t="s">
        <v>3880</v>
      </c>
      <c r="I926" s="14" t="s">
        <v>3881</v>
      </c>
      <c r="J926" s="15" t="s">
        <v>8702</v>
      </c>
      <c r="K926" s="16">
        <v>43.358437000000002</v>
      </c>
      <c r="L926" s="17">
        <v>29.808698</v>
      </c>
      <c r="M926" s="18">
        <f t="shared" si="15"/>
        <v>0.68749475448111741</v>
      </c>
    </row>
    <row r="927" spans="1:13">
      <c r="A927" s="13" t="s">
        <v>3916</v>
      </c>
      <c r="B927" s="14" t="s">
        <v>3916</v>
      </c>
      <c r="C927" s="14" t="str">
        <f>HYPERLINK("http://uswest.ensembl.org/Homo_sapiens/Gene/Summary?g=","-")</f>
        <v>-</v>
      </c>
      <c r="D927" s="14" t="s">
        <v>3917</v>
      </c>
      <c r="E927" s="14" t="str">
        <f>HYPERLINK("http://www.ncbi.nlm.nih.gov/sites/entrez?db=gene&amp;cmd=Retrieve&amp;dopt=full_report&amp;list_uids=83786","83786")</f>
        <v>83786</v>
      </c>
      <c r="F927" s="24" t="s">
        <v>3918</v>
      </c>
      <c r="G927" s="24" t="s">
        <v>3919</v>
      </c>
      <c r="H927" s="14" t="s">
        <v>8728</v>
      </c>
      <c r="I927" s="14" t="s">
        <v>8383</v>
      </c>
      <c r="J927" s="15" t="s">
        <v>3920</v>
      </c>
      <c r="K927" s="16">
        <v>344.26713999999998</v>
      </c>
      <c r="L927" s="17">
        <v>236.72661099999999</v>
      </c>
      <c r="M927" s="18">
        <f t="shared" si="15"/>
        <v>0.68762476430367414</v>
      </c>
    </row>
    <row r="928" spans="1:13">
      <c r="A928" s="13" t="s">
        <v>3921</v>
      </c>
      <c r="B928" s="14" t="s">
        <v>3921</v>
      </c>
      <c r="C928" s="14" t="str">
        <f>HYPERLINK("http://uswest.ensembl.org/Homo_sapiens/Gene/Summary?g=ENSG00000162613","ENSG00000162613")</f>
        <v>ENSG00000162613</v>
      </c>
      <c r="D928" s="14" t="s">
        <v>3922</v>
      </c>
      <c r="E928" s="14" t="str">
        <f>HYPERLINK("http://www.ncbi.nlm.nih.gov/sites/entrez?db=gene&amp;cmd=Retrieve&amp;dopt=full_report&amp;list_uids=","-")</f>
        <v>-</v>
      </c>
      <c r="F928" s="24" t="s">
        <v>3923</v>
      </c>
      <c r="G928" s="24" t="s">
        <v>3924</v>
      </c>
      <c r="H928" s="14" t="s">
        <v>8728</v>
      </c>
      <c r="I928" s="14" t="s">
        <v>4680</v>
      </c>
      <c r="J928" s="15" t="s">
        <v>8558</v>
      </c>
      <c r="K928" s="16">
        <v>258.480591</v>
      </c>
      <c r="L928" s="17">
        <v>177.741277</v>
      </c>
      <c r="M928" s="18">
        <f t="shared" si="15"/>
        <v>0.68763877516822913</v>
      </c>
    </row>
    <row r="929" spans="1:13">
      <c r="A929" s="13" t="s">
        <v>3925</v>
      </c>
      <c r="B929" s="14" t="s">
        <v>3925</v>
      </c>
      <c r="C929" s="14" t="str">
        <f>HYPERLINK("http://uswest.ensembl.org/Homo_sapiens/Gene/Summary?g=ENSG00000153113","ENSG00000153113")</f>
        <v>ENSG00000153113</v>
      </c>
      <c r="D929" s="14" t="s">
        <v>3926</v>
      </c>
      <c r="E929" s="14" t="str">
        <f>HYPERLINK("http://www.ncbi.nlm.nih.gov/sites/entrez?db=gene&amp;cmd=Retrieve&amp;dopt=full_report&amp;list_uids=","-")</f>
        <v>-</v>
      </c>
      <c r="F929" s="24" t="s">
        <v>3884</v>
      </c>
      <c r="G929" s="24" t="s">
        <v>3885</v>
      </c>
      <c r="H929" s="14" t="s">
        <v>8728</v>
      </c>
      <c r="I929" s="14" t="s">
        <v>3886</v>
      </c>
      <c r="J929" s="15" t="s">
        <v>8728</v>
      </c>
      <c r="K929" s="16">
        <v>80.762799999999999</v>
      </c>
      <c r="L929" s="17">
        <v>55.550711</v>
      </c>
      <c r="M929" s="18">
        <f t="shared" si="15"/>
        <v>0.68782547162802676</v>
      </c>
    </row>
    <row r="930" spans="1:13">
      <c r="A930" s="13" t="s">
        <v>3865</v>
      </c>
      <c r="B930" s="14" t="s">
        <v>3865</v>
      </c>
      <c r="C930" s="14" t="str">
        <f>HYPERLINK("http://uswest.ensembl.org/Homo_sapiens/Gene/Summary?g=ENSG00000174450","ENSG00000174450")</f>
        <v>ENSG00000174450</v>
      </c>
      <c r="D930" s="14" t="s">
        <v>8728</v>
      </c>
      <c r="E930" s="14" t="str">
        <f>HYPERLINK("http://www.ncbi.nlm.nih.gov/sites/entrez?db=gene&amp;cmd=Retrieve&amp;dopt=full_report&amp;list_uids=","-")</f>
        <v>-</v>
      </c>
      <c r="F930" s="24" t="s">
        <v>3866</v>
      </c>
      <c r="G930" s="24" t="s">
        <v>3867</v>
      </c>
      <c r="H930" s="14" t="s">
        <v>8728</v>
      </c>
      <c r="I930" s="14" t="s">
        <v>8728</v>
      </c>
      <c r="J930" s="15" t="s">
        <v>8728</v>
      </c>
      <c r="K930" s="16">
        <v>206.2919</v>
      </c>
      <c r="L930" s="17">
        <v>141.899303</v>
      </c>
      <c r="M930" s="18">
        <f t="shared" si="15"/>
        <v>0.68785688143838908</v>
      </c>
    </row>
    <row r="931" spans="1:13">
      <c r="A931" s="13" t="s">
        <v>3868</v>
      </c>
      <c r="B931" s="14" t="s">
        <v>3868</v>
      </c>
      <c r="C931" s="14" t="str">
        <f>HYPERLINK("http://uswest.ensembl.org/Homo_sapiens/Gene/Summary?g=ENSG00000130811","ENSG00000130811")</f>
        <v>ENSG00000130811</v>
      </c>
      <c r="D931" s="14" t="s">
        <v>3869</v>
      </c>
      <c r="E931" s="14" t="str">
        <f>HYPERLINK("http://www.ncbi.nlm.nih.gov/sites/entrez?db=gene&amp;cmd=Retrieve&amp;dopt=full_report&amp;list_uids=8666","8666")</f>
        <v>8666</v>
      </c>
      <c r="F931" s="24" t="s">
        <v>3870</v>
      </c>
      <c r="G931" s="24" t="s">
        <v>3893</v>
      </c>
      <c r="H931" s="14" t="s">
        <v>6527</v>
      </c>
      <c r="I931" s="14" t="s">
        <v>3897</v>
      </c>
      <c r="J931" s="15" t="s">
        <v>8096</v>
      </c>
      <c r="K931" s="16">
        <v>736.05659300000002</v>
      </c>
      <c r="L931" s="17">
        <v>506.32292999999999</v>
      </c>
      <c r="M931" s="18">
        <f t="shared" si="15"/>
        <v>0.68788587021052605</v>
      </c>
    </row>
    <row r="932" spans="1:13">
      <c r="A932" s="13" t="s">
        <v>3898</v>
      </c>
      <c r="B932" s="14" t="s">
        <v>3898</v>
      </c>
      <c r="C932" s="14" t="str">
        <f>HYPERLINK("http://uswest.ensembl.org/Homo_sapiens/Gene/Summary?g=ENSG00000166783","ENSG00000166783")</f>
        <v>ENSG00000166783</v>
      </c>
      <c r="D932" s="14" t="s">
        <v>3899</v>
      </c>
      <c r="E932" s="14" t="str">
        <f>HYPERLINK("http://www.ncbi.nlm.nih.gov/sites/entrez?db=gene&amp;cmd=Retrieve&amp;dopt=full_report&amp;list_uids=","-")</f>
        <v>-</v>
      </c>
      <c r="F932" s="24" t="s">
        <v>3900</v>
      </c>
      <c r="G932" s="24" t="s">
        <v>3901</v>
      </c>
      <c r="H932" s="14" t="s">
        <v>8728</v>
      </c>
      <c r="I932" s="14" t="s">
        <v>8064</v>
      </c>
      <c r="J932" s="15" t="s">
        <v>8728</v>
      </c>
      <c r="K932" s="16">
        <v>120.47733100000001</v>
      </c>
      <c r="L932" s="17">
        <v>82.884405000000001</v>
      </c>
      <c r="M932" s="18">
        <f t="shared" si="15"/>
        <v>0.68796680929128484</v>
      </c>
    </row>
    <row r="933" spans="1:13">
      <c r="A933" s="13" t="s">
        <v>3902</v>
      </c>
      <c r="B933" s="14" t="s">
        <v>3902</v>
      </c>
      <c r="C933" s="14" t="str">
        <f>HYPERLINK("http://uswest.ensembl.org/Homo_sapiens/Gene/Summary?g=ENSG00000213486","ENSG00000213486")</f>
        <v>ENSG00000213486</v>
      </c>
      <c r="D933" s="14" t="s">
        <v>8728</v>
      </c>
      <c r="E933" s="14" t="str">
        <f>HYPERLINK("http://www.ncbi.nlm.nih.gov/sites/entrez?db=gene&amp;cmd=Retrieve&amp;dopt=full_report&amp;list_uids=","-")</f>
        <v>-</v>
      </c>
      <c r="F933" s="24" t="s">
        <v>3903</v>
      </c>
      <c r="G933" s="24" t="s">
        <v>8728</v>
      </c>
      <c r="H933" s="14" t="s">
        <v>8728</v>
      </c>
      <c r="I933" s="14" t="s">
        <v>8728</v>
      </c>
      <c r="J933" s="15" t="s">
        <v>8728</v>
      </c>
      <c r="K933" s="16">
        <v>300.408975</v>
      </c>
      <c r="L933" s="17">
        <v>206.747636</v>
      </c>
      <c r="M933" s="18">
        <f t="shared" si="15"/>
        <v>0.68822056997464875</v>
      </c>
    </row>
    <row r="934" spans="1:13">
      <c r="A934" s="13" t="s">
        <v>3944</v>
      </c>
      <c r="B934" s="14" t="s">
        <v>3944</v>
      </c>
      <c r="C934" s="14" t="str">
        <f>HYPERLINK("http://uswest.ensembl.org/Homo_sapiens/Gene/Summary?g=ENSG00000121741","ENSG00000121741")</f>
        <v>ENSG00000121741</v>
      </c>
      <c r="D934" s="14" t="s">
        <v>8728</v>
      </c>
      <c r="E934" s="14" t="str">
        <f>HYPERLINK("http://www.ncbi.nlm.nih.gov/sites/entrez?db=gene&amp;cmd=Retrieve&amp;dopt=full_report&amp;list_uids=7750","7750")</f>
        <v>7750</v>
      </c>
      <c r="F934" s="24" t="s">
        <v>3945</v>
      </c>
      <c r="G934" s="24" t="s">
        <v>3904</v>
      </c>
      <c r="H934" s="14" t="s">
        <v>7663</v>
      </c>
      <c r="I934" s="14" t="s">
        <v>3876</v>
      </c>
      <c r="J934" s="15" t="s">
        <v>8276</v>
      </c>
      <c r="K934" s="16">
        <v>33.757466000000001</v>
      </c>
      <c r="L934" s="17">
        <v>23.23527</v>
      </c>
      <c r="M934" s="18">
        <f t="shared" si="15"/>
        <v>0.68830018224709166</v>
      </c>
    </row>
    <row r="935" spans="1:13">
      <c r="A935" s="13" t="s">
        <v>3877</v>
      </c>
      <c r="B935" s="14" t="s">
        <v>3877</v>
      </c>
      <c r="C935" s="14" t="str">
        <f>HYPERLINK("http://uswest.ensembl.org/Homo_sapiens/Gene/Summary?g=ENSG00000221877","ENSG00000221877")</f>
        <v>ENSG00000221877</v>
      </c>
      <c r="D935" s="14" t="s">
        <v>3878</v>
      </c>
      <c r="E935" s="14" t="str">
        <f>HYPERLINK("http://www.ncbi.nlm.nih.gov/sites/entrez?db=gene&amp;cmd=Retrieve&amp;dopt=full_report&amp;list_uids=60489","60489")</f>
        <v>60489</v>
      </c>
      <c r="F935" s="24" t="s">
        <v>3879</v>
      </c>
      <c r="G935" s="24" t="s">
        <v>3855</v>
      </c>
      <c r="H935" s="19" t="s">
        <v>3856</v>
      </c>
      <c r="I935" s="19" t="s">
        <v>3882</v>
      </c>
      <c r="J935" s="15" t="s">
        <v>3883</v>
      </c>
      <c r="K935" s="16">
        <v>58.499017000000002</v>
      </c>
      <c r="L935" s="17">
        <v>40.265678999999999</v>
      </c>
      <c r="M935" s="18">
        <f t="shared" si="15"/>
        <v>0.68831377115276993</v>
      </c>
    </row>
    <row r="936" spans="1:13">
      <c r="A936" s="13" t="s">
        <v>3862</v>
      </c>
      <c r="B936" s="14" t="s">
        <v>3862</v>
      </c>
      <c r="C936" s="14" t="str">
        <f>HYPERLINK("http://uswest.ensembl.org/Homo_sapiens/Gene/Summary?g=ENSG00000185883","ENSG00000185883")</f>
        <v>ENSG00000185883</v>
      </c>
      <c r="D936" s="14" t="s">
        <v>3863</v>
      </c>
      <c r="E936" s="14" t="str">
        <f>HYPERLINK("http://www.ncbi.nlm.nih.gov/sites/entrez?db=gene&amp;cmd=Retrieve&amp;dopt=full_report&amp;list_uids=527","527")</f>
        <v>527</v>
      </c>
      <c r="F936" s="24" t="s">
        <v>3864</v>
      </c>
      <c r="G936" s="24" t="s">
        <v>3841</v>
      </c>
      <c r="H936" s="14" t="s">
        <v>3842</v>
      </c>
      <c r="I936" s="14" t="s">
        <v>3843</v>
      </c>
      <c r="J936" s="15" t="s">
        <v>3844</v>
      </c>
      <c r="K936" s="16">
        <v>1129.5367120000001</v>
      </c>
      <c r="L936" s="17">
        <v>777.57714699999997</v>
      </c>
      <c r="M936" s="18">
        <f t="shared" si="15"/>
        <v>0.68840360719501781</v>
      </c>
    </row>
    <row r="937" spans="1:13">
      <c r="A937" s="13" t="s">
        <v>3894</v>
      </c>
      <c r="B937" s="14" t="s">
        <v>3894</v>
      </c>
      <c r="C937" s="14" t="str">
        <f>HYPERLINK("http://uswest.ensembl.org/Homo_sapiens/Gene/Summary?g=ENSG00000173905","ENSG00000173905")</f>
        <v>ENSG00000173905</v>
      </c>
      <c r="D937" s="14" t="s">
        <v>3895</v>
      </c>
      <c r="E937" s="14" t="str">
        <f>HYPERLINK("http://www.ncbi.nlm.nih.gov/sites/entrez?db=gene&amp;cmd=Retrieve&amp;dopt=full_report&amp;list_uids=27333","27333")</f>
        <v>27333</v>
      </c>
      <c r="F937" s="24" t="s">
        <v>3896</v>
      </c>
      <c r="G937" s="24" t="s">
        <v>3850</v>
      </c>
      <c r="H937" s="14" t="s">
        <v>8734</v>
      </c>
      <c r="I937" s="14" t="s">
        <v>8728</v>
      </c>
      <c r="J937" s="15" t="s">
        <v>3815</v>
      </c>
      <c r="K937" s="16">
        <v>29.879837999999999</v>
      </c>
      <c r="L937" s="17">
        <v>20.576219999999999</v>
      </c>
      <c r="M937" s="18">
        <f t="shared" si="15"/>
        <v>0.68863224760455533</v>
      </c>
    </row>
    <row r="938" spans="1:13">
      <c r="A938" s="13" t="s">
        <v>3816</v>
      </c>
      <c r="B938" s="14" t="s">
        <v>3816</v>
      </c>
      <c r="C938" s="14" t="str">
        <f>HYPERLINK("http://uswest.ensembl.org/Homo_sapiens/Gene/Summary?g=","-")</f>
        <v>-</v>
      </c>
      <c r="D938" s="14" t="s">
        <v>3817</v>
      </c>
      <c r="E938" s="14" t="str">
        <f>HYPERLINK("http://www.ncbi.nlm.nih.gov/sites/entrez?db=gene&amp;cmd=Retrieve&amp;dopt=full_report&amp;list_uids=5911","5911")</f>
        <v>5911</v>
      </c>
      <c r="F938" s="24" t="s">
        <v>3818</v>
      </c>
      <c r="G938" s="24" t="s">
        <v>3819</v>
      </c>
      <c r="H938" s="14" t="s">
        <v>3820</v>
      </c>
      <c r="I938" s="14" t="s">
        <v>4713</v>
      </c>
      <c r="J938" s="15" t="s">
        <v>8514</v>
      </c>
      <c r="K938" s="16">
        <v>85.214572000000004</v>
      </c>
      <c r="L938" s="17">
        <v>58.691673000000002</v>
      </c>
      <c r="M938" s="18">
        <f t="shared" si="15"/>
        <v>0.68875160224943688</v>
      </c>
    </row>
    <row r="939" spans="1:13">
      <c r="A939" s="13" t="s">
        <v>3821</v>
      </c>
      <c r="B939" s="14" t="s">
        <v>3821</v>
      </c>
      <c r="C939" s="14" t="str">
        <f>HYPERLINK("http://uswest.ensembl.org/Homo_sapiens/Gene/Summary?g=","-")</f>
        <v>-</v>
      </c>
      <c r="D939" s="14" t="s">
        <v>8728</v>
      </c>
      <c r="E939" s="14" t="str">
        <f>HYPERLINK("http://www.ncbi.nlm.nih.gov/sites/entrez?db=gene&amp;cmd=Retrieve&amp;dopt=full_report&amp;list_uids=100288809","100288809")</f>
        <v>100288809</v>
      </c>
      <c r="F939" s="24" t="s">
        <v>8728</v>
      </c>
      <c r="G939" s="24" t="s">
        <v>8728</v>
      </c>
      <c r="H939" s="14" t="s">
        <v>8728</v>
      </c>
      <c r="I939" s="14" t="s">
        <v>8728</v>
      </c>
      <c r="J939" s="15" t="s">
        <v>8728</v>
      </c>
      <c r="K939" s="16">
        <v>30.410492000000001</v>
      </c>
      <c r="L939" s="17">
        <v>20.948937999999998</v>
      </c>
      <c r="M939" s="18">
        <f t="shared" si="15"/>
        <v>0.68887205113287864</v>
      </c>
    </row>
    <row r="940" spans="1:13">
      <c r="A940" s="13" t="s">
        <v>3822</v>
      </c>
      <c r="B940" s="14" t="s">
        <v>3822</v>
      </c>
      <c r="C940" s="14" t="str">
        <f>HYPERLINK("http://uswest.ensembl.org/Homo_sapiens/Gene/Summary?g=ENSG00000135090","ENSG00000135090")</f>
        <v>ENSG00000135090</v>
      </c>
      <c r="D940" s="14" t="s">
        <v>3823</v>
      </c>
      <c r="E940" s="14" t="str">
        <f>HYPERLINK("http://www.ncbi.nlm.nih.gov/sites/entrez?db=gene&amp;cmd=Retrieve&amp;dopt=full_report&amp;list_uids=","-")</f>
        <v>-</v>
      </c>
      <c r="F940" s="24" t="s">
        <v>3824</v>
      </c>
      <c r="G940" s="25" t="s">
        <v>3861</v>
      </c>
      <c r="H940" s="14" t="s">
        <v>8728</v>
      </c>
      <c r="I940" s="14" t="s">
        <v>8728</v>
      </c>
      <c r="J940" s="15" t="s">
        <v>8728</v>
      </c>
      <c r="K940" s="16">
        <v>391.42489999999998</v>
      </c>
      <c r="L940" s="17">
        <v>269.64358800000002</v>
      </c>
      <c r="M940" s="18">
        <f t="shared" si="15"/>
        <v>0.68887694165598568</v>
      </c>
    </row>
    <row r="941" spans="1:13">
      <c r="A941" s="13" t="s">
        <v>3838</v>
      </c>
      <c r="B941" s="14" t="s">
        <v>3838</v>
      </c>
      <c r="C941" s="14" t="str">
        <f>HYPERLINK("http://uswest.ensembl.org/Homo_sapiens/Gene/Summary?g=","-")</f>
        <v>-</v>
      </c>
      <c r="D941" s="14" t="s">
        <v>3839</v>
      </c>
      <c r="E941" s="14" t="str">
        <f>HYPERLINK("http://www.ncbi.nlm.nih.gov/sites/entrez?db=gene&amp;cmd=Retrieve&amp;dopt=full_report&amp;list_uids=5627","5627")</f>
        <v>5627</v>
      </c>
      <c r="F941" s="24" t="s">
        <v>3840</v>
      </c>
      <c r="G941" s="24" t="s">
        <v>3803</v>
      </c>
      <c r="H941" s="14" t="s">
        <v>8728</v>
      </c>
      <c r="I941" s="14" t="s">
        <v>8684</v>
      </c>
      <c r="J941" s="15" t="s">
        <v>8731</v>
      </c>
      <c r="K941" s="16">
        <v>175.67354</v>
      </c>
      <c r="L941" s="17">
        <v>121.069856</v>
      </c>
      <c r="M941" s="18">
        <f t="shared" si="15"/>
        <v>0.68917525086589593</v>
      </c>
    </row>
    <row r="942" spans="1:13">
      <c r="A942" s="13" t="s">
        <v>3804</v>
      </c>
      <c r="B942" s="14" t="s">
        <v>3804</v>
      </c>
      <c r="C942" s="14" t="str">
        <f>HYPERLINK("http://uswest.ensembl.org/Homo_sapiens/Gene/Summary?g=ENSG00000184716","ENSG00000184716")</f>
        <v>ENSG00000184716</v>
      </c>
      <c r="D942" s="14" t="s">
        <v>3805</v>
      </c>
      <c r="E942" s="14" t="str">
        <f>HYPERLINK("http://www.ncbi.nlm.nih.gov/sites/entrez?db=gene&amp;cmd=Retrieve&amp;dopt=full_report&amp;list_uids=619189","619189")</f>
        <v>619189</v>
      </c>
      <c r="F942" s="24" t="s">
        <v>3806</v>
      </c>
      <c r="G942" s="24" t="s">
        <v>3807</v>
      </c>
      <c r="H942" s="14" t="s">
        <v>8728</v>
      </c>
      <c r="I942" s="14" t="s">
        <v>8728</v>
      </c>
      <c r="J942" s="15" t="s">
        <v>8691</v>
      </c>
      <c r="K942" s="16">
        <v>45.738765000000001</v>
      </c>
      <c r="L942" s="17">
        <v>31.530432000000001</v>
      </c>
      <c r="M942" s="18">
        <f t="shared" si="15"/>
        <v>0.68935905899514338</v>
      </c>
    </row>
    <row r="943" spans="1:13">
      <c r="A943" s="13" t="s">
        <v>3808</v>
      </c>
      <c r="B943" s="14" t="s">
        <v>3808</v>
      </c>
      <c r="C943" s="14" t="str">
        <f>HYPERLINK("http://uswest.ensembl.org/Homo_sapiens/Gene/Summary?g=ENSG00000177469","ENSG00000177469")</f>
        <v>ENSG00000177469</v>
      </c>
      <c r="D943" s="14" t="s">
        <v>3809</v>
      </c>
      <c r="E943" s="14" t="str">
        <f>HYPERLINK("http://www.ncbi.nlm.nih.gov/sites/entrez?db=gene&amp;cmd=Retrieve&amp;dopt=full_report&amp;list_uids=284119","284119")</f>
        <v>284119</v>
      </c>
      <c r="F943" s="24" t="s">
        <v>3810</v>
      </c>
      <c r="G943" s="24" t="s">
        <v>3811</v>
      </c>
      <c r="H943" s="14" t="s">
        <v>3812</v>
      </c>
      <c r="I943" s="14" t="s">
        <v>3813</v>
      </c>
      <c r="J943" s="15" t="s">
        <v>3871</v>
      </c>
      <c r="K943" s="16">
        <v>111.33559</v>
      </c>
      <c r="L943" s="17">
        <v>76.765433999999999</v>
      </c>
      <c r="M943" s="18">
        <f t="shared" si="15"/>
        <v>0.68949591051702341</v>
      </c>
    </row>
    <row r="944" spans="1:13">
      <c r="A944" s="13" t="s">
        <v>3872</v>
      </c>
      <c r="B944" s="14" t="s">
        <v>3872</v>
      </c>
      <c r="C944" s="14" t="str">
        <f>HYPERLINK("http://uswest.ensembl.org/Homo_sapiens/Gene/Summary?g=ENSG00000149231","ENSG00000149231")</f>
        <v>ENSG00000149231</v>
      </c>
      <c r="D944" s="14" t="s">
        <v>3873</v>
      </c>
      <c r="E944" s="14" t="str">
        <f>HYPERLINK("http://www.ncbi.nlm.nih.gov/sites/entrez?db=gene&amp;cmd=Retrieve&amp;dopt=full_report&amp;list_uids=79780","79780")</f>
        <v>79780</v>
      </c>
      <c r="F944" s="24" t="s">
        <v>3874</v>
      </c>
      <c r="G944" s="24" t="s">
        <v>3875</v>
      </c>
      <c r="H944" s="14" t="s">
        <v>8728</v>
      </c>
      <c r="I944" s="14" t="s">
        <v>8665</v>
      </c>
      <c r="J944" s="15" t="s">
        <v>8728</v>
      </c>
      <c r="K944" s="16">
        <v>160.18790999999999</v>
      </c>
      <c r="L944" s="17">
        <v>110.458161</v>
      </c>
      <c r="M944" s="18">
        <f t="shared" si="15"/>
        <v>0.68955366856337663</v>
      </c>
    </row>
    <row r="945" spans="1:13">
      <c r="A945" s="13" t="s">
        <v>3851</v>
      </c>
      <c r="B945" s="14" t="s">
        <v>3851</v>
      </c>
      <c r="C945" s="14" t="str">
        <f>HYPERLINK("http://uswest.ensembl.org/Homo_sapiens/Gene/Summary?g=ENSG00000204624","ENSG00000204624")</f>
        <v>ENSG00000204624</v>
      </c>
      <c r="D945" s="14" t="s">
        <v>3852</v>
      </c>
      <c r="E945" s="14" t="str">
        <f>HYPERLINK("http://www.ncbi.nlm.nih.gov/sites/entrez?db=gene&amp;cmd=Retrieve&amp;dopt=full_report&amp;list_uids=","-")</f>
        <v>-</v>
      </c>
      <c r="F945" s="24" t="s">
        <v>3853</v>
      </c>
      <c r="G945" s="24" t="s">
        <v>3854</v>
      </c>
      <c r="H945" s="14" t="s">
        <v>8728</v>
      </c>
      <c r="I945" s="14" t="s">
        <v>7199</v>
      </c>
      <c r="J945" s="15" t="s">
        <v>7200</v>
      </c>
      <c r="K945" s="16">
        <v>56.808266000000003</v>
      </c>
      <c r="L945" s="17">
        <v>39.173274999999997</v>
      </c>
      <c r="M945" s="18">
        <f t="shared" si="15"/>
        <v>0.68956998265005998</v>
      </c>
    </row>
    <row r="946" spans="1:13">
      <c r="A946" s="13" t="s">
        <v>3845</v>
      </c>
      <c r="B946" s="14" t="s">
        <v>3845</v>
      </c>
      <c r="C946" s="14" t="str">
        <f>HYPERLINK("http://uswest.ensembl.org/Homo_sapiens/Gene/Summary?g=ENSG00000179709","ENSG00000179709")</f>
        <v>ENSG00000179709</v>
      </c>
      <c r="D946" s="14" t="s">
        <v>3846</v>
      </c>
      <c r="E946" s="14" t="str">
        <f>HYPERLINK("http://www.ncbi.nlm.nih.gov/sites/entrez?db=gene&amp;cmd=Retrieve&amp;dopt=full_report&amp;list_uids=126205","126205")</f>
        <v>126205</v>
      </c>
      <c r="F946" s="24" t="s">
        <v>3847</v>
      </c>
      <c r="G946" s="24" t="s">
        <v>3848</v>
      </c>
      <c r="H946" s="14" t="s">
        <v>8728</v>
      </c>
      <c r="I946" s="14" t="s">
        <v>3849</v>
      </c>
      <c r="J946" s="15" t="s">
        <v>8619</v>
      </c>
      <c r="K946" s="16">
        <v>42.227710000000002</v>
      </c>
      <c r="L946" s="17">
        <v>29.133731999999998</v>
      </c>
      <c r="M946" s="18">
        <f t="shared" si="15"/>
        <v>0.68991977069085675</v>
      </c>
    </row>
    <row r="947" spans="1:13">
      <c r="A947" s="13" t="s">
        <v>3785</v>
      </c>
      <c r="B947" s="14" t="s">
        <v>3785</v>
      </c>
      <c r="C947" s="14" t="str">
        <f>HYPERLINK("http://uswest.ensembl.org/Homo_sapiens/Gene/Summary?g=ENSG00000214200","ENSG00000214200")</f>
        <v>ENSG00000214200</v>
      </c>
      <c r="D947" s="14" t="s">
        <v>8728</v>
      </c>
      <c r="E947" s="14" t="str">
        <f>HYPERLINK("http://www.ncbi.nlm.nih.gov/sites/entrez?db=gene&amp;cmd=Retrieve&amp;dopt=full_report&amp;list_uids=","-")</f>
        <v>-</v>
      </c>
      <c r="F947" s="24" t="s">
        <v>3786</v>
      </c>
      <c r="G947" s="24" t="s">
        <v>8728</v>
      </c>
      <c r="H947" s="14" t="s">
        <v>8728</v>
      </c>
      <c r="I947" s="14" t="s">
        <v>8728</v>
      </c>
      <c r="J947" s="15" t="s">
        <v>8728</v>
      </c>
      <c r="K947" s="16">
        <v>283.05424799999997</v>
      </c>
      <c r="L947" s="17">
        <v>195.29490100000001</v>
      </c>
      <c r="M947" s="18">
        <f t="shared" si="15"/>
        <v>0.68995573244320296</v>
      </c>
    </row>
    <row r="948" spans="1:13">
      <c r="A948" s="13" t="s">
        <v>3787</v>
      </c>
      <c r="B948" s="14" t="s">
        <v>3787</v>
      </c>
      <c r="C948" s="14" t="str">
        <f>HYPERLINK("http://uswest.ensembl.org/Homo_sapiens/Gene/Summary?g=","-")</f>
        <v>-</v>
      </c>
      <c r="D948" s="14" t="s">
        <v>3788</v>
      </c>
      <c r="E948" s="14" t="str">
        <f>HYPERLINK("http://www.ncbi.nlm.nih.gov/sites/entrez?db=gene&amp;cmd=Retrieve&amp;dopt=full_report&amp;list_uids=6363","6363")</f>
        <v>6363</v>
      </c>
      <c r="F948" s="24" t="s">
        <v>3789</v>
      </c>
      <c r="G948" s="24" t="s">
        <v>3790</v>
      </c>
      <c r="H948" s="14" t="s">
        <v>3791</v>
      </c>
      <c r="I948" s="14" t="s">
        <v>3792</v>
      </c>
      <c r="J948" s="15" t="s">
        <v>8352</v>
      </c>
      <c r="K948" s="16">
        <v>31.391332999999999</v>
      </c>
      <c r="L948" s="17">
        <v>21.658829999999998</v>
      </c>
      <c r="M948" s="18">
        <f t="shared" si="15"/>
        <v>0.68996209877420622</v>
      </c>
    </row>
    <row r="949" spans="1:13">
      <c r="A949" s="13" t="s">
        <v>3793</v>
      </c>
      <c r="B949" s="14" t="s">
        <v>3793</v>
      </c>
      <c r="C949" s="14" t="str">
        <f>HYPERLINK("http://uswest.ensembl.org/Homo_sapiens/Gene/Summary?g=ENSG00000115488","ENSG00000115488")</f>
        <v>ENSG00000115488</v>
      </c>
      <c r="D949" s="14" t="s">
        <v>3794</v>
      </c>
      <c r="E949" s="14" t="str">
        <f>HYPERLINK("http://www.ncbi.nlm.nih.gov/sites/entrez?db=gene&amp;cmd=Retrieve&amp;dopt=full_report&amp;list_uids=4759","4759")</f>
        <v>4759</v>
      </c>
      <c r="F949" s="24" t="s">
        <v>3795</v>
      </c>
      <c r="G949" s="24" t="s">
        <v>3796</v>
      </c>
      <c r="H949" s="14" t="s">
        <v>8329</v>
      </c>
      <c r="I949" s="14" t="s">
        <v>3797</v>
      </c>
      <c r="J949" s="15" t="s">
        <v>8619</v>
      </c>
      <c r="K949" s="16">
        <v>47.281792000000003</v>
      </c>
      <c r="L949" s="17">
        <v>32.625061000000002</v>
      </c>
      <c r="M949" s="18">
        <f t="shared" si="15"/>
        <v>0.69001320846722558</v>
      </c>
    </row>
    <row r="950" spans="1:13">
      <c r="A950" s="13" t="s">
        <v>3798</v>
      </c>
      <c r="B950" s="14" t="s">
        <v>3798</v>
      </c>
      <c r="C950" s="14" t="str">
        <f>HYPERLINK("http://uswest.ensembl.org/Homo_sapiens/Gene/Summary?g=ENSG00000137267","ENSG00000137267")</f>
        <v>ENSG00000137267</v>
      </c>
      <c r="D950" s="14" t="s">
        <v>3799</v>
      </c>
      <c r="E950" s="14" t="str">
        <f>HYPERLINK("http://www.ncbi.nlm.nih.gov/sites/entrez?db=gene&amp;cmd=Retrieve&amp;dopt=full_report&amp;list_uids=7280","7280")</f>
        <v>7280</v>
      </c>
      <c r="F950" s="24" t="s">
        <v>3800</v>
      </c>
      <c r="G950" s="24" t="s">
        <v>3801</v>
      </c>
      <c r="H950" s="14" t="s">
        <v>6370</v>
      </c>
      <c r="I950" s="14" t="s">
        <v>3857</v>
      </c>
      <c r="J950" s="15" t="s">
        <v>6434</v>
      </c>
      <c r="K950" s="16">
        <v>144.394205</v>
      </c>
      <c r="L950" s="17">
        <v>99.641018000000003</v>
      </c>
      <c r="M950" s="18">
        <f t="shared" si="15"/>
        <v>0.69006244398797034</v>
      </c>
    </row>
    <row r="951" spans="1:13">
      <c r="A951" s="13" t="s">
        <v>3858</v>
      </c>
      <c r="B951" s="14" t="s">
        <v>3858</v>
      </c>
      <c r="C951" s="14" t="str">
        <f>HYPERLINK("http://uswest.ensembl.org/Homo_sapiens/Gene/Summary?g=","-")</f>
        <v>-</v>
      </c>
      <c r="D951" s="14" t="s">
        <v>3859</v>
      </c>
      <c r="E951" s="14" t="str">
        <f>HYPERLINK("http://www.ncbi.nlm.nih.gov/sites/entrez?db=gene&amp;cmd=Retrieve&amp;dopt=full_report&amp;list_uids=9091","9091")</f>
        <v>9091</v>
      </c>
      <c r="F951" s="24" t="s">
        <v>3860</v>
      </c>
      <c r="G951" s="24" t="s">
        <v>3833</v>
      </c>
      <c r="H951" s="14" t="s">
        <v>6022</v>
      </c>
      <c r="I951" s="14" t="s">
        <v>3834</v>
      </c>
      <c r="J951" s="15" t="s">
        <v>8669</v>
      </c>
      <c r="K951" s="16">
        <v>72.248617999999993</v>
      </c>
      <c r="L951" s="17">
        <v>49.861835999999997</v>
      </c>
      <c r="M951" s="18">
        <f t="shared" si="15"/>
        <v>0.69014241905637563</v>
      </c>
    </row>
    <row r="952" spans="1:13">
      <c r="A952" s="13" t="s">
        <v>3835</v>
      </c>
      <c r="B952" s="14" t="s">
        <v>3835</v>
      </c>
      <c r="C952" s="14" t="str">
        <f>HYPERLINK("http://uswest.ensembl.org/Homo_sapiens/Gene/Summary?g=ENSG00000140931","ENSG00000140931")</f>
        <v>ENSG00000140931</v>
      </c>
      <c r="D952" s="14" t="s">
        <v>3836</v>
      </c>
      <c r="E952" s="14" t="str">
        <f>HYPERLINK("http://www.ncbi.nlm.nih.gov/sites/entrez?db=gene&amp;cmd=Retrieve&amp;dopt=full_report&amp;list_uids=123920","123920")</f>
        <v>123920</v>
      </c>
      <c r="F952" s="24" t="s">
        <v>3837</v>
      </c>
      <c r="G952" s="24" t="s">
        <v>3832</v>
      </c>
      <c r="H952" s="14" t="s">
        <v>6567</v>
      </c>
      <c r="I952" s="14" t="s">
        <v>6568</v>
      </c>
      <c r="J952" s="15" t="s">
        <v>3772</v>
      </c>
      <c r="K952" s="16">
        <v>121.6641</v>
      </c>
      <c r="L952" s="17">
        <v>83.972460999999996</v>
      </c>
      <c r="M952" s="18">
        <f t="shared" si="15"/>
        <v>0.6901991713249841</v>
      </c>
    </row>
    <row r="953" spans="1:13">
      <c r="A953" s="13" t="s">
        <v>3773</v>
      </c>
      <c r="B953" s="14" t="s">
        <v>3773</v>
      </c>
      <c r="C953" s="14" t="str">
        <f>HYPERLINK("http://uswest.ensembl.org/Homo_sapiens/Gene/Summary?g=ENSG00000083799","ENSG00000083799")</f>
        <v>ENSG00000083799</v>
      </c>
      <c r="D953" s="14" t="s">
        <v>3774</v>
      </c>
      <c r="E953" s="14" t="str">
        <f>HYPERLINK("http://www.ncbi.nlm.nih.gov/sites/entrez?db=gene&amp;cmd=Retrieve&amp;dopt=full_report&amp;list_uids=1540","1540")</f>
        <v>1540</v>
      </c>
      <c r="F953" s="24" t="s">
        <v>3775</v>
      </c>
      <c r="G953" s="24" t="s">
        <v>3776</v>
      </c>
      <c r="H953" s="14" t="s">
        <v>3777</v>
      </c>
      <c r="I953" s="14" t="s">
        <v>3778</v>
      </c>
      <c r="J953" s="15" t="s">
        <v>3814</v>
      </c>
      <c r="K953" s="16">
        <v>263.41810299999997</v>
      </c>
      <c r="L953" s="17">
        <v>181.86304799999999</v>
      </c>
      <c r="M953" s="18">
        <f t="shared" si="15"/>
        <v>0.69039692385910167</v>
      </c>
    </row>
    <row r="954" spans="1:13">
      <c r="A954" s="13" t="s">
        <v>3757</v>
      </c>
      <c r="B954" s="14" t="s">
        <v>3757</v>
      </c>
      <c r="C954" s="14" t="str">
        <f>HYPERLINK("http://uswest.ensembl.org/Homo_sapiens/Gene/Summary?g=ENSG00000197253","ENSG00000197253")</f>
        <v>ENSG00000197253</v>
      </c>
      <c r="D954" s="14" t="s">
        <v>8728</v>
      </c>
      <c r="E954" s="14" t="str">
        <f>HYPERLINK("http://www.ncbi.nlm.nih.gov/sites/entrez?db=gene&amp;cmd=Retrieve&amp;dopt=full_report&amp;list_uids=64499","64499")</f>
        <v>64499</v>
      </c>
      <c r="F954" s="24" t="s">
        <v>3758</v>
      </c>
      <c r="G954" s="24" t="s">
        <v>3759</v>
      </c>
      <c r="H954" s="14" t="s">
        <v>3760</v>
      </c>
      <c r="I954" s="14" t="s">
        <v>3761</v>
      </c>
      <c r="J954" s="15" t="s">
        <v>8731</v>
      </c>
      <c r="K954" s="16">
        <v>616.14009899999996</v>
      </c>
      <c r="L954" s="17">
        <v>425.55796400000003</v>
      </c>
      <c r="M954" s="18">
        <f t="shared" si="15"/>
        <v>0.69068376606340642</v>
      </c>
    </row>
    <row r="955" spans="1:13">
      <c r="A955" s="13" t="s">
        <v>3762</v>
      </c>
      <c r="B955" s="14" t="s">
        <v>3762</v>
      </c>
      <c r="C955" s="14" t="str">
        <f>HYPERLINK("http://uswest.ensembl.org/Homo_sapiens/Gene/Summary?g=ENSG00000213595","ENSG00000213595")</f>
        <v>ENSG00000213595</v>
      </c>
      <c r="D955" s="14" t="s">
        <v>8728</v>
      </c>
      <c r="E955" s="14" t="str">
        <f>HYPERLINK("http://www.ncbi.nlm.nih.gov/sites/entrez?db=gene&amp;cmd=Retrieve&amp;dopt=full_report&amp;list_uids=","-")</f>
        <v>-</v>
      </c>
      <c r="F955" s="24" t="s">
        <v>3763</v>
      </c>
      <c r="G955" s="24" t="s">
        <v>8728</v>
      </c>
      <c r="H955" s="14" t="s">
        <v>8728</v>
      </c>
      <c r="I955" s="14" t="s">
        <v>8728</v>
      </c>
      <c r="J955" s="15" t="s">
        <v>8728</v>
      </c>
      <c r="K955" s="16">
        <v>180.286553</v>
      </c>
      <c r="L955" s="17">
        <v>124.523039</v>
      </c>
      <c r="M955" s="18">
        <f t="shared" si="15"/>
        <v>0.69069510137009493</v>
      </c>
    </row>
    <row r="956" spans="1:13">
      <c r="A956" s="13" t="s">
        <v>3764</v>
      </c>
      <c r="B956" s="14" t="s">
        <v>3764</v>
      </c>
      <c r="C956" s="14" t="str">
        <f>HYPERLINK("http://uswest.ensembl.org/Homo_sapiens/Gene/Summary?g=ENSG00000213003","ENSG00000213003")</f>
        <v>ENSG00000213003</v>
      </c>
      <c r="D956" s="14" t="s">
        <v>8728</v>
      </c>
      <c r="E956" s="14" t="str">
        <f>HYPERLINK("http://www.ncbi.nlm.nih.gov/sites/entrez?db=gene&amp;cmd=Retrieve&amp;dopt=full_report&amp;list_uids=","-")</f>
        <v>-</v>
      </c>
      <c r="F956" s="24" t="s">
        <v>3765</v>
      </c>
      <c r="G956" s="24" t="s">
        <v>8728</v>
      </c>
      <c r="H956" s="14" t="s">
        <v>8728</v>
      </c>
      <c r="I956" s="14" t="s">
        <v>8728</v>
      </c>
      <c r="J956" s="15" t="s">
        <v>8728</v>
      </c>
      <c r="K956" s="16">
        <v>561.66904</v>
      </c>
      <c r="L956" s="17">
        <v>387.97332699999998</v>
      </c>
      <c r="M956" s="18">
        <f t="shared" si="15"/>
        <v>0.69075077914210825</v>
      </c>
    </row>
    <row r="957" spans="1:13">
      <c r="A957" s="13" t="s">
        <v>3825</v>
      </c>
      <c r="B957" s="14" t="s">
        <v>3825</v>
      </c>
      <c r="C957" s="14" t="str">
        <f>HYPERLINK("http://uswest.ensembl.org/Homo_sapiens/Gene/Summary?g=ENSG00000125871","ENSG00000125871")</f>
        <v>ENSG00000125871</v>
      </c>
      <c r="D957" s="14" t="s">
        <v>3826</v>
      </c>
      <c r="E957" s="14" t="str">
        <f>HYPERLINK("http://www.ncbi.nlm.nih.gov/sites/entrez?db=gene&amp;cmd=Retrieve&amp;dopt=full_report&amp;list_uids=","-")</f>
        <v>-</v>
      </c>
      <c r="F957" s="24" t="s">
        <v>3827</v>
      </c>
      <c r="G957" s="24" t="s">
        <v>3828</v>
      </c>
      <c r="H957" s="14" t="s">
        <v>8728</v>
      </c>
      <c r="I957" s="14" t="s">
        <v>8728</v>
      </c>
      <c r="J957" s="15" t="s">
        <v>8728</v>
      </c>
      <c r="K957" s="16">
        <v>244.83595700000001</v>
      </c>
      <c r="L957" s="17">
        <v>169.14778999999999</v>
      </c>
      <c r="M957" s="18">
        <f t="shared" si="15"/>
        <v>0.6908617184852468</v>
      </c>
    </row>
    <row r="958" spans="1:13">
      <c r="A958" s="13" t="s">
        <v>3829</v>
      </c>
      <c r="B958" s="14" t="s">
        <v>3829</v>
      </c>
      <c r="C958" s="14" t="str">
        <f>HYPERLINK("http://uswest.ensembl.org/Homo_sapiens/Gene/Summary?g=ENSG00000198513","ENSG00000198513")</f>
        <v>ENSG00000198513</v>
      </c>
      <c r="D958" s="14" t="s">
        <v>3830</v>
      </c>
      <c r="E958" s="14" t="str">
        <f>HYPERLINK("http://www.ncbi.nlm.nih.gov/sites/entrez?db=gene&amp;cmd=Retrieve&amp;dopt=full_report&amp;list_uids=","-")</f>
        <v>-</v>
      </c>
      <c r="F958" s="24" t="s">
        <v>3831</v>
      </c>
      <c r="G958" s="24" t="s">
        <v>3802</v>
      </c>
      <c r="H958" s="14" t="s">
        <v>8728</v>
      </c>
      <c r="I958" s="14" t="s">
        <v>3769</v>
      </c>
      <c r="J958" s="15" t="s">
        <v>8728</v>
      </c>
      <c r="K958" s="16">
        <v>51.509334000000003</v>
      </c>
      <c r="L958" s="17">
        <v>35.588467999999999</v>
      </c>
      <c r="M958" s="18">
        <f t="shared" si="15"/>
        <v>0.69091299064359868</v>
      </c>
    </row>
    <row r="959" spans="1:13">
      <c r="A959" s="13" t="s">
        <v>3770</v>
      </c>
      <c r="B959" s="14" t="s">
        <v>3770</v>
      </c>
      <c r="C959" s="14" t="str">
        <f>HYPERLINK("http://uswest.ensembl.org/Homo_sapiens/Gene/Summary?g=ENSG00000177757","ENSG00000177757")</f>
        <v>ENSG00000177757</v>
      </c>
      <c r="D959" s="14" t="s">
        <v>8728</v>
      </c>
      <c r="E959" s="14" t="str">
        <f>HYPERLINK("http://www.ncbi.nlm.nih.gov/sites/entrez?db=gene&amp;cmd=Retrieve&amp;dopt=full_report&amp;list_uids=400728","400728")</f>
        <v>400728</v>
      </c>
      <c r="F959" s="24" t="s">
        <v>3771</v>
      </c>
      <c r="G959" s="24" t="s">
        <v>6845</v>
      </c>
      <c r="H959" s="14" t="s">
        <v>8728</v>
      </c>
      <c r="I959" s="14" t="s">
        <v>8728</v>
      </c>
      <c r="J959" s="15" t="s">
        <v>8698</v>
      </c>
      <c r="K959" s="16">
        <v>50.969560999999999</v>
      </c>
      <c r="L959" s="17">
        <v>35.220914999999998</v>
      </c>
      <c r="M959" s="18">
        <f t="shared" si="15"/>
        <v>0.69101860618340427</v>
      </c>
    </row>
    <row r="960" spans="1:13">
      <c r="A960" s="13" t="s">
        <v>3753</v>
      </c>
      <c r="B960" s="14" t="s">
        <v>3753</v>
      </c>
      <c r="C960" s="14" t="str">
        <f>HYPERLINK("http://uswest.ensembl.org/Homo_sapiens/Gene/Summary?g=ENSG00000204519","ENSG00000204519")</f>
        <v>ENSG00000204519</v>
      </c>
      <c r="D960" s="14" t="s">
        <v>3754</v>
      </c>
      <c r="E960" s="14" t="str">
        <f>HYPERLINK("http://www.ncbi.nlm.nih.gov/sites/entrez?db=gene&amp;cmd=Retrieve&amp;dopt=full_report&amp;list_uids=90233","90233")</f>
        <v>90233</v>
      </c>
      <c r="F960" s="24" t="s">
        <v>3755</v>
      </c>
      <c r="G960" s="24" t="s">
        <v>3727</v>
      </c>
      <c r="H960" s="14" t="s">
        <v>8581</v>
      </c>
      <c r="I960" s="14" t="s">
        <v>8582</v>
      </c>
      <c r="J960" s="15" t="s">
        <v>8622</v>
      </c>
      <c r="K960" s="16">
        <v>36.169553999999998</v>
      </c>
      <c r="L960" s="17">
        <v>25.001529000000001</v>
      </c>
      <c r="M960" s="18">
        <f t="shared" si="15"/>
        <v>0.69123133229677103</v>
      </c>
    </row>
    <row r="961" spans="1:13">
      <c r="A961" s="13" t="s">
        <v>3728</v>
      </c>
      <c r="B961" s="14" t="s">
        <v>3728</v>
      </c>
      <c r="C961" s="14" t="str">
        <f>HYPERLINK("http://uswest.ensembl.org/Homo_sapiens/Gene/Summary?g=","-")</f>
        <v>-</v>
      </c>
      <c r="D961" s="14" t="s">
        <v>3729</v>
      </c>
      <c r="E961" s="14" t="str">
        <f>HYPERLINK("http://www.ncbi.nlm.nih.gov/sites/entrez?db=gene&amp;cmd=Retrieve&amp;dopt=full_report&amp;list_uids=7318","7318")</f>
        <v>7318</v>
      </c>
      <c r="F961" s="24" t="s">
        <v>3730</v>
      </c>
      <c r="G961" s="24" t="s">
        <v>3731</v>
      </c>
      <c r="H961" s="19" t="s">
        <v>3732</v>
      </c>
      <c r="I961" s="14" t="s">
        <v>3733</v>
      </c>
      <c r="J961" s="15" t="s">
        <v>8728</v>
      </c>
      <c r="K961" s="16">
        <v>33.538015000000001</v>
      </c>
      <c r="L961" s="17">
        <v>23.184629999999999</v>
      </c>
      <c r="M961" s="18">
        <f t="shared" si="15"/>
        <v>0.69129404349064782</v>
      </c>
    </row>
    <row r="962" spans="1:13">
      <c r="A962" s="13" t="s">
        <v>3746</v>
      </c>
      <c r="B962" s="14" t="s">
        <v>3746</v>
      </c>
      <c r="C962" s="14" t="str">
        <f>HYPERLINK("http://uswest.ensembl.org/Homo_sapiens/Gene/Summary?g=","-")</f>
        <v>-</v>
      </c>
      <c r="D962" s="14" t="s">
        <v>3747</v>
      </c>
      <c r="E962" s="14" t="str">
        <f>HYPERLINK("http://www.ncbi.nlm.nih.gov/sites/entrez?db=gene&amp;cmd=Retrieve&amp;dopt=full_report&amp;list_uids=54834","54834")</f>
        <v>54834</v>
      </c>
      <c r="F962" s="24" t="s">
        <v>3748</v>
      </c>
      <c r="G962" s="24" t="s">
        <v>3718</v>
      </c>
      <c r="H962" s="14" t="s">
        <v>8728</v>
      </c>
      <c r="I962" s="14" t="s">
        <v>8728</v>
      </c>
      <c r="J962" s="15" t="s">
        <v>8728</v>
      </c>
      <c r="K962" s="16">
        <v>33.469051</v>
      </c>
      <c r="L962" s="17">
        <v>23.143901</v>
      </c>
      <c r="M962" s="18">
        <f t="shared" ref="M962:M1025" si="16">L962/K962</f>
        <v>0.69150156065076362</v>
      </c>
    </row>
    <row r="963" spans="1:13">
      <c r="A963" s="13" t="s">
        <v>3719</v>
      </c>
      <c r="B963" s="14" t="s">
        <v>3719</v>
      </c>
      <c r="C963" s="14" t="str">
        <f>HYPERLINK("http://uswest.ensembl.org/Homo_sapiens/Gene/Summary?g=","-")</f>
        <v>-</v>
      </c>
      <c r="D963" s="14" t="s">
        <v>3720</v>
      </c>
      <c r="E963" s="14" t="str">
        <f>HYPERLINK("http://www.ncbi.nlm.nih.gov/sites/entrez?db=gene&amp;cmd=Retrieve&amp;dopt=full_report&amp;list_uids=8685","8685")</f>
        <v>8685</v>
      </c>
      <c r="F963" s="24" t="s">
        <v>3721</v>
      </c>
      <c r="G963" s="24" t="s">
        <v>3722</v>
      </c>
      <c r="H963" s="14" t="s">
        <v>6766</v>
      </c>
      <c r="I963" s="14" t="s">
        <v>3779</v>
      </c>
      <c r="J963" s="15" t="s">
        <v>8697</v>
      </c>
      <c r="K963" s="16">
        <v>38.116961000000003</v>
      </c>
      <c r="L963" s="17">
        <v>26.367909000000001</v>
      </c>
      <c r="M963" s="18">
        <f t="shared" si="16"/>
        <v>0.69176314974323372</v>
      </c>
    </row>
    <row r="964" spans="1:13">
      <c r="A964" s="13" t="s">
        <v>3780</v>
      </c>
      <c r="B964" s="14" t="s">
        <v>3780</v>
      </c>
      <c r="C964" s="14" t="str">
        <f>HYPERLINK("http://uswest.ensembl.org/Homo_sapiens/Gene/Summary?g=","-")</f>
        <v>-</v>
      </c>
      <c r="D964" s="14" t="s">
        <v>3781</v>
      </c>
      <c r="E964" s="14" t="str">
        <f>HYPERLINK("http://www.ncbi.nlm.nih.gov/sites/entrez?db=gene&amp;cmd=Retrieve&amp;dopt=full_report&amp;list_uids=79169","79169")</f>
        <v>79169</v>
      </c>
      <c r="F964" s="24" t="s">
        <v>3782</v>
      </c>
      <c r="G964" s="24" t="s">
        <v>3783</v>
      </c>
      <c r="H964" s="14" t="s">
        <v>8728</v>
      </c>
      <c r="I964" s="14" t="s">
        <v>8728</v>
      </c>
      <c r="J964" s="15" t="s">
        <v>8728</v>
      </c>
      <c r="K964" s="16">
        <v>102.30868700000001</v>
      </c>
      <c r="L964" s="17">
        <v>70.783468999999997</v>
      </c>
      <c r="M964" s="18">
        <f t="shared" si="16"/>
        <v>0.69186176731991478</v>
      </c>
    </row>
    <row r="965" spans="1:13">
      <c r="A965" s="13" t="s">
        <v>3734</v>
      </c>
      <c r="B965" s="14" t="s">
        <v>3734</v>
      </c>
      <c r="C965" s="14" t="str">
        <f>HYPERLINK("http://uswest.ensembl.org/Homo_sapiens/Gene/Summary?g=ENSG00000141458","ENSG00000141458")</f>
        <v>ENSG00000141458</v>
      </c>
      <c r="D965" s="14" t="s">
        <v>3735</v>
      </c>
      <c r="E965" s="14" t="str">
        <f>HYPERLINK("http://www.ncbi.nlm.nih.gov/sites/entrez?db=gene&amp;cmd=Retrieve&amp;dopt=full_report&amp;list_uids=4864","4864")</f>
        <v>4864</v>
      </c>
      <c r="F965" s="24" t="s">
        <v>3736</v>
      </c>
      <c r="G965" s="24" t="s">
        <v>3766</v>
      </c>
      <c r="H965" s="19" t="s">
        <v>3767</v>
      </c>
      <c r="I965" s="14" t="s">
        <v>3768</v>
      </c>
      <c r="J965" s="20" t="s">
        <v>3704</v>
      </c>
      <c r="K965" s="16">
        <v>45.080486999999998</v>
      </c>
      <c r="L965" s="17">
        <v>31.205179000000001</v>
      </c>
      <c r="M965" s="18">
        <f t="shared" si="16"/>
        <v>0.69221033481736793</v>
      </c>
    </row>
    <row r="966" spans="1:13">
      <c r="A966" s="13" t="s">
        <v>3705</v>
      </c>
      <c r="B966" s="14" t="s">
        <v>3705</v>
      </c>
      <c r="C966" s="14" t="str">
        <f>HYPERLINK("http://uswest.ensembl.org/Homo_sapiens/Gene/Summary?g=","-")</f>
        <v>-</v>
      </c>
      <c r="D966" s="14" t="s">
        <v>8728</v>
      </c>
      <c r="E966" s="14" t="str">
        <f>HYPERLINK("http://www.ncbi.nlm.nih.gov/sites/entrez?db=gene&amp;cmd=Retrieve&amp;dopt=full_report&amp;list_uids=100291926","100291926")</f>
        <v>100291926</v>
      </c>
      <c r="F966" s="24" t="s">
        <v>8728</v>
      </c>
      <c r="G966" s="24" t="s">
        <v>8728</v>
      </c>
      <c r="H966" s="14" t="s">
        <v>8728</v>
      </c>
      <c r="I966" s="14" t="s">
        <v>8728</v>
      </c>
      <c r="J966" s="15" t="s">
        <v>8728</v>
      </c>
      <c r="K966" s="16">
        <v>105.824895</v>
      </c>
      <c r="L966" s="17">
        <v>73.256085999999996</v>
      </c>
      <c r="M966" s="18">
        <f t="shared" si="16"/>
        <v>0.69223868353472029</v>
      </c>
    </row>
    <row r="967" spans="1:13">
      <c r="A967" s="13" t="s">
        <v>3706</v>
      </c>
      <c r="B967" s="14" t="s">
        <v>3706</v>
      </c>
      <c r="C967" s="14" t="str">
        <f>HYPERLINK("http://uswest.ensembl.org/Homo_sapiens/Gene/Summary?g=ENSG00000131586","ENSG00000131586")</f>
        <v>ENSG00000131586</v>
      </c>
      <c r="D967" s="14" t="s">
        <v>3707</v>
      </c>
      <c r="E967" s="14" t="str">
        <f>HYPERLINK("http://www.ncbi.nlm.nih.gov/sites/entrez?db=gene&amp;cmd=Retrieve&amp;dopt=full_report&amp;list_uids=642393","642393")</f>
        <v>642393</v>
      </c>
      <c r="F967" s="24" t="s">
        <v>3708</v>
      </c>
      <c r="G967" s="24" t="s">
        <v>3709</v>
      </c>
      <c r="H967" s="14" t="s">
        <v>7806</v>
      </c>
      <c r="I967" s="14" t="s">
        <v>7705</v>
      </c>
      <c r="J967" s="15" t="s">
        <v>7808</v>
      </c>
      <c r="K967" s="16">
        <v>356.77938499999999</v>
      </c>
      <c r="L967" s="17">
        <v>247.00107</v>
      </c>
      <c r="M967" s="18">
        <f t="shared" si="16"/>
        <v>0.69230757264744991</v>
      </c>
    </row>
    <row r="968" spans="1:13">
      <c r="A968" s="13" t="s">
        <v>3750</v>
      </c>
      <c r="B968" s="14" t="s">
        <v>3750</v>
      </c>
      <c r="C968" s="14" t="str">
        <f>HYPERLINK("http://uswest.ensembl.org/Homo_sapiens/Gene/Summary?g=ENSG00000107020","ENSG00000107020")</f>
        <v>ENSG00000107020</v>
      </c>
      <c r="D968" s="14" t="s">
        <v>3751</v>
      </c>
      <c r="E968" s="14" t="str">
        <f>HYPERLINK("http://www.ncbi.nlm.nih.gov/sites/entrez?db=gene&amp;cmd=Retrieve&amp;dopt=full_report&amp;list_uids=55848","55848")</f>
        <v>55848</v>
      </c>
      <c r="F968" s="24" t="s">
        <v>3752</v>
      </c>
      <c r="G968" s="24" t="s">
        <v>3697</v>
      </c>
      <c r="H968" s="14" t="s">
        <v>8728</v>
      </c>
      <c r="I968" s="14" t="s">
        <v>8728</v>
      </c>
      <c r="J968" s="15" t="s">
        <v>3698</v>
      </c>
      <c r="K968" s="16">
        <v>135.849244</v>
      </c>
      <c r="L968" s="17">
        <v>94.075378999999998</v>
      </c>
      <c r="M968" s="18">
        <f t="shared" si="16"/>
        <v>0.69249836237587015</v>
      </c>
    </row>
    <row r="969" spans="1:13">
      <c r="A969" s="13" t="s">
        <v>3699</v>
      </c>
      <c r="B969" s="14" t="s">
        <v>3699</v>
      </c>
      <c r="C969" s="14" t="str">
        <f>HYPERLINK("http://uswest.ensembl.org/Homo_sapiens/Gene/Summary?g=ENSG00000186481","ENSG00000186481")</f>
        <v>ENSG00000186481</v>
      </c>
      <c r="D969" s="14" t="s">
        <v>3700</v>
      </c>
      <c r="E969" s="14" t="str">
        <f>HYPERLINK("http://www.ncbi.nlm.nih.gov/sites/entrez?db=gene&amp;cmd=Retrieve&amp;dopt=full_report&amp;list_uids=440482","440482")</f>
        <v>440482</v>
      </c>
      <c r="F969" s="24" t="s">
        <v>3701</v>
      </c>
      <c r="G969" s="24" t="s">
        <v>3702</v>
      </c>
      <c r="H969" s="14" t="s">
        <v>8728</v>
      </c>
      <c r="I969" s="14" t="s">
        <v>8728</v>
      </c>
      <c r="J969" s="15" t="s">
        <v>8728</v>
      </c>
      <c r="K969" s="16">
        <v>34.190317</v>
      </c>
      <c r="L969" s="17">
        <v>23.682157</v>
      </c>
      <c r="M969" s="18">
        <f t="shared" si="16"/>
        <v>0.6926568419941822</v>
      </c>
    </row>
    <row r="970" spans="1:13">
      <c r="A970" s="13" t="s">
        <v>3737</v>
      </c>
      <c r="B970" s="14" t="s">
        <v>3737</v>
      </c>
      <c r="C970" s="14" t="str">
        <f>HYPERLINK("http://uswest.ensembl.org/Homo_sapiens/Gene/Summary?g=ENSG00000186314","ENSG00000186314")</f>
        <v>ENSG00000186314</v>
      </c>
      <c r="D970" s="14" t="s">
        <v>3738</v>
      </c>
      <c r="E970" s="14" t="str">
        <f>HYPERLINK("http://www.ncbi.nlm.nih.gov/sites/entrez?db=gene&amp;cmd=Retrieve&amp;dopt=full_report&amp;list_uids=153768","153768")</f>
        <v>153768</v>
      </c>
      <c r="F970" s="24" t="s">
        <v>3739</v>
      </c>
      <c r="G970" s="24" t="s">
        <v>3740</v>
      </c>
      <c r="H970" s="14" t="s">
        <v>8728</v>
      </c>
      <c r="I970" s="14" t="s">
        <v>8728</v>
      </c>
      <c r="J970" s="15" t="s">
        <v>8728</v>
      </c>
      <c r="K970" s="16">
        <v>119.646976</v>
      </c>
      <c r="L970" s="17">
        <v>82.891401000000002</v>
      </c>
      <c r="M970" s="18">
        <f t="shared" si="16"/>
        <v>0.69279979963722615</v>
      </c>
    </row>
    <row r="971" spans="1:13">
      <c r="A971" s="13" t="s">
        <v>3741</v>
      </c>
      <c r="B971" s="14" t="s">
        <v>3741</v>
      </c>
      <c r="C971" s="14" t="str">
        <f>HYPERLINK("http://uswest.ensembl.org/Homo_sapiens/Gene/Summary?g=ENSG00000181481","ENSG00000181481")</f>
        <v>ENSG00000181481</v>
      </c>
      <c r="D971" s="14" t="s">
        <v>3742</v>
      </c>
      <c r="E971" s="14" t="str">
        <f>HYPERLINK("http://www.ncbi.nlm.nih.gov/sites/entrez?db=gene&amp;cmd=Retrieve&amp;dopt=full_report&amp;list_uids=84282","84282")</f>
        <v>84282</v>
      </c>
      <c r="F971" s="24" t="s">
        <v>3743</v>
      </c>
      <c r="G971" s="24" t="s">
        <v>3744</v>
      </c>
      <c r="H971" s="14" t="s">
        <v>8728</v>
      </c>
      <c r="I971" s="14" t="s">
        <v>8580</v>
      </c>
      <c r="J971" s="15" t="s">
        <v>8728</v>
      </c>
      <c r="K971" s="16">
        <v>101.88742000000001</v>
      </c>
      <c r="L971" s="17">
        <v>70.591230999999993</v>
      </c>
      <c r="M971" s="18">
        <f t="shared" si="16"/>
        <v>0.69283559246077675</v>
      </c>
    </row>
    <row r="972" spans="1:13">
      <c r="A972" s="13" t="s">
        <v>3691</v>
      </c>
      <c r="B972" s="14" t="s">
        <v>3691</v>
      </c>
      <c r="C972" s="14" t="str">
        <f>HYPERLINK("http://uswest.ensembl.org/Homo_sapiens/Gene/Summary?g=","-")</f>
        <v>-</v>
      </c>
      <c r="D972" s="14" t="s">
        <v>8728</v>
      </c>
      <c r="E972" s="14" t="str">
        <f>HYPERLINK("http://www.ncbi.nlm.nih.gov/sites/entrez?db=gene&amp;cmd=Retrieve&amp;dopt=full_report&amp;list_uids=100293266","100293266")</f>
        <v>100293266</v>
      </c>
      <c r="F972" s="24" t="s">
        <v>8728</v>
      </c>
      <c r="G972" s="24" t="s">
        <v>8728</v>
      </c>
      <c r="H972" s="14" t="s">
        <v>8728</v>
      </c>
      <c r="I972" s="14" t="s">
        <v>8728</v>
      </c>
      <c r="J972" s="15" t="s">
        <v>8728</v>
      </c>
      <c r="K972" s="16">
        <v>33.774126000000003</v>
      </c>
      <c r="L972" s="17">
        <v>23.411418999999999</v>
      </c>
      <c r="M972" s="18">
        <f t="shared" si="16"/>
        <v>0.69317616094640011</v>
      </c>
    </row>
    <row r="973" spans="1:13">
      <c r="A973" s="13" t="s">
        <v>3692</v>
      </c>
      <c r="B973" s="14" t="s">
        <v>3692</v>
      </c>
      <c r="C973" s="14" t="str">
        <f>HYPERLINK("http://uswest.ensembl.org/Homo_sapiens/Gene/Summary?g=","-")</f>
        <v>-</v>
      </c>
      <c r="D973" s="14" t="s">
        <v>3693</v>
      </c>
      <c r="E973" s="14" t="str">
        <f>HYPERLINK("http://www.ncbi.nlm.nih.gov/sites/entrez?db=gene&amp;cmd=Retrieve&amp;dopt=full_report&amp;list_uids=1396","1396")</f>
        <v>1396</v>
      </c>
      <c r="F973" s="24" t="s">
        <v>3694</v>
      </c>
      <c r="G973" s="24" t="s">
        <v>3695</v>
      </c>
      <c r="H973" s="14" t="s">
        <v>7677</v>
      </c>
      <c r="I973" s="14" t="s">
        <v>8321</v>
      </c>
      <c r="J973" s="15" t="s">
        <v>8619</v>
      </c>
      <c r="K973" s="16">
        <v>823.61033299999997</v>
      </c>
      <c r="L973" s="17">
        <v>570.92873299999997</v>
      </c>
      <c r="M973" s="18">
        <f t="shared" si="16"/>
        <v>0.69320248924074634</v>
      </c>
    </row>
    <row r="974" spans="1:13">
      <c r="A974" s="13" t="s">
        <v>3723</v>
      </c>
      <c r="B974" s="14" t="s">
        <v>3723</v>
      </c>
      <c r="C974" s="14" t="str">
        <f>HYPERLINK("http://uswest.ensembl.org/Homo_sapiens/Gene/Summary?g=","-")</f>
        <v>-</v>
      </c>
      <c r="D974" s="14" t="s">
        <v>3724</v>
      </c>
      <c r="E974" s="14" t="str">
        <f>HYPERLINK("http://www.ncbi.nlm.nih.gov/sites/entrez?db=gene&amp;cmd=Retrieve&amp;dopt=full_report&amp;list_uids=7078","7078")</f>
        <v>7078</v>
      </c>
      <c r="F974" s="24" t="s">
        <v>3725</v>
      </c>
      <c r="G974" s="24" t="s">
        <v>3726</v>
      </c>
      <c r="H974" s="19" t="s">
        <v>3672</v>
      </c>
      <c r="I974" s="14" t="s">
        <v>3673</v>
      </c>
      <c r="J974" s="15" t="s">
        <v>3674</v>
      </c>
      <c r="K974" s="16">
        <v>235.75458800000001</v>
      </c>
      <c r="L974" s="17">
        <v>163.47799900000001</v>
      </c>
      <c r="M974" s="18">
        <f t="shared" si="16"/>
        <v>0.6934244647658776</v>
      </c>
    </row>
    <row r="975" spans="1:13">
      <c r="A975" s="13" t="s">
        <v>3675</v>
      </c>
      <c r="B975" s="14" t="s">
        <v>3675</v>
      </c>
      <c r="C975" s="14" t="str">
        <f>HYPERLINK("http://uswest.ensembl.org/Homo_sapiens/Gene/Summary?g=","-")</f>
        <v>-</v>
      </c>
      <c r="D975" s="14" t="s">
        <v>3676</v>
      </c>
      <c r="E975" s="14" t="str">
        <f>HYPERLINK("http://www.ncbi.nlm.nih.gov/sites/entrez?db=gene&amp;cmd=Retrieve&amp;dopt=full_report&amp;list_uids=889","889")</f>
        <v>889</v>
      </c>
      <c r="F975" s="24" t="s">
        <v>3677</v>
      </c>
      <c r="G975" s="24" t="s">
        <v>3703</v>
      </c>
      <c r="H975" s="14" t="s">
        <v>3713</v>
      </c>
      <c r="I975" s="14" t="s">
        <v>3714</v>
      </c>
      <c r="J975" s="15" t="s">
        <v>3715</v>
      </c>
      <c r="K975" s="16">
        <v>121.514588</v>
      </c>
      <c r="L975" s="17">
        <v>84.270078999999996</v>
      </c>
      <c r="M975" s="18">
        <f t="shared" si="16"/>
        <v>0.6934976317411371</v>
      </c>
    </row>
    <row r="976" spans="1:13">
      <c r="A976" s="13" t="s">
        <v>3716</v>
      </c>
      <c r="B976" s="14" t="s">
        <v>3716</v>
      </c>
      <c r="C976" s="14" t="str">
        <f>HYPERLINK("http://uswest.ensembl.org/Homo_sapiens/Gene/Summary?g=ENSG00000184662","ENSG00000184662")</f>
        <v>ENSG00000184662</v>
      </c>
      <c r="D976" s="14" t="s">
        <v>8728</v>
      </c>
      <c r="E976" s="14" t="str">
        <f>HYPERLINK("http://www.ncbi.nlm.nih.gov/sites/entrez?db=gene&amp;cmd=Retrieve&amp;dopt=full_report&amp;list_uids=","-")</f>
        <v>-</v>
      </c>
      <c r="F976" s="24" t="s">
        <v>3717</v>
      </c>
      <c r="G976" s="24" t="s">
        <v>8728</v>
      </c>
      <c r="H976" s="14" t="s">
        <v>8728</v>
      </c>
      <c r="I976" s="14" t="s">
        <v>8728</v>
      </c>
      <c r="J976" s="15" t="s">
        <v>8728</v>
      </c>
      <c r="K976" s="16">
        <v>40.401722999999997</v>
      </c>
      <c r="L976" s="17">
        <v>28.018975000000001</v>
      </c>
      <c r="M976" s="18">
        <f t="shared" si="16"/>
        <v>0.69350940800222816</v>
      </c>
    </row>
    <row r="977" spans="1:13">
      <c r="A977" s="13" t="s">
        <v>3688</v>
      </c>
      <c r="B977" s="14" t="s">
        <v>3688</v>
      </c>
      <c r="C977" s="14" t="str">
        <f>HYPERLINK("http://uswest.ensembl.org/Homo_sapiens/Gene/Summary?g=ENSG00000178234","ENSG00000178234")</f>
        <v>ENSG00000178234</v>
      </c>
      <c r="D977" s="14" t="s">
        <v>3689</v>
      </c>
      <c r="E977" s="14" t="str">
        <f>HYPERLINK("http://www.ncbi.nlm.nih.gov/sites/entrez?db=gene&amp;cmd=Retrieve&amp;dopt=full_report&amp;list_uids=63917","63917")</f>
        <v>63917</v>
      </c>
      <c r="F977" s="24" t="s">
        <v>3690</v>
      </c>
      <c r="G977" s="25" t="s">
        <v>3642</v>
      </c>
      <c r="H977" s="14" t="s">
        <v>8728</v>
      </c>
      <c r="I977" s="14" t="s">
        <v>3643</v>
      </c>
      <c r="J977" s="15" t="s">
        <v>7955</v>
      </c>
      <c r="K977" s="16">
        <v>40.894869</v>
      </c>
      <c r="L977" s="17">
        <v>28.362884999999999</v>
      </c>
      <c r="M977" s="18">
        <f t="shared" si="16"/>
        <v>0.69355607912572115</v>
      </c>
    </row>
    <row r="978" spans="1:13">
      <c r="A978" s="13" t="s">
        <v>3644</v>
      </c>
      <c r="B978" s="14" t="s">
        <v>3644</v>
      </c>
      <c r="C978" s="14" t="str">
        <f>HYPERLINK("http://uswest.ensembl.org/Homo_sapiens/Gene/Summary?g=ENSG00000075975","ENSG00000075975")</f>
        <v>ENSG00000075975</v>
      </c>
      <c r="D978" s="14" t="s">
        <v>3645</v>
      </c>
      <c r="E978" s="14" t="str">
        <f>HYPERLINK("http://www.ncbi.nlm.nih.gov/sites/entrez?db=gene&amp;cmd=Retrieve&amp;dopt=full_report&amp;list_uids=23609","23609")</f>
        <v>23609</v>
      </c>
      <c r="F978" s="24" t="s">
        <v>3646</v>
      </c>
      <c r="G978" s="24" t="s">
        <v>3647</v>
      </c>
      <c r="H978" s="14" t="s">
        <v>8076</v>
      </c>
      <c r="I978" s="14" t="s">
        <v>3648</v>
      </c>
      <c r="J978" s="15" t="s">
        <v>8707</v>
      </c>
      <c r="K978" s="16">
        <v>47.876783000000003</v>
      </c>
      <c r="L978" s="17">
        <v>33.214773999999998</v>
      </c>
      <c r="M978" s="18">
        <f t="shared" si="16"/>
        <v>0.69375534275141248</v>
      </c>
    </row>
    <row r="979" spans="1:13">
      <c r="A979" s="13" t="s">
        <v>3649</v>
      </c>
      <c r="B979" s="14" t="s">
        <v>3649</v>
      </c>
      <c r="C979" s="14" t="str">
        <f>HYPERLINK("http://uswest.ensembl.org/Homo_sapiens/Gene/Summary?g=","-")</f>
        <v>-</v>
      </c>
      <c r="D979" s="14" t="s">
        <v>3650</v>
      </c>
      <c r="E979" s="14" t="str">
        <f>HYPERLINK("http://www.ncbi.nlm.nih.gov/sites/entrez?db=gene&amp;cmd=Retrieve&amp;dopt=full_report&amp;list_uids=2931","2931")</f>
        <v>2931</v>
      </c>
      <c r="F979" s="24" t="s">
        <v>3651</v>
      </c>
      <c r="G979" s="24" t="s">
        <v>3696</v>
      </c>
      <c r="H979" s="14" t="s">
        <v>3710</v>
      </c>
      <c r="I979" s="14" t="s">
        <v>3711</v>
      </c>
      <c r="J979" s="15" t="s">
        <v>3712</v>
      </c>
      <c r="K979" s="16">
        <v>166.580209</v>
      </c>
      <c r="L979" s="17">
        <v>115.571927</v>
      </c>
      <c r="M979" s="18">
        <f t="shared" si="16"/>
        <v>0.69379146354654897</v>
      </c>
    </row>
    <row r="980" spans="1:13">
      <c r="A980" s="13" t="s">
        <v>3669</v>
      </c>
      <c r="B980" s="14" t="s">
        <v>3669</v>
      </c>
      <c r="C980" s="14" t="str">
        <f>HYPERLINK("http://uswest.ensembl.org/Homo_sapiens/Gene/Summary?g=","-")</f>
        <v>-</v>
      </c>
      <c r="D980" s="14" t="s">
        <v>3670</v>
      </c>
      <c r="E980" s="14" t="str">
        <f>HYPERLINK("http://www.ncbi.nlm.nih.gov/sites/entrez?db=gene&amp;cmd=Retrieve&amp;dopt=full_report&amp;list_uids=23137","23137")</f>
        <v>23137</v>
      </c>
      <c r="F980" s="24" t="s">
        <v>3671</v>
      </c>
      <c r="G980" s="24" t="s">
        <v>3681</v>
      </c>
      <c r="H980" s="14" t="s">
        <v>3682</v>
      </c>
      <c r="I980" s="14" t="s">
        <v>3683</v>
      </c>
      <c r="J980" s="15" t="s">
        <v>7225</v>
      </c>
      <c r="K980" s="16">
        <v>63.977649999999997</v>
      </c>
      <c r="L980" s="17">
        <v>44.398178000000001</v>
      </c>
      <c r="M980" s="18">
        <f t="shared" si="16"/>
        <v>0.69396387644747815</v>
      </c>
    </row>
    <row r="981" spans="1:13">
      <c r="A981" s="13" t="s">
        <v>3684</v>
      </c>
      <c r="B981" s="14" t="s">
        <v>3684</v>
      </c>
      <c r="C981" s="14" t="str">
        <f>HYPERLINK("http://uswest.ensembl.org/Homo_sapiens/Gene/Summary?g=","-")</f>
        <v>-</v>
      </c>
      <c r="D981" s="14" t="s">
        <v>3685</v>
      </c>
      <c r="E981" s="14" t="str">
        <f>HYPERLINK("http://www.ncbi.nlm.nih.gov/sites/entrez?db=gene&amp;cmd=Retrieve&amp;dopt=full_report&amp;list_uids=121665","121665")</f>
        <v>121665</v>
      </c>
      <c r="F981" s="24" t="s">
        <v>3686</v>
      </c>
      <c r="G981" s="24" t="s">
        <v>3635</v>
      </c>
      <c r="H981" s="14" t="s">
        <v>8728</v>
      </c>
      <c r="I981" s="14" t="s">
        <v>3636</v>
      </c>
      <c r="J981" s="15" t="s">
        <v>7988</v>
      </c>
      <c r="K981" s="16">
        <v>43.846803999999999</v>
      </c>
      <c r="L981" s="17">
        <v>30.432682</v>
      </c>
      <c r="M981" s="18">
        <f t="shared" si="16"/>
        <v>0.69406842058545481</v>
      </c>
    </row>
    <row r="982" spans="1:13">
      <c r="A982" s="13" t="s">
        <v>3637</v>
      </c>
      <c r="B982" s="14" t="s">
        <v>3637</v>
      </c>
      <c r="C982" s="14" t="str">
        <f>HYPERLINK("http://uswest.ensembl.org/Homo_sapiens/Gene/Summary?g=ENSG00000135503","ENSG00000135503")</f>
        <v>ENSG00000135503</v>
      </c>
      <c r="D982" s="14" t="s">
        <v>3678</v>
      </c>
      <c r="E982" s="14" t="str">
        <f>HYPERLINK("http://www.ncbi.nlm.nih.gov/sites/entrez?db=gene&amp;cmd=Retrieve&amp;dopt=full_report&amp;list_uids=91","91")</f>
        <v>91</v>
      </c>
      <c r="F982" s="24" t="s">
        <v>3679</v>
      </c>
      <c r="G982" s="24" t="s">
        <v>3680</v>
      </c>
      <c r="H982" s="19" t="s">
        <v>3687</v>
      </c>
      <c r="I982" s="19" t="s">
        <v>3631</v>
      </c>
      <c r="J982" s="15" t="s">
        <v>3652</v>
      </c>
      <c r="K982" s="16">
        <v>43.820126000000002</v>
      </c>
      <c r="L982" s="17">
        <v>30.415953999999999</v>
      </c>
      <c r="M982" s="18">
        <f t="shared" si="16"/>
        <v>0.69410923190864393</v>
      </c>
    </row>
    <row r="983" spans="1:13">
      <c r="A983" s="13" t="s">
        <v>3653</v>
      </c>
      <c r="B983" s="14" t="s">
        <v>3653</v>
      </c>
      <c r="C983" s="14" t="str">
        <f>HYPERLINK("http://uswest.ensembl.org/Homo_sapiens/Gene/Summary?g=ENSG00000142687","ENSG00000142687")</f>
        <v>ENSG00000142687</v>
      </c>
      <c r="D983" s="14" t="s">
        <v>3654</v>
      </c>
      <c r="E983" s="14" t="str">
        <f>HYPERLINK("http://www.ncbi.nlm.nih.gov/sites/entrez?db=gene&amp;cmd=Retrieve&amp;dopt=full_report&amp;list_uids=","-")</f>
        <v>-</v>
      </c>
      <c r="F983" s="24" t="s">
        <v>3655</v>
      </c>
      <c r="G983" s="24" t="s">
        <v>3664</v>
      </c>
      <c r="H983" s="14" t="s">
        <v>8728</v>
      </c>
      <c r="I983" s="14" t="s">
        <v>8728</v>
      </c>
      <c r="J983" s="15" t="s">
        <v>8728</v>
      </c>
      <c r="K983" s="16">
        <v>77.603370999999996</v>
      </c>
      <c r="L983" s="17">
        <v>53.876458999999997</v>
      </c>
      <c r="M983" s="18">
        <f t="shared" si="16"/>
        <v>0.69425410656452025</v>
      </c>
    </row>
    <row r="984" spans="1:13">
      <c r="A984" s="13" t="s">
        <v>3665</v>
      </c>
      <c r="B984" s="14" t="s">
        <v>3665</v>
      </c>
      <c r="C984" s="14" t="str">
        <f>HYPERLINK("http://uswest.ensembl.org/Homo_sapiens/Gene/Summary?g=ENSG00000204687","ENSG00000204687")</f>
        <v>ENSG00000204687</v>
      </c>
      <c r="D984" s="14" t="s">
        <v>3666</v>
      </c>
      <c r="E984" s="14" t="str">
        <f>HYPERLINK("http://www.ncbi.nlm.nih.gov/sites/entrez?db=gene&amp;cmd=Retrieve&amp;dopt=full_report&amp;list_uids=116511","116511")</f>
        <v>116511</v>
      </c>
      <c r="F984" s="24" t="s">
        <v>3667</v>
      </c>
      <c r="G984" s="24" t="s">
        <v>3668</v>
      </c>
      <c r="H984" s="14" t="s">
        <v>8427</v>
      </c>
      <c r="I984" s="14" t="s">
        <v>8513</v>
      </c>
      <c r="J984" s="15" t="s">
        <v>8701</v>
      </c>
      <c r="K984" s="16">
        <v>38.532550000000001</v>
      </c>
      <c r="L984" s="17">
        <v>26.762979999999999</v>
      </c>
      <c r="M984" s="18">
        <f t="shared" si="16"/>
        <v>0.69455512287663279</v>
      </c>
    </row>
    <row r="985" spans="1:13">
      <c r="A985" s="13" t="s">
        <v>3621</v>
      </c>
      <c r="B985" s="14" t="s">
        <v>3621</v>
      </c>
      <c r="C985" s="14" t="str">
        <f>HYPERLINK("http://uswest.ensembl.org/Homo_sapiens/Gene/Summary?g=","-")</f>
        <v>-</v>
      </c>
      <c r="D985" s="14" t="s">
        <v>3622</v>
      </c>
      <c r="E985" s="14" t="str">
        <f>HYPERLINK("http://www.ncbi.nlm.nih.gov/sites/entrez?db=gene&amp;cmd=Retrieve&amp;dopt=full_report&amp;list_uids=5412","5412")</f>
        <v>5412</v>
      </c>
      <c r="F985" s="24" t="s">
        <v>3623</v>
      </c>
      <c r="G985" s="24" t="s">
        <v>3638</v>
      </c>
      <c r="H985" s="14" t="s">
        <v>7796</v>
      </c>
      <c r="I985" s="14" t="s">
        <v>8728</v>
      </c>
      <c r="J985" s="15" t="s">
        <v>8728</v>
      </c>
      <c r="K985" s="16">
        <v>30.055724000000001</v>
      </c>
      <c r="L985" s="17">
        <v>20.881882999999998</v>
      </c>
      <c r="M985" s="18">
        <f t="shared" si="16"/>
        <v>0.69477225037067802</v>
      </c>
    </row>
    <row r="986" spans="1:13">
      <c r="A986" s="13" t="s">
        <v>3639</v>
      </c>
      <c r="B986" s="14" t="s">
        <v>3639</v>
      </c>
      <c r="C986" s="14" t="str">
        <f>HYPERLINK("http://uswest.ensembl.org/Homo_sapiens/Gene/Summary?g=","-")</f>
        <v>-</v>
      </c>
      <c r="D986" s="14" t="s">
        <v>3640</v>
      </c>
      <c r="E986" s="14" t="str">
        <f>HYPERLINK("http://www.ncbi.nlm.nih.gov/sites/entrez?db=gene&amp;cmd=Retrieve&amp;dopt=full_report&amp;list_uids=6480","6480")</f>
        <v>6480</v>
      </c>
      <c r="F986" s="24" t="s">
        <v>6593</v>
      </c>
      <c r="G986" s="24" t="s">
        <v>6514</v>
      </c>
      <c r="H986" s="14" t="s">
        <v>3641</v>
      </c>
      <c r="I986" s="14" t="s">
        <v>3605</v>
      </c>
      <c r="J986" s="15" t="s">
        <v>3606</v>
      </c>
      <c r="K986" s="16">
        <v>263.92605500000002</v>
      </c>
      <c r="L986" s="17">
        <v>183.393756</v>
      </c>
      <c r="M986" s="18">
        <f t="shared" si="16"/>
        <v>0.69486794700886956</v>
      </c>
    </row>
    <row r="987" spans="1:13">
      <c r="A987" s="13" t="s">
        <v>3658</v>
      </c>
      <c r="B987" s="14" t="s">
        <v>3658</v>
      </c>
      <c r="C987" s="14" t="str">
        <f>HYPERLINK("http://uswest.ensembl.org/Homo_sapiens/Gene/Summary?g=ENSG00000102547","ENSG00000102547")</f>
        <v>ENSG00000102547</v>
      </c>
      <c r="D987" s="14" t="s">
        <v>3659</v>
      </c>
      <c r="E987" s="14" t="str">
        <f>HYPERLINK("http://www.ncbi.nlm.nih.gov/sites/entrez?db=gene&amp;cmd=Retrieve&amp;dopt=full_report&amp;list_uids=81617","81617")</f>
        <v>81617</v>
      </c>
      <c r="F987" s="24" t="s">
        <v>3660</v>
      </c>
      <c r="G987" s="24" t="s">
        <v>3661</v>
      </c>
      <c r="H987" s="14" t="s">
        <v>8728</v>
      </c>
      <c r="I987" s="14" t="s">
        <v>4941</v>
      </c>
      <c r="J987" s="15" t="s">
        <v>8728</v>
      </c>
      <c r="K987" s="16">
        <v>39.112068000000001</v>
      </c>
      <c r="L987" s="17">
        <v>27.187335000000001</v>
      </c>
      <c r="M987" s="18">
        <f t="shared" si="16"/>
        <v>0.69511371784278964</v>
      </c>
    </row>
    <row r="988" spans="1:13">
      <c r="A988" s="13" t="s">
        <v>3662</v>
      </c>
      <c r="B988" s="14" t="s">
        <v>3662</v>
      </c>
      <c r="C988" s="14" t="str">
        <f>HYPERLINK("http://uswest.ensembl.org/Homo_sapiens/Gene/Summary?g=ENSG00000197639","ENSG00000197639")</f>
        <v>ENSG00000197639</v>
      </c>
      <c r="D988" s="14" t="s">
        <v>8728</v>
      </c>
      <c r="E988" s="14" t="str">
        <f>HYPERLINK("http://www.ncbi.nlm.nih.gov/sites/entrez?db=gene&amp;cmd=Retrieve&amp;dopt=full_report&amp;list_uids=","-")</f>
        <v>-</v>
      </c>
      <c r="F988" s="24" t="s">
        <v>3663</v>
      </c>
      <c r="G988" s="24" t="s">
        <v>8728</v>
      </c>
      <c r="H988" s="14" t="s">
        <v>8728</v>
      </c>
      <c r="I988" s="14" t="s">
        <v>8728</v>
      </c>
      <c r="J988" s="15" t="s">
        <v>8728</v>
      </c>
      <c r="K988" s="16">
        <v>132.438907</v>
      </c>
      <c r="L988" s="17">
        <v>92.062663999999998</v>
      </c>
      <c r="M988" s="18">
        <f t="shared" si="16"/>
        <v>0.69513306992181689</v>
      </c>
    </row>
    <row r="989" spans="1:13">
      <c r="A989" s="13" t="s">
        <v>3624</v>
      </c>
      <c r="B989" s="14" t="s">
        <v>3624</v>
      </c>
      <c r="C989" s="14" t="str">
        <f>HYPERLINK("http://uswest.ensembl.org/Homo_sapiens/Gene/Summary?g=ENSG00000196415","ENSG00000196415")</f>
        <v>ENSG00000196415</v>
      </c>
      <c r="D989" s="14" t="s">
        <v>3625</v>
      </c>
      <c r="E989" s="14" t="str">
        <f>HYPERLINK("http://www.ncbi.nlm.nih.gov/sites/entrez?db=gene&amp;cmd=Retrieve&amp;dopt=full_report&amp;list_uids=5657","5657")</f>
        <v>5657</v>
      </c>
      <c r="F989" s="24" t="s">
        <v>3626</v>
      </c>
      <c r="G989" s="24" t="s">
        <v>3627</v>
      </c>
      <c r="H989" s="14" t="s">
        <v>3628</v>
      </c>
      <c r="I989" s="14" t="s">
        <v>3761</v>
      </c>
      <c r="J989" s="15" t="s">
        <v>7208</v>
      </c>
      <c r="K989" s="16">
        <v>125.304496</v>
      </c>
      <c r="L989" s="17">
        <v>87.141120000000001</v>
      </c>
      <c r="M989" s="18">
        <f t="shared" si="16"/>
        <v>0.69543490283062148</v>
      </c>
    </row>
    <row r="990" spans="1:13">
      <c r="A990" s="13" t="s">
        <v>3630</v>
      </c>
      <c r="B990" s="14" t="s">
        <v>3630</v>
      </c>
      <c r="C990" s="14" t="str">
        <f>HYPERLINK("http://uswest.ensembl.org/Homo_sapiens/Gene/Summary?g=ENSG00000066279","ENSG00000066279")</f>
        <v>ENSG00000066279</v>
      </c>
      <c r="D990" s="14" t="s">
        <v>3602</v>
      </c>
      <c r="E990" s="14" t="str">
        <f>HYPERLINK("http://www.ncbi.nlm.nih.gov/sites/entrez?db=gene&amp;cmd=Retrieve&amp;dopt=full_report&amp;list_uids=259266","259266")</f>
        <v>259266</v>
      </c>
      <c r="F990" s="24" t="s">
        <v>3603</v>
      </c>
      <c r="G990" s="24" t="s">
        <v>3604</v>
      </c>
      <c r="H990" s="14" t="s">
        <v>3580</v>
      </c>
      <c r="I990" s="14" t="s">
        <v>3581</v>
      </c>
      <c r="J990" s="15" t="s">
        <v>8608</v>
      </c>
      <c r="K990" s="16">
        <v>78.396818999999994</v>
      </c>
      <c r="L990" s="17">
        <v>54.524723999999999</v>
      </c>
      <c r="M990" s="18">
        <f t="shared" si="16"/>
        <v>0.69549663743372037</v>
      </c>
    </row>
    <row r="991" spans="1:13">
      <c r="A991" s="13" t="s">
        <v>3582</v>
      </c>
      <c r="B991" s="14" t="s">
        <v>3582</v>
      </c>
      <c r="C991" s="14" t="str">
        <f>HYPERLINK("http://uswest.ensembl.org/Homo_sapiens/Gene/Summary?g=ENSG00000137936","ENSG00000137936")</f>
        <v>ENSG00000137936</v>
      </c>
      <c r="D991" s="14" t="s">
        <v>3583</v>
      </c>
      <c r="E991" s="14" t="str">
        <f>HYPERLINK("http://www.ncbi.nlm.nih.gov/sites/entrez?db=gene&amp;cmd=Retrieve&amp;dopt=full_report&amp;list_uids=8412","8412")</f>
        <v>8412</v>
      </c>
      <c r="F991" s="24" t="s">
        <v>3584</v>
      </c>
      <c r="G991" s="24" t="s">
        <v>3585</v>
      </c>
      <c r="H991" s="14" t="s">
        <v>3656</v>
      </c>
      <c r="I991" s="14" t="s">
        <v>3657</v>
      </c>
      <c r="J991" s="15" t="s">
        <v>8707</v>
      </c>
      <c r="K991" s="16">
        <v>36.074134000000001</v>
      </c>
      <c r="L991" s="17">
        <v>25.09177</v>
      </c>
      <c r="M991" s="18">
        <f t="shared" si="16"/>
        <v>0.69556125727092988</v>
      </c>
    </row>
    <row r="992" spans="1:13">
      <c r="A992" s="13" t="s">
        <v>3614</v>
      </c>
      <c r="B992" s="14" t="s">
        <v>3614</v>
      </c>
      <c r="C992" s="14" t="str">
        <f>HYPERLINK("http://uswest.ensembl.org/Homo_sapiens/Gene/Summary?g=ENSG00000124299","ENSG00000124299")</f>
        <v>ENSG00000124299</v>
      </c>
      <c r="D992" s="14" t="s">
        <v>3615</v>
      </c>
      <c r="E992" s="14" t="str">
        <f>HYPERLINK("http://www.ncbi.nlm.nih.gov/sites/entrez?db=gene&amp;cmd=Retrieve&amp;dopt=full_report&amp;list_uids=","-")</f>
        <v>-</v>
      </c>
      <c r="F992" s="24" t="s">
        <v>3616</v>
      </c>
      <c r="G992" s="24" t="s">
        <v>3617</v>
      </c>
      <c r="H992" s="14" t="s">
        <v>6956</v>
      </c>
      <c r="I992" s="14" t="s">
        <v>3618</v>
      </c>
      <c r="J992" s="15" t="s">
        <v>8728</v>
      </c>
      <c r="K992" s="16">
        <v>188.13318799999999</v>
      </c>
      <c r="L992" s="17">
        <v>130.90812</v>
      </c>
      <c r="M992" s="18">
        <f t="shared" si="16"/>
        <v>0.69582683093638964</v>
      </c>
    </row>
    <row r="993" spans="1:13">
      <c r="A993" s="13" t="s">
        <v>3619</v>
      </c>
      <c r="B993" s="14" t="s">
        <v>3619</v>
      </c>
      <c r="C993" s="14" t="str">
        <f>HYPERLINK("http://uswest.ensembl.org/Homo_sapiens/Gene/Summary?g=ENSG00000104221","ENSG00000104221")</f>
        <v>ENSG00000104221</v>
      </c>
      <c r="D993" s="14" t="s">
        <v>3620</v>
      </c>
      <c r="E993" s="14" t="str">
        <f>HYPERLINK("http://www.ncbi.nlm.nih.gov/sites/entrez?db=gene&amp;cmd=Retrieve&amp;dopt=full_report&amp;list_uids=55290","55290")</f>
        <v>55290</v>
      </c>
      <c r="F993" s="24" t="s">
        <v>3596</v>
      </c>
      <c r="G993" s="24" t="s">
        <v>3597</v>
      </c>
      <c r="H993" s="14" t="s">
        <v>3569</v>
      </c>
      <c r="I993" s="14" t="s">
        <v>3598</v>
      </c>
      <c r="J993" s="15" t="s">
        <v>8282</v>
      </c>
      <c r="K993" s="16">
        <v>90.959210999999996</v>
      </c>
      <c r="L993" s="17">
        <v>63.311312000000001</v>
      </c>
      <c r="M993" s="18">
        <f t="shared" si="16"/>
        <v>0.6960406901506655</v>
      </c>
    </row>
    <row r="994" spans="1:13">
      <c r="A994" s="13" t="s">
        <v>3570</v>
      </c>
      <c r="B994" s="14" t="s">
        <v>3570</v>
      </c>
      <c r="C994" s="14" t="str">
        <f>HYPERLINK("http://uswest.ensembl.org/Homo_sapiens/Gene/Summary?g=","-")</f>
        <v>-</v>
      </c>
      <c r="D994" s="14" t="s">
        <v>8728</v>
      </c>
      <c r="E994" s="14" t="str">
        <f>HYPERLINK("http://www.ncbi.nlm.nih.gov/sites/entrez?db=gene&amp;cmd=Retrieve&amp;dopt=full_report&amp;list_uids=100287514","100287514")</f>
        <v>100287514</v>
      </c>
      <c r="F994" s="24" t="s">
        <v>8728</v>
      </c>
      <c r="G994" s="24" t="s">
        <v>8728</v>
      </c>
      <c r="H994" s="14" t="s">
        <v>8728</v>
      </c>
      <c r="I994" s="14" t="s">
        <v>8728</v>
      </c>
      <c r="J994" s="15" t="s">
        <v>8728</v>
      </c>
      <c r="K994" s="16">
        <v>37.686650999999998</v>
      </c>
      <c r="L994" s="17">
        <v>26.232294</v>
      </c>
      <c r="M994" s="18">
        <f t="shared" si="16"/>
        <v>0.69606328246041282</v>
      </c>
    </row>
    <row r="995" spans="1:13">
      <c r="A995" s="13" t="s">
        <v>3571</v>
      </c>
      <c r="B995" s="14" t="s">
        <v>3571</v>
      </c>
      <c r="C995" s="14" t="str">
        <f>HYPERLINK("http://uswest.ensembl.org/Homo_sapiens/Gene/Summary?g=ENSG00000162073","ENSG00000162073")</f>
        <v>ENSG00000162073</v>
      </c>
      <c r="D995" s="14" t="s">
        <v>3572</v>
      </c>
      <c r="E995" s="14" t="str">
        <f>HYPERLINK("http://www.ncbi.nlm.nih.gov/sites/entrez?db=gene&amp;cmd=Retrieve&amp;dopt=full_report&amp;list_uids=","-")</f>
        <v>-</v>
      </c>
      <c r="F995" s="24" t="s">
        <v>3573</v>
      </c>
      <c r="G995" s="24" t="s">
        <v>3632</v>
      </c>
      <c r="H995" s="14" t="s">
        <v>8728</v>
      </c>
      <c r="I995" s="14" t="s">
        <v>8728</v>
      </c>
      <c r="J995" s="15" t="s">
        <v>8669</v>
      </c>
      <c r="K995" s="16">
        <v>30.820402999999999</v>
      </c>
      <c r="L995" s="17">
        <v>21.453576000000002</v>
      </c>
      <c r="M995" s="18">
        <f t="shared" si="16"/>
        <v>0.69608356516298642</v>
      </c>
    </row>
    <row r="996" spans="1:13">
      <c r="A996" s="13" t="s">
        <v>3599</v>
      </c>
      <c r="B996" s="14" t="s">
        <v>3599</v>
      </c>
      <c r="C996" s="14" t="str">
        <f>HYPERLINK("http://uswest.ensembl.org/Homo_sapiens/Gene/Summary?g=ENSG00000049245","ENSG00000049245")</f>
        <v>ENSG00000049245</v>
      </c>
      <c r="D996" s="14" t="s">
        <v>3600</v>
      </c>
      <c r="E996" s="14" t="str">
        <f>HYPERLINK("http://www.ncbi.nlm.nih.gov/sites/entrez?db=gene&amp;cmd=Retrieve&amp;dopt=full_report&amp;list_uids=9341","9341")</f>
        <v>9341</v>
      </c>
      <c r="F996" s="24" t="s">
        <v>3601</v>
      </c>
      <c r="G996" s="24" t="s">
        <v>3633</v>
      </c>
      <c r="H996" s="14" t="s">
        <v>3634</v>
      </c>
      <c r="I996" s="14" t="s">
        <v>8728</v>
      </c>
      <c r="J996" s="15" t="s">
        <v>3586</v>
      </c>
      <c r="K996" s="16">
        <v>113.911682</v>
      </c>
      <c r="L996" s="17">
        <v>79.302377000000007</v>
      </c>
      <c r="M996" s="18">
        <f t="shared" si="16"/>
        <v>0.69617422557240449</v>
      </c>
    </row>
    <row r="997" spans="1:13">
      <c r="A997" s="13" t="s">
        <v>3587</v>
      </c>
      <c r="B997" s="14" t="s">
        <v>3587</v>
      </c>
      <c r="C997" s="14" t="str">
        <f>HYPERLINK("http://uswest.ensembl.org/Homo_sapiens/Gene/Summary?g=ENSG00000132205","ENSG00000132205")</f>
        <v>ENSG00000132205</v>
      </c>
      <c r="D997" s="14" t="s">
        <v>3588</v>
      </c>
      <c r="E997" s="14" t="str">
        <f>HYPERLINK("http://www.ncbi.nlm.nih.gov/sites/entrez?db=gene&amp;cmd=Retrieve&amp;dopt=full_report&amp;list_uids=","-")</f>
        <v>-</v>
      </c>
      <c r="F997" s="24" t="s">
        <v>3589</v>
      </c>
      <c r="G997" s="24" t="s">
        <v>3557</v>
      </c>
      <c r="H997" s="14" t="s">
        <v>3558</v>
      </c>
      <c r="I997" s="14" t="s">
        <v>8679</v>
      </c>
      <c r="J997" s="15" t="s">
        <v>3559</v>
      </c>
      <c r="K997" s="16">
        <v>579.87267099999997</v>
      </c>
      <c r="L997" s="17">
        <v>403.69752699999998</v>
      </c>
      <c r="M997" s="18">
        <f t="shared" si="16"/>
        <v>0.69618305395185631</v>
      </c>
    </row>
    <row r="998" spans="1:13">
      <c r="A998" s="13" t="s">
        <v>3560</v>
      </c>
      <c r="B998" s="14" t="s">
        <v>3560</v>
      </c>
      <c r="C998" s="14" t="str">
        <f>HYPERLINK("http://uswest.ensembl.org/Homo_sapiens/Gene/Summary?g=ENSG00000110429","ENSG00000110429")</f>
        <v>ENSG00000110429</v>
      </c>
      <c r="D998" s="14" t="s">
        <v>3561</v>
      </c>
      <c r="E998" s="14" t="str">
        <f>HYPERLINK("http://www.ncbi.nlm.nih.gov/sites/entrez?db=gene&amp;cmd=Retrieve&amp;dopt=full_report&amp;list_uids=26273","26273")</f>
        <v>26273</v>
      </c>
      <c r="F998" s="24" t="s">
        <v>3562</v>
      </c>
      <c r="G998" s="24" t="s">
        <v>3563</v>
      </c>
      <c r="H998" s="14" t="s">
        <v>3590</v>
      </c>
      <c r="I998" s="14" t="s">
        <v>3591</v>
      </c>
      <c r="J998" s="15" t="s">
        <v>8728</v>
      </c>
      <c r="K998" s="16">
        <v>40.843013999999997</v>
      </c>
      <c r="L998" s="17">
        <v>28.436872999999999</v>
      </c>
      <c r="M998" s="18">
        <f t="shared" si="16"/>
        <v>0.69624815151986585</v>
      </c>
    </row>
    <row r="999" spans="1:13">
      <c r="A999" s="13" t="s">
        <v>3592</v>
      </c>
      <c r="B999" s="14" t="s">
        <v>3592</v>
      </c>
      <c r="C999" s="14" t="str">
        <f>HYPERLINK("http://uswest.ensembl.org/Homo_sapiens/Gene/Summary?g=ENSG00000105287","ENSG00000105287")</f>
        <v>ENSG00000105287</v>
      </c>
      <c r="D999" s="14" t="s">
        <v>3593</v>
      </c>
      <c r="E999" s="14" t="str">
        <f>HYPERLINK("http://www.ncbi.nlm.nih.gov/sites/entrez?db=gene&amp;cmd=Retrieve&amp;dopt=full_report&amp;list_uids=25865","25865")</f>
        <v>25865</v>
      </c>
      <c r="F999" s="24" t="s">
        <v>3594</v>
      </c>
      <c r="G999" s="24" t="s">
        <v>3595</v>
      </c>
      <c r="H999" s="14" t="s">
        <v>8577</v>
      </c>
      <c r="I999" s="19" t="s">
        <v>8578</v>
      </c>
      <c r="J999" s="15" t="s">
        <v>8707</v>
      </c>
      <c r="K999" s="16">
        <v>113.70164699999999</v>
      </c>
      <c r="L999" s="17">
        <v>79.166942000000006</v>
      </c>
      <c r="M999" s="18">
        <f t="shared" si="16"/>
        <v>0.69626908746537342</v>
      </c>
    </row>
    <row r="1000" spans="1:13">
      <c r="A1000" s="13" t="s">
        <v>3564</v>
      </c>
      <c r="B1000" s="14" t="s">
        <v>3564</v>
      </c>
      <c r="C1000" s="14" t="str">
        <f>HYPERLINK("http://uswest.ensembl.org/Homo_sapiens/Gene/Summary?g=","-")</f>
        <v>-</v>
      </c>
      <c r="D1000" s="14" t="s">
        <v>8728</v>
      </c>
      <c r="E1000" s="14" t="str">
        <f>HYPERLINK("http://www.ncbi.nlm.nih.gov/sites/entrez?db=gene&amp;cmd=Retrieve&amp;dopt=full_report&amp;list_uids=100292214","100292214")</f>
        <v>100292214</v>
      </c>
      <c r="F1000" s="24" t="s">
        <v>8728</v>
      </c>
      <c r="G1000" s="24" t="s">
        <v>8728</v>
      </c>
      <c r="H1000" s="14" t="s">
        <v>8728</v>
      </c>
      <c r="I1000" s="14" t="s">
        <v>8728</v>
      </c>
      <c r="J1000" s="15" t="s">
        <v>8728</v>
      </c>
      <c r="K1000" s="16">
        <v>84.518861999999999</v>
      </c>
      <c r="L1000" s="17">
        <v>58.865237999999998</v>
      </c>
      <c r="M1000" s="18">
        <f t="shared" si="16"/>
        <v>0.69647456919143091</v>
      </c>
    </row>
    <row r="1001" spans="1:13">
      <c r="A1001" s="13" t="s">
        <v>3565</v>
      </c>
      <c r="B1001" s="14" t="s">
        <v>3565</v>
      </c>
      <c r="C1001" s="14" t="str">
        <f>HYPERLINK("http://uswest.ensembl.org/Homo_sapiens/Gene/Summary?g=ENSG00000078403","ENSG00000078403")</f>
        <v>ENSG00000078403</v>
      </c>
      <c r="D1001" s="14" t="s">
        <v>3566</v>
      </c>
      <c r="E1001" s="14" t="str">
        <f>HYPERLINK("http://www.ncbi.nlm.nih.gov/sites/entrez?db=gene&amp;cmd=Retrieve&amp;dopt=full_report&amp;list_uids=8028","8028")</f>
        <v>8028</v>
      </c>
      <c r="F1001" s="24" t="s">
        <v>3567</v>
      </c>
      <c r="G1001" s="24" t="s">
        <v>3568</v>
      </c>
      <c r="H1001" s="14" t="s">
        <v>8728</v>
      </c>
      <c r="I1001" s="14" t="s">
        <v>3545</v>
      </c>
      <c r="J1001" s="15" t="s">
        <v>8608</v>
      </c>
      <c r="K1001" s="16">
        <v>32.843052999999998</v>
      </c>
      <c r="L1001" s="17">
        <v>22.879442000000001</v>
      </c>
      <c r="M1001" s="18">
        <f t="shared" si="16"/>
        <v>0.69662957338344889</v>
      </c>
    </row>
    <row r="1002" spans="1:13">
      <c r="A1002" s="13" t="s">
        <v>3546</v>
      </c>
      <c r="B1002" s="14" t="s">
        <v>3546</v>
      </c>
      <c r="C1002" s="14" t="str">
        <f>HYPERLINK("http://uswest.ensembl.org/Homo_sapiens/Gene/Summary?g=ENSG00000188784","ENSG00000188784")</f>
        <v>ENSG00000188784</v>
      </c>
      <c r="D1002" s="14" t="s">
        <v>3547</v>
      </c>
      <c r="E1002" s="14" t="str">
        <f>HYPERLINK("http://www.ncbi.nlm.nih.gov/sites/entrez?db=gene&amp;cmd=Retrieve&amp;dopt=full_report&amp;list_uids=30814","30814")</f>
        <v>30814</v>
      </c>
      <c r="F1002" s="24" t="s">
        <v>3548</v>
      </c>
      <c r="G1002" s="24" t="s">
        <v>3549</v>
      </c>
      <c r="H1002" s="14" t="s">
        <v>3550</v>
      </c>
      <c r="I1002" s="14" t="s">
        <v>8153</v>
      </c>
      <c r="J1002" s="15" t="s">
        <v>8731</v>
      </c>
      <c r="K1002" s="16">
        <v>48.179468999999997</v>
      </c>
      <c r="L1002" s="17">
        <v>33.564666000000003</v>
      </c>
      <c r="M1002" s="18">
        <f t="shared" si="16"/>
        <v>0.6966591101284243</v>
      </c>
    </row>
    <row r="1003" spans="1:13">
      <c r="A1003" s="13" t="s">
        <v>3551</v>
      </c>
      <c r="B1003" s="14" t="s">
        <v>3551</v>
      </c>
      <c r="C1003" s="14" t="str">
        <f>HYPERLINK("http://uswest.ensembl.org/Homo_sapiens/Gene/Summary?g=ENSG00000132466","ENSG00000132466")</f>
        <v>ENSG00000132466</v>
      </c>
      <c r="D1003" s="14" t="s">
        <v>3552</v>
      </c>
      <c r="E1003" s="14" t="str">
        <f>HYPERLINK("http://www.ncbi.nlm.nih.gov/sites/entrez?db=gene&amp;cmd=Retrieve&amp;dopt=full_report&amp;list_uids=","-")</f>
        <v>-</v>
      </c>
      <c r="F1003" s="24" t="s">
        <v>3553</v>
      </c>
      <c r="G1003" s="24" t="s">
        <v>3554</v>
      </c>
      <c r="H1003" s="14" t="s">
        <v>3555</v>
      </c>
      <c r="I1003" s="14" t="s">
        <v>3556</v>
      </c>
      <c r="J1003" s="15" t="s">
        <v>8728</v>
      </c>
      <c r="K1003" s="16">
        <v>67.243178</v>
      </c>
      <c r="L1003" s="17">
        <v>46.858713000000002</v>
      </c>
      <c r="M1003" s="18">
        <f t="shared" si="16"/>
        <v>0.69685452701239081</v>
      </c>
    </row>
    <row r="1004" spans="1:13">
      <c r="A1004" s="13" t="s">
        <v>3537</v>
      </c>
      <c r="B1004" s="14" t="s">
        <v>3537</v>
      </c>
      <c r="C1004" s="14" t="str">
        <f>HYPERLINK("http://uswest.ensembl.org/Homo_sapiens/Gene/Summary?g=","-")</f>
        <v>-</v>
      </c>
      <c r="D1004" s="14" t="s">
        <v>8728</v>
      </c>
      <c r="E1004" s="14" t="str">
        <f>HYPERLINK("http://www.ncbi.nlm.nih.gov/sites/entrez?db=gene&amp;cmd=Retrieve&amp;dopt=full_report&amp;list_uids=100287782","100287782")</f>
        <v>100287782</v>
      </c>
      <c r="F1004" s="24" t="s">
        <v>3538</v>
      </c>
      <c r="G1004" s="24" t="s">
        <v>8728</v>
      </c>
      <c r="H1004" s="14" t="s">
        <v>8728</v>
      </c>
      <c r="I1004" s="14" t="s">
        <v>8728</v>
      </c>
      <c r="J1004" s="15" t="s">
        <v>8728</v>
      </c>
      <c r="K1004" s="16">
        <v>47.108668999999999</v>
      </c>
      <c r="L1004" s="17">
        <v>32.837885</v>
      </c>
      <c r="M1004" s="18">
        <f t="shared" si="16"/>
        <v>0.6970667118614623</v>
      </c>
    </row>
    <row r="1005" spans="1:13">
      <c r="A1005" s="13" t="s">
        <v>3539</v>
      </c>
      <c r="B1005" s="14" t="s">
        <v>3539</v>
      </c>
      <c r="C1005" s="14" t="str">
        <f>HYPERLINK("http://uswest.ensembl.org/Homo_sapiens/Gene/Summary?g=ENSG00000198642","ENSG00000198642")</f>
        <v>ENSG00000198642</v>
      </c>
      <c r="D1005" s="14" t="s">
        <v>3607</v>
      </c>
      <c r="E1005" s="14" t="str">
        <f>HYPERLINK("http://www.ncbi.nlm.nih.gov/sites/entrez?db=gene&amp;cmd=Retrieve&amp;dopt=full_report&amp;list_uids=55958","55958")</f>
        <v>55958</v>
      </c>
      <c r="F1005" s="24" t="s">
        <v>3608</v>
      </c>
      <c r="G1005" s="24" t="s">
        <v>3609</v>
      </c>
      <c r="H1005" s="14" t="s">
        <v>8600</v>
      </c>
      <c r="I1005" s="14" t="s">
        <v>8665</v>
      </c>
      <c r="J1005" s="15" t="s">
        <v>8728</v>
      </c>
      <c r="K1005" s="16">
        <v>53.263593</v>
      </c>
      <c r="L1005" s="17">
        <v>37.139499000000001</v>
      </c>
      <c r="M1005" s="18">
        <f t="shared" si="16"/>
        <v>0.6972773879524049</v>
      </c>
    </row>
    <row r="1006" spans="1:13">
      <c r="A1006" s="13" t="s">
        <v>3610</v>
      </c>
      <c r="B1006" s="14" t="s">
        <v>3610</v>
      </c>
      <c r="C1006" s="14" t="str">
        <f>HYPERLINK("http://uswest.ensembl.org/Homo_sapiens/Gene/Summary?g=ENSG00000177106","ENSG00000177106")</f>
        <v>ENSG00000177106</v>
      </c>
      <c r="D1006" s="14" t="s">
        <v>3611</v>
      </c>
      <c r="E1006" s="14" t="str">
        <f>HYPERLINK("http://www.ncbi.nlm.nih.gov/sites/entrez?db=gene&amp;cmd=Retrieve&amp;dopt=full_report&amp;list_uids=64787","64787")</f>
        <v>64787</v>
      </c>
      <c r="F1006" s="24" t="s">
        <v>3612</v>
      </c>
      <c r="G1006" s="24" t="s">
        <v>3613</v>
      </c>
      <c r="H1006" s="14" t="s">
        <v>8728</v>
      </c>
      <c r="I1006" s="14" t="s">
        <v>8728</v>
      </c>
      <c r="J1006" s="15" t="s">
        <v>8619</v>
      </c>
      <c r="K1006" s="16">
        <v>73.042662000000007</v>
      </c>
      <c r="L1006" s="17">
        <v>50.935763000000001</v>
      </c>
      <c r="M1006" s="18">
        <f t="shared" si="16"/>
        <v>0.69734264339927798</v>
      </c>
    </row>
    <row r="1007" spans="1:13">
      <c r="A1007" s="13" t="s">
        <v>3525</v>
      </c>
      <c r="B1007" s="14" t="s">
        <v>3525</v>
      </c>
      <c r="C1007" s="14" t="str">
        <f>HYPERLINK("http://uswest.ensembl.org/Homo_sapiens/Gene/Summary?g=","-")</f>
        <v>-</v>
      </c>
      <c r="D1007" s="14" t="s">
        <v>3526</v>
      </c>
      <c r="E1007" s="14" t="str">
        <f>HYPERLINK("http://www.ncbi.nlm.nih.gov/sites/entrez?db=gene&amp;cmd=Retrieve&amp;dopt=full_report&amp;list_uids=2952","2952")</f>
        <v>2952</v>
      </c>
      <c r="F1007" s="24" t="s">
        <v>3527</v>
      </c>
      <c r="G1007" s="24" t="s">
        <v>3528</v>
      </c>
      <c r="H1007" s="14" t="s">
        <v>8728</v>
      </c>
      <c r="I1007" s="14" t="s">
        <v>3529</v>
      </c>
      <c r="J1007" s="15" t="s">
        <v>8619</v>
      </c>
      <c r="K1007" s="16">
        <v>116.36351500000001</v>
      </c>
      <c r="L1007" s="17">
        <v>81.200359000000006</v>
      </c>
      <c r="M1007" s="18">
        <f t="shared" si="16"/>
        <v>0.69781631295685764</v>
      </c>
    </row>
    <row r="1008" spans="1:13">
      <c r="A1008" s="13" t="s">
        <v>3509</v>
      </c>
      <c r="B1008" s="14" t="s">
        <v>3509</v>
      </c>
      <c r="C1008" s="14" t="str">
        <f>HYPERLINK("http://uswest.ensembl.org/Homo_sapiens/Gene/Summary?g=ENSG00000166579","ENSG00000166579")</f>
        <v>ENSG00000166579</v>
      </c>
      <c r="D1008" s="14" t="s">
        <v>3510</v>
      </c>
      <c r="E1008" s="14" t="str">
        <f>HYPERLINK("http://www.ncbi.nlm.nih.gov/sites/entrez?db=gene&amp;cmd=Retrieve&amp;dopt=full_report&amp;list_uids=81565","81565")</f>
        <v>81565</v>
      </c>
      <c r="F1008" s="24" t="s">
        <v>3511</v>
      </c>
      <c r="G1008" s="24" t="s">
        <v>3512</v>
      </c>
      <c r="H1008" s="14" t="s">
        <v>3574</v>
      </c>
      <c r="I1008" s="14" t="s">
        <v>8665</v>
      </c>
      <c r="J1008" s="15" t="s">
        <v>3530</v>
      </c>
      <c r="K1008" s="16">
        <v>70.973911000000001</v>
      </c>
      <c r="L1008" s="17">
        <v>49.530304000000001</v>
      </c>
      <c r="M1008" s="18">
        <f t="shared" si="16"/>
        <v>0.69786634697360839</v>
      </c>
    </row>
    <row r="1009" spans="1:13">
      <c r="A1009" s="13" t="s">
        <v>3531</v>
      </c>
      <c r="B1009" s="14" t="s">
        <v>3531</v>
      </c>
      <c r="C1009" s="14" t="str">
        <f>HYPERLINK("http://uswest.ensembl.org/Homo_sapiens/Gene/Summary?g=ENSG00000148925","ENSG00000148925")</f>
        <v>ENSG00000148925</v>
      </c>
      <c r="D1009" s="14" t="s">
        <v>3532</v>
      </c>
      <c r="E1009" s="14" t="str">
        <f>HYPERLINK("http://www.ncbi.nlm.nih.gov/sites/entrez?db=gene&amp;cmd=Retrieve&amp;dopt=full_report&amp;list_uids=84280","84280")</f>
        <v>84280</v>
      </c>
      <c r="F1009" s="24" t="s">
        <v>3533</v>
      </c>
      <c r="G1009" s="24" t="s">
        <v>3534</v>
      </c>
      <c r="H1009" s="14" t="s">
        <v>8197</v>
      </c>
      <c r="I1009" s="14" t="s">
        <v>8198</v>
      </c>
      <c r="J1009" s="15" t="s">
        <v>3535</v>
      </c>
      <c r="K1009" s="16">
        <v>139.59656100000001</v>
      </c>
      <c r="L1009" s="17">
        <v>97.431094000000002</v>
      </c>
      <c r="M1009" s="18">
        <f t="shared" si="16"/>
        <v>0.69794766649015083</v>
      </c>
    </row>
    <row r="1010" spans="1:13">
      <c r="A1010" s="13" t="s">
        <v>3575</v>
      </c>
      <c r="B1010" s="14" t="s">
        <v>3575</v>
      </c>
      <c r="C1010" s="14" t="str">
        <f>HYPERLINK("http://uswest.ensembl.org/Homo_sapiens/Gene/Summary?g=ENSG00000123576","ENSG00000123576")</f>
        <v>ENSG00000123576</v>
      </c>
      <c r="D1010" s="14" t="s">
        <v>3576</v>
      </c>
      <c r="E1010" s="14" t="str">
        <f>HYPERLINK("http://www.ncbi.nlm.nih.gov/sites/entrez?db=gene&amp;cmd=Retrieve&amp;dopt=full_report&amp;list_uids=80712","80712")</f>
        <v>80712</v>
      </c>
      <c r="F1010" s="24" t="s">
        <v>3577</v>
      </c>
      <c r="G1010" s="24" t="s">
        <v>3578</v>
      </c>
      <c r="H1010" s="14" t="s">
        <v>8188</v>
      </c>
      <c r="I1010" s="14" t="s">
        <v>3579</v>
      </c>
      <c r="J1010" s="15" t="s">
        <v>3540</v>
      </c>
      <c r="K1010" s="16">
        <v>34.992275999999997</v>
      </c>
      <c r="L1010" s="17">
        <v>24.424194</v>
      </c>
      <c r="M1010" s="18">
        <f t="shared" si="16"/>
        <v>0.69798815029922612</v>
      </c>
    </row>
    <row r="1011" spans="1:13">
      <c r="A1011" s="13" t="s">
        <v>3541</v>
      </c>
      <c r="B1011" s="14" t="s">
        <v>3541</v>
      </c>
      <c r="C1011" s="14" t="str">
        <f>HYPERLINK("http://uswest.ensembl.org/Homo_sapiens/Gene/Summary?g=","-")</f>
        <v>-</v>
      </c>
      <c r="D1011" s="14" t="s">
        <v>3542</v>
      </c>
      <c r="E1011" s="14" t="str">
        <f>HYPERLINK("http://www.ncbi.nlm.nih.gov/sites/entrez?db=gene&amp;cmd=Retrieve&amp;dopt=full_report&amp;list_uids=11200","11200")</f>
        <v>11200</v>
      </c>
      <c r="F1011" s="24" t="s">
        <v>3543</v>
      </c>
      <c r="G1011" s="24" t="s">
        <v>3544</v>
      </c>
      <c r="H1011" s="14" t="s">
        <v>8656</v>
      </c>
      <c r="I1011" s="14" t="s">
        <v>8251</v>
      </c>
      <c r="J1011" s="15" t="s">
        <v>8728</v>
      </c>
      <c r="K1011" s="16">
        <v>35.075961</v>
      </c>
      <c r="L1011" s="17">
        <v>24.482762999999998</v>
      </c>
      <c r="M1011" s="18">
        <f t="shared" si="16"/>
        <v>0.69799265086422002</v>
      </c>
    </row>
    <row r="1012" spans="1:13">
      <c r="A1012" s="13" t="s">
        <v>3517</v>
      </c>
      <c r="B1012" s="14" t="s">
        <v>3517</v>
      </c>
      <c r="C1012" s="14" t="str">
        <f>HYPERLINK("http://uswest.ensembl.org/Homo_sapiens/Gene/Summary?g=ENSG00000181789","ENSG00000181789")</f>
        <v>ENSG00000181789</v>
      </c>
      <c r="D1012" s="14" t="s">
        <v>3518</v>
      </c>
      <c r="E1012" s="14" t="str">
        <f>HYPERLINK("http://www.ncbi.nlm.nih.gov/sites/entrez?db=gene&amp;cmd=Retrieve&amp;dopt=full_report&amp;list_uids=22820","22820")</f>
        <v>22820</v>
      </c>
      <c r="F1012" s="24" t="s">
        <v>3519</v>
      </c>
      <c r="G1012" s="24" t="s">
        <v>3520</v>
      </c>
      <c r="H1012" s="14" t="s">
        <v>3521</v>
      </c>
      <c r="I1012" s="14" t="s">
        <v>3522</v>
      </c>
      <c r="J1012" s="15" t="s">
        <v>3486</v>
      </c>
      <c r="K1012" s="16">
        <v>170.54622499999999</v>
      </c>
      <c r="L1012" s="17">
        <v>119.06565999999999</v>
      </c>
      <c r="M1012" s="18">
        <f t="shared" si="16"/>
        <v>0.69814304010540251</v>
      </c>
    </row>
    <row r="1013" spans="1:13">
      <c r="A1013" s="13" t="s">
        <v>3487</v>
      </c>
      <c r="B1013" s="14" t="s">
        <v>3487</v>
      </c>
      <c r="C1013" s="14" t="str">
        <f>HYPERLINK("http://uswest.ensembl.org/Homo_sapiens/Gene/Summary?g=","-")</f>
        <v>-</v>
      </c>
      <c r="D1013" s="14" t="s">
        <v>3488</v>
      </c>
      <c r="E1013" s="14" t="str">
        <f>HYPERLINK("http://www.ncbi.nlm.nih.gov/sites/entrez?db=gene&amp;cmd=Retrieve&amp;dopt=full_report&amp;list_uids=11253","11253")</f>
        <v>11253</v>
      </c>
      <c r="F1013" s="24" t="s">
        <v>3489</v>
      </c>
      <c r="G1013" s="24" t="s">
        <v>3523</v>
      </c>
      <c r="H1013" s="14" t="s">
        <v>3524</v>
      </c>
      <c r="I1013" s="14" t="s">
        <v>8684</v>
      </c>
      <c r="J1013" s="15" t="s">
        <v>3500</v>
      </c>
      <c r="K1013" s="16">
        <v>32.686813000000001</v>
      </c>
      <c r="L1013" s="17">
        <v>22.821527</v>
      </c>
      <c r="M1013" s="18">
        <f t="shared" si="16"/>
        <v>0.69818758408780934</v>
      </c>
    </row>
    <row r="1014" spans="1:13">
      <c r="A1014" s="13" t="s">
        <v>3514</v>
      </c>
      <c r="B1014" s="14" t="s">
        <v>3514</v>
      </c>
      <c r="C1014" s="14" t="str">
        <f>HYPERLINK("http://uswest.ensembl.org/Homo_sapiens/Gene/Summary?g=","-")</f>
        <v>-</v>
      </c>
      <c r="D1014" s="14" t="s">
        <v>3515</v>
      </c>
      <c r="E1014" s="14" t="str">
        <f>HYPERLINK("http://www.ncbi.nlm.nih.gov/sites/entrez?db=gene&amp;cmd=Retrieve&amp;dopt=full_report&amp;list_uids=10210","10210")</f>
        <v>10210</v>
      </c>
      <c r="F1014" s="24" t="s">
        <v>3516</v>
      </c>
      <c r="G1014" s="24" t="s">
        <v>3469</v>
      </c>
      <c r="H1014" s="14" t="s">
        <v>3502</v>
      </c>
      <c r="I1014" s="14" t="s">
        <v>3503</v>
      </c>
      <c r="J1014" s="15" t="s">
        <v>5504</v>
      </c>
      <c r="K1014" s="16">
        <v>103.70174799999999</v>
      </c>
      <c r="L1014" s="17">
        <v>72.411071000000007</v>
      </c>
      <c r="M1014" s="18">
        <f t="shared" si="16"/>
        <v>0.69826278145282572</v>
      </c>
    </row>
    <row r="1015" spans="1:13">
      <c r="A1015" s="13" t="s">
        <v>3504</v>
      </c>
      <c r="B1015" s="14" t="s">
        <v>3504</v>
      </c>
      <c r="C1015" s="14" t="str">
        <f>HYPERLINK("http://uswest.ensembl.org/Homo_sapiens/Gene/Summary?g=","-")</f>
        <v>-</v>
      </c>
      <c r="D1015" s="14" t="s">
        <v>8728</v>
      </c>
      <c r="E1015" s="14" t="str">
        <f>HYPERLINK("http://www.ncbi.nlm.nih.gov/sites/entrez?db=gene&amp;cmd=Retrieve&amp;dopt=full_report&amp;list_uids=100294451","100294451")</f>
        <v>100294451</v>
      </c>
      <c r="F1015" s="24" t="s">
        <v>3505</v>
      </c>
      <c r="G1015" s="24" t="s">
        <v>8728</v>
      </c>
      <c r="H1015" s="14" t="s">
        <v>8210</v>
      </c>
      <c r="I1015" s="14" t="s">
        <v>8728</v>
      </c>
      <c r="J1015" s="15" t="s">
        <v>8728</v>
      </c>
      <c r="K1015" s="16">
        <v>107.831698</v>
      </c>
      <c r="L1015" s="17">
        <v>75.296615000000003</v>
      </c>
      <c r="M1015" s="18">
        <f t="shared" si="16"/>
        <v>0.69827904407106711</v>
      </c>
    </row>
    <row r="1016" spans="1:13">
      <c r="A1016" s="13" t="s">
        <v>3506</v>
      </c>
      <c r="B1016" s="14" t="s">
        <v>3506</v>
      </c>
      <c r="C1016" s="14" t="str">
        <f>HYPERLINK("http://uswest.ensembl.org/Homo_sapiens/Gene/Summary?g=ENSG00000143198","ENSG00000143198")</f>
        <v>ENSG00000143198</v>
      </c>
      <c r="D1016" s="14" t="s">
        <v>3507</v>
      </c>
      <c r="E1016" s="14" t="str">
        <f>HYPERLINK("http://www.ncbi.nlm.nih.gov/sites/entrez?db=gene&amp;cmd=Retrieve&amp;dopt=full_report&amp;list_uids=4259","4259")</f>
        <v>4259</v>
      </c>
      <c r="F1016" s="24" t="s">
        <v>3508</v>
      </c>
      <c r="G1016" s="24" t="s">
        <v>3476</v>
      </c>
      <c r="H1016" s="14" t="s">
        <v>3477</v>
      </c>
      <c r="I1016" s="14" t="s">
        <v>3478</v>
      </c>
      <c r="J1016" s="15" t="s">
        <v>6439</v>
      </c>
      <c r="K1016" s="16">
        <v>347.90490899999998</v>
      </c>
      <c r="L1016" s="17">
        <v>242.984713</v>
      </c>
      <c r="M1016" s="18">
        <f t="shared" si="16"/>
        <v>0.69842277793211593</v>
      </c>
    </row>
    <row r="1017" spans="1:13">
      <c r="A1017" s="13" t="s">
        <v>3490</v>
      </c>
      <c r="B1017" s="14" t="s">
        <v>3490</v>
      </c>
      <c r="C1017" s="14" t="str">
        <f>HYPERLINK("http://uswest.ensembl.org/Homo_sapiens/Gene/Summary?g=ENSG00000089737","ENSG00000089737")</f>
        <v>ENSG00000089737</v>
      </c>
      <c r="D1017" s="14" t="s">
        <v>3491</v>
      </c>
      <c r="E1017" s="14" t="str">
        <f>HYPERLINK("http://www.ncbi.nlm.nih.gov/sites/entrez?db=gene&amp;cmd=Retrieve&amp;dopt=full_report&amp;list_uids=57062","57062")</f>
        <v>57062</v>
      </c>
      <c r="F1017" s="24" t="s">
        <v>3492</v>
      </c>
      <c r="G1017" s="24" t="s">
        <v>3493</v>
      </c>
      <c r="H1017" s="14" t="s">
        <v>3494</v>
      </c>
      <c r="I1017" s="19" t="s">
        <v>3495</v>
      </c>
      <c r="J1017" s="15" t="s">
        <v>3496</v>
      </c>
      <c r="K1017" s="16">
        <v>280.06957299999999</v>
      </c>
      <c r="L1017" s="17">
        <v>195.66667100000001</v>
      </c>
      <c r="M1017" s="18">
        <f t="shared" si="16"/>
        <v>0.69863594571910181</v>
      </c>
    </row>
    <row r="1018" spans="1:13">
      <c r="A1018" s="13" t="s">
        <v>3497</v>
      </c>
      <c r="B1018" s="14" t="s">
        <v>3497</v>
      </c>
      <c r="C1018" s="14" t="str">
        <f>HYPERLINK("http://uswest.ensembl.org/Homo_sapiens/Gene/Summary?g=","-")</f>
        <v>-</v>
      </c>
      <c r="D1018" s="14" t="s">
        <v>3498</v>
      </c>
      <c r="E1018" s="14" t="str">
        <f>HYPERLINK("http://www.ncbi.nlm.nih.gov/sites/entrez?db=gene&amp;cmd=Retrieve&amp;dopt=full_report&amp;list_uids=1267","1267")</f>
        <v>1267</v>
      </c>
      <c r="F1018" s="24" t="s">
        <v>3499</v>
      </c>
      <c r="G1018" s="24" t="s">
        <v>3450</v>
      </c>
      <c r="H1018" s="14" t="s">
        <v>3451</v>
      </c>
      <c r="I1018" s="14" t="s">
        <v>3470</v>
      </c>
      <c r="J1018" s="15" t="s">
        <v>3471</v>
      </c>
      <c r="K1018" s="16">
        <v>287.006438</v>
      </c>
      <c r="L1018" s="17">
        <v>200.516547</v>
      </c>
      <c r="M1018" s="18">
        <f t="shared" si="16"/>
        <v>0.69864825471266956</v>
      </c>
    </row>
    <row r="1019" spans="1:13">
      <c r="A1019" s="13" t="s">
        <v>3472</v>
      </c>
      <c r="B1019" s="14" t="s">
        <v>3472</v>
      </c>
      <c r="C1019" s="14" t="str">
        <f>HYPERLINK("http://uswest.ensembl.org/Homo_sapiens/Gene/Summary?g=","-")</f>
        <v>-</v>
      </c>
      <c r="D1019" s="14" t="s">
        <v>3473</v>
      </c>
      <c r="E1019" s="14" t="str">
        <f>HYPERLINK("http://www.ncbi.nlm.nih.gov/sites/entrez?db=gene&amp;cmd=Retrieve&amp;dopt=full_report&amp;list_uids=203","203")</f>
        <v>203</v>
      </c>
      <c r="F1019" s="24" t="s">
        <v>3474</v>
      </c>
      <c r="G1019" s="24" t="s">
        <v>3475</v>
      </c>
      <c r="H1019" s="14" t="s">
        <v>3456</v>
      </c>
      <c r="I1019" s="14" t="s">
        <v>3479</v>
      </c>
      <c r="J1019" s="15" t="s">
        <v>3480</v>
      </c>
      <c r="K1019" s="16">
        <v>29.245697</v>
      </c>
      <c r="L1019" s="17">
        <v>20.434342999999998</v>
      </c>
      <c r="M1019" s="18">
        <f t="shared" si="16"/>
        <v>0.69871280551118331</v>
      </c>
    </row>
    <row r="1020" spans="1:13">
      <c r="A1020" s="13" t="s">
        <v>3481</v>
      </c>
      <c r="B1020" s="14" t="s">
        <v>3481</v>
      </c>
      <c r="C1020" s="14" t="str">
        <f>HYPERLINK("http://uswest.ensembl.org/Homo_sapiens/Gene/Summary?g=ENSG00000068001","ENSG00000068001")</f>
        <v>ENSG00000068001</v>
      </c>
      <c r="D1020" s="14" t="s">
        <v>3482</v>
      </c>
      <c r="E1020" s="14" t="str">
        <f>HYPERLINK("http://www.ncbi.nlm.nih.gov/sites/entrez?db=gene&amp;cmd=Retrieve&amp;dopt=full_report&amp;list_uids=8692","8692")</f>
        <v>8692</v>
      </c>
      <c r="F1020" s="24" t="s">
        <v>3483</v>
      </c>
      <c r="G1020" s="24" t="s">
        <v>3484</v>
      </c>
      <c r="H1020" s="14" t="s">
        <v>3485</v>
      </c>
      <c r="I1020" s="14" t="s">
        <v>3440</v>
      </c>
      <c r="J1020" s="15" t="s">
        <v>3441</v>
      </c>
      <c r="K1020" s="16">
        <v>34.562341000000004</v>
      </c>
      <c r="L1020" s="17">
        <v>24.152343999999999</v>
      </c>
      <c r="M1020" s="18">
        <f t="shared" si="16"/>
        <v>0.69880521114006711</v>
      </c>
    </row>
    <row r="1021" spans="1:13">
      <c r="A1021" s="13" t="s">
        <v>3442</v>
      </c>
      <c r="B1021" s="14" t="s">
        <v>3442</v>
      </c>
      <c r="C1021" s="14" t="str">
        <f>HYPERLINK("http://uswest.ensembl.org/Homo_sapiens/Gene/Summary?g=ENSG00000163808","ENSG00000163808")</f>
        <v>ENSG00000163808</v>
      </c>
      <c r="D1021" s="14" t="s">
        <v>3443</v>
      </c>
      <c r="E1021" s="14" t="str">
        <f>HYPERLINK("http://www.ncbi.nlm.nih.gov/sites/entrez?db=gene&amp;cmd=Retrieve&amp;dopt=full_report&amp;list_uids=","-")</f>
        <v>-</v>
      </c>
      <c r="F1021" s="24" t="s">
        <v>3444</v>
      </c>
      <c r="G1021" s="24" t="s">
        <v>3457</v>
      </c>
      <c r="H1021" s="14" t="s">
        <v>8647</v>
      </c>
      <c r="I1021" s="14" t="s">
        <v>3458</v>
      </c>
      <c r="J1021" s="15" t="s">
        <v>6639</v>
      </c>
      <c r="K1021" s="16">
        <v>70.313320000000004</v>
      </c>
      <c r="L1021" s="17">
        <v>49.135871000000002</v>
      </c>
      <c r="M1021" s="18">
        <f t="shared" si="16"/>
        <v>0.69881312673046869</v>
      </c>
    </row>
    <row r="1022" spans="1:13">
      <c r="A1022" s="13" t="s">
        <v>3459</v>
      </c>
      <c r="B1022" s="14" t="s">
        <v>3459</v>
      </c>
      <c r="C1022" s="14" t="str">
        <f>HYPERLINK("http://uswest.ensembl.org/Homo_sapiens/Gene/Summary?g=ENSG00000049283","ENSG00000049283")</f>
        <v>ENSG00000049283</v>
      </c>
      <c r="D1022" s="14" t="s">
        <v>3460</v>
      </c>
      <c r="E1022" s="14" t="str">
        <f>HYPERLINK("http://www.ncbi.nlm.nih.gov/sites/entrez?db=gene&amp;cmd=Retrieve&amp;dopt=full_report&amp;list_uids=55040","55040")</f>
        <v>55040</v>
      </c>
      <c r="F1022" s="24" t="s">
        <v>3461</v>
      </c>
      <c r="G1022" s="24" t="s">
        <v>3462</v>
      </c>
      <c r="H1022" s="14" t="s">
        <v>8574</v>
      </c>
      <c r="I1022" s="14" t="s">
        <v>3463</v>
      </c>
      <c r="J1022" s="15" t="s">
        <v>3446</v>
      </c>
      <c r="K1022" s="16">
        <v>28.428789999999999</v>
      </c>
      <c r="L1022" s="17">
        <v>19.868632000000002</v>
      </c>
      <c r="M1022" s="18">
        <f t="shared" si="16"/>
        <v>0.69889122963024464</v>
      </c>
    </row>
    <row r="1023" spans="1:13">
      <c r="A1023" s="13" t="s">
        <v>3465</v>
      </c>
      <c r="B1023" s="14" t="s">
        <v>3465</v>
      </c>
      <c r="C1023" s="14" t="str">
        <f>HYPERLINK("http://uswest.ensembl.org/Homo_sapiens/Gene/Summary?g=ENSG00000197312","ENSG00000197312")</f>
        <v>ENSG00000197312</v>
      </c>
      <c r="D1023" s="14" t="s">
        <v>3466</v>
      </c>
      <c r="E1023" s="14" t="str">
        <f>HYPERLINK("http://www.ncbi.nlm.nih.gov/sites/entrez?db=gene&amp;cmd=Retrieve&amp;dopt=full_report&amp;list_uids=84301","84301")</f>
        <v>84301</v>
      </c>
      <c r="F1023" s="24" t="s">
        <v>3467</v>
      </c>
      <c r="G1023" s="24" t="s">
        <v>3468</v>
      </c>
      <c r="H1023" s="14" t="s">
        <v>3513</v>
      </c>
      <c r="I1023" s="14" t="s">
        <v>8556</v>
      </c>
      <c r="J1023" s="15" t="s">
        <v>8728</v>
      </c>
      <c r="K1023" s="16">
        <v>38.390656</v>
      </c>
      <c r="L1023" s="17">
        <v>26.839371</v>
      </c>
      <c r="M1023" s="18">
        <f t="shared" si="16"/>
        <v>0.69911207039546286</v>
      </c>
    </row>
    <row r="1024" spans="1:13">
      <c r="A1024" s="13" t="s">
        <v>3452</v>
      </c>
      <c r="B1024" s="14" t="s">
        <v>3452</v>
      </c>
      <c r="C1024" s="14" t="str">
        <f>HYPERLINK("http://uswest.ensembl.org/Homo_sapiens/Gene/Summary?g=ENSG00000104856","ENSG00000104856")</f>
        <v>ENSG00000104856</v>
      </c>
      <c r="D1024" s="14" t="s">
        <v>8728</v>
      </c>
      <c r="E1024" s="14" t="str">
        <f>HYPERLINK("http://www.ncbi.nlm.nih.gov/sites/entrez?db=gene&amp;cmd=Retrieve&amp;dopt=full_report&amp;list_uids=5971","5971")</f>
        <v>5971</v>
      </c>
      <c r="F1024" s="24" t="s">
        <v>3453</v>
      </c>
      <c r="G1024" s="24" t="s">
        <v>3454</v>
      </c>
      <c r="H1024" s="14" t="s">
        <v>8673</v>
      </c>
      <c r="I1024" s="14" t="s">
        <v>3455</v>
      </c>
      <c r="J1024" s="15" t="s">
        <v>8558</v>
      </c>
      <c r="K1024" s="16">
        <v>29.799215</v>
      </c>
      <c r="L1024" s="17">
        <v>20.838274999999999</v>
      </c>
      <c r="M1024" s="18">
        <f t="shared" si="16"/>
        <v>0.69928939403269508</v>
      </c>
    </row>
    <row r="1025" spans="1:13">
      <c r="A1025" s="13" t="s">
        <v>3447</v>
      </c>
      <c r="B1025" s="14" t="s">
        <v>3447</v>
      </c>
      <c r="C1025" s="14" t="str">
        <f>HYPERLINK("http://uswest.ensembl.org/Homo_sapiens/Gene/Summary?g=ENSG00000145390","ENSG00000145390")</f>
        <v>ENSG00000145390</v>
      </c>
      <c r="D1025" s="14" t="s">
        <v>3448</v>
      </c>
      <c r="E1025" s="14" t="str">
        <f>HYPERLINK("http://www.ncbi.nlm.nih.gov/sites/entrez?db=gene&amp;cmd=Retrieve&amp;dopt=full_report&amp;list_uids=54532","54532")</f>
        <v>54532</v>
      </c>
      <c r="F1025" s="24" t="s">
        <v>3449</v>
      </c>
      <c r="G1025" s="24" t="s">
        <v>3416</v>
      </c>
      <c r="H1025" s="14" t="s">
        <v>3417</v>
      </c>
      <c r="I1025" s="14" t="s">
        <v>3418</v>
      </c>
      <c r="J1025" s="15" t="s">
        <v>7768</v>
      </c>
      <c r="K1025" s="16">
        <v>213.02268000000001</v>
      </c>
      <c r="L1025" s="17">
        <v>149.088211</v>
      </c>
      <c r="M1025" s="18">
        <f t="shared" si="16"/>
        <v>0.69987013119917563</v>
      </c>
    </row>
    <row r="1026" spans="1:13">
      <c r="A1026" s="13" t="s">
        <v>3419</v>
      </c>
      <c r="B1026" s="14" t="s">
        <v>3419</v>
      </c>
      <c r="C1026" s="14" t="str">
        <f>HYPERLINK("http://uswest.ensembl.org/Homo_sapiens/Gene/Summary?g=ENSG00000215817","ENSG00000215817")</f>
        <v>ENSG00000215817</v>
      </c>
      <c r="D1026" s="14" t="s">
        <v>8728</v>
      </c>
      <c r="E1026" s="14" t="str">
        <f>HYPERLINK("http://www.ncbi.nlm.nih.gov/sites/entrez?db=gene&amp;cmd=Retrieve&amp;dopt=full_report&amp;list_uids=","-")</f>
        <v>-</v>
      </c>
      <c r="F1026" s="24" t="s">
        <v>3420</v>
      </c>
      <c r="G1026" s="24" t="s">
        <v>8728</v>
      </c>
      <c r="H1026" s="14" t="s">
        <v>8728</v>
      </c>
      <c r="I1026" s="14" t="s">
        <v>8728</v>
      </c>
      <c r="J1026" s="15" t="s">
        <v>8728</v>
      </c>
      <c r="K1026" s="16">
        <v>79.083485999999994</v>
      </c>
      <c r="L1026" s="17">
        <v>55.349791000000003</v>
      </c>
      <c r="M1026" s="18">
        <f t="shared" ref="M1026:M1089" si="17">L1026/K1026</f>
        <v>0.6998906320341014</v>
      </c>
    </row>
    <row r="1027" spans="1:13">
      <c r="A1027" s="13" t="s">
        <v>3421</v>
      </c>
      <c r="B1027" s="14" t="s">
        <v>3421</v>
      </c>
      <c r="C1027" s="14" t="str">
        <f>HYPERLINK("http://uswest.ensembl.org/Homo_sapiens/Gene/Summary?g=ENSG00000168769","ENSG00000168769")</f>
        <v>ENSG00000168769</v>
      </c>
      <c r="D1027" s="14" t="s">
        <v>3422</v>
      </c>
      <c r="E1027" s="14" t="str">
        <f>HYPERLINK("http://www.ncbi.nlm.nih.gov/sites/entrez?db=gene&amp;cmd=Retrieve&amp;dopt=full_report&amp;list_uids=54790","54790")</f>
        <v>54790</v>
      </c>
      <c r="F1027" s="24" t="s">
        <v>3423</v>
      </c>
      <c r="G1027" s="24" t="s">
        <v>3424</v>
      </c>
      <c r="H1027" s="14" t="s">
        <v>8728</v>
      </c>
      <c r="I1027" s="14" t="s">
        <v>8728</v>
      </c>
      <c r="J1027" s="15" t="s">
        <v>8728</v>
      </c>
      <c r="K1027" s="16">
        <v>268.31064600000002</v>
      </c>
      <c r="L1027" s="17">
        <v>187.794668</v>
      </c>
      <c r="M1027" s="18">
        <f t="shared" si="17"/>
        <v>0.69991508275821446</v>
      </c>
    </row>
    <row r="1028" spans="1:13">
      <c r="A1028" s="13" t="s">
        <v>3425</v>
      </c>
      <c r="B1028" s="14" t="s">
        <v>3425</v>
      </c>
      <c r="C1028" s="14" t="str">
        <f>HYPERLINK("http://uswest.ensembl.org/Homo_sapiens/Gene/Summary?g=ENSG00000070985","ENSG00000070985")</f>
        <v>ENSG00000070985</v>
      </c>
      <c r="D1028" s="14" t="s">
        <v>3426</v>
      </c>
      <c r="E1028" s="14" t="str">
        <f>HYPERLINK("http://www.ncbi.nlm.nih.gov/sites/entrez?db=gene&amp;cmd=Retrieve&amp;dopt=full_report&amp;list_uids=29850","29850")</f>
        <v>29850</v>
      </c>
      <c r="F1028" s="24" t="s">
        <v>3427</v>
      </c>
      <c r="G1028" s="24" t="s">
        <v>3389</v>
      </c>
      <c r="H1028" s="14" t="s">
        <v>8209</v>
      </c>
      <c r="I1028" s="14" t="s">
        <v>3390</v>
      </c>
      <c r="J1028" s="15" t="s">
        <v>8589</v>
      </c>
      <c r="K1028" s="16">
        <v>30.061402000000001</v>
      </c>
      <c r="L1028" s="17">
        <v>21.042237</v>
      </c>
      <c r="M1028" s="18">
        <f t="shared" si="17"/>
        <v>0.69997523734920941</v>
      </c>
    </row>
    <row r="1029" spans="1:13">
      <c r="A1029" s="13" t="s">
        <v>3391</v>
      </c>
      <c r="B1029" s="14" t="s">
        <v>3391</v>
      </c>
      <c r="C1029" s="14" t="str">
        <f>HYPERLINK("http://uswest.ensembl.org/Homo_sapiens/Gene/Summary?g=","-")</f>
        <v>-</v>
      </c>
      <c r="D1029" s="14" t="s">
        <v>3392</v>
      </c>
      <c r="E1029" s="14" t="str">
        <f>HYPERLINK("http://www.ncbi.nlm.nih.gov/sites/entrez?db=gene&amp;cmd=Retrieve&amp;dopt=full_report&amp;list_uids=1729","1729")</f>
        <v>1729</v>
      </c>
      <c r="F1029" s="14" t="s">
        <v>3393</v>
      </c>
      <c r="G1029" s="14" t="s">
        <v>3394</v>
      </c>
      <c r="H1029" s="14" t="s">
        <v>3395</v>
      </c>
      <c r="I1029" s="14" t="s">
        <v>3434</v>
      </c>
      <c r="J1029" s="15" t="s">
        <v>3435</v>
      </c>
      <c r="K1029" s="16">
        <v>203.559865</v>
      </c>
      <c r="L1029" s="17">
        <v>142.49280999999999</v>
      </c>
      <c r="M1029" s="18">
        <f t="shared" si="17"/>
        <v>0.700004443410296</v>
      </c>
    </row>
    <row r="1030" spans="1:13">
      <c r="A1030" s="26" t="s">
        <v>3401</v>
      </c>
      <c r="B1030" s="24" t="s">
        <v>3401</v>
      </c>
      <c r="C1030" s="24" t="str">
        <f>HYPERLINK("http://uswest.ensembl.org/Homo_sapiens/Gene/Summary?g=ENSG00000182742","ENSG00000182742")</f>
        <v>ENSG00000182742</v>
      </c>
      <c r="D1030" s="24" t="s">
        <v>3402</v>
      </c>
      <c r="E1030" s="24" t="str">
        <f>HYPERLINK("http://www.ncbi.nlm.nih.gov/sites/entrez?db=gene&amp;cmd=Retrieve&amp;dopt=full_report&amp;list_uids=3214","3214")</f>
        <v>3214</v>
      </c>
      <c r="F1030" s="24" t="s">
        <v>3403</v>
      </c>
      <c r="G1030" s="24" t="s">
        <v>3445</v>
      </c>
      <c r="H1030" s="25" t="s">
        <v>3384</v>
      </c>
      <c r="I1030" s="24" t="s">
        <v>3385</v>
      </c>
      <c r="J1030" s="27" t="s">
        <v>8360</v>
      </c>
      <c r="K1030" s="21">
        <v>40.551608000000002</v>
      </c>
      <c r="L1030" s="22">
        <v>28.398447000000001</v>
      </c>
      <c r="M1030" s="23">
        <f t="shared" si="17"/>
        <v>0.70030384491781439</v>
      </c>
    </row>
    <row r="1031" spans="1:13">
      <c r="A1031" s="13" t="s">
        <v>3386</v>
      </c>
      <c r="B1031" s="14" t="s">
        <v>3386</v>
      </c>
      <c r="C1031" s="14" t="str">
        <f>HYPERLINK("http://uswest.ensembl.org/Homo_sapiens/Gene/Summary?g=","-")</f>
        <v>-</v>
      </c>
      <c r="D1031" s="14" t="s">
        <v>8728</v>
      </c>
      <c r="E1031" s="14" t="str">
        <f>HYPERLINK("http://www.ncbi.nlm.nih.gov/sites/entrez?db=gene&amp;cmd=Retrieve&amp;dopt=full_report&amp;list_uids=100132506","100132506")</f>
        <v>100132506</v>
      </c>
      <c r="F1031" s="14" t="s">
        <v>8728</v>
      </c>
      <c r="G1031" s="14" t="s">
        <v>8728</v>
      </c>
      <c r="H1031" s="14" t="s">
        <v>8728</v>
      </c>
      <c r="I1031" s="14" t="s">
        <v>8728</v>
      </c>
      <c r="J1031" s="15" t="s">
        <v>8728</v>
      </c>
      <c r="K1031" s="16">
        <v>48.678519999999999</v>
      </c>
      <c r="L1031" s="17">
        <v>34.090184999999998</v>
      </c>
      <c r="M1031" s="18">
        <f t="shared" si="17"/>
        <v>0.70031268411611525</v>
      </c>
    </row>
    <row r="1032" spans="1:13">
      <c r="A1032" s="13" t="s">
        <v>3387</v>
      </c>
      <c r="B1032" s="14" t="s">
        <v>3387</v>
      </c>
      <c r="C1032" s="14" t="str">
        <f>HYPERLINK("http://uswest.ensembl.org/Homo_sapiens/Gene/Summary?g=","-")</f>
        <v>-</v>
      </c>
      <c r="D1032" s="14" t="s">
        <v>3388</v>
      </c>
      <c r="E1032" s="14" t="str">
        <f>HYPERLINK("http://www.ncbi.nlm.nih.gov/sites/entrez?db=gene&amp;cmd=Retrieve&amp;dopt=full_report&amp;list_uids=493753","493753")</f>
        <v>493753</v>
      </c>
      <c r="F1032" s="14" t="s">
        <v>3409</v>
      </c>
      <c r="G1032" s="14" t="s">
        <v>3410</v>
      </c>
      <c r="H1032" s="14" t="s">
        <v>8728</v>
      </c>
      <c r="I1032" s="14" t="s">
        <v>8728</v>
      </c>
      <c r="J1032" s="15" t="s">
        <v>8728</v>
      </c>
      <c r="K1032" s="16">
        <v>36.079963999999997</v>
      </c>
      <c r="L1032" s="17">
        <v>25.269684000000002</v>
      </c>
      <c r="M1032" s="18">
        <f t="shared" si="17"/>
        <v>0.70037996711970119</v>
      </c>
    </row>
    <row r="1033" spans="1:13">
      <c r="A1033" s="13" t="s">
        <v>3411</v>
      </c>
      <c r="B1033" s="14" t="s">
        <v>3411</v>
      </c>
      <c r="C1033" s="14" t="str">
        <f>HYPERLINK("http://uswest.ensembl.org/Homo_sapiens/Gene/Summary?g=","-")</f>
        <v>-</v>
      </c>
      <c r="D1033" s="14" t="s">
        <v>8728</v>
      </c>
      <c r="E1033" s="14" t="str">
        <f>HYPERLINK("http://www.ncbi.nlm.nih.gov/sites/entrez?db=gene&amp;cmd=Retrieve&amp;dopt=full_report&amp;list_uids=100287281","100287281")</f>
        <v>100287281</v>
      </c>
      <c r="F1033" s="14" t="s">
        <v>8728</v>
      </c>
      <c r="G1033" s="14" t="s">
        <v>8728</v>
      </c>
      <c r="H1033" s="14" t="s">
        <v>8728</v>
      </c>
      <c r="I1033" s="14" t="s">
        <v>8728</v>
      </c>
      <c r="J1033" s="15" t="s">
        <v>8728</v>
      </c>
      <c r="K1033" s="16">
        <v>41.841338999999998</v>
      </c>
      <c r="L1033" s="17">
        <v>29.307950999999999</v>
      </c>
      <c r="M1033" s="18">
        <f t="shared" si="17"/>
        <v>0.70045442379365541</v>
      </c>
    </row>
    <row r="1034" spans="1:13">
      <c r="A1034" s="13" t="s">
        <v>3412</v>
      </c>
      <c r="B1034" s="14" t="s">
        <v>3412</v>
      </c>
      <c r="C1034" s="14" t="str">
        <f>HYPERLINK("http://uswest.ensembl.org/Homo_sapiens/Gene/Summary?g=ENSG00000176049","ENSG00000176049")</f>
        <v>ENSG00000176049</v>
      </c>
      <c r="D1034" s="14" t="s">
        <v>3413</v>
      </c>
      <c r="E1034" s="14" t="str">
        <f>HYPERLINK("http://www.ncbi.nlm.nih.gov/sites/entrez?db=gene&amp;cmd=Retrieve&amp;dopt=full_report&amp;list_uids=9832","9832")</f>
        <v>9832</v>
      </c>
      <c r="F1034" s="14" t="s">
        <v>3414</v>
      </c>
      <c r="G1034" s="14" t="s">
        <v>3415</v>
      </c>
      <c r="H1034" s="14" t="s">
        <v>8728</v>
      </c>
      <c r="I1034" s="14" t="s">
        <v>8728</v>
      </c>
      <c r="J1034" s="15" t="s">
        <v>4028</v>
      </c>
      <c r="K1034" s="16">
        <v>50.694966999999998</v>
      </c>
      <c r="L1034" s="17">
        <v>35.511243</v>
      </c>
      <c r="M1034" s="18">
        <f t="shared" si="17"/>
        <v>0.70048853173136505</v>
      </c>
    </row>
    <row r="1035" spans="1:13">
      <c r="A1035" s="13" t="s">
        <v>3428</v>
      </c>
      <c r="B1035" s="14" t="s">
        <v>3428</v>
      </c>
      <c r="C1035" s="14" t="str">
        <f>HYPERLINK("http://uswest.ensembl.org/Homo_sapiens/Gene/Summary?g=","-")</f>
        <v>-</v>
      </c>
      <c r="D1035" s="14" t="s">
        <v>8728</v>
      </c>
      <c r="E1035" s="14" t="str">
        <f>HYPERLINK("http://www.ncbi.nlm.nih.gov/sites/entrez?db=gene&amp;cmd=Retrieve&amp;dopt=full_report&amp;list_uids=100292961","100292961")</f>
        <v>100292961</v>
      </c>
      <c r="F1035" s="14" t="s">
        <v>8728</v>
      </c>
      <c r="G1035" s="14" t="s">
        <v>8728</v>
      </c>
      <c r="H1035" s="14" t="s">
        <v>8728</v>
      </c>
      <c r="I1035" s="14" t="s">
        <v>8728</v>
      </c>
      <c r="J1035" s="15" t="s">
        <v>8728</v>
      </c>
      <c r="K1035" s="16">
        <v>39.637194999999998</v>
      </c>
      <c r="L1035" s="17">
        <v>27.770115000000001</v>
      </c>
      <c r="M1035" s="18">
        <f t="shared" si="17"/>
        <v>0.70060747235014997</v>
      </c>
    </row>
    <row r="1036" spans="1:13">
      <c r="A1036" s="13" t="s">
        <v>3429</v>
      </c>
      <c r="B1036" s="14" t="s">
        <v>3429</v>
      </c>
      <c r="C1036" s="14" t="str">
        <f>HYPERLINK("http://uswest.ensembl.org/Homo_sapiens/Gene/Summary?g=ENSG00000133739","ENSG00000133739")</f>
        <v>ENSG00000133739</v>
      </c>
      <c r="D1036" s="14" t="s">
        <v>3430</v>
      </c>
      <c r="E1036" s="14" t="str">
        <f>HYPERLINK("http://www.ncbi.nlm.nih.gov/sites/entrez?db=gene&amp;cmd=Retrieve&amp;dopt=full_report&amp;list_uids=85444","85444")</f>
        <v>85444</v>
      </c>
      <c r="F1036" s="14" t="s">
        <v>3431</v>
      </c>
      <c r="G1036" s="14" t="s">
        <v>3432</v>
      </c>
      <c r="H1036" s="14" t="s">
        <v>8728</v>
      </c>
      <c r="I1036" s="14" t="s">
        <v>8665</v>
      </c>
      <c r="J1036" s="15" t="s">
        <v>8728</v>
      </c>
      <c r="K1036" s="16">
        <v>38.350081000000003</v>
      </c>
      <c r="L1036" s="17">
        <v>26.868656000000001</v>
      </c>
      <c r="M1036" s="18">
        <f t="shared" si="17"/>
        <v>0.70061536506272304</v>
      </c>
    </row>
    <row r="1037" spans="1:13">
      <c r="A1037" s="13" t="s">
        <v>3433</v>
      </c>
      <c r="B1037" s="14" t="s">
        <v>3433</v>
      </c>
      <c r="C1037" s="14" t="str">
        <f>HYPERLINK("http://uswest.ensembl.org/Homo_sapiens/Gene/Summary?g=ENSG00000198624","ENSG00000198624")</f>
        <v>ENSG00000198624</v>
      </c>
      <c r="D1037" s="14" t="s">
        <v>8455</v>
      </c>
      <c r="E1037" s="14" t="str">
        <f>HYPERLINK("http://www.ncbi.nlm.nih.gov/sites/entrez?db=gene&amp;cmd=Retrieve&amp;dopt=full_report&amp;list_uids=26112","26112")</f>
        <v>26112</v>
      </c>
      <c r="F1037" s="14" t="s">
        <v>8456</v>
      </c>
      <c r="G1037" s="14" t="s">
        <v>8457</v>
      </c>
      <c r="H1037" s="14" t="s">
        <v>8728</v>
      </c>
      <c r="I1037" s="14" t="s">
        <v>8728</v>
      </c>
      <c r="J1037" s="15" t="s">
        <v>6896</v>
      </c>
      <c r="K1037" s="16">
        <v>204.79864599999999</v>
      </c>
      <c r="L1037" s="17">
        <v>143.48746800000001</v>
      </c>
      <c r="M1037" s="18">
        <f t="shared" si="17"/>
        <v>0.7006270344189679</v>
      </c>
    </row>
    <row r="1038" spans="1:13">
      <c r="A1038" s="13" t="s">
        <v>3437</v>
      </c>
      <c r="B1038" s="14" t="s">
        <v>3437</v>
      </c>
      <c r="C1038" s="14" t="str">
        <f>HYPERLINK("http://uswest.ensembl.org/Homo_sapiens/Gene/Summary?g=","-")</f>
        <v>-</v>
      </c>
      <c r="D1038" s="14" t="s">
        <v>3438</v>
      </c>
      <c r="E1038" s="14" t="str">
        <f>HYPERLINK("http://www.ncbi.nlm.nih.gov/sites/entrez?db=gene&amp;cmd=Retrieve&amp;dopt=full_report&amp;list_uids=23141","23141")</f>
        <v>23141</v>
      </c>
      <c r="F1038" s="14" t="s">
        <v>3439</v>
      </c>
      <c r="G1038" s="14" t="s">
        <v>3381</v>
      </c>
      <c r="H1038" s="14" t="s">
        <v>8728</v>
      </c>
      <c r="I1038" s="14" t="s">
        <v>8728</v>
      </c>
      <c r="J1038" s="15" t="s">
        <v>3382</v>
      </c>
      <c r="K1038" s="16">
        <v>41.088692999999999</v>
      </c>
      <c r="L1038" s="17">
        <v>28.789822999999998</v>
      </c>
      <c r="M1038" s="18">
        <f t="shared" si="17"/>
        <v>0.70067507379706628</v>
      </c>
    </row>
    <row r="1039" spans="1:13">
      <c r="A1039" s="13" t="s">
        <v>3396</v>
      </c>
      <c r="B1039" s="14" t="s">
        <v>3396</v>
      </c>
      <c r="C1039" s="14" t="str">
        <f>HYPERLINK("http://uswest.ensembl.org/Homo_sapiens/Gene/Summary?g=ENSG00000183671","ENSG00000183671")</f>
        <v>ENSG00000183671</v>
      </c>
      <c r="D1039" s="14" t="s">
        <v>3397</v>
      </c>
      <c r="E1039" s="14" t="str">
        <f>HYPERLINK("http://www.ncbi.nlm.nih.gov/sites/entrez?db=gene&amp;cmd=Retrieve&amp;dopt=full_report&amp;list_uids=2825","2825")</f>
        <v>2825</v>
      </c>
      <c r="F1039" s="14" t="s">
        <v>3398</v>
      </c>
      <c r="G1039" s="14" t="s">
        <v>3399</v>
      </c>
      <c r="H1039" s="14" t="s">
        <v>3400</v>
      </c>
      <c r="I1039" s="19" t="s">
        <v>3404</v>
      </c>
      <c r="J1039" s="15" t="s">
        <v>3405</v>
      </c>
      <c r="K1039" s="16">
        <v>33.119587000000003</v>
      </c>
      <c r="L1039" s="17">
        <v>23.208095</v>
      </c>
      <c r="M1039" s="18">
        <f t="shared" si="17"/>
        <v>0.7007362440842031</v>
      </c>
    </row>
    <row r="1040" spans="1:13">
      <c r="A1040" s="13" t="s">
        <v>3406</v>
      </c>
      <c r="B1040" s="14" t="s">
        <v>3406</v>
      </c>
      <c r="C1040" s="14" t="str">
        <f>HYPERLINK("http://uswest.ensembl.org/Homo_sapiens/Gene/Summary?g=ENSG00000145715","ENSG00000145715")</f>
        <v>ENSG00000145715</v>
      </c>
      <c r="D1040" s="14" t="s">
        <v>3407</v>
      </c>
      <c r="E1040" s="14" t="str">
        <f>HYPERLINK("http://www.ncbi.nlm.nih.gov/sites/entrez?db=gene&amp;cmd=Retrieve&amp;dopt=full_report&amp;list_uids=5921","5921")</f>
        <v>5921</v>
      </c>
      <c r="F1040" s="14" t="s">
        <v>3408</v>
      </c>
      <c r="G1040" s="14" t="s">
        <v>3383</v>
      </c>
      <c r="H1040" s="14" t="s">
        <v>6157</v>
      </c>
      <c r="I1040" s="14" t="s">
        <v>8331</v>
      </c>
      <c r="J1040" s="15" t="s">
        <v>8707</v>
      </c>
      <c r="K1040" s="16">
        <v>47.596359</v>
      </c>
      <c r="L1040" s="17">
        <v>33.354900000000001</v>
      </c>
      <c r="M1040" s="18">
        <f t="shared" si="17"/>
        <v>0.70078679757836104</v>
      </c>
    </row>
    <row r="1041" spans="1:13">
      <c r="A1041" s="13" t="s">
        <v>3369</v>
      </c>
      <c r="B1041" s="14" t="s">
        <v>3369</v>
      </c>
      <c r="C1041" s="14" t="str">
        <f>HYPERLINK("http://uswest.ensembl.org/Homo_sapiens/Gene/Summary?g=ENSG00000204178","ENSG00000204178")</f>
        <v>ENSG00000204178</v>
      </c>
      <c r="D1041" s="14" t="s">
        <v>3370</v>
      </c>
      <c r="E1041" s="14" t="str">
        <f>HYPERLINK("http://www.ncbi.nlm.nih.gov/sites/entrez?db=gene&amp;cmd=Retrieve&amp;dopt=full_report&amp;list_uids=55219","55219")</f>
        <v>55219</v>
      </c>
      <c r="F1041" s="14" t="s">
        <v>3371</v>
      </c>
      <c r="G1041" s="14" t="s">
        <v>3372</v>
      </c>
      <c r="H1041" s="14" t="s">
        <v>7573</v>
      </c>
      <c r="I1041" s="14" t="s">
        <v>8728</v>
      </c>
      <c r="J1041" s="15" t="s">
        <v>3373</v>
      </c>
      <c r="K1041" s="16">
        <v>85.384557999999998</v>
      </c>
      <c r="L1041" s="17">
        <v>59.860649000000002</v>
      </c>
      <c r="M1041" s="18">
        <f t="shared" si="17"/>
        <v>0.70107113513429442</v>
      </c>
    </row>
    <row r="1042" spans="1:13">
      <c r="A1042" s="13" t="s">
        <v>3374</v>
      </c>
      <c r="B1042" s="14" t="s">
        <v>3374</v>
      </c>
      <c r="C1042" s="14" t="str">
        <f>HYPERLINK("http://uswest.ensembl.org/Homo_sapiens/Gene/Summary?g=","-")</f>
        <v>-</v>
      </c>
      <c r="D1042" s="14" t="s">
        <v>8728</v>
      </c>
      <c r="E1042" s="14" t="str">
        <f>HYPERLINK("http://www.ncbi.nlm.nih.gov/sites/entrez?db=gene&amp;cmd=Retrieve&amp;dopt=full_report&amp;list_uids=100293247","100293247")</f>
        <v>100293247</v>
      </c>
      <c r="F1042" s="14" t="s">
        <v>8728</v>
      </c>
      <c r="G1042" s="14" t="s">
        <v>8728</v>
      </c>
      <c r="H1042" s="14" t="s">
        <v>8728</v>
      </c>
      <c r="I1042" s="14" t="s">
        <v>8728</v>
      </c>
      <c r="J1042" s="15" t="s">
        <v>8728</v>
      </c>
      <c r="K1042" s="16">
        <v>66.510555999999994</v>
      </c>
      <c r="L1042" s="17">
        <v>46.629978999999999</v>
      </c>
      <c r="M1042" s="18">
        <f t="shared" si="17"/>
        <v>0.70109140269403258</v>
      </c>
    </row>
    <row r="1043" spans="1:13">
      <c r="A1043" s="13" t="s">
        <v>3375</v>
      </c>
      <c r="B1043" s="14" t="s">
        <v>3375</v>
      </c>
      <c r="C1043" s="14" t="str">
        <f>HYPERLINK("http://uswest.ensembl.org/Homo_sapiens/Gene/Summary?g=ENSG00000123240","ENSG00000123240")</f>
        <v>ENSG00000123240</v>
      </c>
      <c r="D1043" s="14" t="s">
        <v>3376</v>
      </c>
      <c r="E1043" s="14" t="str">
        <f>HYPERLINK("http://www.ncbi.nlm.nih.gov/sites/entrez?db=gene&amp;cmd=Retrieve&amp;dopt=full_report&amp;list_uids=10133","10133")</f>
        <v>10133</v>
      </c>
      <c r="F1043" s="14" t="s">
        <v>3377</v>
      </c>
      <c r="G1043" s="19" t="s">
        <v>3378</v>
      </c>
      <c r="H1043" s="14" t="s">
        <v>3380</v>
      </c>
      <c r="I1043" s="14" t="s">
        <v>3436</v>
      </c>
      <c r="J1043" s="15" t="s">
        <v>4014</v>
      </c>
      <c r="K1043" s="16">
        <v>61.857120000000002</v>
      </c>
      <c r="L1043" s="17">
        <v>43.373662000000003</v>
      </c>
      <c r="M1043" s="18">
        <f t="shared" si="17"/>
        <v>0.70119109974728866</v>
      </c>
    </row>
    <row r="1044" spans="1:13">
      <c r="A1044" s="13" t="s">
        <v>3352</v>
      </c>
      <c r="B1044" s="14" t="s">
        <v>3352</v>
      </c>
      <c r="C1044" s="14" t="str">
        <f>HYPERLINK("http://uswest.ensembl.org/Homo_sapiens/Gene/Summary?g=ENSG00000174325","ENSG00000174325")</f>
        <v>ENSG00000174325</v>
      </c>
      <c r="D1044" s="14" t="s">
        <v>3353</v>
      </c>
      <c r="E1044" s="14" t="str">
        <f>HYPERLINK("http://www.ncbi.nlm.nih.gov/sites/entrez?db=gene&amp;cmd=Retrieve&amp;dopt=full_report&amp;list_uids=116093","116093")</f>
        <v>116093</v>
      </c>
      <c r="F1044" s="14" t="s">
        <v>3354</v>
      </c>
      <c r="G1044" s="14" t="s">
        <v>3355</v>
      </c>
      <c r="H1044" s="14" t="s">
        <v>8728</v>
      </c>
      <c r="I1044" s="14" t="s">
        <v>8728</v>
      </c>
      <c r="J1044" s="15" t="s">
        <v>8728</v>
      </c>
      <c r="K1044" s="16">
        <v>35.323655000000002</v>
      </c>
      <c r="L1044" s="17">
        <v>24.778257</v>
      </c>
      <c r="M1044" s="18">
        <f t="shared" si="17"/>
        <v>0.70146356598715498</v>
      </c>
    </row>
    <row r="1045" spans="1:13">
      <c r="A1045" s="13" t="s">
        <v>3356</v>
      </c>
      <c r="B1045" s="14" t="s">
        <v>3356</v>
      </c>
      <c r="C1045" s="14" t="str">
        <f>HYPERLINK("http://uswest.ensembl.org/Homo_sapiens/Gene/Summary?g=","-")</f>
        <v>-</v>
      </c>
      <c r="D1045" s="14" t="s">
        <v>3357</v>
      </c>
      <c r="E1045" s="14" t="str">
        <f>HYPERLINK("http://www.ncbi.nlm.nih.gov/sites/entrez?db=gene&amp;cmd=Retrieve&amp;dopt=full_report&amp;list_uids=2045","2045")</f>
        <v>2045</v>
      </c>
      <c r="F1045" s="14" t="s">
        <v>3358</v>
      </c>
      <c r="G1045" s="14" t="s">
        <v>3359</v>
      </c>
      <c r="H1045" s="14" t="s">
        <v>8687</v>
      </c>
      <c r="I1045" s="14" t="s">
        <v>3360</v>
      </c>
      <c r="J1045" s="15" t="s">
        <v>7988</v>
      </c>
      <c r="K1045" s="16">
        <v>49.863864999999997</v>
      </c>
      <c r="L1045" s="17">
        <v>34.980556999999997</v>
      </c>
      <c r="M1045" s="18">
        <f t="shared" si="17"/>
        <v>0.70152117169417172</v>
      </c>
    </row>
    <row r="1046" spans="1:13">
      <c r="A1046" s="13" t="s">
        <v>3361</v>
      </c>
      <c r="B1046" s="14" t="s">
        <v>3361</v>
      </c>
      <c r="C1046" s="14" t="str">
        <f>HYPERLINK("http://uswest.ensembl.org/Homo_sapiens/Gene/Summary?g=ENSG00000163154","ENSG00000163154")</f>
        <v>ENSG00000163154</v>
      </c>
      <c r="D1046" s="14" t="s">
        <v>3362</v>
      </c>
      <c r="E1046" s="14" t="str">
        <f>HYPERLINK("http://www.ncbi.nlm.nih.gov/sites/entrez?db=gene&amp;cmd=Retrieve&amp;dopt=full_report&amp;list_uids=79626","79626")</f>
        <v>79626</v>
      </c>
      <c r="F1046" s="14" t="s">
        <v>3363</v>
      </c>
      <c r="G1046" s="14" t="s">
        <v>3364</v>
      </c>
      <c r="H1046" s="14" t="s">
        <v>8590</v>
      </c>
      <c r="I1046" s="14" t="s">
        <v>8728</v>
      </c>
      <c r="J1046" s="15" t="s">
        <v>8728</v>
      </c>
      <c r="K1046" s="16">
        <v>164.31607199999999</v>
      </c>
      <c r="L1046" s="17">
        <v>115.27208400000001</v>
      </c>
      <c r="M1046" s="18">
        <f t="shared" si="17"/>
        <v>0.7015265311356762</v>
      </c>
    </row>
    <row r="1047" spans="1:13">
      <c r="A1047" s="13" t="s">
        <v>3365</v>
      </c>
      <c r="B1047" s="14" t="s">
        <v>3365</v>
      </c>
      <c r="C1047" s="14" t="str">
        <f>HYPERLINK("http://uswest.ensembl.org/Homo_sapiens/Gene/Summary?g=","-")</f>
        <v>-</v>
      </c>
      <c r="D1047" s="14" t="s">
        <v>3366</v>
      </c>
      <c r="E1047" s="14" t="str">
        <f>HYPERLINK("http://www.ncbi.nlm.nih.gov/sites/entrez?db=gene&amp;cmd=Retrieve&amp;dopt=full_report&amp;list_uids=9002","9002")</f>
        <v>9002</v>
      </c>
      <c r="F1047" s="14" t="s">
        <v>3367</v>
      </c>
      <c r="G1047" s="14" t="s">
        <v>3368</v>
      </c>
      <c r="H1047" s="14" t="s">
        <v>3333</v>
      </c>
      <c r="I1047" s="14" t="s">
        <v>3334</v>
      </c>
      <c r="J1047" s="15" t="s">
        <v>7243</v>
      </c>
      <c r="K1047" s="16">
        <v>62.523541000000002</v>
      </c>
      <c r="L1047" s="17">
        <v>43.864614000000003</v>
      </c>
      <c r="M1047" s="18">
        <f t="shared" si="17"/>
        <v>0.70156957361068217</v>
      </c>
    </row>
    <row r="1048" spans="1:13">
      <c r="A1048" s="13" t="s">
        <v>3379</v>
      </c>
      <c r="B1048" s="14" t="s">
        <v>3379</v>
      </c>
      <c r="C1048" s="14" t="str">
        <f>HYPERLINK("http://uswest.ensembl.org/Homo_sapiens/Gene/Summary?g=ENSG00000105613","ENSG00000105613")</f>
        <v>ENSG00000105613</v>
      </c>
      <c r="D1048" s="14" t="s">
        <v>3336</v>
      </c>
      <c r="E1048" s="14" t="str">
        <f>HYPERLINK("http://www.ncbi.nlm.nih.gov/sites/entrez?db=gene&amp;cmd=Retrieve&amp;dopt=full_report&amp;list_uids=22983","22983")</f>
        <v>22983</v>
      </c>
      <c r="F1048" s="14" t="s">
        <v>3337</v>
      </c>
      <c r="G1048" s="14" t="s">
        <v>3338</v>
      </c>
      <c r="H1048" s="14" t="s">
        <v>3339</v>
      </c>
      <c r="I1048" s="19" t="s">
        <v>8602</v>
      </c>
      <c r="J1048" s="15" t="s">
        <v>3340</v>
      </c>
      <c r="K1048" s="16">
        <v>53.629564999999999</v>
      </c>
      <c r="L1048" s="17">
        <v>37.62576</v>
      </c>
      <c r="M1048" s="18">
        <f t="shared" si="17"/>
        <v>0.70158614935623664</v>
      </c>
    </row>
    <row r="1049" spans="1:13">
      <c r="A1049" s="13" t="s">
        <v>3341</v>
      </c>
      <c r="B1049" s="14" t="s">
        <v>3341</v>
      </c>
      <c r="C1049" s="14" t="str">
        <f>HYPERLINK("http://uswest.ensembl.org/Homo_sapiens/Gene/Summary?g=ENSG00000041982","ENSG00000041982")</f>
        <v>ENSG00000041982</v>
      </c>
      <c r="D1049" s="14" t="s">
        <v>3342</v>
      </c>
      <c r="E1049" s="14" t="str">
        <f>HYPERLINK("http://www.ncbi.nlm.nih.gov/sites/entrez?db=gene&amp;cmd=Retrieve&amp;dopt=full_report&amp;list_uids=","-")</f>
        <v>-</v>
      </c>
      <c r="F1049" s="14" t="s">
        <v>3343</v>
      </c>
      <c r="G1049" s="14" t="s">
        <v>3344</v>
      </c>
      <c r="H1049" s="14" t="s">
        <v>8565</v>
      </c>
      <c r="I1049" s="14" t="s">
        <v>8494</v>
      </c>
      <c r="J1049" s="15" t="s">
        <v>8728</v>
      </c>
      <c r="K1049" s="16">
        <v>35.615282999999998</v>
      </c>
      <c r="L1049" s="17">
        <v>24.987206</v>
      </c>
      <c r="M1049" s="18">
        <f t="shared" si="17"/>
        <v>0.70158661942964207</v>
      </c>
    </row>
    <row r="1050" spans="1:13">
      <c r="A1050" s="13" t="s">
        <v>3345</v>
      </c>
      <c r="B1050" s="14" t="s">
        <v>3345</v>
      </c>
      <c r="C1050" s="14" t="str">
        <f>HYPERLINK("http://uswest.ensembl.org/Homo_sapiens/Gene/Summary?g=ENSG00000023228","ENSG00000023228")</f>
        <v>ENSG00000023228</v>
      </c>
      <c r="D1050" s="14" t="s">
        <v>3346</v>
      </c>
      <c r="E1050" s="14" t="str">
        <f>HYPERLINK("http://www.ncbi.nlm.nih.gov/sites/entrez?db=gene&amp;cmd=Retrieve&amp;dopt=full_report&amp;list_uids=4719","4719")</f>
        <v>4719</v>
      </c>
      <c r="F1050" s="14" t="s">
        <v>3347</v>
      </c>
      <c r="G1050" s="14" t="s">
        <v>3348</v>
      </c>
      <c r="H1050" s="19" t="s">
        <v>3349</v>
      </c>
      <c r="I1050" s="19" t="s">
        <v>3322</v>
      </c>
      <c r="J1050" s="15" t="s">
        <v>3351</v>
      </c>
      <c r="K1050" s="16">
        <v>31.810058999999999</v>
      </c>
      <c r="L1050" s="17">
        <v>22.319013999999999</v>
      </c>
      <c r="M1050" s="18">
        <f t="shared" si="17"/>
        <v>0.70163384481619473</v>
      </c>
    </row>
    <row r="1051" spans="1:13">
      <c r="A1051" s="13" t="s">
        <v>3324</v>
      </c>
      <c r="B1051" s="14" t="s">
        <v>3324</v>
      </c>
      <c r="C1051" s="14" t="str">
        <f>HYPERLINK("http://uswest.ensembl.org/Homo_sapiens/Gene/Summary?g=","-")</f>
        <v>-</v>
      </c>
      <c r="D1051" s="14" t="s">
        <v>3325</v>
      </c>
      <c r="E1051" s="14" t="str">
        <f>HYPERLINK("http://www.ncbi.nlm.nih.gov/sites/entrez?db=gene&amp;cmd=Retrieve&amp;dopt=full_report&amp;list_uids=84124","84124")</f>
        <v>84124</v>
      </c>
      <c r="F1051" s="14" t="s">
        <v>3326</v>
      </c>
      <c r="G1051" s="14" t="s">
        <v>3332</v>
      </c>
      <c r="H1051" s="14" t="s">
        <v>8728</v>
      </c>
      <c r="I1051" s="14" t="s">
        <v>8685</v>
      </c>
      <c r="J1051" s="15" t="s">
        <v>8622</v>
      </c>
      <c r="K1051" s="16">
        <v>91.861520999999996</v>
      </c>
      <c r="L1051" s="17">
        <v>64.469318000000001</v>
      </c>
      <c r="M1051" s="18">
        <f t="shared" si="17"/>
        <v>0.70180982524772262</v>
      </c>
    </row>
    <row r="1052" spans="1:13">
      <c r="A1052" s="13" t="s">
        <v>3335</v>
      </c>
      <c r="B1052" s="14" t="s">
        <v>3335</v>
      </c>
      <c r="C1052" s="14" t="str">
        <f>HYPERLINK("http://uswest.ensembl.org/Homo_sapiens/Gene/Summary?g=ENSG00000219234","ENSG00000219234")</f>
        <v>ENSG00000219234</v>
      </c>
      <c r="D1052" s="14" t="s">
        <v>3303</v>
      </c>
      <c r="E1052" s="14" t="str">
        <f>HYPERLINK("http://www.ncbi.nlm.nih.gov/sites/entrez?db=gene&amp;cmd=Retrieve&amp;dopt=full_report&amp;list_uids=","-")</f>
        <v>-</v>
      </c>
      <c r="F1052" s="14" t="s">
        <v>3304</v>
      </c>
      <c r="G1052" s="14" t="s">
        <v>8728</v>
      </c>
      <c r="H1052" s="14" t="s">
        <v>8728</v>
      </c>
      <c r="I1052" s="14" t="s">
        <v>8728</v>
      </c>
      <c r="J1052" s="15" t="s">
        <v>8728</v>
      </c>
      <c r="K1052" s="16">
        <v>38.332895999999998</v>
      </c>
      <c r="L1052" s="17">
        <v>26.914013000000001</v>
      </c>
      <c r="M1052" s="18">
        <f t="shared" si="17"/>
        <v>0.70211269714659708</v>
      </c>
    </row>
    <row r="1053" spans="1:13">
      <c r="A1053" s="13" t="s">
        <v>3305</v>
      </c>
      <c r="B1053" s="14" t="s">
        <v>3305</v>
      </c>
      <c r="C1053" s="14" t="str">
        <f>HYPERLINK("http://uswest.ensembl.org/Homo_sapiens/Gene/Summary?g=ENSG00000105227","ENSG00000105227")</f>
        <v>ENSG00000105227</v>
      </c>
      <c r="D1053" s="14" t="s">
        <v>3306</v>
      </c>
      <c r="E1053" s="14" t="str">
        <f>HYPERLINK("http://www.ncbi.nlm.nih.gov/sites/entrez?db=gene&amp;cmd=Retrieve&amp;dopt=full_report&amp;list_uids=57716","57716")</f>
        <v>57716</v>
      </c>
      <c r="F1053" s="14" t="s">
        <v>3307</v>
      </c>
      <c r="G1053" s="14" t="s">
        <v>3308</v>
      </c>
      <c r="H1053" s="14" t="s">
        <v>3309</v>
      </c>
      <c r="I1053" s="14" t="s">
        <v>8692</v>
      </c>
      <c r="J1053" s="15" t="s">
        <v>3310</v>
      </c>
      <c r="K1053" s="16">
        <v>29.440936000000001</v>
      </c>
      <c r="L1053" s="17">
        <v>20.678380000000001</v>
      </c>
      <c r="M1053" s="18">
        <f t="shared" si="17"/>
        <v>0.70236829426890501</v>
      </c>
    </row>
    <row r="1054" spans="1:13">
      <c r="A1054" s="13" t="s">
        <v>3311</v>
      </c>
      <c r="B1054" s="14" t="s">
        <v>3311</v>
      </c>
      <c r="C1054" s="14" t="str">
        <f>HYPERLINK("http://uswest.ensembl.org/Homo_sapiens/Gene/Summary?g=","-")</f>
        <v>-</v>
      </c>
      <c r="D1054" s="14" t="s">
        <v>3312</v>
      </c>
      <c r="E1054" s="14" t="str">
        <f>HYPERLINK("http://www.ncbi.nlm.nih.gov/sites/entrez?db=gene&amp;cmd=Retrieve&amp;dopt=full_report&amp;list_uids=284297","284297")</f>
        <v>284297</v>
      </c>
      <c r="F1054" s="14" t="s">
        <v>3313</v>
      </c>
      <c r="G1054" s="14" t="s">
        <v>3314</v>
      </c>
      <c r="H1054" s="14" t="s">
        <v>8728</v>
      </c>
      <c r="I1054" s="14" t="s">
        <v>5819</v>
      </c>
      <c r="J1054" s="15" t="s">
        <v>7319</v>
      </c>
      <c r="K1054" s="16">
        <v>63.900320000000001</v>
      </c>
      <c r="L1054" s="17">
        <v>44.884321999999997</v>
      </c>
      <c r="M1054" s="18">
        <f t="shared" si="17"/>
        <v>0.7024115372192189</v>
      </c>
    </row>
    <row r="1055" spans="1:13">
      <c r="A1055" s="13" t="s">
        <v>3315</v>
      </c>
      <c r="B1055" s="14" t="s">
        <v>3315</v>
      </c>
      <c r="C1055" s="14" t="str">
        <f>HYPERLINK("http://uswest.ensembl.org/Homo_sapiens/Gene/Summary?g=ENSG00000072786","ENSG00000072786")</f>
        <v>ENSG00000072786</v>
      </c>
      <c r="D1055" s="14" t="s">
        <v>3316</v>
      </c>
      <c r="E1055" s="14" t="str">
        <f>HYPERLINK("http://www.ncbi.nlm.nih.gov/sites/entrez?db=gene&amp;cmd=Retrieve&amp;dopt=full_report&amp;list_uids=6793","6793")</f>
        <v>6793</v>
      </c>
      <c r="F1055" s="14" t="s">
        <v>3317</v>
      </c>
      <c r="G1055" s="14" t="s">
        <v>3318</v>
      </c>
      <c r="H1055" s="14" t="s">
        <v>8656</v>
      </c>
      <c r="I1055" s="14" t="s">
        <v>8234</v>
      </c>
      <c r="J1055" s="15" t="s">
        <v>8728</v>
      </c>
      <c r="K1055" s="16">
        <v>123.705274</v>
      </c>
      <c r="L1055" s="17">
        <v>86.892095999999995</v>
      </c>
      <c r="M1055" s="18">
        <f t="shared" si="17"/>
        <v>0.70241221890022243</v>
      </c>
    </row>
    <row r="1056" spans="1:13">
      <c r="A1056" s="13" t="s">
        <v>3319</v>
      </c>
      <c r="B1056" s="14" t="s">
        <v>3319</v>
      </c>
      <c r="C1056" s="14" t="str">
        <f>HYPERLINK("http://uswest.ensembl.org/Homo_sapiens/Gene/Summary?g=ENSG00000115163","ENSG00000115163")</f>
        <v>ENSG00000115163</v>
      </c>
      <c r="D1056" s="14" t="s">
        <v>3320</v>
      </c>
      <c r="E1056" s="14" t="str">
        <f>HYPERLINK("http://www.ncbi.nlm.nih.gov/sites/entrez?db=gene&amp;cmd=Retrieve&amp;dopt=full_report&amp;list_uids=1058","1058")</f>
        <v>1058</v>
      </c>
      <c r="F1056" s="14" t="s">
        <v>3321</v>
      </c>
      <c r="G1056" s="14" t="s">
        <v>3298</v>
      </c>
      <c r="H1056" s="14" t="s">
        <v>3299</v>
      </c>
      <c r="I1056" s="14" t="s">
        <v>3323</v>
      </c>
      <c r="J1056" s="15" t="s">
        <v>3300</v>
      </c>
      <c r="K1056" s="16">
        <v>422.99512099999998</v>
      </c>
      <c r="L1056" s="17">
        <v>297.23806200000001</v>
      </c>
      <c r="M1056" s="18">
        <f t="shared" si="17"/>
        <v>0.70269855902191369</v>
      </c>
    </row>
    <row r="1057" spans="1:13">
      <c r="A1057" s="13" t="s">
        <v>3286</v>
      </c>
      <c r="B1057" s="14" t="s">
        <v>3286</v>
      </c>
      <c r="C1057" s="14" t="str">
        <f>HYPERLINK("http://uswest.ensembl.org/Homo_sapiens/Gene/Summary?g=ENSG00000072778","ENSG00000072778")</f>
        <v>ENSG00000072778</v>
      </c>
      <c r="D1057" s="14" t="s">
        <v>3301</v>
      </c>
      <c r="E1057" s="14" t="str">
        <f>HYPERLINK("http://www.ncbi.nlm.nih.gov/sites/entrez?db=gene&amp;cmd=Retrieve&amp;dopt=full_report&amp;list_uids=37","37")</f>
        <v>37</v>
      </c>
      <c r="F1057" s="14" t="s">
        <v>3302</v>
      </c>
      <c r="G1057" s="14" t="s">
        <v>3287</v>
      </c>
      <c r="H1057" s="14" t="s">
        <v>3288</v>
      </c>
      <c r="I1057" s="14" t="s">
        <v>3289</v>
      </c>
      <c r="J1057" s="15" t="s">
        <v>8395</v>
      </c>
      <c r="K1057" s="16">
        <v>828.75856099999999</v>
      </c>
      <c r="L1057" s="17">
        <v>582.60887300000002</v>
      </c>
      <c r="M1057" s="18">
        <f t="shared" si="17"/>
        <v>0.70298986992907819</v>
      </c>
    </row>
    <row r="1058" spans="1:13">
      <c r="A1058" s="13" t="s">
        <v>3290</v>
      </c>
      <c r="B1058" s="14" t="s">
        <v>3290</v>
      </c>
      <c r="C1058" s="14" t="str">
        <f>HYPERLINK("http://uswest.ensembl.org/Homo_sapiens/Gene/Summary?g=","-")</f>
        <v>-</v>
      </c>
      <c r="D1058" s="14" t="s">
        <v>3291</v>
      </c>
      <c r="E1058" s="14" t="str">
        <f>HYPERLINK("http://www.ncbi.nlm.nih.gov/sites/entrez?db=gene&amp;cmd=Retrieve&amp;dopt=full_report&amp;list_uids=7019","7019")</f>
        <v>7019</v>
      </c>
      <c r="F1058" s="14" t="s">
        <v>3292</v>
      </c>
      <c r="G1058" s="14" t="s">
        <v>3293</v>
      </c>
      <c r="H1058" s="19" t="s">
        <v>3294</v>
      </c>
      <c r="I1058" s="14" t="s">
        <v>3295</v>
      </c>
      <c r="J1058" s="15" t="s">
        <v>3350</v>
      </c>
      <c r="K1058" s="16">
        <v>100.233808</v>
      </c>
      <c r="L1058" s="17">
        <v>70.473815000000002</v>
      </c>
      <c r="M1058" s="18">
        <f t="shared" si="17"/>
        <v>0.7030942593740428</v>
      </c>
    </row>
    <row r="1059" spans="1:13">
      <c r="A1059" s="13" t="s">
        <v>3329</v>
      </c>
      <c r="B1059" s="14" t="s">
        <v>3329</v>
      </c>
      <c r="C1059" s="14" t="str">
        <f>HYPERLINK("http://uswest.ensembl.org/Homo_sapiens/Gene/Summary?g=ENSG00000138398","ENSG00000138398")</f>
        <v>ENSG00000138398</v>
      </c>
      <c r="D1059" s="14" t="s">
        <v>3330</v>
      </c>
      <c r="E1059" s="14" t="str">
        <f>HYPERLINK("http://www.ncbi.nlm.nih.gov/sites/entrez?db=gene&amp;cmd=Retrieve&amp;dopt=full_report&amp;list_uids=9360","9360")</f>
        <v>9360</v>
      </c>
      <c r="F1059" s="14" t="s">
        <v>3331</v>
      </c>
      <c r="G1059" s="19" t="s">
        <v>3281</v>
      </c>
      <c r="H1059" s="14" t="s">
        <v>3282</v>
      </c>
      <c r="I1059" s="14" t="s">
        <v>3283</v>
      </c>
      <c r="J1059" s="15" t="s">
        <v>3284</v>
      </c>
      <c r="K1059" s="16">
        <v>163.53599600000001</v>
      </c>
      <c r="L1059" s="17">
        <v>114.98849300000001</v>
      </c>
      <c r="M1059" s="18">
        <f t="shared" si="17"/>
        <v>0.7031387328328621</v>
      </c>
    </row>
    <row r="1060" spans="1:13">
      <c r="A1060" s="13" t="s">
        <v>3285</v>
      </c>
      <c r="B1060" s="14" t="s">
        <v>3285</v>
      </c>
      <c r="C1060" s="14" t="str">
        <f>HYPERLINK("http://uswest.ensembl.org/Homo_sapiens/Gene/Summary?g=","-")</f>
        <v>-</v>
      </c>
      <c r="D1060" s="14" t="s">
        <v>8728</v>
      </c>
      <c r="E1060" s="14" t="str">
        <f>HYPERLINK("http://www.ncbi.nlm.nih.gov/sites/entrez?db=gene&amp;cmd=Retrieve&amp;dopt=full_report&amp;list_uids=100293263","100293263")</f>
        <v>100293263</v>
      </c>
      <c r="F1060" s="14" t="s">
        <v>8728</v>
      </c>
      <c r="G1060" s="14" t="s">
        <v>8728</v>
      </c>
      <c r="H1060" s="14" t="s">
        <v>8728</v>
      </c>
      <c r="I1060" s="14" t="s">
        <v>8728</v>
      </c>
      <c r="J1060" s="15" t="s">
        <v>8728</v>
      </c>
      <c r="K1060" s="16">
        <v>41.641837000000002</v>
      </c>
      <c r="L1060" s="17">
        <v>29.293807000000001</v>
      </c>
      <c r="M1060" s="18">
        <f t="shared" si="17"/>
        <v>0.70347057455702544</v>
      </c>
    </row>
    <row r="1061" spans="1:13">
      <c r="A1061" s="13" t="s">
        <v>3261</v>
      </c>
      <c r="B1061" s="14" t="s">
        <v>3261</v>
      </c>
      <c r="C1061" s="14" t="str">
        <f>HYPERLINK("http://uswest.ensembl.org/Homo_sapiens/Gene/Summary?g=ENSG00000103994","ENSG00000103994")</f>
        <v>ENSG00000103994</v>
      </c>
      <c r="D1061" s="14" t="s">
        <v>3262</v>
      </c>
      <c r="E1061" s="14" t="str">
        <f>HYPERLINK("http://www.ncbi.nlm.nih.gov/sites/entrez?db=gene&amp;cmd=Retrieve&amp;dopt=full_report&amp;list_uids=64397","64397")</f>
        <v>64397</v>
      </c>
      <c r="F1061" s="14" t="s">
        <v>3263</v>
      </c>
      <c r="G1061" s="14" t="s">
        <v>3264</v>
      </c>
      <c r="H1061" s="14" t="s">
        <v>3265</v>
      </c>
      <c r="I1061" s="14" t="s">
        <v>3266</v>
      </c>
      <c r="J1061" s="15" t="s">
        <v>3267</v>
      </c>
      <c r="K1061" s="16">
        <v>125.235304</v>
      </c>
      <c r="L1061" s="17">
        <v>88.125444999999999</v>
      </c>
      <c r="M1061" s="18">
        <f t="shared" si="17"/>
        <v>0.70367893226018763</v>
      </c>
    </row>
    <row r="1062" spans="1:13">
      <c r="A1062" s="13" t="s">
        <v>3268</v>
      </c>
      <c r="B1062" s="14" t="s">
        <v>3268</v>
      </c>
      <c r="C1062" s="14" t="str">
        <f>HYPERLINK("http://uswest.ensembl.org/Homo_sapiens/Gene/Summary?g=ENSG00000124444","ENSG00000124444")</f>
        <v>ENSG00000124444</v>
      </c>
      <c r="D1062" s="14" t="s">
        <v>3269</v>
      </c>
      <c r="E1062" s="14" t="str">
        <f>HYPERLINK("http://www.ncbi.nlm.nih.gov/sites/entrez?db=gene&amp;cmd=Retrieve&amp;dopt=full_report&amp;list_uids=79177","79177")</f>
        <v>79177</v>
      </c>
      <c r="F1062" s="14" t="s">
        <v>3270</v>
      </c>
      <c r="G1062" s="14" t="s">
        <v>3271</v>
      </c>
      <c r="H1062" s="14" t="s">
        <v>8581</v>
      </c>
      <c r="I1062" s="14" t="s">
        <v>8582</v>
      </c>
      <c r="J1062" s="15" t="s">
        <v>8622</v>
      </c>
      <c r="K1062" s="16">
        <v>78.253282999999996</v>
      </c>
      <c r="L1062" s="17">
        <v>55.071662000000003</v>
      </c>
      <c r="M1062" s="18">
        <f t="shared" si="17"/>
        <v>0.70376168115528148</v>
      </c>
    </row>
    <row r="1063" spans="1:13">
      <c r="A1063" s="13" t="s">
        <v>3272</v>
      </c>
      <c r="B1063" s="14" t="s">
        <v>3272</v>
      </c>
      <c r="C1063" s="14" t="str">
        <f>HYPERLINK("http://uswest.ensembl.org/Homo_sapiens/Gene/Summary?g=ENSG00000185736","ENSG00000185736")</f>
        <v>ENSG00000185736</v>
      </c>
      <c r="D1063" s="14" t="s">
        <v>3273</v>
      </c>
      <c r="E1063" s="14" t="str">
        <f>HYPERLINK("http://www.ncbi.nlm.nih.gov/sites/entrez?db=gene&amp;cmd=Retrieve&amp;dopt=full_report&amp;list_uids=105","105")</f>
        <v>105</v>
      </c>
      <c r="F1063" s="14" t="s">
        <v>3274</v>
      </c>
      <c r="G1063" s="14" t="s">
        <v>3275</v>
      </c>
      <c r="H1063" s="14" t="s">
        <v>3276</v>
      </c>
      <c r="I1063" s="14" t="s">
        <v>3277</v>
      </c>
      <c r="J1063" s="15" t="s">
        <v>8622</v>
      </c>
      <c r="K1063" s="16">
        <v>59.566453000000003</v>
      </c>
      <c r="L1063" s="17">
        <v>41.920620999999997</v>
      </c>
      <c r="M1063" s="18">
        <f t="shared" si="17"/>
        <v>0.70376225020482575</v>
      </c>
    </row>
    <row r="1064" spans="1:13">
      <c r="A1064" s="13" t="s">
        <v>3278</v>
      </c>
      <c r="B1064" s="14" t="s">
        <v>3278</v>
      </c>
      <c r="C1064" s="14" t="str">
        <f>HYPERLINK("http://uswest.ensembl.org/Homo_sapiens/Gene/Summary?g=ENSG00000101928","ENSG00000101928")</f>
        <v>ENSG00000101928</v>
      </c>
      <c r="D1064" s="14" t="s">
        <v>3279</v>
      </c>
      <c r="E1064" s="14" t="str">
        <f>HYPERLINK("http://www.ncbi.nlm.nih.gov/sites/entrez?db=gene&amp;cmd=Retrieve&amp;dopt=full_report&amp;list_uids=56180","56180")</f>
        <v>56180</v>
      </c>
      <c r="F1064" s="14" t="s">
        <v>3327</v>
      </c>
      <c r="G1064" s="14" t="s">
        <v>3328</v>
      </c>
      <c r="H1064" s="14" t="s">
        <v>8728</v>
      </c>
      <c r="I1064" s="14" t="s">
        <v>8679</v>
      </c>
      <c r="J1064" s="15" t="s">
        <v>8698</v>
      </c>
      <c r="K1064" s="16">
        <v>232.83478600000001</v>
      </c>
      <c r="L1064" s="17">
        <v>163.879053</v>
      </c>
      <c r="M1064" s="18">
        <f t="shared" si="17"/>
        <v>0.70384265090011078</v>
      </c>
    </row>
    <row r="1065" spans="1:13">
      <c r="A1065" s="13" t="s">
        <v>3256</v>
      </c>
      <c r="B1065" s="14" t="s">
        <v>3256</v>
      </c>
      <c r="C1065" s="14" t="str">
        <f>HYPERLINK("http://uswest.ensembl.org/Homo_sapiens/Gene/Summary?g=ENSG00000081320","ENSG00000081320")</f>
        <v>ENSG00000081320</v>
      </c>
      <c r="D1065" s="14" t="s">
        <v>3257</v>
      </c>
      <c r="E1065" s="14" t="str">
        <f>HYPERLINK("http://www.ncbi.nlm.nih.gov/sites/entrez?db=gene&amp;cmd=Retrieve&amp;dopt=full_report&amp;list_uids=9262","9262")</f>
        <v>9262</v>
      </c>
      <c r="F1065" s="14" t="s">
        <v>3296</v>
      </c>
      <c r="G1065" s="14" t="s">
        <v>3297</v>
      </c>
      <c r="H1065" s="14" t="s">
        <v>3258</v>
      </c>
      <c r="I1065" s="19" t="s">
        <v>3259</v>
      </c>
      <c r="J1065" s="15" t="s">
        <v>3260</v>
      </c>
      <c r="K1065" s="16">
        <v>258.195899</v>
      </c>
      <c r="L1065" s="17">
        <v>181.745273</v>
      </c>
      <c r="M1065" s="18">
        <f t="shared" si="17"/>
        <v>0.70390456898775144</v>
      </c>
    </row>
    <row r="1066" spans="1:13">
      <c r="A1066" s="13" t="s">
        <v>3240</v>
      </c>
      <c r="B1066" s="14" t="s">
        <v>3240</v>
      </c>
      <c r="C1066" s="14" t="str">
        <f>HYPERLINK("http://uswest.ensembl.org/Homo_sapiens/Gene/Summary?g=ENSG00000164172","ENSG00000164172")</f>
        <v>ENSG00000164172</v>
      </c>
      <c r="D1066" s="14" t="s">
        <v>3242</v>
      </c>
      <c r="E1066" s="14" t="str">
        <f>HYPERLINK("http://www.ncbi.nlm.nih.gov/sites/entrez?db=gene&amp;cmd=Retrieve&amp;dopt=full_report&amp;list_uids=4338","4338")</f>
        <v>4338</v>
      </c>
      <c r="F1066" s="14" t="s">
        <v>3243</v>
      </c>
      <c r="G1066" s="14" t="s">
        <v>3244</v>
      </c>
      <c r="H1066" s="14" t="s">
        <v>3245</v>
      </c>
      <c r="I1066" s="14" t="s">
        <v>8728</v>
      </c>
      <c r="J1066" s="15" t="s">
        <v>8728</v>
      </c>
      <c r="K1066" s="16">
        <v>157.60785300000001</v>
      </c>
      <c r="L1066" s="17">
        <v>110.973395</v>
      </c>
      <c r="M1066" s="18">
        <f t="shared" si="17"/>
        <v>0.70411082244740686</v>
      </c>
    </row>
    <row r="1067" spans="1:13">
      <c r="A1067" s="13" t="s">
        <v>3246</v>
      </c>
      <c r="B1067" s="14" t="s">
        <v>3246</v>
      </c>
      <c r="C1067" s="14" t="str">
        <f>HYPERLINK("http://uswest.ensembl.org/Homo_sapiens/Gene/Summary?g=ENSG00000099337","ENSG00000099337")</f>
        <v>ENSG00000099337</v>
      </c>
      <c r="D1067" s="14" t="s">
        <v>3247</v>
      </c>
      <c r="E1067" s="14" t="str">
        <f>HYPERLINK("http://www.ncbi.nlm.nih.gov/sites/entrez?db=gene&amp;cmd=Retrieve&amp;dopt=full_report&amp;list_uids=9424","9424")</f>
        <v>9424</v>
      </c>
      <c r="F1067" s="14" t="s">
        <v>3248</v>
      </c>
      <c r="G1067" s="14" t="s">
        <v>3249</v>
      </c>
      <c r="H1067" s="14" t="s">
        <v>8670</v>
      </c>
      <c r="I1067" s="14" t="s">
        <v>3250</v>
      </c>
      <c r="J1067" s="15" t="s">
        <v>8657</v>
      </c>
      <c r="K1067" s="16">
        <v>134.59664699999999</v>
      </c>
      <c r="L1067" s="17">
        <v>94.78895</v>
      </c>
      <c r="M1067" s="18">
        <f t="shared" si="17"/>
        <v>0.70424451212369354</v>
      </c>
    </row>
    <row r="1068" spans="1:13">
      <c r="A1068" s="13" t="s">
        <v>3251</v>
      </c>
      <c r="B1068" s="14" t="s">
        <v>3251</v>
      </c>
      <c r="C1068" s="14" t="str">
        <f>HYPERLINK("http://uswest.ensembl.org/Homo_sapiens/Gene/Summary?g=ENSG00000114626","ENSG00000114626")</f>
        <v>ENSG00000114626</v>
      </c>
      <c r="D1068" s="14" t="s">
        <v>3252</v>
      </c>
      <c r="E1068" s="14" t="str">
        <f>HYPERLINK("http://www.ncbi.nlm.nih.gov/sites/entrez?db=gene&amp;cmd=Retrieve&amp;dopt=full_report&amp;list_uids=80325","80325")</f>
        <v>80325</v>
      </c>
      <c r="F1068" s="14" t="s">
        <v>3253</v>
      </c>
      <c r="G1068" s="14" t="s">
        <v>3254</v>
      </c>
      <c r="H1068" s="14" t="s">
        <v>7806</v>
      </c>
      <c r="I1068" s="14" t="s">
        <v>3255</v>
      </c>
      <c r="J1068" s="15" t="s">
        <v>8619</v>
      </c>
      <c r="K1068" s="16">
        <v>61.539561999999997</v>
      </c>
      <c r="L1068" s="17">
        <v>43.339390999999999</v>
      </c>
      <c r="M1068" s="18">
        <f t="shared" si="17"/>
        <v>0.70425250995449074</v>
      </c>
    </row>
    <row r="1069" spans="1:13">
      <c r="A1069" s="13" t="s">
        <v>3230</v>
      </c>
      <c r="B1069" s="14" t="s">
        <v>3230</v>
      </c>
      <c r="C1069" s="14" t="str">
        <f>HYPERLINK("http://uswest.ensembl.org/Homo_sapiens/Gene/Summary?g=ENSG00000106070","ENSG00000106070")</f>
        <v>ENSG00000106070</v>
      </c>
      <c r="D1069" s="14" t="s">
        <v>3231</v>
      </c>
      <c r="E1069" s="14" t="str">
        <f>HYPERLINK("http://www.ncbi.nlm.nih.gov/sites/entrez?db=gene&amp;cmd=Retrieve&amp;dopt=full_report&amp;list_uids=2887","2887")</f>
        <v>2887</v>
      </c>
      <c r="F1069" s="14" t="s">
        <v>3232</v>
      </c>
      <c r="G1069" s="14" t="s">
        <v>3233</v>
      </c>
      <c r="H1069" s="14" t="s">
        <v>3234</v>
      </c>
      <c r="I1069" s="14" t="s">
        <v>8176</v>
      </c>
      <c r="J1069" s="15" t="s">
        <v>8728</v>
      </c>
      <c r="K1069" s="16">
        <v>124.413623</v>
      </c>
      <c r="L1069" s="17">
        <v>87.629326000000006</v>
      </c>
      <c r="M1069" s="18">
        <f t="shared" si="17"/>
        <v>0.70433867197967548</v>
      </c>
    </row>
    <row r="1070" spans="1:13">
      <c r="A1070" s="13" t="s">
        <v>3235</v>
      </c>
      <c r="B1070" s="14" t="s">
        <v>3235</v>
      </c>
      <c r="C1070" s="14" t="str">
        <f>HYPERLINK("http://uswest.ensembl.org/Homo_sapiens/Gene/Summary?g=ENSG00000133256","ENSG00000133256")</f>
        <v>ENSG00000133256</v>
      </c>
      <c r="D1070" s="14" t="s">
        <v>3236</v>
      </c>
      <c r="E1070" s="14" t="str">
        <f>HYPERLINK("http://www.ncbi.nlm.nih.gov/sites/entrez?db=gene&amp;cmd=Retrieve&amp;dopt=full_report&amp;list_uids=5158","5158")</f>
        <v>5158</v>
      </c>
      <c r="F1070" s="14" t="s">
        <v>3237</v>
      </c>
      <c r="G1070" s="14" t="s">
        <v>3238</v>
      </c>
      <c r="H1070" s="14" t="s">
        <v>3239</v>
      </c>
      <c r="I1070" s="14" t="s">
        <v>8642</v>
      </c>
      <c r="J1070" s="15" t="s">
        <v>8691</v>
      </c>
      <c r="K1070" s="16">
        <v>42.472338000000001</v>
      </c>
      <c r="L1070" s="17">
        <v>29.922777</v>
      </c>
      <c r="M1070" s="18">
        <f t="shared" si="17"/>
        <v>0.70452389505847313</v>
      </c>
    </row>
    <row r="1071" spans="1:13">
      <c r="A1071" s="13" t="s">
        <v>3216</v>
      </c>
      <c r="B1071" s="14" t="s">
        <v>3216</v>
      </c>
      <c r="C1071" s="14" t="str">
        <f>HYPERLINK("http://uswest.ensembl.org/Homo_sapiens/Gene/Summary?g=ENSG00000221900","ENSG00000221900")</f>
        <v>ENSG00000221900</v>
      </c>
      <c r="D1071" s="14" t="s">
        <v>8728</v>
      </c>
      <c r="E1071" s="14" t="str">
        <f>HYPERLINK("http://www.ncbi.nlm.nih.gov/sites/entrez?db=gene&amp;cmd=Retrieve&amp;dopt=full_report&amp;list_uids=285877","285877")</f>
        <v>285877</v>
      </c>
      <c r="F1071" s="14" t="s">
        <v>3217</v>
      </c>
      <c r="G1071" s="14" t="s">
        <v>3218</v>
      </c>
      <c r="H1071" s="14" t="s">
        <v>8728</v>
      </c>
      <c r="I1071" s="14" t="s">
        <v>8728</v>
      </c>
      <c r="J1071" s="15" t="s">
        <v>8728</v>
      </c>
      <c r="K1071" s="16">
        <v>36.492113000000003</v>
      </c>
      <c r="L1071" s="17">
        <v>25.714641</v>
      </c>
      <c r="M1071" s="18">
        <f t="shared" si="17"/>
        <v>0.7046629774494011</v>
      </c>
    </row>
    <row r="1072" spans="1:13">
      <c r="A1072" s="13" t="s">
        <v>3219</v>
      </c>
      <c r="B1072" s="14" t="s">
        <v>3219</v>
      </c>
      <c r="C1072" s="14" t="str">
        <f>HYPERLINK("http://uswest.ensembl.org/Homo_sapiens/Gene/Summary?g=ENSG00000181669","ENSG00000181669")</f>
        <v>ENSG00000181669</v>
      </c>
      <c r="D1072" s="14" t="s">
        <v>8728</v>
      </c>
      <c r="E1072" s="14" t="str">
        <f>HYPERLINK("http://www.ncbi.nlm.nih.gov/sites/entrez?db=gene&amp;cmd=Retrieve&amp;dopt=full_report&amp;list_uids=","-")</f>
        <v>-</v>
      </c>
      <c r="F1072" s="14" t="s">
        <v>3220</v>
      </c>
      <c r="G1072" s="14" t="s">
        <v>8728</v>
      </c>
      <c r="H1072" s="14" t="s">
        <v>8728</v>
      </c>
      <c r="I1072" s="14" t="s">
        <v>8728</v>
      </c>
      <c r="J1072" s="15" t="s">
        <v>8728</v>
      </c>
      <c r="K1072" s="16">
        <v>235.38077100000001</v>
      </c>
      <c r="L1072" s="17">
        <v>165.87311199999999</v>
      </c>
      <c r="M1072" s="18">
        <f t="shared" si="17"/>
        <v>0.70470120093199962</v>
      </c>
    </row>
    <row r="1073" spans="1:13">
      <c r="A1073" s="13" t="s">
        <v>3221</v>
      </c>
      <c r="B1073" s="14" t="s">
        <v>3221</v>
      </c>
      <c r="C1073" s="14" t="str">
        <f>HYPERLINK("http://uswest.ensembl.org/Homo_sapiens/Gene/Summary?g=ENSG00000102781","ENSG00000102781")</f>
        <v>ENSG00000102781</v>
      </c>
      <c r="D1073" s="14" t="s">
        <v>3222</v>
      </c>
      <c r="E1073" s="14" t="str">
        <f>HYPERLINK("http://www.ncbi.nlm.nih.gov/sites/entrez?db=gene&amp;cmd=Retrieve&amp;dopt=full_report&amp;list_uids=84056","84056")</f>
        <v>84056</v>
      </c>
      <c r="F1073" s="14" t="s">
        <v>3223</v>
      </c>
      <c r="G1073" s="14" t="s">
        <v>3224</v>
      </c>
      <c r="H1073" s="14" t="s">
        <v>8728</v>
      </c>
      <c r="I1073" s="14" t="s">
        <v>3225</v>
      </c>
      <c r="J1073" s="15" t="s">
        <v>3226</v>
      </c>
      <c r="K1073" s="16">
        <v>35.194091999999998</v>
      </c>
      <c r="L1073" s="17">
        <v>24.806249999999999</v>
      </c>
      <c r="M1073" s="18">
        <f t="shared" si="17"/>
        <v>0.70484131257030302</v>
      </c>
    </row>
    <row r="1074" spans="1:13">
      <c r="A1074" s="13" t="s">
        <v>3227</v>
      </c>
      <c r="B1074" s="14" t="s">
        <v>3227</v>
      </c>
      <c r="C1074" s="14" t="str">
        <f>HYPERLINK("http://uswest.ensembl.org/Homo_sapiens/Gene/Summary?g=ENSG00000196235","ENSG00000196235")</f>
        <v>ENSG00000196235</v>
      </c>
      <c r="D1074" s="14" t="s">
        <v>3228</v>
      </c>
      <c r="E1074" s="14" t="str">
        <f>HYPERLINK("http://www.ncbi.nlm.nih.gov/sites/entrez?db=gene&amp;cmd=Retrieve&amp;dopt=full_report&amp;list_uids=6829","6829")</f>
        <v>6829</v>
      </c>
      <c r="F1074" s="14" t="s">
        <v>3280</v>
      </c>
      <c r="G1074" s="14" t="s">
        <v>3229</v>
      </c>
      <c r="H1074" s="19" t="s">
        <v>3203</v>
      </c>
      <c r="I1074" s="14" t="s">
        <v>3204</v>
      </c>
      <c r="J1074" s="15" t="s">
        <v>7975</v>
      </c>
      <c r="K1074" s="16">
        <v>124.14993</v>
      </c>
      <c r="L1074" s="17">
        <v>87.509046999999995</v>
      </c>
      <c r="M1074" s="18">
        <f t="shared" si="17"/>
        <v>0.7048658585631099</v>
      </c>
    </row>
    <row r="1075" spans="1:13">
      <c r="A1075" s="13" t="s">
        <v>3205</v>
      </c>
      <c r="B1075" s="14" t="s">
        <v>3205</v>
      </c>
      <c r="C1075" s="14" t="str">
        <f>HYPERLINK("http://uswest.ensembl.org/Homo_sapiens/Gene/Summary?g=ENSG00000214655","ENSG00000214655")</f>
        <v>ENSG00000214655</v>
      </c>
      <c r="D1075" s="14" t="s">
        <v>8728</v>
      </c>
      <c r="E1075" s="14" t="str">
        <f>HYPERLINK("http://www.ncbi.nlm.nih.gov/sites/entrez?db=gene&amp;cmd=Retrieve&amp;dopt=full_report&amp;list_uids=23053","23053")</f>
        <v>23053</v>
      </c>
      <c r="F1075" s="14" t="s">
        <v>3206</v>
      </c>
      <c r="G1075" s="14" t="s">
        <v>3207</v>
      </c>
      <c r="H1075" s="14" t="s">
        <v>8728</v>
      </c>
      <c r="I1075" s="14" t="s">
        <v>8321</v>
      </c>
      <c r="J1075" s="15" t="s">
        <v>8728</v>
      </c>
      <c r="K1075" s="16">
        <v>52.944909000000003</v>
      </c>
      <c r="L1075" s="17">
        <v>37.330249999999999</v>
      </c>
      <c r="M1075" s="18">
        <f t="shared" si="17"/>
        <v>0.70507723414917944</v>
      </c>
    </row>
    <row r="1076" spans="1:13">
      <c r="A1076" s="13" t="s">
        <v>3208</v>
      </c>
      <c r="B1076" s="14" t="s">
        <v>3208</v>
      </c>
      <c r="C1076" s="14" t="str">
        <f>HYPERLINK("http://uswest.ensembl.org/Homo_sapiens/Gene/Summary?g=ENSG00000185262","ENSG00000185262")</f>
        <v>ENSG00000185262</v>
      </c>
      <c r="D1076" s="14" t="s">
        <v>3209</v>
      </c>
      <c r="E1076" s="14" t="str">
        <f>HYPERLINK("http://www.ncbi.nlm.nih.gov/sites/entrez?db=gene&amp;cmd=Retrieve&amp;dopt=full_report&amp;list_uids=283991","283991")</f>
        <v>283991</v>
      </c>
      <c r="F1076" s="14" t="s">
        <v>3210</v>
      </c>
      <c r="G1076" s="14" t="s">
        <v>3211</v>
      </c>
      <c r="H1076" s="14" t="s">
        <v>8728</v>
      </c>
      <c r="I1076" s="14" t="s">
        <v>8728</v>
      </c>
      <c r="J1076" s="15" t="s">
        <v>8728</v>
      </c>
      <c r="K1076" s="16">
        <v>1235.348917</v>
      </c>
      <c r="L1076" s="17">
        <v>871.05785000000003</v>
      </c>
      <c r="M1076" s="18">
        <f t="shared" si="17"/>
        <v>0.70511078935927862</v>
      </c>
    </row>
    <row r="1077" spans="1:13">
      <c r="A1077" s="13" t="s">
        <v>3212</v>
      </c>
      <c r="B1077" s="14" t="s">
        <v>3212</v>
      </c>
      <c r="C1077" s="14" t="str">
        <f>HYPERLINK("http://uswest.ensembl.org/Homo_sapiens/Gene/Summary?g=ENSG00000144747","ENSG00000144747")</f>
        <v>ENSG00000144747</v>
      </c>
      <c r="D1077" s="14" t="s">
        <v>3213</v>
      </c>
      <c r="E1077" s="14" t="str">
        <f>HYPERLINK("http://www.ncbi.nlm.nih.gov/sites/entrez?db=gene&amp;cmd=Retrieve&amp;dopt=full_report&amp;list_uids=","-")</f>
        <v>-</v>
      </c>
      <c r="F1077" s="14" t="s">
        <v>3214</v>
      </c>
      <c r="G1077" s="14" t="s">
        <v>3215</v>
      </c>
      <c r="H1077" s="14" t="s">
        <v>8728</v>
      </c>
      <c r="I1077" s="14" t="s">
        <v>8728</v>
      </c>
      <c r="J1077" s="15" t="s">
        <v>8728</v>
      </c>
      <c r="K1077" s="16">
        <v>111.658447</v>
      </c>
      <c r="L1077" s="17">
        <v>78.734362000000004</v>
      </c>
      <c r="M1077" s="18">
        <f t="shared" si="17"/>
        <v>0.70513574311131166</v>
      </c>
    </row>
    <row r="1078" spans="1:13">
      <c r="A1078" s="13" t="s">
        <v>3241</v>
      </c>
      <c r="B1078" s="14" t="s">
        <v>3241</v>
      </c>
      <c r="C1078" s="14" t="str">
        <f>HYPERLINK("http://uswest.ensembl.org/Homo_sapiens/Gene/Summary?g=ENSG00000100239","ENSG00000100239")</f>
        <v>ENSG00000100239</v>
      </c>
      <c r="D1078" s="14" t="s">
        <v>3178</v>
      </c>
      <c r="E1078" s="14" t="str">
        <f>HYPERLINK("http://www.ncbi.nlm.nih.gov/sites/entrez?db=gene&amp;cmd=Retrieve&amp;dopt=full_report&amp;list_uids=9701","9701")</f>
        <v>9701</v>
      </c>
      <c r="F1078" s="14" t="s">
        <v>3179</v>
      </c>
      <c r="G1078" s="14" t="s">
        <v>3180</v>
      </c>
      <c r="H1078" s="14" t="s">
        <v>8728</v>
      </c>
      <c r="I1078" s="14" t="s">
        <v>8383</v>
      </c>
      <c r="J1078" s="15" t="s">
        <v>8728</v>
      </c>
      <c r="K1078" s="16">
        <v>76.406296999999995</v>
      </c>
      <c r="L1078" s="17">
        <v>53.878388999999999</v>
      </c>
      <c r="M1078" s="18">
        <f t="shared" si="17"/>
        <v>0.70515639568293698</v>
      </c>
    </row>
    <row r="1079" spans="1:13">
      <c r="A1079" s="13" t="s">
        <v>3181</v>
      </c>
      <c r="B1079" s="14" t="s">
        <v>3181</v>
      </c>
      <c r="C1079" s="14" t="str">
        <f>HYPERLINK("http://uswest.ensembl.org/Homo_sapiens/Gene/Summary?g=","-")</f>
        <v>-</v>
      </c>
      <c r="D1079" s="14" t="s">
        <v>3182</v>
      </c>
      <c r="E1079" s="14" t="str">
        <f>HYPERLINK("http://www.ncbi.nlm.nih.gov/sites/entrez?db=gene&amp;cmd=Retrieve&amp;dopt=full_report&amp;list_uids=3626","3626")</f>
        <v>3626</v>
      </c>
      <c r="F1079" s="14" t="s">
        <v>3183</v>
      </c>
      <c r="G1079" s="14" t="s">
        <v>3184</v>
      </c>
      <c r="H1079" s="14" t="s">
        <v>8728</v>
      </c>
      <c r="I1079" s="14" t="s">
        <v>3185</v>
      </c>
      <c r="J1079" s="15" t="s">
        <v>8731</v>
      </c>
      <c r="K1079" s="16">
        <v>76.094644000000002</v>
      </c>
      <c r="L1079" s="17">
        <v>53.662049000000003</v>
      </c>
      <c r="M1079" s="18">
        <f t="shared" si="17"/>
        <v>0.70520139367496093</v>
      </c>
    </row>
    <row r="1080" spans="1:13">
      <c r="A1080" s="13" t="s">
        <v>3186</v>
      </c>
      <c r="B1080" s="14" t="s">
        <v>3186</v>
      </c>
      <c r="C1080" s="14" t="str">
        <f>HYPERLINK("http://uswest.ensembl.org/Homo_sapiens/Gene/Summary?g=ENSG00000157259","ENSG00000157259")</f>
        <v>ENSG00000157259</v>
      </c>
      <c r="D1080" s="14" t="s">
        <v>3187</v>
      </c>
      <c r="E1080" s="14" t="str">
        <f>HYPERLINK("http://www.ncbi.nlm.nih.gov/sites/entrez?db=gene&amp;cmd=Retrieve&amp;dopt=full_report&amp;list_uids=57798","57798")</f>
        <v>57798</v>
      </c>
      <c r="F1080" s="14" t="s">
        <v>3188</v>
      </c>
      <c r="G1080" s="14" t="s">
        <v>3189</v>
      </c>
      <c r="H1080" s="14" t="s">
        <v>8163</v>
      </c>
      <c r="I1080" s="14" t="s">
        <v>8483</v>
      </c>
      <c r="J1080" s="15" t="s">
        <v>8558</v>
      </c>
      <c r="K1080" s="16">
        <v>178.64788899999999</v>
      </c>
      <c r="L1080" s="17">
        <v>125.985105</v>
      </c>
      <c r="M1080" s="18">
        <f t="shared" si="17"/>
        <v>0.70521463032792964</v>
      </c>
    </row>
    <row r="1081" spans="1:13">
      <c r="A1081" s="13" t="s">
        <v>3190</v>
      </c>
      <c r="B1081" s="14" t="s">
        <v>3190</v>
      </c>
      <c r="C1081" s="14" t="str">
        <f>HYPERLINK("http://uswest.ensembl.org/Homo_sapiens/Gene/Summary?g=ENSG00000172382","ENSG00000172382")</f>
        <v>ENSG00000172382</v>
      </c>
      <c r="D1081" s="14" t="s">
        <v>3191</v>
      </c>
      <c r="E1081" s="14" t="str">
        <f>HYPERLINK("http://www.ncbi.nlm.nih.gov/sites/entrez?db=gene&amp;cmd=Retrieve&amp;dopt=full_report&amp;list_uids=83886","83886")</f>
        <v>83886</v>
      </c>
      <c r="F1081" s="14" t="s">
        <v>3192</v>
      </c>
      <c r="G1081" s="14" t="s">
        <v>3193</v>
      </c>
      <c r="H1081" s="14" t="s">
        <v>8623</v>
      </c>
      <c r="I1081" s="14" t="s">
        <v>8621</v>
      </c>
      <c r="J1081" s="15" t="s">
        <v>8731</v>
      </c>
      <c r="K1081" s="16">
        <v>37.225259000000001</v>
      </c>
      <c r="L1081" s="17">
        <v>26.252063</v>
      </c>
      <c r="M1081" s="18">
        <f t="shared" si="17"/>
        <v>0.70522176890696719</v>
      </c>
    </row>
    <row r="1082" spans="1:13">
      <c r="A1082" s="13" t="s">
        <v>3194</v>
      </c>
      <c r="B1082" s="14" t="s">
        <v>3194</v>
      </c>
      <c r="C1082" s="14" t="str">
        <f>HYPERLINK("http://uswest.ensembl.org/Homo_sapiens/Gene/Summary?g=","-")</f>
        <v>-</v>
      </c>
      <c r="D1082" s="14" t="s">
        <v>3195</v>
      </c>
      <c r="E1082" s="14" t="str">
        <f>HYPERLINK("http://www.ncbi.nlm.nih.gov/sites/entrez?db=gene&amp;cmd=Retrieve&amp;dopt=full_report&amp;list_uids=131540","131540")</f>
        <v>131540</v>
      </c>
      <c r="F1082" s="14" t="s">
        <v>3196</v>
      </c>
      <c r="G1082" s="14" t="s">
        <v>3197</v>
      </c>
      <c r="H1082" s="14" t="s">
        <v>8728</v>
      </c>
      <c r="I1082" s="14" t="s">
        <v>3198</v>
      </c>
      <c r="J1082" s="15" t="s">
        <v>8698</v>
      </c>
      <c r="K1082" s="16">
        <v>54.649703000000002</v>
      </c>
      <c r="L1082" s="17">
        <v>38.543011999999997</v>
      </c>
      <c r="M1082" s="18">
        <f t="shared" si="17"/>
        <v>0.70527395180903352</v>
      </c>
    </row>
    <row r="1083" spans="1:13">
      <c r="A1083" s="13" t="s">
        <v>3199</v>
      </c>
      <c r="B1083" s="14" t="s">
        <v>3199</v>
      </c>
      <c r="C1083" s="14" t="str">
        <f>HYPERLINK("http://uswest.ensembl.org/Homo_sapiens/Gene/Summary?g=","-")</f>
        <v>-</v>
      </c>
      <c r="D1083" s="14" t="s">
        <v>3200</v>
      </c>
      <c r="E1083" s="14" t="str">
        <f>HYPERLINK("http://www.ncbi.nlm.nih.gov/sites/entrez?db=gene&amp;cmd=Retrieve&amp;dopt=full_report&amp;list_uids=790955","790955")</f>
        <v>790955</v>
      </c>
      <c r="F1083" s="14" t="s">
        <v>3201</v>
      </c>
      <c r="G1083" s="14" t="s">
        <v>3202</v>
      </c>
      <c r="H1083" s="14" t="s">
        <v>8728</v>
      </c>
      <c r="I1083" s="14" t="s">
        <v>8728</v>
      </c>
      <c r="J1083" s="15" t="s">
        <v>8731</v>
      </c>
      <c r="K1083" s="16">
        <v>79.899867999999998</v>
      </c>
      <c r="L1083" s="17">
        <v>56.359067000000003</v>
      </c>
      <c r="M1083" s="18">
        <f t="shared" si="17"/>
        <v>0.70537121538173264</v>
      </c>
    </row>
    <row r="1084" spans="1:13">
      <c r="A1084" s="13" t="s">
        <v>3171</v>
      </c>
      <c r="B1084" s="14" t="s">
        <v>3171</v>
      </c>
      <c r="C1084" s="14" t="str">
        <f>HYPERLINK("http://uswest.ensembl.org/Homo_sapiens/Gene/Summary?g=ENSG00000106537","ENSG00000106537")</f>
        <v>ENSG00000106537</v>
      </c>
      <c r="D1084" s="14" t="s">
        <v>3172</v>
      </c>
      <c r="E1084" s="14" t="str">
        <f>HYPERLINK("http://www.ncbi.nlm.nih.gov/sites/entrez?db=gene&amp;cmd=Retrieve&amp;dopt=full_report&amp;list_uids=27075","27075")</f>
        <v>27075</v>
      </c>
      <c r="F1084" s="14" t="s">
        <v>3173</v>
      </c>
      <c r="G1084" s="14" t="s">
        <v>3174</v>
      </c>
      <c r="H1084" s="14" t="s">
        <v>8728</v>
      </c>
      <c r="I1084" s="14" t="s">
        <v>8728</v>
      </c>
      <c r="J1084" s="15" t="s">
        <v>4244</v>
      </c>
      <c r="K1084" s="16">
        <v>36.866981000000003</v>
      </c>
      <c r="L1084" s="17">
        <v>26.010608999999999</v>
      </c>
      <c r="M1084" s="18">
        <f t="shared" si="17"/>
        <v>0.70552587422333268</v>
      </c>
    </row>
    <row r="1085" spans="1:13">
      <c r="A1085" s="13" t="s">
        <v>3175</v>
      </c>
      <c r="B1085" s="14" t="s">
        <v>3175</v>
      </c>
      <c r="C1085" s="14" t="str">
        <f>HYPERLINK("http://uswest.ensembl.org/Homo_sapiens/Gene/Summary?g=","-")</f>
        <v>-</v>
      </c>
      <c r="D1085" s="14" t="s">
        <v>3176</v>
      </c>
      <c r="E1085" s="14" t="str">
        <f>HYPERLINK("http://www.ncbi.nlm.nih.gov/sites/entrez?db=gene&amp;cmd=Retrieve&amp;dopt=full_report&amp;list_uids=4301","4301")</f>
        <v>4301</v>
      </c>
      <c r="F1085" s="14" t="s">
        <v>3784</v>
      </c>
      <c r="G1085" s="14" t="s">
        <v>3756</v>
      </c>
      <c r="H1085" s="14" t="s">
        <v>8565</v>
      </c>
      <c r="I1085" s="14" t="s">
        <v>8665</v>
      </c>
      <c r="J1085" s="15" t="s">
        <v>3177</v>
      </c>
      <c r="K1085" s="16">
        <v>45.009058000000003</v>
      </c>
      <c r="L1085" s="17">
        <v>31.760619999999999</v>
      </c>
      <c r="M1085" s="18">
        <f t="shared" si="17"/>
        <v>0.70564951614850502</v>
      </c>
    </row>
    <row r="1086" spans="1:13">
      <c r="A1086" s="13" t="s">
        <v>3162</v>
      </c>
      <c r="B1086" s="14" t="s">
        <v>3162</v>
      </c>
      <c r="C1086" s="14" t="str">
        <f>HYPERLINK("http://uswest.ensembl.org/Homo_sapiens/Gene/Summary?g=ENSG00000019995","ENSG00000019995")</f>
        <v>ENSG00000019995</v>
      </c>
      <c r="D1086" s="14" t="s">
        <v>3163</v>
      </c>
      <c r="E1086" s="14" t="str">
        <f>HYPERLINK("http://www.ncbi.nlm.nih.gov/sites/entrez?db=gene&amp;cmd=Retrieve&amp;dopt=full_report&amp;list_uids=54764","54764")</f>
        <v>54764</v>
      </c>
      <c r="F1086" s="14" t="s">
        <v>3164</v>
      </c>
      <c r="G1086" s="14" t="s">
        <v>3165</v>
      </c>
      <c r="H1086" s="14" t="s">
        <v>8728</v>
      </c>
      <c r="I1086" s="14" t="s">
        <v>8609</v>
      </c>
      <c r="J1086" s="15" t="s">
        <v>8610</v>
      </c>
      <c r="K1086" s="16">
        <v>79.109263999999996</v>
      </c>
      <c r="L1086" s="17">
        <v>55.840401</v>
      </c>
      <c r="M1086" s="18">
        <f t="shared" si="17"/>
        <v>0.70586424618992794</v>
      </c>
    </row>
    <row r="1087" spans="1:13">
      <c r="A1087" s="13" t="s">
        <v>3166</v>
      </c>
      <c r="B1087" s="14" t="s">
        <v>3166</v>
      </c>
      <c r="C1087" s="14" t="str">
        <f>HYPERLINK("http://uswest.ensembl.org/Homo_sapiens/Gene/Summary?g=","-")</f>
        <v>-</v>
      </c>
      <c r="D1087" s="14" t="s">
        <v>8728</v>
      </c>
      <c r="E1087" s="14" t="str">
        <f>HYPERLINK("http://www.ncbi.nlm.nih.gov/sites/entrez?db=gene&amp;cmd=Retrieve&amp;dopt=full_report&amp;list_uids=100293773","100293773")</f>
        <v>100293773</v>
      </c>
      <c r="F1087" s="14" t="s">
        <v>8728</v>
      </c>
      <c r="G1087" s="14" t="s">
        <v>8728</v>
      </c>
      <c r="H1087" s="14" t="s">
        <v>8728</v>
      </c>
      <c r="I1087" s="14" t="s">
        <v>8728</v>
      </c>
      <c r="J1087" s="15" t="s">
        <v>8728</v>
      </c>
      <c r="K1087" s="16">
        <v>86.806989000000002</v>
      </c>
      <c r="L1087" s="17">
        <v>61.281886</v>
      </c>
      <c r="M1087" s="18">
        <f t="shared" si="17"/>
        <v>0.70595566907636897</v>
      </c>
    </row>
    <row r="1088" spans="1:13">
      <c r="A1088" s="13" t="s">
        <v>3168</v>
      </c>
      <c r="B1088" s="14" t="s">
        <v>3168</v>
      </c>
      <c r="C1088" s="14" t="str">
        <f>HYPERLINK("http://uswest.ensembl.org/Homo_sapiens/Gene/Summary?g=ENSG00000158816","ENSG00000158816")</f>
        <v>ENSG00000158816</v>
      </c>
      <c r="D1088" s="14" t="s">
        <v>8728</v>
      </c>
      <c r="E1088" s="14" t="str">
        <f>HYPERLINK("http://www.ncbi.nlm.nih.gov/sites/entrez?db=gene&amp;cmd=Retrieve&amp;dopt=full_report&amp;list_uids=127731","127731")</f>
        <v>127731</v>
      </c>
      <c r="F1088" s="14" t="s">
        <v>3169</v>
      </c>
      <c r="G1088" s="14" t="s">
        <v>3170</v>
      </c>
      <c r="H1088" s="14" t="s">
        <v>8728</v>
      </c>
      <c r="I1088" s="14" t="s">
        <v>8728</v>
      </c>
      <c r="J1088" s="15" t="s">
        <v>8731</v>
      </c>
      <c r="K1088" s="16">
        <v>142.97828100000001</v>
      </c>
      <c r="L1088" s="17">
        <v>100.949304</v>
      </c>
      <c r="M1088" s="18">
        <f t="shared" si="17"/>
        <v>0.70604642393203754</v>
      </c>
    </row>
    <row r="1089" spans="1:13">
      <c r="A1089" s="13" t="s">
        <v>3149</v>
      </c>
      <c r="B1089" s="14" t="s">
        <v>3149</v>
      </c>
      <c r="C1089" s="14" t="str">
        <f>HYPERLINK("http://uswest.ensembl.org/Homo_sapiens/Gene/Summary?g=ENSG00000178562","ENSG00000178562")</f>
        <v>ENSG00000178562</v>
      </c>
      <c r="D1089" s="14" t="s">
        <v>3150</v>
      </c>
      <c r="E1089" s="14" t="str">
        <f>HYPERLINK("http://www.ncbi.nlm.nih.gov/sites/entrez?db=gene&amp;cmd=Retrieve&amp;dopt=full_report&amp;list_uids=","-")</f>
        <v>-</v>
      </c>
      <c r="F1089" s="14" t="s">
        <v>3151</v>
      </c>
      <c r="G1089" s="14" t="s">
        <v>3152</v>
      </c>
      <c r="H1089" s="19" t="s">
        <v>3153</v>
      </c>
      <c r="I1089" s="14" t="s">
        <v>8728</v>
      </c>
      <c r="J1089" s="15" t="s">
        <v>3156</v>
      </c>
      <c r="K1089" s="16">
        <v>382.25117799999998</v>
      </c>
      <c r="L1089" s="17">
        <v>269.92976199999998</v>
      </c>
      <c r="M1089" s="18">
        <f t="shared" si="17"/>
        <v>0.70615809063641388</v>
      </c>
    </row>
    <row r="1090" spans="1:13">
      <c r="A1090" s="13" t="s">
        <v>3157</v>
      </c>
      <c r="B1090" s="14" t="s">
        <v>3157</v>
      </c>
      <c r="C1090" s="14" t="str">
        <f>HYPERLINK("http://uswest.ensembl.org/Homo_sapiens/Gene/Summary?g=ENSG00000123080","ENSG00000123080")</f>
        <v>ENSG00000123080</v>
      </c>
      <c r="D1090" s="14" t="s">
        <v>3158</v>
      </c>
      <c r="E1090" s="14" t="str">
        <f>HYPERLINK("http://www.ncbi.nlm.nih.gov/sites/entrez?db=gene&amp;cmd=Retrieve&amp;dopt=full_report&amp;list_uids=1031","1031")</f>
        <v>1031</v>
      </c>
      <c r="F1090" s="14" t="s">
        <v>3159</v>
      </c>
      <c r="G1090" s="14" t="s">
        <v>3161</v>
      </c>
      <c r="H1090" s="19" t="s">
        <v>3138</v>
      </c>
      <c r="I1090" s="14" t="s">
        <v>8409</v>
      </c>
      <c r="J1090" s="15" t="s">
        <v>8608</v>
      </c>
      <c r="K1090" s="16">
        <v>133.861636</v>
      </c>
      <c r="L1090" s="17">
        <v>94.558287000000007</v>
      </c>
      <c r="M1090" s="18">
        <f t="shared" ref="M1090:M1127" si="18">L1090/K1090</f>
        <v>0.7063882515226394</v>
      </c>
    </row>
    <row r="1091" spans="1:13">
      <c r="A1091" s="13" t="s">
        <v>3139</v>
      </c>
      <c r="B1091" s="14" t="s">
        <v>3139</v>
      </c>
      <c r="C1091" s="14" t="str">
        <f>HYPERLINK("http://uswest.ensembl.org/Homo_sapiens/Gene/Summary?g=ENSG00000204261","ENSG00000204261")</f>
        <v>ENSG00000204261</v>
      </c>
      <c r="D1091" s="14" t="s">
        <v>3140</v>
      </c>
      <c r="E1091" s="14" t="str">
        <f>HYPERLINK("http://www.ncbi.nlm.nih.gov/sites/entrez?db=gene&amp;cmd=Retrieve&amp;dopt=full_report&amp;list_uids=5698","5698")</f>
        <v>5698</v>
      </c>
      <c r="F1091" s="14" t="s">
        <v>3141</v>
      </c>
      <c r="G1091" s="14" t="s">
        <v>3142</v>
      </c>
      <c r="H1091" s="19" t="s">
        <v>3143</v>
      </c>
      <c r="I1091" s="14" t="s">
        <v>3144</v>
      </c>
      <c r="J1091" s="15" t="s">
        <v>3145</v>
      </c>
      <c r="K1091" s="16">
        <v>126.57644000000001</v>
      </c>
      <c r="L1091" s="17">
        <v>89.433730999999995</v>
      </c>
      <c r="M1091" s="18">
        <f t="shared" si="18"/>
        <v>0.70655906423027848</v>
      </c>
    </row>
    <row r="1092" spans="1:13">
      <c r="A1092" s="13" t="s">
        <v>3146</v>
      </c>
      <c r="B1092" s="14" t="s">
        <v>3146</v>
      </c>
      <c r="C1092" s="14" t="str">
        <f>HYPERLINK("http://uswest.ensembl.org/Homo_sapiens/Gene/Summary?g=ENSG00000198356","ENSG00000198356")</f>
        <v>ENSG00000198356</v>
      </c>
      <c r="D1092" s="14" t="s">
        <v>3147</v>
      </c>
      <c r="E1092" s="14" t="str">
        <f>HYPERLINK("http://www.ncbi.nlm.nih.gov/sites/entrez?db=gene&amp;cmd=Retrieve&amp;dopt=full_report&amp;list_uids=439","439")</f>
        <v>439</v>
      </c>
      <c r="F1092" s="14" t="s">
        <v>3148</v>
      </c>
      <c r="G1092" s="14" t="s">
        <v>3124</v>
      </c>
      <c r="H1092" s="14" t="s">
        <v>3125</v>
      </c>
      <c r="I1092" s="19" t="s">
        <v>3126</v>
      </c>
      <c r="J1092" s="15" t="s">
        <v>3127</v>
      </c>
      <c r="K1092" s="16">
        <v>238.48064199999999</v>
      </c>
      <c r="L1092" s="17">
        <v>168.52958000000001</v>
      </c>
      <c r="M1092" s="18">
        <f t="shared" si="18"/>
        <v>0.70668033508564609</v>
      </c>
    </row>
    <row r="1093" spans="1:13">
      <c r="A1093" s="13" t="s">
        <v>3128</v>
      </c>
      <c r="B1093" s="14" t="s">
        <v>3128</v>
      </c>
      <c r="C1093" s="14" t="str">
        <f>HYPERLINK("http://uswest.ensembl.org/Homo_sapiens/Gene/Summary?g=ENSG00000144815","ENSG00000144815")</f>
        <v>ENSG00000144815</v>
      </c>
      <c r="D1093" s="14" t="s">
        <v>3129</v>
      </c>
      <c r="E1093" s="14" t="str">
        <f>HYPERLINK("http://www.ncbi.nlm.nih.gov/sites/entrez?db=gene&amp;cmd=Retrieve&amp;dopt=full_report&amp;list_uids=91775","91775")</f>
        <v>91775</v>
      </c>
      <c r="F1093" s="14" t="s">
        <v>3130</v>
      </c>
      <c r="G1093" s="14" t="s">
        <v>3131</v>
      </c>
      <c r="H1093" s="14" t="s">
        <v>8728</v>
      </c>
      <c r="I1093" s="14" t="s">
        <v>8728</v>
      </c>
      <c r="J1093" s="15" t="s">
        <v>8731</v>
      </c>
      <c r="K1093" s="16">
        <v>33.479956999999999</v>
      </c>
      <c r="L1093" s="17">
        <v>23.668486999999999</v>
      </c>
      <c r="M1093" s="18">
        <f t="shared" si="18"/>
        <v>0.70694496411688934</v>
      </c>
    </row>
    <row r="1094" spans="1:13">
      <c r="A1094" s="13" t="s">
        <v>3132</v>
      </c>
      <c r="B1094" s="14" t="s">
        <v>3132</v>
      </c>
      <c r="C1094" s="14" t="str">
        <f>HYPERLINK("http://uswest.ensembl.org/Homo_sapiens/Gene/Summary?g=ENSG00000034533","ENSG00000034533")</f>
        <v>ENSG00000034533</v>
      </c>
      <c r="D1094" s="14" t="s">
        <v>3160</v>
      </c>
      <c r="E1094" s="14" t="str">
        <f>HYPERLINK("http://www.ncbi.nlm.nih.gov/sites/entrez?db=gene&amp;cmd=Retrieve&amp;dopt=full_report&amp;list_uids=28990","28990")</f>
        <v>28990</v>
      </c>
      <c r="F1094" s="14" t="s">
        <v>3133</v>
      </c>
      <c r="G1094" s="14" t="s">
        <v>3101</v>
      </c>
      <c r="H1094" s="14" t="s">
        <v>3102</v>
      </c>
      <c r="I1094" s="14" t="s">
        <v>3103</v>
      </c>
      <c r="J1094" s="15" t="s">
        <v>8728</v>
      </c>
      <c r="K1094" s="16">
        <v>37.793497000000002</v>
      </c>
      <c r="L1094" s="17">
        <v>26.721138</v>
      </c>
      <c r="M1094" s="18">
        <f t="shared" si="18"/>
        <v>0.70703004805297587</v>
      </c>
    </row>
    <row r="1095" spans="1:13">
      <c r="A1095" s="13" t="s">
        <v>3104</v>
      </c>
      <c r="B1095" s="14" t="s">
        <v>3104</v>
      </c>
      <c r="C1095" s="14" t="str">
        <f>HYPERLINK("http://uswest.ensembl.org/Homo_sapiens/Gene/Summary?g=ENSG00000146243","ENSG00000146243")</f>
        <v>ENSG00000146243</v>
      </c>
      <c r="D1095" s="14" t="s">
        <v>3105</v>
      </c>
      <c r="E1095" s="14" t="str">
        <f>HYPERLINK("http://www.ncbi.nlm.nih.gov/sites/entrez?db=gene&amp;cmd=Retrieve&amp;dopt=full_report&amp;list_uids=134728","134728")</f>
        <v>134728</v>
      </c>
      <c r="F1095" s="14" t="s">
        <v>3106</v>
      </c>
      <c r="G1095" s="14" t="s">
        <v>3107</v>
      </c>
      <c r="H1095" s="14" t="s">
        <v>3108</v>
      </c>
      <c r="I1095" s="14" t="s">
        <v>8665</v>
      </c>
      <c r="J1095" s="15" t="s">
        <v>8608</v>
      </c>
      <c r="K1095" s="16">
        <v>31.769636999999999</v>
      </c>
      <c r="L1095" s="17">
        <v>22.462657</v>
      </c>
      <c r="M1095" s="18">
        <f t="shared" si="18"/>
        <v>0.7070479590308193</v>
      </c>
    </row>
    <row r="1096" spans="1:13">
      <c r="A1096" s="13" t="s">
        <v>3109</v>
      </c>
      <c r="B1096" s="14" t="s">
        <v>3109</v>
      </c>
      <c r="C1096" s="14" t="str">
        <f>HYPERLINK("http://uswest.ensembl.org/Homo_sapiens/Gene/Summary?g=ENSG00000117475","ENSG00000117475")</f>
        <v>ENSG00000117475</v>
      </c>
      <c r="D1096" s="14" t="s">
        <v>3110</v>
      </c>
      <c r="E1096" s="14" t="str">
        <f>HYPERLINK("http://www.ncbi.nlm.nih.gov/sites/entrez?db=gene&amp;cmd=Retrieve&amp;dopt=full_report&amp;list_uids=","-")</f>
        <v>-</v>
      </c>
      <c r="F1096" s="14" t="s">
        <v>3111</v>
      </c>
      <c r="G1096" s="14" t="s">
        <v>3112</v>
      </c>
      <c r="H1096" s="14" t="s">
        <v>8728</v>
      </c>
      <c r="I1096" s="14" t="s">
        <v>8728</v>
      </c>
      <c r="J1096" s="15" t="s">
        <v>8728</v>
      </c>
      <c r="K1096" s="16">
        <v>126.439032</v>
      </c>
      <c r="L1096" s="17">
        <v>89.399458999999993</v>
      </c>
      <c r="M1096" s="18">
        <f t="shared" si="18"/>
        <v>0.70705586388861308</v>
      </c>
    </row>
    <row r="1097" spans="1:13">
      <c r="A1097" s="13" t="s">
        <v>3113</v>
      </c>
      <c r="B1097" s="14" t="s">
        <v>3113</v>
      </c>
      <c r="C1097" s="14" t="str">
        <f>HYPERLINK("http://uswest.ensembl.org/Homo_sapiens/Gene/Summary?g=ENSG00000137040","ENSG00000137040")</f>
        <v>ENSG00000137040</v>
      </c>
      <c r="D1097" s="14" t="s">
        <v>3114</v>
      </c>
      <c r="E1097" s="14" t="str">
        <f>HYPERLINK("http://www.ncbi.nlm.nih.gov/sites/entrez?db=gene&amp;cmd=Retrieve&amp;dopt=full_report&amp;list_uids=26953","26953")</f>
        <v>26953</v>
      </c>
      <c r="F1097" s="14" t="s">
        <v>3115</v>
      </c>
      <c r="G1097" s="14" t="s">
        <v>3116</v>
      </c>
      <c r="H1097" s="14" t="s">
        <v>8454</v>
      </c>
      <c r="I1097" s="14" t="s">
        <v>8383</v>
      </c>
      <c r="J1097" s="15" t="s">
        <v>8608</v>
      </c>
      <c r="K1097" s="16">
        <v>36.591042999999999</v>
      </c>
      <c r="L1097" s="17">
        <v>25.878232000000001</v>
      </c>
      <c r="M1097" s="18">
        <f t="shared" si="18"/>
        <v>0.70722859690006656</v>
      </c>
    </row>
    <row r="1098" spans="1:13">
      <c r="A1098" s="13" t="s">
        <v>3117</v>
      </c>
      <c r="B1098" s="14" t="s">
        <v>3117</v>
      </c>
      <c r="C1098" s="14" t="str">
        <f>HYPERLINK("http://uswest.ensembl.org/Homo_sapiens/Gene/Summary?g=ENSG00000119632","ENSG00000119632")</f>
        <v>ENSG00000119632</v>
      </c>
      <c r="D1098" s="14" t="s">
        <v>3118</v>
      </c>
      <c r="E1098" s="14" t="str">
        <f>HYPERLINK("http://www.ncbi.nlm.nih.gov/sites/entrez?db=gene&amp;cmd=Retrieve&amp;dopt=full_report&amp;list_uids=83982","83982")</f>
        <v>83982</v>
      </c>
      <c r="F1098" s="14" t="s">
        <v>3119</v>
      </c>
      <c r="G1098" s="14" t="s">
        <v>3120</v>
      </c>
      <c r="H1098" s="14" t="s">
        <v>8728</v>
      </c>
      <c r="I1098" s="14" t="s">
        <v>8728</v>
      </c>
      <c r="J1098" s="15" t="s">
        <v>8698</v>
      </c>
      <c r="K1098" s="16">
        <v>376.75953700000002</v>
      </c>
      <c r="L1098" s="17">
        <v>266.53609599999999</v>
      </c>
      <c r="M1098" s="18">
        <f t="shared" si="18"/>
        <v>0.70744352783297948</v>
      </c>
    </row>
    <row r="1099" spans="1:13">
      <c r="A1099" s="13" t="s">
        <v>3121</v>
      </c>
      <c r="B1099" s="14" t="s">
        <v>3121</v>
      </c>
      <c r="C1099" s="14" t="str">
        <f>HYPERLINK("http://uswest.ensembl.org/Homo_sapiens/Gene/Summary?g=ENSG00000115806","ENSG00000115806")</f>
        <v>ENSG00000115806</v>
      </c>
      <c r="D1099" s="14" t="s">
        <v>3122</v>
      </c>
      <c r="E1099" s="14" t="str">
        <f>HYPERLINK("http://www.ncbi.nlm.nih.gov/sites/entrez?db=gene&amp;cmd=Retrieve&amp;dopt=full_report&amp;list_uids=26003","26003")</f>
        <v>26003</v>
      </c>
      <c r="F1099" s="14" t="s">
        <v>3123</v>
      </c>
      <c r="G1099" s="14" t="s">
        <v>3084</v>
      </c>
      <c r="H1099" s="14" t="s">
        <v>3085</v>
      </c>
      <c r="I1099" s="14" t="s">
        <v>8665</v>
      </c>
      <c r="J1099" s="15" t="s">
        <v>3086</v>
      </c>
      <c r="K1099" s="16">
        <v>120.139824</v>
      </c>
      <c r="L1099" s="17">
        <v>84.997156000000004</v>
      </c>
      <c r="M1099" s="18">
        <f t="shared" si="18"/>
        <v>0.70748527149498741</v>
      </c>
    </row>
    <row r="1100" spans="1:13">
      <c r="A1100" s="13" t="s">
        <v>3087</v>
      </c>
      <c r="B1100" s="14" t="s">
        <v>3087</v>
      </c>
      <c r="C1100" s="14" t="str">
        <f>HYPERLINK("http://uswest.ensembl.org/Homo_sapiens/Gene/Summary?g=","-")</f>
        <v>-</v>
      </c>
      <c r="D1100" s="14" t="s">
        <v>3088</v>
      </c>
      <c r="E1100" s="14" t="str">
        <f>HYPERLINK("http://www.ncbi.nlm.nih.gov/sites/entrez?db=gene&amp;cmd=Retrieve&amp;dopt=full_report&amp;list_uids=129787","129787")</f>
        <v>129787</v>
      </c>
      <c r="F1100" s="14" t="s">
        <v>3089</v>
      </c>
      <c r="G1100" s="14" t="s">
        <v>3090</v>
      </c>
      <c r="H1100" s="14" t="s">
        <v>8728</v>
      </c>
      <c r="I1100" s="14" t="s">
        <v>8728</v>
      </c>
      <c r="J1100" s="15" t="s">
        <v>8698</v>
      </c>
      <c r="K1100" s="16">
        <v>40.337986999999998</v>
      </c>
      <c r="L1100" s="17">
        <v>28.542728</v>
      </c>
      <c r="M1100" s="18">
        <f t="shared" si="18"/>
        <v>0.70758930037832579</v>
      </c>
    </row>
    <row r="1101" spans="1:13">
      <c r="A1101" s="13" t="s">
        <v>3091</v>
      </c>
      <c r="B1101" s="14" t="s">
        <v>3091</v>
      </c>
      <c r="C1101" s="14" t="str">
        <f>HYPERLINK("http://uswest.ensembl.org/Homo_sapiens/Gene/Summary?g=ENSG00000196972","ENSG00000196972")</f>
        <v>ENSG00000196972</v>
      </c>
      <c r="D1101" s="14" t="s">
        <v>8728</v>
      </c>
      <c r="E1101" s="14" t="str">
        <f>HYPERLINK("http://www.ncbi.nlm.nih.gov/sites/entrez?db=gene&amp;cmd=Retrieve&amp;dopt=full_report&amp;list_uids=","-")</f>
        <v>-</v>
      </c>
      <c r="F1101" s="14" t="s">
        <v>3092</v>
      </c>
      <c r="G1101" s="14" t="s">
        <v>3093</v>
      </c>
      <c r="H1101" s="14" t="s">
        <v>8104</v>
      </c>
      <c r="I1101" s="14" t="s">
        <v>8105</v>
      </c>
      <c r="J1101" s="15" t="s">
        <v>8728</v>
      </c>
      <c r="K1101" s="16">
        <v>37.637408000000001</v>
      </c>
      <c r="L1101" s="17">
        <v>26.634118000000001</v>
      </c>
      <c r="M1101" s="18">
        <f t="shared" si="18"/>
        <v>0.70765016549492465</v>
      </c>
    </row>
    <row r="1102" spans="1:13">
      <c r="A1102" s="13" t="s">
        <v>3094</v>
      </c>
      <c r="B1102" s="14" t="s">
        <v>3094</v>
      </c>
      <c r="C1102" s="14" t="str">
        <f>HYPERLINK("http://uswest.ensembl.org/Homo_sapiens/Gene/Summary?g=","-")</f>
        <v>-</v>
      </c>
      <c r="D1102" s="14" t="s">
        <v>3095</v>
      </c>
      <c r="E1102" s="14" t="str">
        <f>HYPERLINK("http://www.ncbi.nlm.nih.gov/sites/entrez?db=gene&amp;cmd=Retrieve&amp;dopt=full_report&amp;list_uids=22949","22949")</f>
        <v>22949</v>
      </c>
      <c r="F1102" s="14" t="s">
        <v>3096</v>
      </c>
      <c r="G1102" s="14" t="s">
        <v>3097</v>
      </c>
      <c r="H1102" s="14" t="s">
        <v>3098</v>
      </c>
      <c r="I1102" s="14" t="s">
        <v>3099</v>
      </c>
      <c r="J1102" s="15" t="s">
        <v>8619</v>
      </c>
      <c r="K1102" s="16">
        <v>36.893507</v>
      </c>
      <c r="L1102" s="17">
        <v>26.115632000000002</v>
      </c>
      <c r="M1102" s="18">
        <f t="shared" si="18"/>
        <v>0.70786526203648792</v>
      </c>
    </row>
    <row r="1103" spans="1:13">
      <c r="A1103" s="13" t="s">
        <v>3100</v>
      </c>
      <c r="B1103" s="14" t="s">
        <v>3100</v>
      </c>
      <c r="C1103" s="14" t="str">
        <f>HYPERLINK("http://uswest.ensembl.org/Homo_sapiens/Gene/Summary?g=ENSG00000145348","ENSG00000145348")</f>
        <v>ENSG00000145348</v>
      </c>
      <c r="D1103" s="14" t="s">
        <v>3154</v>
      </c>
      <c r="E1103" s="14" t="str">
        <f>HYPERLINK("http://www.ncbi.nlm.nih.gov/sites/entrez?db=gene&amp;cmd=Retrieve&amp;dopt=full_report&amp;list_uids=","-")</f>
        <v>-</v>
      </c>
      <c r="F1103" s="14" t="s">
        <v>3155</v>
      </c>
      <c r="G1103" s="14" t="s">
        <v>3060</v>
      </c>
      <c r="H1103" s="14" t="s">
        <v>3064</v>
      </c>
      <c r="I1103" s="14" t="s">
        <v>3065</v>
      </c>
      <c r="J1103" s="15" t="s">
        <v>8707</v>
      </c>
      <c r="K1103" s="16">
        <v>37.092407999999999</v>
      </c>
      <c r="L1103" s="17">
        <v>26.260925</v>
      </c>
      <c r="M1103" s="18">
        <f t="shared" si="18"/>
        <v>0.70798652381910609</v>
      </c>
    </row>
    <row r="1104" spans="1:13">
      <c r="A1104" s="13" t="s">
        <v>3066</v>
      </c>
      <c r="B1104" s="14" t="s">
        <v>3066</v>
      </c>
      <c r="C1104" s="14" t="str">
        <f>HYPERLINK("http://uswest.ensembl.org/Homo_sapiens/Gene/Summary?g=ENSG00000090863","ENSG00000090863")</f>
        <v>ENSG00000090863</v>
      </c>
      <c r="D1104" s="14" t="s">
        <v>3067</v>
      </c>
      <c r="E1104" s="14" t="str">
        <f>HYPERLINK("http://www.ncbi.nlm.nih.gov/sites/entrez?db=gene&amp;cmd=Retrieve&amp;dopt=full_report&amp;list_uids=2734","2734")</f>
        <v>2734</v>
      </c>
      <c r="F1104" s="14" t="s">
        <v>3068</v>
      </c>
      <c r="G1104" s="14" t="s">
        <v>3069</v>
      </c>
      <c r="H1104" s="14" t="s">
        <v>8728</v>
      </c>
      <c r="I1104" s="14" t="s">
        <v>8494</v>
      </c>
      <c r="J1104" s="15" t="s">
        <v>7955</v>
      </c>
      <c r="K1104" s="16">
        <v>137.87375800000001</v>
      </c>
      <c r="L1104" s="17">
        <v>97.632373000000001</v>
      </c>
      <c r="M1104" s="18">
        <f t="shared" si="18"/>
        <v>0.70812875790329877</v>
      </c>
    </row>
    <row r="1105" spans="1:13">
      <c r="A1105" s="13" t="s">
        <v>3070</v>
      </c>
      <c r="B1105" s="14" t="s">
        <v>3070</v>
      </c>
      <c r="C1105" s="14" t="str">
        <f>HYPERLINK("http://uswest.ensembl.org/Homo_sapiens/Gene/Summary?g=","-")</f>
        <v>-</v>
      </c>
      <c r="D1105" s="14" t="s">
        <v>3071</v>
      </c>
      <c r="E1105" s="14" t="str">
        <f>HYPERLINK("http://www.ncbi.nlm.nih.gov/sites/entrez?db=gene&amp;cmd=Retrieve&amp;dopt=full_report&amp;list_uids=55268","55268")</f>
        <v>55268</v>
      </c>
      <c r="F1105" s="14" t="s">
        <v>3072</v>
      </c>
      <c r="G1105" s="14" t="s">
        <v>3134</v>
      </c>
      <c r="H1105" s="14" t="s">
        <v>8329</v>
      </c>
      <c r="I1105" s="14" t="s">
        <v>7575</v>
      </c>
      <c r="J1105" s="15" t="s">
        <v>8728</v>
      </c>
      <c r="K1105" s="16">
        <v>253.32279</v>
      </c>
      <c r="L1105" s="17">
        <v>179.39464799999999</v>
      </c>
      <c r="M1105" s="18">
        <f t="shared" si="18"/>
        <v>0.70816624118185334</v>
      </c>
    </row>
    <row r="1106" spans="1:13">
      <c r="A1106" s="13" t="s">
        <v>3135</v>
      </c>
      <c r="B1106" s="14" t="s">
        <v>3135</v>
      </c>
      <c r="C1106" s="14" t="str">
        <f>HYPERLINK("http://uswest.ensembl.org/Homo_sapiens/Gene/Summary?g=ENSG00000187653","ENSG00000187653")</f>
        <v>ENSG00000187653</v>
      </c>
      <c r="D1106" s="14" t="s">
        <v>3136</v>
      </c>
      <c r="E1106" s="14" t="str">
        <f>HYPERLINK("http://www.ncbi.nlm.nih.gov/sites/entrez?db=gene&amp;cmd=Retrieve&amp;dopt=full_report&amp;list_uids=7117","7117")</f>
        <v>7117</v>
      </c>
      <c r="F1106" s="14" t="s">
        <v>3137</v>
      </c>
      <c r="G1106" s="14" t="s">
        <v>3073</v>
      </c>
      <c r="H1106" s="14" t="s">
        <v>3074</v>
      </c>
      <c r="I1106" s="14" t="s">
        <v>7438</v>
      </c>
      <c r="J1106" s="15" t="s">
        <v>8560</v>
      </c>
      <c r="K1106" s="16">
        <v>19472.200733999998</v>
      </c>
      <c r="L1106" s="17">
        <v>13789.596228</v>
      </c>
      <c r="M1106" s="18">
        <f t="shared" si="18"/>
        <v>0.70816834811703011</v>
      </c>
    </row>
    <row r="1107" spans="1:13">
      <c r="A1107" s="13" t="s">
        <v>3075</v>
      </c>
      <c r="B1107" s="14" t="s">
        <v>3075</v>
      </c>
      <c r="C1107" s="14" t="str">
        <f>HYPERLINK("http://uswest.ensembl.org/Homo_sapiens/Gene/Summary?g=","-")</f>
        <v>-</v>
      </c>
      <c r="D1107" s="14" t="s">
        <v>3076</v>
      </c>
      <c r="E1107" s="14" t="str">
        <f>HYPERLINK("http://www.ncbi.nlm.nih.gov/sites/entrez?db=gene&amp;cmd=Retrieve&amp;dopt=full_report&amp;list_uids=5356","5356")</f>
        <v>5356</v>
      </c>
      <c r="F1107" s="14" t="s">
        <v>3077</v>
      </c>
      <c r="G1107" s="14" t="s">
        <v>3078</v>
      </c>
      <c r="H1107" s="14" t="s">
        <v>5350</v>
      </c>
      <c r="I1107" s="14" t="s">
        <v>3079</v>
      </c>
      <c r="J1107" s="15" t="s">
        <v>3080</v>
      </c>
      <c r="K1107" s="16">
        <v>289.67973799999999</v>
      </c>
      <c r="L1107" s="17">
        <v>205.14451</v>
      </c>
      <c r="M1107" s="18">
        <f t="shared" si="18"/>
        <v>0.70817693849198393</v>
      </c>
    </row>
    <row r="1108" spans="1:13">
      <c r="A1108" s="13" t="s">
        <v>3081</v>
      </c>
      <c r="B1108" s="14" t="s">
        <v>3081</v>
      </c>
      <c r="C1108" s="14" t="str">
        <f>HYPERLINK("http://uswest.ensembl.org/Homo_sapiens/Gene/Summary?g=ENSG00000172155","ENSG00000172155")</f>
        <v>ENSG00000172155</v>
      </c>
      <c r="D1108" s="14" t="s">
        <v>3082</v>
      </c>
      <c r="E1108" s="14" t="str">
        <f>HYPERLINK("http://www.ncbi.nlm.nih.gov/sites/entrez?db=gene&amp;cmd=Retrieve&amp;dopt=full_report&amp;list_uids=353134","353134")</f>
        <v>353134</v>
      </c>
      <c r="F1108" s="14" t="s">
        <v>3083</v>
      </c>
      <c r="G1108" s="14" t="s">
        <v>3038</v>
      </c>
      <c r="H1108" s="14" t="s">
        <v>8572</v>
      </c>
      <c r="I1108" s="14" t="s">
        <v>8728</v>
      </c>
      <c r="J1108" s="15" t="s">
        <v>8728</v>
      </c>
      <c r="K1108" s="16">
        <v>111.32632</v>
      </c>
      <c r="L1108" s="17">
        <v>78.842443000000003</v>
      </c>
      <c r="M1108" s="18">
        <f t="shared" si="18"/>
        <v>0.70821026869477055</v>
      </c>
    </row>
    <row r="1109" spans="1:13">
      <c r="A1109" s="13" t="s">
        <v>3040</v>
      </c>
      <c r="B1109" s="14" t="s">
        <v>3040</v>
      </c>
      <c r="C1109" s="14" t="str">
        <f>HYPERLINK("http://uswest.ensembl.org/Homo_sapiens/Gene/Summary?g=ENSG00000173153","ENSG00000173153")</f>
        <v>ENSG00000173153</v>
      </c>
      <c r="D1109" s="14" t="s">
        <v>3041</v>
      </c>
      <c r="E1109" s="14" t="str">
        <f>HYPERLINK("http://www.ncbi.nlm.nih.gov/sites/entrez?db=gene&amp;cmd=Retrieve&amp;dopt=full_report&amp;list_uids=2101","2101")</f>
        <v>2101</v>
      </c>
      <c r="F1109" s="14" t="s">
        <v>3042</v>
      </c>
      <c r="G1109" s="14" t="s">
        <v>3043</v>
      </c>
      <c r="H1109" s="14" t="s">
        <v>8581</v>
      </c>
      <c r="I1109" s="19" t="s">
        <v>3047</v>
      </c>
      <c r="J1109" s="15" t="s">
        <v>8558</v>
      </c>
      <c r="K1109" s="16">
        <v>86.321833999999996</v>
      </c>
      <c r="L1109" s="17">
        <v>61.141579999999998</v>
      </c>
      <c r="M1109" s="18">
        <f t="shared" si="18"/>
        <v>0.7082979724457662</v>
      </c>
    </row>
    <row r="1110" spans="1:13">
      <c r="A1110" s="13" t="s">
        <v>3048</v>
      </c>
      <c r="B1110" s="14" t="s">
        <v>3048</v>
      </c>
      <c r="C1110" s="14" t="str">
        <f>HYPERLINK("http://uswest.ensembl.org/Homo_sapiens/Gene/Summary?g=ENSG00000197863","ENSG00000197863")</f>
        <v>ENSG00000197863</v>
      </c>
      <c r="D1110" s="14" t="s">
        <v>3049</v>
      </c>
      <c r="E1110" s="14" t="str">
        <f>HYPERLINK("http://www.ncbi.nlm.nih.gov/sites/entrez?db=gene&amp;cmd=Retrieve&amp;dopt=full_report&amp;list_uids=388536","388536")</f>
        <v>388536</v>
      </c>
      <c r="F1110" s="14" t="s">
        <v>3050</v>
      </c>
      <c r="G1110" s="14" t="s">
        <v>3051</v>
      </c>
      <c r="H1110" s="14" t="s">
        <v>8581</v>
      </c>
      <c r="I1110" s="14" t="s">
        <v>8582</v>
      </c>
      <c r="J1110" s="15" t="s">
        <v>8622</v>
      </c>
      <c r="K1110" s="16">
        <v>101.737156</v>
      </c>
      <c r="L1110" s="17">
        <v>72.063466000000005</v>
      </c>
      <c r="M1110" s="18">
        <f t="shared" si="18"/>
        <v>0.70832986524608577</v>
      </c>
    </row>
    <row r="1111" spans="1:13">
      <c r="A1111" s="13" t="s">
        <v>3052</v>
      </c>
      <c r="B1111" s="14" t="s">
        <v>3052</v>
      </c>
      <c r="C1111" s="14" t="str">
        <f>HYPERLINK("http://uswest.ensembl.org/Homo_sapiens/Gene/Summary?g=ENSG00000169992","ENSG00000169992")</f>
        <v>ENSG00000169992</v>
      </c>
      <c r="D1111" s="14" t="s">
        <v>3053</v>
      </c>
      <c r="E1111" s="14" t="str">
        <f>HYPERLINK("http://www.ncbi.nlm.nih.gov/sites/entrez?db=gene&amp;cmd=Retrieve&amp;dopt=full_report&amp;list_uids=57555","57555")</f>
        <v>57555</v>
      </c>
      <c r="F1111" s="14" t="s">
        <v>3054</v>
      </c>
      <c r="G1111" s="14" t="s">
        <v>3055</v>
      </c>
      <c r="H1111" s="14" t="s">
        <v>3056</v>
      </c>
      <c r="I1111" s="14" t="s">
        <v>3057</v>
      </c>
      <c r="J1111" s="15" t="s">
        <v>3058</v>
      </c>
      <c r="K1111" s="16">
        <v>46.385089999999998</v>
      </c>
      <c r="L1111" s="17">
        <v>32.859124000000001</v>
      </c>
      <c r="M1111" s="18">
        <f t="shared" si="18"/>
        <v>0.70839840992008429</v>
      </c>
    </row>
    <row r="1112" spans="1:13">
      <c r="A1112" s="13" t="s">
        <v>3059</v>
      </c>
      <c r="B1112" s="14" t="s">
        <v>3059</v>
      </c>
      <c r="C1112" s="14" t="str">
        <f>HYPERLINK("http://uswest.ensembl.org/Homo_sapiens/Gene/Summary?g=ENSG00000186809","ENSG00000186809")</f>
        <v>ENSG00000186809</v>
      </c>
      <c r="D1112" s="14" t="s">
        <v>3025</v>
      </c>
      <c r="E1112" s="14" t="str">
        <f>HYPERLINK("http://www.ncbi.nlm.nih.gov/sites/entrez?db=gene&amp;cmd=Retrieve&amp;dopt=full_report&amp;list_uids=3448","3448")</f>
        <v>3448</v>
      </c>
      <c r="F1112" s="14" t="s">
        <v>3026</v>
      </c>
      <c r="G1112" s="14" t="s">
        <v>3027</v>
      </c>
      <c r="H1112" s="14" t="s">
        <v>6311</v>
      </c>
      <c r="I1112" s="14" t="s">
        <v>3464</v>
      </c>
      <c r="J1112" s="15" t="s">
        <v>8627</v>
      </c>
      <c r="K1112" s="16">
        <v>36.584465999999999</v>
      </c>
      <c r="L1112" s="17">
        <v>25.916657000000001</v>
      </c>
      <c r="M1112" s="18">
        <f t="shared" si="18"/>
        <v>0.70840604862183865</v>
      </c>
    </row>
    <row r="1113" spans="1:13">
      <c r="A1113" s="13" t="s">
        <v>3028</v>
      </c>
      <c r="B1113" s="14" t="s">
        <v>3028</v>
      </c>
      <c r="C1113" s="14" t="str">
        <f>HYPERLINK("http://uswest.ensembl.org/Homo_sapiens/Gene/Summary?g=ENSG00000100106","ENSG00000100106")</f>
        <v>ENSG00000100106</v>
      </c>
      <c r="D1113" s="14" t="s">
        <v>3061</v>
      </c>
      <c r="E1113" s="14" t="str">
        <f>HYPERLINK("http://www.ncbi.nlm.nih.gov/sites/entrez?db=gene&amp;cmd=Retrieve&amp;dopt=full_report&amp;list_uids=11078","11078")</f>
        <v>11078</v>
      </c>
      <c r="F1113" s="14" t="s">
        <v>3062</v>
      </c>
      <c r="G1113" s="14" t="s">
        <v>3063</v>
      </c>
      <c r="H1113" s="14" t="s">
        <v>8728</v>
      </c>
      <c r="I1113" s="14" t="s">
        <v>8728</v>
      </c>
      <c r="J1113" s="15" t="s">
        <v>8728</v>
      </c>
      <c r="K1113" s="16">
        <v>138.364439</v>
      </c>
      <c r="L1113" s="17">
        <v>98.019874000000002</v>
      </c>
      <c r="M1113" s="18">
        <f t="shared" si="18"/>
        <v>0.70841810734331812</v>
      </c>
    </row>
    <row r="1114" spans="1:13">
      <c r="A1114" s="13" t="s">
        <v>3032</v>
      </c>
      <c r="B1114" s="14" t="s">
        <v>3032</v>
      </c>
      <c r="C1114" s="14" t="str">
        <f>HYPERLINK("http://uswest.ensembl.org/Homo_sapiens/Gene/Summary?g=","-")</f>
        <v>-</v>
      </c>
      <c r="D1114" s="14" t="s">
        <v>3033</v>
      </c>
      <c r="E1114" s="14" t="str">
        <f>HYPERLINK("http://www.ncbi.nlm.nih.gov/sites/entrez?db=gene&amp;cmd=Retrieve&amp;dopt=full_report&amp;list_uids=51513","51513")</f>
        <v>51513</v>
      </c>
      <c r="F1114" s="14" t="s">
        <v>3034</v>
      </c>
      <c r="G1114" s="14" t="s">
        <v>3035</v>
      </c>
      <c r="H1114" s="14" t="s">
        <v>3036</v>
      </c>
      <c r="I1114" s="14" t="s">
        <v>3037</v>
      </c>
      <c r="J1114" s="15" t="s">
        <v>8558</v>
      </c>
      <c r="K1114" s="16">
        <v>29.98631</v>
      </c>
      <c r="L1114" s="17">
        <v>21.246378</v>
      </c>
      <c r="M1114" s="18">
        <f t="shared" si="18"/>
        <v>0.70853592856206715</v>
      </c>
    </row>
    <row r="1115" spans="1:13">
      <c r="A1115" s="13" t="s">
        <v>3007</v>
      </c>
      <c r="B1115" s="14" t="s">
        <v>3007</v>
      </c>
      <c r="C1115" s="14" t="str">
        <f>HYPERLINK("http://uswest.ensembl.org/Homo_sapiens/Gene/Summary?g=ENSG00000105953","ENSG00000105953")</f>
        <v>ENSG00000105953</v>
      </c>
      <c r="D1115" s="14" t="s">
        <v>3008</v>
      </c>
      <c r="E1115" s="14" t="str">
        <f>HYPERLINK("http://www.ncbi.nlm.nih.gov/sites/entrez?db=gene&amp;cmd=Retrieve&amp;dopt=full_report&amp;list_uids=4967","4967")</f>
        <v>4967</v>
      </c>
      <c r="F1115" s="14" t="s">
        <v>3009</v>
      </c>
      <c r="G1115" s="14" t="s">
        <v>3010</v>
      </c>
      <c r="H1115" s="14" t="s">
        <v>3039</v>
      </c>
      <c r="I1115" s="19" t="s">
        <v>3011</v>
      </c>
      <c r="J1115" s="15" t="s">
        <v>3012</v>
      </c>
      <c r="K1115" s="16">
        <v>55.167510999999998</v>
      </c>
      <c r="L1115" s="17">
        <v>39.096049999999998</v>
      </c>
      <c r="M1115" s="18">
        <f t="shared" si="18"/>
        <v>0.70867888167004667</v>
      </c>
    </row>
    <row r="1116" spans="1:13">
      <c r="A1116" s="13" t="s">
        <v>3013</v>
      </c>
      <c r="B1116" s="14" t="s">
        <v>3013</v>
      </c>
      <c r="C1116" s="14" t="str">
        <f>HYPERLINK("http://uswest.ensembl.org/Homo_sapiens/Gene/Summary?g=","-")</f>
        <v>-</v>
      </c>
      <c r="D1116" s="14" t="s">
        <v>8728</v>
      </c>
      <c r="E1116" s="14" t="str">
        <f>HYPERLINK("http://www.ncbi.nlm.nih.gov/sites/entrez?db=gene&amp;cmd=Retrieve&amp;dopt=full_report&amp;list_uids=100291383","100291383")</f>
        <v>100291383</v>
      </c>
      <c r="F1116" s="14" t="s">
        <v>8728</v>
      </c>
      <c r="G1116" s="14" t="s">
        <v>8728</v>
      </c>
      <c r="H1116" s="14" t="s">
        <v>8728</v>
      </c>
      <c r="I1116" s="14" t="s">
        <v>8728</v>
      </c>
      <c r="J1116" s="15" t="s">
        <v>8728</v>
      </c>
      <c r="K1116" s="16">
        <v>38.831871</v>
      </c>
      <c r="L1116" s="17">
        <v>27.519977999999998</v>
      </c>
      <c r="M1116" s="18">
        <f t="shared" si="18"/>
        <v>0.70869564847905475</v>
      </c>
    </row>
    <row r="1117" spans="1:13">
      <c r="A1117" s="13" t="s">
        <v>3014</v>
      </c>
      <c r="B1117" s="14" t="s">
        <v>3014</v>
      </c>
      <c r="C1117" s="14" t="str">
        <f>HYPERLINK("http://uswest.ensembl.org/Homo_sapiens/Gene/Summary?g=ENSG00000185187","ENSG00000185187")</f>
        <v>ENSG00000185187</v>
      </c>
      <c r="D1117" s="14" t="s">
        <v>3015</v>
      </c>
      <c r="E1117" s="14" t="str">
        <f>HYPERLINK("http://www.ncbi.nlm.nih.gov/sites/entrez?db=gene&amp;cmd=Retrieve&amp;dopt=full_report&amp;list_uids=59307","59307")</f>
        <v>59307</v>
      </c>
      <c r="F1117" s="14" t="s">
        <v>3016</v>
      </c>
      <c r="G1117" s="14" t="s">
        <v>3017</v>
      </c>
      <c r="H1117" s="19" t="s">
        <v>3022</v>
      </c>
      <c r="I1117" s="14" t="s">
        <v>3023</v>
      </c>
      <c r="J1117" s="15" t="s">
        <v>3024</v>
      </c>
      <c r="K1117" s="16">
        <v>110.365281</v>
      </c>
      <c r="L1117" s="17">
        <v>78.224278999999996</v>
      </c>
      <c r="M1117" s="18">
        <f t="shared" si="18"/>
        <v>0.70877615035474784</v>
      </c>
    </row>
    <row r="1118" spans="1:13">
      <c r="A1118" s="13" t="s">
        <v>3029</v>
      </c>
      <c r="B1118" s="14" t="s">
        <v>3029</v>
      </c>
      <c r="C1118" s="14" t="str">
        <f>HYPERLINK("http://uswest.ensembl.org/Homo_sapiens/Gene/Summary?g=ENSG00000117569","ENSG00000117569")</f>
        <v>ENSG00000117569</v>
      </c>
      <c r="D1118" s="14" t="s">
        <v>3030</v>
      </c>
      <c r="E1118" s="14" t="str">
        <f>HYPERLINK("http://www.ncbi.nlm.nih.gov/sites/entrez?db=gene&amp;cmd=Retrieve&amp;dopt=full_report&amp;list_uids=","-")</f>
        <v>-</v>
      </c>
      <c r="F1118" s="14" t="s">
        <v>3031</v>
      </c>
      <c r="G1118" s="14" t="s">
        <v>2998</v>
      </c>
      <c r="H1118" s="14" t="s">
        <v>2999</v>
      </c>
      <c r="I1118" s="14" t="s">
        <v>3000</v>
      </c>
      <c r="J1118" s="15" t="s">
        <v>8558</v>
      </c>
      <c r="K1118" s="16">
        <v>57.048267000000003</v>
      </c>
      <c r="L1118" s="17">
        <v>40.449693000000003</v>
      </c>
      <c r="M1118" s="18">
        <f t="shared" si="18"/>
        <v>0.70904332641690937</v>
      </c>
    </row>
    <row r="1119" spans="1:13">
      <c r="A1119" s="13" t="s">
        <v>3001</v>
      </c>
      <c r="B1119" s="14" t="s">
        <v>3001</v>
      </c>
      <c r="C1119" s="14" t="str">
        <f>HYPERLINK("http://uswest.ensembl.org/Homo_sapiens/Gene/Summary?g=","-")</f>
        <v>-</v>
      </c>
      <c r="D1119" s="14" t="s">
        <v>8728</v>
      </c>
      <c r="E1119" s="14" t="str">
        <f>HYPERLINK("http://www.ncbi.nlm.nih.gov/sites/entrez?db=gene&amp;cmd=Retrieve&amp;dopt=full_report&amp;list_uids=100288054","100288054")</f>
        <v>100288054</v>
      </c>
      <c r="F1119" s="14" t="s">
        <v>8728</v>
      </c>
      <c r="G1119" s="14" t="s">
        <v>8728</v>
      </c>
      <c r="H1119" s="14" t="s">
        <v>8728</v>
      </c>
      <c r="I1119" s="14" t="s">
        <v>8728</v>
      </c>
      <c r="J1119" s="15" t="s">
        <v>8728</v>
      </c>
      <c r="K1119" s="16">
        <v>100.689896</v>
      </c>
      <c r="L1119" s="17">
        <v>71.397003999999995</v>
      </c>
      <c r="M1119" s="18">
        <f t="shared" si="18"/>
        <v>0.70907813828708288</v>
      </c>
    </row>
    <row r="1120" spans="1:13">
      <c r="A1120" s="13" t="s">
        <v>3002</v>
      </c>
      <c r="B1120" s="14" t="s">
        <v>3002</v>
      </c>
      <c r="C1120" s="14" t="str">
        <f>HYPERLINK("http://uswest.ensembl.org/Homo_sapiens/Gene/Summary?g=ENSG00000176231","ENSG00000176231")</f>
        <v>ENSG00000176231</v>
      </c>
      <c r="D1120" s="14" t="s">
        <v>3003</v>
      </c>
      <c r="E1120" s="14" t="str">
        <f>HYPERLINK("http://www.ncbi.nlm.nih.gov/sites/entrez?db=gene&amp;cmd=Retrieve&amp;dopt=full_report&amp;list_uids=126541","126541")</f>
        <v>126541</v>
      </c>
      <c r="F1120" s="14" t="s">
        <v>3004</v>
      </c>
      <c r="G1120" s="14" t="s">
        <v>3005</v>
      </c>
      <c r="H1120" s="14" t="s">
        <v>8699</v>
      </c>
      <c r="I1120" s="14" t="s">
        <v>3006</v>
      </c>
      <c r="J1120" s="15" t="s">
        <v>8589</v>
      </c>
      <c r="K1120" s="16">
        <v>152.45745700000001</v>
      </c>
      <c r="L1120" s="17">
        <v>108.121959</v>
      </c>
      <c r="M1120" s="18">
        <f t="shared" si="18"/>
        <v>0.70919429674076229</v>
      </c>
    </row>
    <row r="1121" spans="1:13">
      <c r="A1121" s="13" t="s">
        <v>2987</v>
      </c>
      <c r="B1121" s="14" t="s">
        <v>2987</v>
      </c>
      <c r="C1121" s="14" t="str">
        <f>HYPERLINK("http://uswest.ensembl.org/Homo_sapiens/Gene/Summary?g=ENSG00000116176","ENSG00000116176")</f>
        <v>ENSG00000116176</v>
      </c>
      <c r="D1121" s="14" t="s">
        <v>2988</v>
      </c>
      <c r="E1121" s="14" t="str">
        <f>HYPERLINK("http://www.ncbi.nlm.nih.gov/sites/entrez?db=gene&amp;cmd=Retrieve&amp;dopt=full_report&amp;list_uids=25823","25823")</f>
        <v>25823</v>
      </c>
      <c r="F1121" s="14" t="s">
        <v>2989</v>
      </c>
      <c r="G1121" s="14" t="s">
        <v>2990</v>
      </c>
      <c r="H1121" s="14" t="s">
        <v>8623</v>
      </c>
      <c r="I1121" s="14" t="s">
        <v>8621</v>
      </c>
      <c r="J1121" s="15" t="s">
        <v>8374</v>
      </c>
      <c r="K1121" s="16">
        <v>69.559996999999996</v>
      </c>
      <c r="L1121" s="17">
        <v>49.333080000000002</v>
      </c>
      <c r="M1121" s="18">
        <f t="shared" si="18"/>
        <v>0.70921624680346096</v>
      </c>
    </row>
    <row r="1122" spans="1:13">
      <c r="A1122" s="13" t="s">
        <v>2991</v>
      </c>
      <c r="B1122" s="14" t="s">
        <v>2991</v>
      </c>
      <c r="C1122" s="14" t="str">
        <f>HYPERLINK("http://uswest.ensembl.org/Homo_sapiens/Gene/Summary?g=ENSG00000179066","ENSG00000179066")</f>
        <v>ENSG00000179066</v>
      </c>
      <c r="D1122" s="14" t="s">
        <v>8728</v>
      </c>
      <c r="E1122" s="14" t="str">
        <f>HYPERLINK("http://www.ncbi.nlm.nih.gov/sites/entrez?db=gene&amp;cmd=Retrieve&amp;dopt=full_report&amp;list_uids=","-")</f>
        <v>-</v>
      </c>
      <c r="F1122" s="14" t="s">
        <v>2992</v>
      </c>
      <c r="G1122" s="14" t="s">
        <v>2993</v>
      </c>
      <c r="H1122" s="14" t="s">
        <v>8728</v>
      </c>
      <c r="I1122" s="14" t="s">
        <v>8728</v>
      </c>
      <c r="J1122" s="15" t="s">
        <v>8728</v>
      </c>
      <c r="K1122" s="16">
        <v>36.420461000000003</v>
      </c>
      <c r="L1122" s="17">
        <v>25.835099</v>
      </c>
      <c r="M1122" s="18">
        <f t="shared" si="18"/>
        <v>0.70935672670370642</v>
      </c>
    </row>
    <row r="1123" spans="1:13">
      <c r="A1123" s="13" t="s">
        <v>2994</v>
      </c>
      <c r="B1123" s="14" t="s">
        <v>2994</v>
      </c>
      <c r="C1123" s="14" t="str">
        <f>HYPERLINK("http://uswest.ensembl.org/Homo_sapiens/Gene/Summary?g=ENSG00000186594","ENSG00000186594")</f>
        <v>ENSG00000186594</v>
      </c>
      <c r="D1123" s="14" t="s">
        <v>2995</v>
      </c>
      <c r="E1123" s="14" t="str">
        <f>HYPERLINK("http://www.ncbi.nlm.nih.gov/sites/entrez?db=gene&amp;cmd=Retrieve&amp;dopt=full_report&amp;list_uids=84981","84981")</f>
        <v>84981</v>
      </c>
      <c r="F1123" s="14" t="s">
        <v>2996</v>
      </c>
      <c r="G1123" s="14" t="s">
        <v>3044</v>
      </c>
      <c r="H1123" s="14" t="s">
        <v>8728</v>
      </c>
      <c r="I1123" s="14" t="s">
        <v>8728</v>
      </c>
      <c r="J1123" s="15" t="s">
        <v>8728</v>
      </c>
      <c r="K1123" s="16">
        <v>189.010391</v>
      </c>
      <c r="L1123" s="17">
        <v>134.11615399999999</v>
      </c>
      <c r="M1123" s="18">
        <f t="shared" si="18"/>
        <v>0.70957026907584142</v>
      </c>
    </row>
    <row r="1124" spans="1:13">
      <c r="A1124" s="13" t="s">
        <v>3045</v>
      </c>
      <c r="B1124" s="14" t="s">
        <v>3045</v>
      </c>
      <c r="C1124" s="14" t="str">
        <f>HYPERLINK("http://uswest.ensembl.org/Homo_sapiens/Gene/Summary?g=ENSG00000119801","ENSG00000119801")</f>
        <v>ENSG00000119801</v>
      </c>
      <c r="D1124" s="14" t="s">
        <v>3046</v>
      </c>
      <c r="E1124" s="14" t="str">
        <f>HYPERLINK("http://www.ncbi.nlm.nih.gov/sites/entrez?db=gene&amp;cmd=Retrieve&amp;dopt=full_report&amp;list_uids=51646","51646")</f>
        <v>51646</v>
      </c>
      <c r="F1124" s="14" t="s">
        <v>2976</v>
      </c>
      <c r="G1124" s="14" t="s">
        <v>2977</v>
      </c>
      <c r="H1124" s="14" t="s">
        <v>8728</v>
      </c>
      <c r="I1124" s="14" t="s">
        <v>8728</v>
      </c>
      <c r="J1124" s="15" t="s">
        <v>8728</v>
      </c>
      <c r="K1124" s="16">
        <v>435.89470599999999</v>
      </c>
      <c r="L1124" s="17">
        <v>309.36558400000001</v>
      </c>
      <c r="M1124" s="18">
        <f t="shared" si="18"/>
        <v>0.70972549044906275</v>
      </c>
    </row>
    <row r="1125" spans="1:13">
      <c r="A1125" s="13" t="s">
        <v>2978</v>
      </c>
      <c r="B1125" s="14" t="s">
        <v>2978</v>
      </c>
      <c r="C1125" s="14" t="str">
        <f>HYPERLINK("http://uswest.ensembl.org/Homo_sapiens/Gene/Summary?g=","-")</f>
        <v>-</v>
      </c>
      <c r="D1125" s="14" t="s">
        <v>2979</v>
      </c>
      <c r="E1125" s="14" t="str">
        <f>HYPERLINK("http://www.ncbi.nlm.nih.gov/sites/entrez?db=gene&amp;cmd=Retrieve&amp;dopt=full_report&amp;list_uids=26580","26580")</f>
        <v>26580</v>
      </c>
      <c r="F1125" s="14" t="s">
        <v>2980</v>
      </c>
      <c r="G1125" s="14" t="s">
        <v>2981</v>
      </c>
      <c r="H1125" s="14" t="s">
        <v>8728</v>
      </c>
      <c r="I1125" s="14" t="s">
        <v>8728</v>
      </c>
      <c r="J1125" s="15" t="s">
        <v>8728</v>
      </c>
      <c r="K1125" s="16">
        <v>77.942003999999997</v>
      </c>
      <c r="L1125" s="17">
        <v>55.318576999999998</v>
      </c>
      <c r="M1125" s="18">
        <f t="shared" si="18"/>
        <v>0.70974024481074416</v>
      </c>
    </row>
    <row r="1126" spans="1:13">
      <c r="A1126" s="13" t="s">
        <v>2982</v>
      </c>
      <c r="B1126" s="14" t="s">
        <v>2982</v>
      </c>
      <c r="C1126" s="14" t="str">
        <f>HYPERLINK("http://uswest.ensembl.org/Homo_sapiens/Gene/Summary?g=","-")</f>
        <v>-</v>
      </c>
      <c r="D1126" s="14" t="s">
        <v>2983</v>
      </c>
      <c r="E1126" s="14" t="str">
        <f>HYPERLINK("http://www.ncbi.nlm.nih.gov/sites/entrez?db=gene&amp;cmd=Retrieve&amp;dopt=full_report&amp;list_uids=55819","55819")</f>
        <v>55819</v>
      </c>
      <c r="F1126" s="14" t="s">
        <v>2984</v>
      </c>
      <c r="G1126" s="14" t="s">
        <v>2985</v>
      </c>
      <c r="H1126" s="14" t="s">
        <v>7813</v>
      </c>
      <c r="I1126" s="14" t="s">
        <v>2986</v>
      </c>
      <c r="J1126" s="15" t="s">
        <v>7988</v>
      </c>
      <c r="K1126" s="16">
        <v>1067.5549020000001</v>
      </c>
      <c r="L1126" s="17">
        <v>757.77966000000004</v>
      </c>
      <c r="M1126" s="18">
        <f t="shared" si="18"/>
        <v>0.70982734338097764</v>
      </c>
    </row>
    <row r="1127" spans="1:13">
      <c r="A1127" s="13" t="s">
        <v>2970</v>
      </c>
      <c r="B1127" s="14" t="s">
        <v>2970</v>
      </c>
      <c r="C1127" s="14" t="str">
        <f>HYPERLINK("http://uswest.ensembl.org/Homo_sapiens/Gene/Summary?g=ENSG00000120694","ENSG00000120694")</f>
        <v>ENSG00000120694</v>
      </c>
      <c r="D1127" s="14" t="s">
        <v>2971</v>
      </c>
      <c r="E1127" s="14" t="str">
        <f>HYPERLINK("http://www.ncbi.nlm.nih.gov/sites/entrez?db=gene&amp;cmd=Retrieve&amp;dopt=full_report&amp;list_uids=10808","10808")</f>
        <v>10808</v>
      </c>
      <c r="F1127" s="14" t="s">
        <v>2972</v>
      </c>
      <c r="G1127" s="14" t="s">
        <v>2973</v>
      </c>
      <c r="H1127" s="14" t="s">
        <v>5086</v>
      </c>
      <c r="I1127" s="14" t="s">
        <v>5127</v>
      </c>
      <c r="J1127" s="15" t="s">
        <v>8619</v>
      </c>
      <c r="K1127" s="16">
        <v>959.61191799999995</v>
      </c>
      <c r="L1127" s="17">
        <v>681.23855600000002</v>
      </c>
      <c r="M1127" s="18">
        <f t="shared" si="18"/>
        <v>0.70991047862329704</v>
      </c>
    </row>
  </sheetData>
  <sortState ref="A3:P1128">
    <sortCondition ref="M4:M1128"/>
  </sortState>
  <phoneticPr fontId="1"/>
  <conditionalFormatting sqref="K2:M1127">
    <cfRule type="cellIs" dxfId="1" priority="0" stopIfTrue="1" operator="greaterThan">
      <formula>100</formula>
    </cfRule>
  </conditionalFormatting>
  <pageMargins left="0.78700000000000003" right="0.78700000000000003" top="0.98399999999999999" bottom="0.98399999999999999" header="0.51200000000000001" footer="0.5120000000000000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573"/>
  <sheetViews>
    <sheetView tabSelected="1" topLeftCell="A23" workbookViewId="0">
      <selection activeCell="G23" sqref="G23"/>
    </sheetView>
  </sheetViews>
  <sheetFormatPr baseColWidth="12" defaultRowHeight="17"/>
  <sheetData>
    <row r="1" spans="1:13" ht="18" thickBot="1">
      <c r="A1" s="1" t="s">
        <v>8709</v>
      </c>
      <c r="B1" s="2" t="s">
        <v>8710</v>
      </c>
      <c r="C1" s="2" t="s">
        <v>8711</v>
      </c>
      <c r="D1" s="2" t="s">
        <v>8712</v>
      </c>
      <c r="E1" s="2" t="s">
        <v>8713</v>
      </c>
      <c r="F1" s="2" t="s">
        <v>8714</v>
      </c>
      <c r="G1" s="2" t="s">
        <v>8715</v>
      </c>
      <c r="H1" s="2" t="s">
        <v>8716</v>
      </c>
      <c r="I1" s="2" t="s">
        <v>8717</v>
      </c>
      <c r="J1" s="3" t="s">
        <v>8718</v>
      </c>
      <c r="K1" s="4" t="s">
        <v>9</v>
      </c>
      <c r="L1" s="5" t="s">
        <v>8</v>
      </c>
      <c r="M1" s="6" t="s">
        <v>2974</v>
      </c>
    </row>
    <row r="2" spans="1:13" ht="18" thickTop="1">
      <c r="A2" s="7" t="s">
        <v>2965</v>
      </c>
      <c r="B2" s="8" t="s">
        <v>2965</v>
      </c>
      <c r="C2" s="8" t="str">
        <f>HYPERLINK("http://uswest.ensembl.org/Homo_sapiens/Gene/Summary?g=ENSG00000125144","ENSG00000125144")</f>
        <v>ENSG00000125144</v>
      </c>
      <c r="D2" s="8" t="s">
        <v>2966</v>
      </c>
      <c r="E2" s="8" t="str">
        <f>HYPERLINK("http://www.ncbi.nlm.nih.gov/sites/entrez?db=gene&amp;cmd=Retrieve&amp;dopt=full_report&amp;list_uids=","-")</f>
        <v>-</v>
      </c>
      <c r="F2" s="8" t="s">
        <v>2967</v>
      </c>
      <c r="G2" s="8" t="s">
        <v>2968</v>
      </c>
      <c r="H2" s="8" t="s">
        <v>8728</v>
      </c>
      <c r="I2" s="8" t="s">
        <v>2969</v>
      </c>
      <c r="J2" s="9" t="s">
        <v>8728</v>
      </c>
      <c r="K2" s="10">
        <v>25.641763999999998</v>
      </c>
      <c r="L2" s="11">
        <v>79.038539</v>
      </c>
      <c r="M2" s="12">
        <f t="shared" ref="M2:M65" si="0">L2/K2</f>
        <v>3.0824142597989752</v>
      </c>
    </row>
    <row r="3" spans="1:13">
      <c r="A3" s="13" t="s">
        <v>2952</v>
      </c>
      <c r="B3" s="14" t="s">
        <v>2952</v>
      </c>
      <c r="C3" s="14" t="str">
        <f>HYPERLINK("http://uswest.ensembl.org/Homo_sapiens/Gene/Summary?g=ENSG00000127054","ENSG00000127054")</f>
        <v>ENSG00000127054</v>
      </c>
      <c r="D3" s="14" t="s">
        <v>2953</v>
      </c>
      <c r="E3" s="14" t="str">
        <f>HYPERLINK("http://www.ncbi.nlm.nih.gov/sites/entrez?db=gene&amp;cmd=Retrieve&amp;dopt=full_report&amp;list_uids=","-")</f>
        <v>-</v>
      </c>
      <c r="F3" s="14" t="s">
        <v>2954</v>
      </c>
      <c r="G3" s="14" t="s">
        <v>3018</v>
      </c>
      <c r="H3" s="14" t="s">
        <v>3019</v>
      </c>
      <c r="I3" s="14" t="s">
        <v>3020</v>
      </c>
      <c r="J3" s="15" t="s">
        <v>3021</v>
      </c>
      <c r="K3" s="16">
        <v>29.608532</v>
      </c>
      <c r="L3" s="17">
        <v>90.055310000000006</v>
      </c>
      <c r="M3" s="18">
        <f t="shared" si="0"/>
        <v>3.0415324204523211</v>
      </c>
    </row>
    <row r="4" spans="1:13">
      <c r="A4" s="13" t="s">
        <v>2935</v>
      </c>
      <c r="B4" s="14" t="s">
        <v>2935</v>
      </c>
      <c r="C4" s="14" t="str">
        <f>HYPERLINK("http://uswest.ensembl.org/Homo_sapiens/Gene/Summary?g=","-")</f>
        <v>-</v>
      </c>
      <c r="D4" s="14" t="s">
        <v>2936</v>
      </c>
      <c r="E4" s="14" t="str">
        <f>HYPERLINK("http://www.ncbi.nlm.nih.gov/sites/entrez?db=gene&amp;cmd=Retrieve&amp;dopt=full_report&amp;list_uids=832","832")</f>
        <v>832</v>
      </c>
      <c r="F4" s="14" t="s">
        <v>2937</v>
      </c>
      <c r="G4" s="14" t="s">
        <v>2938</v>
      </c>
      <c r="H4" s="14" t="s">
        <v>2939</v>
      </c>
      <c r="I4" s="14" t="s">
        <v>7438</v>
      </c>
      <c r="J4" s="15" t="s">
        <v>2940</v>
      </c>
      <c r="K4" s="16">
        <v>342.96740199999999</v>
      </c>
      <c r="L4" s="17">
        <v>957.02655900000002</v>
      </c>
      <c r="M4" s="18">
        <f t="shared" si="0"/>
        <v>2.7904300916621807</v>
      </c>
    </row>
    <row r="5" spans="1:13">
      <c r="A5" s="13" t="s">
        <v>2941</v>
      </c>
      <c r="B5" s="14" t="s">
        <v>2941</v>
      </c>
      <c r="C5" s="14" t="str">
        <f>HYPERLINK("http://uswest.ensembl.org/Homo_sapiens/Gene/Summary?g=","-")</f>
        <v>-</v>
      </c>
      <c r="D5" s="14" t="s">
        <v>2942</v>
      </c>
      <c r="E5" s="14" t="str">
        <f>HYPERLINK("http://www.ncbi.nlm.nih.gov/sites/entrez?db=gene&amp;cmd=Retrieve&amp;dopt=full_report&amp;list_uids=3240","3240")</f>
        <v>3240</v>
      </c>
      <c r="F5" s="14" t="s">
        <v>2943</v>
      </c>
      <c r="G5" s="14" t="s">
        <v>2944</v>
      </c>
      <c r="H5" s="14" t="s">
        <v>2945</v>
      </c>
      <c r="I5" s="14" t="s">
        <v>2946</v>
      </c>
      <c r="J5" s="15" t="s">
        <v>8731</v>
      </c>
      <c r="K5" s="16">
        <v>36.625413999999999</v>
      </c>
      <c r="L5" s="17">
        <v>101.128035</v>
      </c>
      <c r="M5" s="18">
        <f t="shared" si="0"/>
        <v>2.7611438057737723</v>
      </c>
    </row>
    <row r="6" spans="1:13">
      <c r="A6" s="13" t="s">
        <v>2947</v>
      </c>
      <c r="B6" s="14" t="s">
        <v>2947</v>
      </c>
      <c r="C6" s="14" t="str">
        <f>HYPERLINK("http://uswest.ensembl.org/Homo_sapiens/Gene/Summary?g=","-")</f>
        <v>-</v>
      </c>
      <c r="D6" s="14" t="s">
        <v>2948</v>
      </c>
      <c r="E6" s="14" t="str">
        <f>HYPERLINK("http://www.ncbi.nlm.nih.gov/sites/entrez?db=gene&amp;cmd=Retrieve&amp;dopt=full_report&amp;list_uids=83606","83606")</f>
        <v>83606</v>
      </c>
      <c r="F6" s="14" t="s">
        <v>2949</v>
      </c>
      <c r="G6" s="14" t="s">
        <v>2929</v>
      </c>
      <c r="H6" s="14" t="s">
        <v>8728</v>
      </c>
      <c r="I6" s="14" t="s">
        <v>8728</v>
      </c>
      <c r="J6" s="15" t="s">
        <v>8728</v>
      </c>
      <c r="K6" s="16">
        <v>153.465046</v>
      </c>
      <c r="L6" s="17">
        <v>407.45802400000002</v>
      </c>
      <c r="M6" s="18">
        <f t="shared" si="0"/>
        <v>2.6550542590656119</v>
      </c>
    </row>
    <row r="7" spans="1:13">
      <c r="A7" s="13" t="s">
        <v>2930</v>
      </c>
      <c r="B7" s="14" t="s">
        <v>2930</v>
      </c>
      <c r="C7" s="14" t="str">
        <f>HYPERLINK("http://uswest.ensembl.org/Homo_sapiens/Gene/Summary?g=","-")</f>
        <v>-</v>
      </c>
      <c r="D7" s="14" t="s">
        <v>2931</v>
      </c>
      <c r="E7" s="14" t="str">
        <f>HYPERLINK("http://www.ncbi.nlm.nih.gov/sites/entrez?db=gene&amp;cmd=Retrieve&amp;dopt=full_report&amp;list_uids=51237","51237")</f>
        <v>51237</v>
      </c>
      <c r="F7" s="14" t="s">
        <v>2932</v>
      </c>
      <c r="G7" s="14" t="s">
        <v>2933</v>
      </c>
      <c r="H7" s="14" t="s">
        <v>7813</v>
      </c>
      <c r="I7" s="14" t="s">
        <v>8728</v>
      </c>
      <c r="J7" s="15" t="s">
        <v>2934</v>
      </c>
      <c r="K7" s="16">
        <v>23.850521000000001</v>
      </c>
      <c r="L7" s="17">
        <v>62.489941000000002</v>
      </c>
      <c r="M7" s="18">
        <f t="shared" si="0"/>
        <v>2.6200660773825444</v>
      </c>
    </row>
    <row r="8" spans="1:13">
      <c r="A8" s="13" t="s">
        <v>2912</v>
      </c>
      <c r="B8" s="14" t="s">
        <v>2912</v>
      </c>
      <c r="C8" s="14" t="str">
        <f>HYPERLINK("http://uswest.ensembl.org/Homo_sapiens/Gene/Summary?g=ENSG00000136315","ENSG00000136315")</f>
        <v>ENSG00000136315</v>
      </c>
      <c r="D8" s="14" t="s">
        <v>8728</v>
      </c>
      <c r="E8" s="14" t="str">
        <f>HYPERLINK("http://www.ncbi.nlm.nih.gov/sites/entrez?db=gene&amp;cmd=Retrieve&amp;dopt=full_report&amp;list_uids=","-")</f>
        <v>-</v>
      </c>
      <c r="F8" s="14" t="s">
        <v>2913</v>
      </c>
      <c r="G8" s="14" t="s">
        <v>2914</v>
      </c>
      <c r="H8" s="14" t="s">
        <v>8728</v>
      </c>
      <c r="I8" s="14" t="s">
        <v>2915</v>
      </c>
      <c r="J8" s="15" t="s">
        <v>8728</v>
      </c>
      <c r="K8" s="16">
        <v>106.107556</v>
      </c>
      <c r="L8" s="17">
        <v>269.522672</v>
      </c>
      <c r="M8" s="18">
        <f t="shared" si="0"/>
        <v>2.5400893410456082</v>
      </c>
    </row>
    <row r="9" spans="1:13">
      <c r="A9" s="13" t="s">
        <v>2916</v>
      </c>
      <c r="B9" s="14" t="s">
        <v>2916</v>
      </c>
      <c r="C9" s="14" t="str">
        <f>HYPERLINK("http://uswest.ensembl.org/Homo_sapiens/Gene/Summary?g=ENSG00000061794","ENSG00000061794")</f>
        <v>ENSG00000061794</v>
      </c>
      <c r="D9" s="14" t="s">
        <v>2917</v>
      </c>
      <c r="E9" s="14" t="str">
        <f>HYPERLINK("http://www.ncbi.nlm.nih.gov/sites/entrez?db=gene&amp;cmd=Retrieve&amp;dopt=full_report&amp;list_uids=60488","60488")</f>
        <v>60488</v>
      </c>
      <c r="F9" s="14" t="s">
        <v>2918</v>
      </c>
      <c r="G9" s="14" t="s">
        <v>2919</v>
      </c>
      <c r="H9" s="14" t="s">
        <v>2920</v>
      </c>
      <c r="I9" s="14" t="s">
        <v>8728</v>
      </c>
      <c r="J9" s="15" t="s">
        <v>2921</v>
      </c>
      <c r="K9" s="16">
        <v>58.954878000000001</v>
      </c>
      <c r="L9" s="17">
        <v>148.56215399999999</v>
      </c>
      <c r="M9" s="18">
        <f t="shared" si="0"/>
        <v>2.5199298012286615</v>
      </c>
    </row>
    <row r="10" spans="1:13">
      <c r="A10" s="13" t="s">
        <v>2922</v>
      </c>
      <c r="B10" s="14" t="s">
        <v>2922</v>
      </c>
      <c r="C10" s="14" t="str">
        <f>HYPERLINK("http://uswest.ensembl.org/Homo_sapiens/Gene/Summary?g=ENSG00000017260","ENSG00000017260")</f>
        <v>ENSG00000017260</v>
      </c>
      <c r="D10" s="14" t="s">
        <v>2923</v>
      </c>
      <c r="E10" s="14" t="str">
        <f>HYPERLINK("http://www.ncbi.nlm.nih.gov/sites/entrez?db=gene&amp;cmd=Retrieve&amp;dopt=full_report&amp;list_uids=27032","27032")</f>
        <v>27032</v>
      </c>
      <c r="F10" s="14" t="s">
        <v>2924</v>
      </c>
      <c r="G10" s="14" t="s">
        <v>2925</v>
      </c>
      <c r="H10" s="14" t="s">
        <v>2997</v>
      </c>
      <c r="I10" s="19" t="s">
        <v>2928</v>
      </c>
      <c r="J10" s="15" t="s">
        <v>8698</v>
      </c>
      <c r="K10" s="16">
        <v>72.634614999999997</v>
      </c>
      <c r="L10" s="17">
        <v>180.86006699999999</v>
      </c>
      <c r="M10" s="18">
        <f t="shared" si="0"/>
        <v>2.4899982880063449</v>
      </c>
    </row>
    <row r="11" spans="1:13">
      <c r="A11" s="13" t="s">
        <v>2901</v>
      </c>
      <c r="B11" s="14" t="s">
        <v>2901</v>
      </c>
      <c r="C11" s="14" t="str">
        <f>HYPERLINK("http://uswest.ensembl.org/Homo_sapiens/Gene/Summary?g=ENSG00000133169","ENSG00000133169")</f>
        <v>ENSG00000133169</v>
      </c>
      <c r="D11" s="14" t="s">
        <v>2902</v>
      </c>
      <c r="E11" s="14" t="str">
        <f>HYPERLINK("http://www.ncbi.nlm.nih.gov/sites/entrez?db=gene&amp;cmd=Retrieve&amp;dopt=full_report&amp;list_uids=55859","55859")</f>
        <v>55859</v>
      </c>
      <c r="F11" s="14" t="s">
        <v>2903</v>
      </c>
      <c r="G11" s="14" t="s">
        <v>2904</v>
      </c>
      <c r="H11" s="14" t="s">
        <v>7549</v>
      </c>
      <c r="I11" s="14" t="s">
        <v>8728</v>
      </c>
      <c r="J11" s="15" t="s">
        <v>8608</v>
      </c>
      <c r="K11" s="16">
        <v>37.392330999999999</v>
      </c>
      <c r="L11" s="17">
        <v>91.244055000000003</v>
      </c>
      <c r="M11" s="18">
        <f t="shared" si="0"/>
        <v>2.44018098256565</v>
      </c>
    </row>
    <row r="12" spans="1:13">
      <c r="A12" s="13" t="s">
        <v>2905</v>
      </c>
      <c r="B12" s="14" t="s">
        <v>2905</v>
      </c>
      <c r="C12" s="14" t="str">
        <f>HYPERLINK("http://uswest.ensembl.org/Homo_sapiens/Gene/Summary?g=ENSG00000141504","ENSG00000141504")</f>
        <v>ENSG00000141504</v>
      </c>
      <c r="D12" s="14" t="s">
        <v>2906</v>
      </c>
      <c r="E12" s="14" t="str">
        <f>HYPERLINK("http://www.ncbi.nlm.nih.gov/sites/entrez?db=gene&amp;cmd=Retrieve&amp;dopt=full_report&amp;list_uids=","-")</f>
        <v>-</v>
      </c>
      <c r="F12" s="14" t="s">
        <v>2907</v>
      </c>
      <c r="G12" s="14" t="s">
        <v>2908</v>
      </c>
      <c r="H12" s="14" t="s">
        <v>8329</v>
      </c>
      <c r="I12" s="14" t="s">
        <v>2909</v>
      </c>
      <c r="J12" s="15" t="s">
        <v>8728</v>
      </c>
      <c r="K12" s="16">
        <v>48.929726000000002</v>
      </c>
      <c r="L12" s="17">
        <v>119.34414700000001</v>
      </c>
      <c r="M12" s="18">
        <f t="shared" si="0"/>
        <v>2.4390928941641734</v>
      </c>
    </row>
    <row r="13" spans="1:13">
      <c r="A13" s="13" t="s">
        <v>2910</v>
      </c>
      <c r="B13" s="14" t="s">
        <v>2910</v>
      </c>
      <c r="C13" s="14" t="str">
        <f>HYPERLINK("http://uswest.ensembl.org/Homo_sapiens/Gene/Summary?g=ENSG00000218188","ENSG00000218188")</f>
        <v>ENSG00000218188</v>
      </c>
      <c r="D13" s="14" t="s">
        <v>8728</v>
      </c>
      <c r="E13" s="14" t="str">
        <f>HYPERLINK("http://www.ncbi.nlm.nih.gov/sites/entrez?db=gene&amp;cmd=Retrieve&amp;dopt=full_report&amp;list_uids=","-")</f>
        <v>-</v>
      </c>
      <c r="F13" s="14" t="s">
        <v>2911</v>
      </c>
      <c r="G13" s="14" t="s">
        <v>8728</v>
      </c>
      <c r="H13" s="14" t="s">
        <v>8728</v>
      </c>
      <c r="I13" s="14" t="s">
        <v>8728</v>
      </c>
      <c r="J13" s="15" t="s">
        <v>8728</v>
      </c>
      <c r="K13" s="16">
        <v>1710.632357</v>
      </c>
      <c r="L13" s="17">
        <v>4123.9429959999998</v>
      </c>
      <c r="M13" s="18">
        <f t="shared" si="0"/>
        <v>2.4107710690287147</v>
      </c>
    </row>
    <row r="14" spans="1:13">
      <c r="A14" s="13" t="s">
        <v>2900</v>
      </c>
      <c r="B14" s="14" t="s">
        <v>2900</v>
      </c>
      <c r="C14" s="14" t="str">
        <f>HYPERLINK("http://uswest.ensembl.org/Homo_sapiens/Gene/Summary?g=ENSG00000182557","ENSG00000182557")</f>
        <v>ENSG00000182557</v>
      </c>
      <c r="D14" s="14" t="s">
        <v>2897</v>
      </c>
      <c r="E14" s="14" t="str">
        <f>HYPERLINK("http://www.ncbi.nlm.nih.gov/sites/entrez?db=gene&amp;cmd=Retrieve&amp;dopt=full_report&amp;list_uids=","-")</f>
        <v>-</v>
      </c>
      <c r="F14" s="14" t="s">
        <v>2898</v>
      </c>
      <c r="G14" s="14" t="s">
        <v>2899</v>
      </c>
      <c r="H14" s="14" t="s">
        <v>8734</v>
      </c>
      <c r="I14" s="14" t="s">
        <v>8470</v>
      </c>
      <c r="J14" s="15" t="s">
        <v>8669</v>
      </c>
      <c r="K14" s="16">
        <v>128.1173</v>
      </c>
      <c r="L14" s="17">
        <v>304.22098</v>
      </c>
      <c r="M14" s="18">
        <f t="shared" si="0"/>
        <v>2.3745503534651449</v>
      </c>
    </row>
    <row r="15" spans="1:13">
      <c r="A15" s="13" t="s">
        <v>2961</v>
      </c>
      <c r="B15" s="14" t="s">
        <v>2961</v>
      </c>
      <c r="C15" s="14" t="str">
        <f>HYPERLINK("http://uswest.ensembl.org/Homo_sapiens/Gene/Summary?g=ENSG00000171208","ENSG00000171208")</f>
        <v>ENSG00000171208</v>
      </c>
      <c r="D15" s="14" t="s">
        <v>2962</v>
      </c>
      <c r="E15" s="14" t="str">
        <f>HYPERLINK("http://www.ncbi.nlm.nih.gov/sites/entrez?db=gene&amp;cmd=Retrieve&amp;dopt=full_report&amp;list_uids=81831","81831")</f>
        <v>81831</v>
      </c>
      <c r="F15" s="14" t="s">
        <v>2963</v>
      </c>
      <c r="G15" s="14" t="s">
        <v>2896</v>
      </c>
      <c r="H15" s="14" t="s">
        <v>8728</v>
      </c>
      <c r="I15" s="14" t="s">
        <v>8607</v>
      </c>
      <c r="J15" s="15" t="s">
        <v>8698</v>
      </c>
      <c r="K15" s="16">
        <v>20.229403000000001</v>
      </c>
      <c r="L15" s="17">
        <v>47.576811999999997</v>
      </c>
      <c r="M15" s="18">
        <f t="shared" si="0"/>
        <v>2.3518643629769991</v>
      </c>
    </row>
    <row r="16" spans="1:13">
      <c r="A16" s="13" t="s">
        <v>2891</v>
      </c>
      <c r="B16" s="14" t="s">
        <v>2891</v>
      </c>
      <c r="C16" s="14" t="str">
        <f>HYPERLINK("http://uswest.ensembl.org/Homo_sapiens/Gene/Summary?g=","-")</f>
        <v>-</v>
      </c>
      <c r="D16" s="14" t="s">
        <v>2892</v>
      </c>
      <c r="E16" s="14" t="str">
        <f>HYPERLINK("http://www.ncbi.nlm.nih.gov/sites/entrez?db=gene&amp;cmd=Retrieve&amp;dopt=full_report&amp;list_uids=28959","28959")</f>
        <v>28959</v>
      </c>
      <c r="F16" s="14" t="s">
        <v>2893</v>
      </c>
      <c r="G16" s="14" t="s">
        <v>2955</v>
      </c>
      <c r="H16" s="14" t="s">
        <v>2956</v>
      </c>
      <c r="I16" s="14" t="s">
        <v>8728</v>
      </c>
      <c r="J16" s="15" t="s">
        <v>2957</v>
      </c>
      <c r="K16" s="16">
        <v>84.386833999999993</v>
      </c>
      <c r="L16" s="17">
        <v>194.36533299999999</v>
      </c>
      <c r="M16" s="18">
        <f t="shared" si="0"/>
        <v>2.3032660876932534</v>
      </c>
    </row>
    <row r="17" spans="1:13">
      <c r="A17" s="13" t="s">
        <v>2882</v>
      </c>
      <c r="B17" s="14" t="s">
        <v>2882</v>
      </c>
      <c r="C17" s="14" t="str">
        <f>HYPERLINK("http://uswest.ensembl.org/Homo_sapiens/Gene/Summary?g=ENSG00000144485","ENSG00000144485")</f>
        <v>ENSG00000144485</v>
      </c>
      <c r="D17" s="14" t="s">
        <v>2958</v>
      </c>
      <c r="E17" s="14" t="str">
        <f>HYPERLINK("http://www.ncbi.nlm.nih.gov/sites/entrez?db=gene&amp;cmd=Retrieve&amp;dopt=full_report&amp;list_uids=55502","55502")</f>
        <v>55502</v>
      </c>
      <c r="F17" s="14" t="s">
        <v>2959</v>
      </c>
      <c r="G17" s="14" t="s">
        <v>2883</v>
      </c>
      <c r="H17" s="14" t="s">
        <v>8673</v>
      </c>
      <c r="I17" s="14" t="s">
        <v>8240</v>
      </c>
      <c r="J17" s="15" t="s">
        <v>8558</v>
      </c>
      <c r="K17" s="16">
        <v>24.784883000000001</v>
      </c>
      <c r="L17" s="17">
        <v>56.323962000000002</v>
      </c>
      <c r="M17" s="18">
        <f t="shared" si="0"/>
        <v>2.2725127247927697</v>
      </c>
    </row>
    <row r="18" spans="1:13">
      <c r="A18" s="13" t="s">
        <v>2884</v>
      </c>
      <c r="B18" s="14" t="s">
        <v>2884</v>
      </c>
      <c r="C18" s="14" t="str">
        <f>HYPERLINK("http://uswest.ensembl.org/Homo_sapiens/Gene/Summary?g=ENSG00000007520","ENSG00000007520")</f>
        <v>ENSG00000007520</v>
      </c>
      <c r="D18" s="14" t="s">
        <v>2960</v>
      </c>
      <c r="E18" s="14" t="str">
        <f>HYPERLINK("http://www.ncbi.nlm.nih.gov/sites/entrez?db=gene&amp;cmd=Retrieve&amp;dopt=full_report&amp;list_uids=115939","115939")</f>
        <v>115939</v>
      </c>
      <c r="F18" s="14" t="s">
        <v>2885</v>
      </c>
      <c r="G18" s="14" t="s">
        <v>2886</v>
      </c>
      <c r="H18" s="14" t="s">
        <v>8728</v>
      </c>
      <c r="I18" s="14" t="s">
        <v>8728</v>
      </c>
      <c r="J18" s="15" t="s">
        <v>8698</v>
      </c>
      <c r="K18" s="16">
        <v>103.248656</v>
      </c>
      <c r="L18" s="17">
        <v>234.47097099999999</v>
      </c>
      <c r="M18" s="18">
        <f t="shared" si="0"/>
        <v>2.2709348487790484</v>
      </c>
    </row>
    <row r="19" spans="1:13">
      <c r="A19" s="13" t="s">
        <v>2887</v>
      </c>
      <c r="B19" s="14" t="s">
        <v>2887</v>
      </c>
      <c r="C19" s="14" t="str">
        <f>HYPERLINK("http://uswest.ensembl.org/Homo_sapiens/Gene/Summary?g=ENSG00000173566","ENSG00000173566")</f>
        <v>ENSG00000173566</v>
      </c>
      <c r="D19" s="14" t="s">
        <v>8728</v>
      </c>
      <c r="E19" s="14" t="str">
        <f>HYPERLINK("http://www.ncbi.nlm.nih.gov/sites/entrez?db=gene&amp;cmd=Retrieve&amp;dopt=full_report&amp;list_uids=79873","79873")</f>
        <v>79873</v>
      </c>
      <c r="F19" s="14" t="s">
        <v>2888</v>
      </c>
      <c r="G19" s="14" t="s">
        <v>2889</v>
      </c>
      <c r="H19" s="14" t="s">
        <v>8728</v>
      </c>
      <c r="I19" s="14" t="s">
        <v>2890</v>
      </c>
      <c r="J19" s="15" t="s">
        <v>8728</v>
      </c>
      <c r="K19" s="16">
        <v>34.989063000000002</v>
      </c>
      <c r="L19" s="17">
        <v>79.233358999999993</v>
      </c>
      <c r="M19" s="18">
        <f t="shared" si="0"/>
        <v>2.264517886632174</v>
      </c>
    </row>
    <row r="20" spans="1:13">
      <c r="A20" s="13" t="s">
        <v>2879</v>
      </c>
      <c r="B20" s="14" t="s">
        <v>2879</v>
      </c>
      <c r="C20" s="14" t="str">
        <f>HYPERLINK("http://uswest.ensembl.org/Homo_sapiens/Gene/Summary?g=ENSG00000113384","ENSG00000113384")</f>
        <v>ENSG00000113384</v>
      </c>
      <c r="D20" s="14" t="s">
        <v>2880</v>
      </c>
      <c r="E20" s="14" t="str">
        <f>HYPERLINK("http://www.ncbi.nlm.nih.gov/sites/entrez?db=gene&amp;cmd=Retrieve&amp;dopt=full_report&amp;list_uids=64083","64083")</f>
        <v>64083</v>
      </c>
      <c r="F20" s="14" t="s">
        <v>2881</v>
      </c>
      <c r="G20" s="14" t="s">
        <v>2871</v>
      </c>
      <c r="H20" s="14" t="s">
        <v>8728</v>
      </c>
      <c r="I20" s="14" t="s">
        <v>8728</v>
      </c>
      <c r="J20" s="15" t="s">
        <v>2872</v>
      </c>
      <c r="K20" s="16">
        <v>175.642079</v>
      </c>
      <c r="L20" s="17">
        <v>386.29622899999998</v>
      </c>
      <c r="M20" s="18">
        <f t="shared" si="0"/>
        <v>2.1993376029214504</v>
      </c>
    </row>
    <row r="21" spans="1:13">
      <c r="A21" s="13" t="s">
        <v>2859</v>
      </c>
      <c r="B21" s="14" t="s">
        <v>2859</v>
      </c>
      <c r="C21" s="14" t="str">
        <f>HYPERLINK("http://uswest.ensembl.org/Homo_sapiens/Gene/Summary?g=ENSG00000005187","ENSG00000005187")</f>
        <v>ENSG00000005187</v>
      </c>
      <c r="D21" s="14" t="s">
        <v>2860</v>
      </c>
      <c r="E21" s="14" t="str">
        <f>HYPERLINK("http://www.ncbi.nlm.nih.gov/sites/entrez?db=gene&amp;cmd=Retrieve&amp;dopt=full_report&amp;list_uids=6296","6296")</f>
        <v>6296</v>
      </c>
      <c r="F21" s="14" t="s">
        <v>2861</v>
      </c>
      <c r="G21" s="19" t="s">
        <v>2862</v>
      </c>
      <c r="H21" s="14" t="s">
        <v>2863</v>
      </c>
      <c r="I21" s="14" t="s">
        <v>2873</v>
      </c>
      <c r="J21" s="15" t="s">
        <v>2874</v>
      </c>
      <c r="K21" s="16">
        <v>64.2577</v>
      </c>
      <c r="L21" s="17">
        <v>139.827102</v>
      </c>
      <c r="M21" s="18">
        <f t="shared" si="0"/>
        <v>2.1760365216931201</v>
      </c>
    </row>
    <row r="22" spans="1:13">
      <c r="A22" s="13" t="s">
        <v>2875</v>
      </c>
      <c r="B22" s="14" t="s">
        <v>2875</v>
      </c>
      <c r="C22" s="14" t="str">
        <f>HYPERLINK("http://uswest.ensembl.org/Homo_sapiens/Gene/Summary?g=","-")</f>
        <v>-</v>
      </c>
      <c r="D22" s="14" t="s">
        <v>2876</v>
      </c>
      <c r="E22" s="14" t="str">
        <f>HYPERLINK("http://www.ncbi.nlm.nih.gov/sites/entrez?db=gene&amp;cmd=Retrieve&amp;dopt=full_report&amp;list_uids=6285","6285")</f>
        <v>6285</v>
      </c>
      <c r="F22" s="14" t="s">
        <v>2877</v>
      </c>
      <c r="G22" s="14" t="s">
        <v>2878</v>
      </c>
      <c r="H22" s="14" t="s">
        <v>2870</v>
      </c>
      <c r="I22" s="14" t="s">
        <v>2868</v>
      </c>
      <c r="J22" s="15" t="s">
        <v>2869</v>
      </c>
      <c r="K22" s="16">
        <v>21.813448999999999</v>
      </c>
      <c r="L22" s="17">
        <v>47.451186999999997</v>
      </c>
      <c r="M22" s="18">
        <f t="shared" si="0"/>
        <v>2.17531794261421</v>
      </c>
    </row>
    <row r="23" spans="1:13">
      <c r="A23" s="13" t="s">
        <v>2864</v>
      </c>
      <c r="B23" s="14" t="s">
        <v>2864</v>
      </c>
      <c r="C23" s="14" t="str">
        <f>HYPERLINK("http://uswest.ensembl.org/Homo_sapiens/Gene/Summary?g=ENSG00000147434","ENSG00000147434")</f>
        <v>ENSG00000147434</v>
      </c>
      <c r="D23" s="14" t="s">
        <v>2865</v>
      </c>
      <c r="E23" s="14" t="str">
        <f>HYPERLINK("http://www.ncbi.nlm.nih.gov/sites/entrez?db=gene&amp;cmd=Retrieve&amp;dopt=full_report&amp;list_uids=8973","8973")</f>
        <v>8973</v>
      </c>
      <c r="F23" s="14" t="s">
        <v>2866</v>
      </c>
      <c r="G23" s="14" t="s">
        <v>2926</v>
      </c>
      <c r="H23" s="14" t="s">
        <v>2927</v>
      </c>
      <c r="I23" s="19" t="s">
        <v>7178</v>
      </c>
      <c r="J23" s="15" t="s">
        <v>7227</v>
      </c>
      <c r="K23" s="16">
        <v>91.898352000000003</v>
      </c>
      <c r="L23" s="17">
        <v>197.23055400000001</v>
      </c>
      <c r="M23" s="18">
        <f t="shared" si="0"/>
        <v>2.146181620318937</v>
      </c>
    </row>
    <row r="24" spans="1:13">
      <c r="A24" s="13" t="s">
        <v>2852</v>
      </c>
      <c r="B24" s="14" t="s">
        <v>2852</v>
      </c>
      <c r="C24" s="14" t="str">
        <f>HYPERLINK("http://uswest.ensembl.org/Homo_sapiens/Gene/Summary?g=ENSG00000004809","ENSG00000004809")</f>
        <v>ENSG00000004809</v>
      </c>
      <c r="D24" s="14" t="s">
        <v>2853</v>
      </c>
      <c r="E24" s="14" t="str">
        <f>HYPERLINK("http://www.ncbi.nlm.nih.gov/sites/entrez?db=gene&amp;cmd=Retrieve&amp;dopt=full_report&amp;list_uids=","-")</f>
        <v>-</v>
      </c>
      <c r="F24" s="14" t="s">
        <v>2854</v>
      </c>
      <c r="G24" s="14" t="s">
        <v>2855</v>
      </c>
      <c r="H24" s="14" t="s">
        <v>8734</v>
      </c>
      <c r="I24" s="14" t="s">
        <v>8470</v>
      </c>
      <c r="J24" s="15" t="s">
        <v>8669</v>
      </c>
      <c r="K24" s="16">
        <v>53.130367999999997</v>
      </c>
      <c r="L24" s="17">
        <v>112.97420700000001</v>
      </c>
      <c r="M24" s="18">
        <f t="shared" si="0"/>
        <v>2.1263584509710154</v>
      </c>
    </row>
    <row r="25" spans="1:13">
      <c r="A25" s="13" t="s">
        <v>2856</v>
      </c>
      <c r="B25" s="14" t="s">
        <v>2856</v>
      </c>
      <c r="C25" s="14" t="str">
        <f>HYPERLINK("http://uswest.ensembl.org/Homo_sapiens/Gene/Summary?g=ENSG00000182557","ENSG00000182557")</f>
        <v>ENSG00000182557</v>
      </c>
      <c r="D25" s="14" t="s">
        <v>2897</v>
      </c>
      <c r="E25" s="14" t="str">
        <f>HYPERLINK("http://www.ncbi.nlm.nih.gov/sites/entrez?db=gene&amp;cmd=Retrieve&amp;dopt=full_report&amp;list_uids=201305","201305")</f>
        <v>201305</v>
      </c>
      <c r="F25" s="14" t="s">
        <v>2898</v>
      </c>
      <c r="G25" s="14" t="s">
        <v>2899</v>
      </c>
      <c r="H25" s="14" t="s">
        <v>2857</v>
      </c>
      <c r="I25" s="14" t="s">
        <v>2858</v>
      </c>
      <c r="J25" s="15" t="s">
        <v>8698</v>
      </c>
      <c r="K25" s="16">
        <v>45.153190000000002</v>
      </c>
      <c r="L25" s="17">
        <v>95.696883</v>
      </c>
      <c r="M25" s="18">
        <f t="shared" si="0"/>
        <v>2.1193825508230977</v>
      </c>
    </row>
    <row r="26" spans="1:13">
      <c r="A26" s="13" t="s">
        <v>2848</v>
      </c>
      <c r="B26" s="14" t="s">
        <v>2848</v>
      </c>
      <c r="C26" s="14" t="str">
        <f>HYPERLINK("http://uswest.ensembl.org/Homo_sapiens/Gene/Summary?g=","-")</f>
        <v>-</v>
      </c>
      <c r="D26" s="14" t="s">
        <v>2849</v>
      </c>
      <c r="E26" s="14" t="str">
        <f>HYPERLINK("http://www.ncbi.nlm.nih.gov/sites/entrez?db=gene&amp;cmd=Retrieve&amp;dopt=full_report&amp;list_uids=3543","3543")</f>
        <v>3543</v>
      </c>
      <c r="F26" s="14" t="s">
        <v>2850</v>
      </c>
      <c r="G26" s="14" t="s">
        <v>2851</v>
      </c>
      <c r="H26" s="14" t="s">
        <v>8728</v>
      </c>
      <c r="I26" s="14" t="s">
        <v>8728</v>
      </c>
      <c r="J26" s="15" t="s">
        <v>8728</v>
      </c>
      <c r="K26" s="16">
        <v>94.088522999999995</v>
      </c>
      <c r="L26" s="17">
        <v>192.60775699999999</v>
      </c>
      <c r="M26" s="18">
        <f t="shared" si="0"/>
        <v>2.0470908763229283</v>
      </c>
    </row>
    <row r="27" spans="1:13">
      <c r="A27" s="13" t="s">
        <v>2838</v>
      </c>
      <c r="B27" s="14" t="s">
        <v>2838</v>
      </c>
      <c r="C27" s="14" t="str">
        <f>HYPERLINK("http://uswest.ensembl.org/Homo_sapiens/Gene/Summary?g=ENSG00000133805","ENSG00000133805")</f>
        <v>ENSG00000133805</v>
      </c>
      <c r="D27" s="14" t="s">
        <v>2839</v>
      </c>
      <c r="E27" s="14" t="str">
        <f>HYPERLINK("http://www.ncbi.nlm.nih.gov/sites/entrez?db=gene&amp;cmd=Retrieve&amp;dopt=full_report&amp;list_uids=272","272")</f>
        <v>272</v>
      </c>
      <c r="F27" s="14" t="s">
        <v>2840</v>
      </c>
      <c r="G27" s="14" t="s">
        <v>2894</v>
      </c>
      <c r="H27" s="14" t="s">
        <v>2895</v>
      </c>
      <c r="I27" s="14" t="s">
        <v>2842</v>
      </c>
      <c r="J27" s="15" t="s">
        <v>8728</v>
      </c>
      <c r="K27" s="16">
        <v>198.99026599999999</v>
      </c>
      <c r="L27" s="17">
        <v>405.434123</v>
      </c>
      <c r="M27" s="18">
        <f t="shared" si="0"/>
        <v>2.0374570633520337</v>
      </c>
    </row>
    <row r="28" spans="1:13">
      <c r="A28" s="13" t="s">
        <v>2843</v>
      </c>
      <c r="B28" s="14" t="s">
        <v>2843</v>
      </c>
      <c r="C28" s="14" t="str">
        <f>HYPERLINK("http://uswest.ensembl.org/Homo_sapiens/Gene/Summary?g=ENSG00000007038","ENSG00000007038")</f>
        <v>ENSG00000007038</v>
      </c>
      <c r="D28" s="14" t="s">
        <v>2844</v>
      </c>
      <c r="E28" s="14" t="str">
        <f>HYPERLINK("http://www.ncbi.nlm.nih.gov/sites/entrez?db=gene&amp;cmd=Retrieve&amp;dopt=full_report&amp;list_uids=10942","10942")</f>
        <v>10942</v>
      </c>
      <c r="F28" s="14" t="s">
        <v>2845</v>
      </c>
      <c r="G28" s="14" t="s">
        <v>2846</v>
      </c>
      <c r="H28" s="14" t="s">
        <v>8623</v>
      </c>
      <c r="I28" s="14" t="s">
        <v>8621</v>
      </c>
      <c r="J28" s="15" t="s">
        <v>2847</v>
      </c>
      <c r="K28" s="16">
        <v>38.618698999999999</v>
      </c>
      <c r="L28" s="17">
        <v>78.166184999999999</v>
      </c>
      <c r="M28" s="18">
        <f t="shared" si="0"/>
        <v>2.024050188744059</v>
      </c>
    </row>
    <row r="29" spans="1:13">
      <c r="A29" s="13" t="s">
        <v>2832</v>
      </c>
      <c r="B29" s="14" t="s">
        <v>2832</v>
      </c>
      <c r="C29" s="14" t="str">
        <f>HYPERLINK("http://uswest.ensembl.org/Homo_sapiens/Gene/Summary?g=","-")</f>
        <v>-</v>
      </c>
      <c r="D29" s="14" t="s">
        <v>2833</v>
      </c>
      <c r="E29" s="14" t="str">
        <f>HYPERLINK("http://www.ncbi.nlm.nih.gov/sites/entrez?db=gene&amp;cmd=Retrieve&amp;dopt=full_report&amp;list_uids=7130","7130")</f>
        <v>7130</v>
      </c>
      <c r="F29" s="14" t="s">
        <v>2834</v>
      </c>
      <c r="G29" s="14" t="s">
        <v>2835</v>
      </c>
      <c r="H29" s="14" t="s">
        <v>2836</v>
      </c>
      <c r="I29" s="14" t="s">
        <v>2837</v>
      </c>
      <c r="J29" s="15" t="s">
        <v>8728</v>
      </c>
      <c r="K29" s="16">
        <v>29.325794999999999</v>
      </c>
      <c r="L29" s="17">
        <v>58.940058999999998</v>
      </c>
      <c r="M29" s="18">
        <f t="shared" si="0"/>
        <v>2.0098366983742468</v>
      </c>
    </row>
    <row r="30" spans="1:13">
      <c r="A30" s="13" t="s">
        <v>2826</v>
      </c>
      <c r="B30" s="14" t="s">
        <v>2826</v>
      </c>
      <c r="C30" s="14" t="str">
        <f>HYPERLINK("http://uswest.ensembl.org/Homo_sapiens/Gene/Summary?g=ENSG00000074842","ENSG00000074842")</f>
        <v>ENSG00000074842</v>
      </c>
      <c r="D30" s="14" t="s">
        <v>2827</v>
      </c>
      <c r="E30" s="14" t="str">
        <f>HYPERLINK("http://www.ncbi.nlm.nih.gov/sites/entrez?db=gene&amp;cmd=Retrieve&amp;dopt=full_report&amp;list_uids=56005","56005")</f>
        <v>56005</v>
      </c>
      <c r="F30" s="14" t="s">
        <v>2828</v>
      </c>
      <c r="G30" s="14" t="s">
        <v>2829</v>
      </c>
      <c r="H30" s="14" t="s">
        <v>2830</v>
      </c>
      <c r="I30" s="14" t="s">
        <v>7410</v>
      </c>
      <c r="J30" s="15" t="s">
        <v>2831</v>
      </c>
      <c r="K30" s="16">
        <v>1390.835341</v>
      </c>
      <c r="L30" s="17">
        <v>2777.9394219999999</v>
      </c>
      <c r="M30" s="18">
        <f t="shared" si="0"/>
        <v>1.9973172525244309</v>
      </c>
    </row>
    <row r="31" spans="1:13">
      <c r="A31" s="13" t="s">
        <v>2822</v>
      </c>
      <c r="B31" s="14" t="s">
        <v>2822</v>
      </c>
      <c r="C31" s="14" t="str">
        <f>HYPERLINK("http://uswest.ensembl.org/Homo_sapiens/Gene/Summary?g=ENSG00000100445","ENSG00000100445")</f>
        <v>ENSG00000100445</v>
      </c>
      <c r="D31" s="14" t="s">
        <v>8728</v>
      </c>
      <c r="E31" s="14" t="str">
        <f>HYPERLINK("http://www.ncbi.nlm.nih.gov/sites/entrez?db=gene&amp;cmd=Retrieve&amp;dopt=full_report&amp;list_uids=","-")</f>
        <v>-</v>
      </c>
      <c r="F31" s="14" t="s">
        <v>2823</v>
      </c>
      <c r="G31" s="14" t="s">
        <v>2824</v>
      </c>
      <c r="H31" s="14" t="s">
        <v>8329</v>
      </c>
      <c r="I31" s="14" t="s">
        <v>2825</v>
      </c>
      <c r="J31" s="15" t="s">
        <v>8728</v>
      </c>
      <c r="K31" s="16">
        <v>176.291167</v>
      </c>
      <c r="L31" s="17">
        <v>350.72592600000002</v>
      </c>
      <c r="M31" s="18">
        <f t="shared" si="0"/>
        <v>1.9894696482439191</v>
      </c>
    </row>
    <row r="32" spans="1:13">
      <c r="A32" s="13" t="s">
        <v>2804</v>
      </c>
      <c r="B32" s="14" t="s">
        <v>2804</v>
      </c>
      <c r="C32" s="14" t="str">
        <f>HYPERLINK("http://uswest.ensembl.org/Homo_sapiens/Gene/Summary?g=ENSG00000140044","ENSG00000140044")</f>
        <v>ENSG00000140044</v>
      </c>
      <c r="D32" s="14" t="s">
        <v>2805</v>
      </c>
      <c r="E32" s="14" t="str">
        <f>HYPERLINK("http://www.ncbi.nlm.nih.gov/sites/entrez?db=gene&amp;cmd=Retrieve&amp;dopt=full_report&amp;list_uids=122953","122953")</f>
        <v>122953</v>
      </c>
      <c r="F32" s="14" t="s">
        <v>2806</v>
      </c>
      <c r="G32" s="14" t="s">
        <v>2807</v>
      </c>
      <c r="H32" s="14" t="s">
        <v>2867</v>
      </c>
      <c r="I32" s="14" t="s">
        <v>2811</v>
      </c>
      <c r="J32" s="15" t="s">
        <v>8558</v>
      </c>
      <c r="K32" s="16">
        <v>115.048385</v>
      </c>
      <c r="L32" s="17">
        <v>228.168903</v>
      </c>
      <c r="M32" s="18">
        <f t="shared" si="0"/>
        <v>1.9832429894604779</v>
      </c>
    </row>
    <row r="33" spans="1:13">
      <c r="A33" s="13" t="s">
        <v>2812</v>
      </c>
      <c r="B33" s="14" t="s">
        <v>2812</v>
      </c>
      <c r="C33" s="14" t="str">
        <f>HYPERLINK("http://uswest.ensembl.org/Homo_sapiens/Gene/Summary?g=ENSG00000090382","ENSG00000090382")</f>
        <v>ENSG00000090382</v>
      </c>
      <c r="D33" s="14" t="s">
        <v>2813</v>
      </c>
      <c r="E33" s="14" t="str">
        <f>HYPERLINK("http://www.ncbi.nlm.nih.gov/sites/entrez?db=gene&amp;cmd=Retrieve&amp;dopt=full_report&amp;list_uids=4069","4069")</f>
        <v>4069</v>
      </c>
      <c r="F33" s="14" t="s">
        <v>2814</v>
      </c>
      <c r="G33" s="14" t="s">
        <v>2815</v>
      </c>
      <c r="H33" s="14" t="s">
        <v>2801</v>
      </c>
      <c r="I33" s="14" t="s">
        <v>2802</v>
      </c>
      <c r="J33" s="15" t="s">
        <v>8627</v>
      </c>
      <c r="K33" s="16">
        <v>846.73359800000003</v>
      </c>
      <c r="L33" s="17">
        <v>1673.1625349999999</v>
      </c>
      <c r="M33" s="18">
        <f t="shared" si="0"/>
        <v>1.9760200126132232</v>
      </c>
    </row>
    <row r="34" spans="1:13">
      <c r="A34" s="13" t="s">
        <v>2817</v>
      </c>
      <c r="B34" s="14" t="s">
        <v>2817</v>
      </c>
      <c r="C34" s="14" t="str">
        <f>HYPERLINK("http://uswest.ensembl.org/Homo_sapiens/Gene/Summary?g=ENSG00000100196","ENSG00000100196")</f>
        <v>ENSG00000100196</v>
      </c>
      <c r="D34" s="14" t="s">
        <v>2818</v>
      </c>
      <c r="E34" s="14" t="str">
        <f>HYPERLINK("http://www.ncbi.nlm.nih.gov/sites/entrez?db=gene&amp;cmd=Retrieve&amp;dopt=full_report&amp;list_uids=11015","11015")</f>
        <v>11015</v>
      </c>
      <c r="F34" s="14" t="s">
        <v>2819</v>
      </c>
      <c r="G34" s="14" t="s">
        <v>2820</v>
      </c>
      <c r="H34" s="14" t="s">
        <v>2821</v>
      </c>
      <c r="I34" s="14" t="s">
        <v>2803</v>
      </c>
      <c r="J34" s="15" t="s">
        <v>8579</v>
      </c>
      <c r="K34" s="16">
        <v>28.520693000000001</v>
      </c>
      <c r="L34" s="17">
        <v>56.168120999999999</v>
      </c>
      <c r="M34" s="18">
        <f t="shared" si="0"/>
        <v>1.969381354092623</v>
      </c>
    </row>
    <row r="35" spans="1:13">
      <c r="A35" s="13" t="s">
        <v>2794</v>
      </c>
      <c r="B35" s="14" t="s">
        <v>2794</v>
      </c>
      <c r="C35" s="14" t="str">
        <f>HYPERLINK("http://uswest.ensembl.org/Homo_sapiens/Gene/Summary?g=ENSG00000124731","ENSG00000124731")</f>
        <v>ENSG00000124731</v>
      </c>
      <c r="D35" s="14" t="s">
        <v>2795</v>
      </c>
      <c r="E35" s="14" t="str">
        <f>HYPERLINK("http://www.ncbi.nlm.nih.gov/sites/entrez?db=gene&amp;cmd=Retrieve&amp;dopt=full_report&amp;list_uids=54210","54210")</f>
        <v>54210</v>
      </c>
      <c r="F35" s="14" t="s">
        <v>2796</v>
      </c>
      <c r="G35" s="14" t="s">
        <v>2797</v>
      </c>
      <c r="H35" s="14" t="s">
        <v>2798</v>
      </c>
      <c r="I35" s="14" t="s">
        <v>8607</v>
      </c>
      <c r="J35" s="15" t="s">
        <v>8348</v>
      </c>
      <c r="K35" s="16">
        <v>20.416948000000001</v>
      </c>
      <c r="L35" s="17">
        <v>40.005552999999999</v>
      </c>
      <c r="M35" s="18">
        <f t="shared" si="0"/>
        <v>1.95942865701573</v>
      </c>
    </row>
    <row r="36" spans="1:13">
      <c r="A36" s="13" t="s">
        <v>2784</v>
      </c>
      <c r="B36" s="14" t="s">
        <v>2784</v>
      </c>
      <c r="C36" s="14" t="str">
        <f>HYPERLINK("http://uswest.ensembl.org/Homo_sapiens/Gene/Summary?g=ENSG00000004468","ENSG00000004468")</f>
        <v>ENSG00000004468</v>
      </c>
      <c r="D36" s="14" t="s">
        <v>2785</v>
      </c>
      <c r="E36" s="14" t="str">
        <f>HYPERLINK("http://www.ncbi.nlm.nih.gov/sites/entrez?db=gene&amp;cmd=Retrieve&amp;dopt=full_report&amp;list_uids=952","952")</f>
        <v>952</v>
      </c>
      <c r="F36" s="14" t="s">
        <v>2786</v>
      </c>
      <c r="G36" s="14" t="s">
        <v>2841</v>
      </c>
      <c r="H36" s="14" t="s">
        <v>2788</v>
      </c>
      <c r="I36" s="14" t="s">
        <v>2789</v>
      </c>
      <c r="J36" s="15" t="s">
        <v>2790</v>
      </c>
      <c r="K36" s="16">
        <v>53.040475000000001</v>
      </c>
      <c r="L36" s="17">
        <v>102.864372</v>
      </c>
      <c r="M36" s="18">
        <f t="shared" si="0"/>
        <v>1.9393561614974226</v>
      </c>
    </row>
    <row r="37" spans="1:13">
      <c r="A37" s="13" t="s">
        <v>2791</v>
      </c>
      <c r="B37" s="14" t="s">
        <v>2791</v>
      </c>
      <c r="C37" s="14" t="str">
        <f>HYPERLINK("http://uswest.ensembl.org/Homo_sapiens/Gene/Summary?g=ENSG00000163736","ENSG00000163736")</f>
        <v>ENSG00000163736</v>
      </c>
      <c r="D37" s="14" t="s">
        <v>2792</v>
      </c>
      <c r="E37" s="14" t="str">
        <f>HYPERLINK("http://www.ncbi.nlm.nih.gov/sites/entrez?db=gene&amp;cmd=Retrieve&amp;dopt=full_report&amp;list_uids=5473","5473")</f>
        <v>5473</v>
      </c>
      <c r="F37" s="14" t="s">
        <v>2793</v>
      </c>
      <c r="G37" s="19" t="s">
        <v>2780</v>
      </c>
      <c r="H37" s="14" t="s">
        <v>2781</v>
      </c>
      <c r="I37" s="14" t="s">
        <v>2782</v>
      </c>
      <c r="J37" s="15" t="s">
        <v>2783</v>
      </c>
      <c r="K37" s="16">
        <v>255.798689</v>
      </c>
      <c r="L37" s="17">
        <v>492.30486400000001</v>
      </c>
      <c r="M37" s="18">
        <f t="shared" si="0"/>
        <v>1.924579308535862</v>
      </c>
    </row>
    <row r="38" spans="1:13">
      <c r="A38" s="13" t="s">
        <v>2772</v>
      </c>
      <c r="B38" s="14" t="s">
        <v>2772</v>
      </c>
      <c r="C38" s="14" t="str">
        <f>HYPERLINK("http://uswest.ensembl.org/Homo_sapiens/Gene/Summary?g=ENSG00000115275","ENSG00000115275")</f>
        <v>ENSG00000115275</v>
      </c>
      <c r="D38" s="14" t="s">
        <v>2773</v>
      </c>
      <c r="E38" s="14" t="str">
        <f>HYPERLINK("http://www.ncbi.nlm.nih.gov/sites/entrez?db=gene&amp;cmd=Retrieve&amp;dopt=full_report&amp;list_uids=7841","7841")</f>
        <v>7841</v>
      </c>
      <c r="F38" s="14" t="s">
        <v>2774</v>
      </c>
      <c r="G38" s="14" t="s">
        <v>2775</v>
      </c>
      <c r="H38" s="14" t="s">
        <v>2776</v>
      </c>
      <c r="I38" s="14" t="s">
        <v>2777</v>
      </c>
      <c r="J38" s="15" t="s">
        <v>5925</v>
      </c>
      <c r="K38" s="16">
        <v>22.003833</v>
      </c>
      <c r="L38" s="17">
        <v>42.207268999999997</v>
      </c>
      <c r="M38" s="18">
        <f t="shared" si="0"/>
        <v>1.9181780283462428</v>
      </c>
    </row>
    <row r="39" spans="1:13">
      <c r="A39" s="13" t="s">
        <v>2778</v>
      </c>
      <c r="B39" s="14" t="s">
        <v>2778</v>
      </c>
      <c r="C39" s="14" t="str">
        <f>HYPERLINK("http://uswest.ensembl.org/Homo_sapiens/Gene/Summary?g=ENSG00000130545","ENSG00000130545")</f>
        <v>ENSG00000130545</v>
      </c>
      <c r="D39" s="14" t="s">
        <v>2779</v>
      </c>
      <c r="E39" s="14" t="str">
        <f>HYPERLINK("http://www.ncbi.nlm.nih.gov/sites/entrez?db=gene&amp;cmd=Retrieve&amp;dopt=full_report&amp;list_uids=92359","92359")</f>
        <v>92359</v>
      </c>
      <c r="F39" s="14" t="s">
        <v>2809</v>
      </c>
      <c r="G39" s="14" t="s">
        <v>2810</v>
      </c>
      <c r="H39" s="14" t="s">
        <v>8728</v>
      </c>
      <c r="I39" s="14" t="s">
        <v>8728</v>
      </c>
      <c r="J39" s="15" t="s">
        <v>2771</v>
      </c>
      <c r="K39" s="16">
        <v>58.934328000000001</v>
      </c>
      <c r="L39" s="17">
        <v>113.032417</v>
      </c>
      <c r="M39" s="18">
        <f t="shared" si="0"/>
        <v>1.9179385060605085</v>
      </c>
    </row>
    <row r="40" spans="1:13">
      <c r="A40" s="13" t="s">
        <v>2760</v>
      </c>
      <c r="B40" s="14" t="s">
        <v>2760</v>
      </c>
      <c r="C40" s="14" t="str">
        <f>HYPERLINK("http://uswest.ensembl.org/Homo_sapiens/Gene/Summary?g=ENSG00000103512","ENSG00000103512")</f>
        <v>ENSG00000103512</v>
      </c>
      <c r="D40" s="14" t="s">
        <v>2761</v>
      </c>
      <c r="E40" s="14" t="str">
        <f>HYPERLINK("http://www.ncbi.nlm.nih.gov/sites/entrez?db=gene&amp;cmd=Retrieve&amp;dopt=full_report&amp;list_uids=100133864","100133864")</f>
        <v>100133864</v>
      </c>
      <c r="F40" s="14" t="s">
        <v>2762</v>
      </c>
      <c r="G40" s="14" t="s">
        <v>2763</v>
      </c>
      <c r="H40" s="14" t="s">
        <v>8076</v>
      </c>
      <c r="I40" s="14" t="s">
        <v>2764</v>
      </c>
      <c r="J40" s="15" t="s">
        <v>4844</v>
      </c>
      <c r="K40" s="16">
        <v>448.772424</v>
      </c>
      <c r="L40" s="17">
        <v>859.27750200000003</v>
      </c>
      <c r="M40" s="18">
        <f t="shared" si="0"/>
        <v>1.9147288381516063</v>
      </c>
    </row>
    <row r="41" spans="1:13">
      <c r="A41" s="13" t="s">
        <v>2765</v>
      </c>
      <c r="B41" s="14" t="s">
        <v>2765</v>
      </c>
      <c r="C41" s="14" t="str">
        <f>HYPERLINK("http://uswest.ensembl.org/Homo_sapiens/Gene/Summary?g=ENSG00000078295","ENSG00000078295")</f>
        <v>ENSG00000078295</v>
      </c>
      <c r="D41" s="14" t="s">
        <v>2766</v>
      </c>
      <c r="E41" s="14" t="str">
        <f>HYPERLINK("http://www.ncbi.nlm.nih.gov/sites/entrez?db=gene&amp;cmd=Retrieve&amp;dopt=full_report&amp;list_uids=100133953","100133953")</f>
        <v>100133953</v>
      </c>
      <c r="F41" s="14" t="s">
        <v>2767</v>
      </c>
      <c r="G41" s="14" t="s">
        <v>2768</v>
      </c>
      <c r="H41" s="14" t="s">
        <v>2769</v>
      </c>
      <c r="I41" s="14" t="s">
        <v>2770</v>
      </c>
      <c r="J41" s="15" t="s">
        <v>2808</v>
      </c>
      <c r="K41" s="16">
        <v>22.786071</v>
      </c>
      <c r="L41" s="17">
        <v>43.626381000000002</v>
      </c>
      <c r="M41" s="18">
        <f t="shared" si="0"/>
        <v>1.914607437148774</v>
      </c>
    </row>
    <row r="42" spans="1:13">
      <c r="A42" s="13" t="s">
        <v>2753</v>
      </c>
      <c r="B42" s="14" t="s">
        <v>2753</v>
      </c>
      <c r="C42" s="14" t="str">
        <f>HYPERLINK("http://uswest.ensembl.org/Homo_sapiens/Gene/Summary?g=ENSG00000185897","ENSG00000185897")</f>
        <v>ENSG00000185897</v>
      </c>
      <c r="D42" s="14" t="s">
        <v>8728</v>
      </c>
      <c r="E42" s="14" t="str">
        <f>HYPERLINK("http://www.ncbi.nlm.nih.gov/sites/entrez?db=gene&amp;cmd=Retrieve&amp;dopt=full_report&amp;list_uids=2865","2865")</f>
        <v>2865</v>
      </c>
      <c r="F42" s="14" t="s">
        <v>2754</v>
      </c>
      <c r="G42" s="14" t="s">
        <v>2755</v>
      </c>
      <c r="H42" s="14" t="s">
        <v>8427</v>
      </c>
      <c r="I42" s="14" t="s">
        <v>2756</v>
      </c>
      <c r="J42" s="15" t="s">
        <v>8667</v>
      </c>
      <c r="K42" s="16">
        <v>58.100310999999998</v>
      </c>
      <c r="L42" s="17">
        <v>109.801035</v>
      </c>
      <c r="M42" s="18">
        <f t="shared" si="0"/>
        <v>1.8898527926984763</v>
      </c>
    </row>
    <row r="43" spans="1:13">
      <c r="A43" s="13" t="s">
        <v>2757</v>
      </c>
      <c r="B43" s="14" t="s">
        <v>2757</v>
      </c>
      <c r="C43" s="14" t="str">
        <f>HYPERLINK("http://uswest.ensembl.org/Homo_sapiens/Gene/Summary?g=ENSG00000156575","ENSG00000156575")</f>
        <v>ENSG00000156575</v>
      </c>
      <c r="D43" s="14" t="s">
        <v>2758</v>
      </c>
      <c r="E43" s="14" t="str">
        <f>HYPERLINK("http://www.ncbi.nlm.nih.gov/sites/entrez?db=gene&amp;cmd=Retrieve&amp;dopt=full_report&amp;list_uids=10394","10394")</f>
        <v>10394</v>
      </c>
      <c r="F43" s="14" t="s">
        <v>2759</v>
      </c>
      <c r="G43" s="14" t="s">
        <v>2745</v>
      </c>
      <c r="H43" s="19" t="s">
        <v>2746</v>
      </c>
      <c r="I43" s="14" t="s">
        <v>8364</v>
      </c>
      <c r="J43" s="15" t="s">
        <v>8728</v>
      </c>
      <c r="K43" s="16">
        <v>3369.8530369999999</v>
      </c>
      <c r="L43" s="17">
        <v>6366.762291</v>
      </c>
      <c r="M43" s="18">
        <f t="shared" si="0"/>
        <v>1.8893293627629495</v>
      </c>
    </row>
    <row r="44" spans="1:13">
      <c r="A44" s="13" t="s">
        <v>2747</v>
      </c>
      <c r="B44" s="14" t="s">
        <v>2747</v>
      </c>
      <c r="C44" s="14" t="str">
        <f>HYPERLINK("http://uswest.ensembl.org/Homo_sapiens/Gene/Summary?g=","-")</f>
        <v>-</v>
      </c>
      <c r="D44" s="14" t="s">
        <v>2748</v>
      </c>
      <c r="E44" s="14" t="str">
        <f>HYPERLINK("http://www.ncbi.nlm.nih.gov/sites/entrez?db=gene&amp;cmd=Retrieve&amp;dopt=full_report&amp;list_uids=9830","9830")</f>
        <v>9830</v>
      </c>
      <c r="F44" s="14" t="s">
        <v>2749</v>
      </c>
      <c r="G44" s="14" t="s">
        <v>2750</v>
      </c>
      <c r="H44" s="14" t="s">
        <v>8076</v>
      </c>
      <c r="I44" s="14" t="s">
        <v>2751</v>
      </c>
      <c r="J44" s="15" t="s">
        <v>8707</v>
      </c>
      <c r="K44" s="16">
        <v>33.255277999999997</v>
      </c>
      <c r="L44" s="17">
        <v>62.795067000000003</v>
      </c>
      <c r="M44" s="18">
        <f t="shared" si="0"/>
        <v>1.8882737050040601</v>
      </c>
    </row>
    <row r="45" spans="1:13">
      <c r="A45" s="13" t="s">
        <v>2734</v>
      </c>
      <c r="B45" s="14" t="s">
        <v>2734</v>
      </c>
      <c r="C45" s="14" t="str">
        <f>HYPERLINK("http://uswest.ensembl.org/Homo_sapiens/Gene/Summary?g=","-")</f>
        <v>-</v>
      </c>
      <c r="D45" s="14" t="s">
        <v>2735</v>
      </c>
      <c r="E45" s="14" t="str">
        <f>HYPERLINK("http://www.ncbi.nlm.nih.gov/sites/entrez?db=gene&amp;cmd=Retrieve&amp;dopt=full_report&amp;list_uids=9987","9987")</f>
        <v>9987</v>
      </c>
      <c r="F45" s="14" t="s">
        <v>2736</v>
      </c>
      <c r="G45" s="14" t="s">
        <v>2737</v>
      </c>
      <c r="H45" s="14" t="s">
        <v>2738</v>
      </c>
      <c r="I45" s="14" t="s">
        <v>2739</v>
      </c>
      <c r="J45" s="15" t="s">
        <v>2740</v>
      </c>
      <c r="K45" s="16">
        <v>303.02355</v>
      </c>
      <c r="L45" s="17">
        <v>569.25630699999999</v>
      </c>
      <c r="M45" s="18">
        <f t="shared" si="0"/>
        <v>1.8785876774263914</v>
      </c>
    </row>
    <row r="46" spans="1:13">
      <c r="A46" s="13" t="s">
        <v>2741</v>
      </c>
      <c r="B46" s="14" t="s">
        <v>2741</v>
      </c>
      <c r="C46" s="14" t="str">
        <f>HYPERLINK("http://uswest.ensembl.org/Homo_sapiens/Gene/Summary?g=ENSG00000163626","ENSG00000163626")</f>
        <v>ENSG00000163626</v>
      </c>
      <c r="D46" s="14" t="s">
        <v>2742</v>
      </c>
      <c r="E46" s="14" t="str">
        <f>HYPERLINK("http://www.ncbi.nlm.nih.gov/sites/entrez?db=gene&amp;cmd=Retrieve&amp;dopt=full_report&amp;list_uids=285521","285521")</f>
        <v>285521</v>
      </c>
      <c r="F46" s="14" t="s">
        <v>2743</v>
      </c>
      <c r="G46" s="14" t="s">
        <v>2744</v>
      </c>
      <c r="H46" s="14" t="s">
        <v>2714</v>
      </c>
      <c r="I46" s="14" t="s">
        <v>2715</v>
      </c>
      <c r="J46" s="15" t="s">
        <v>2787</v>
      </c>
      <c r="K46" s="16">
        <v>44.402861999999999</v>
      </c>
      <c r="L46" s="17">
        <v>83.351419000000007</v>
      </c>
      <c r="M46" s="18">
        <f t="shared" si="0"/>
        <v>1.8771632107858274</v>
      </c>
    </row>
    <row r="47" spans="1:13">
      <c r="A47" s="13" t="s">
        <v>2719</v>
      </c>
      <c r="B47" s="14" t="s">
        <v>2719</v>
      </c>
      <c r="C47" s="14" t="str">
        <f>HYPERLINK("http://uswest.ensembl.org/Homo_sapiens/Gene/Summary?g=","-")</f>
        <v>-</v>
      </c>
      <c r="D47" s="14" t="s">
        <v>2720</v>
      </c>
      <c r="E47" s="14" t="str">
        <f>HYPERLINK("http://www.ncbi.nlm.nih.gov/sites/entrez?db=gene&amp;cmd=Retrieve&amp;dopt=full_report&amp;list_uids=85413","85413")</f>
        <v>85413</v>
      </c>
      <c r="F47" s="14" t="s">
        <v>2854</v>
      </c>
      <c r="G47" s="14" t="s">
        <v>2855</v>
      </c>
      <c r="H47" s="14" t="s">
        <v>2722</v>
      </c>
      <c r="I47" s="14" t="s">
        <v>2723</v>
      </c>
      <c r="J47" s="15" t="s">
        <v>8701</v>
      </c>
      <c r="K47" s="16">
        <v>72.803337999999997</v>
      </c>
      <c r="L47" s="17">
        <v>136.366153</v>
      </c>
      <c r="M47" s="18">
        <f t="shared" si="0"/>
        <v>1.8730755587058385</v>
      </c>
    </row>
    <row r="48" spans="1:13">
      <c r="A48" s="13" t="s">
        <v>2724</v>
      </c>
      <c r="B48" s="14" t="s">
        <v>2724</v>
      </c>
      <c r="C48" s="14" t="str">
        <f>HYPERLINK("http://uswest.ensembl.org/Homo_sapiens/Gene/Summary?g=ENSG00000172322","ENSG00000172322")</f>
        <v>ENSG00000172322</v>
      </c>
      <c r="D48" s="14" t="s">
        <v>2725</v>
      </c>
      <c r="E48" s="14" t="str">
        <f>HYPERLINK("http://www.ncbi.nlm.nih.gov/sites/entrez?db=gene&amp;cmd=Retrieve&amp;dopt=full_report&amp;list_uids=160364","160364")</f>
        <v>160364</v>
      </c>
      <c r="F48" s="14" t="s">
        <v>2726</v>
      </c>
      <c r="G48" s="14" t="s">
        <v>2727</v>
      </c>
      <c r="H48" s="14" t="s">
        <v>8728</v>
      </c>
      <c r="I48" s="14" t="s">
        <v>8383</v>
      </c>
      <c r="J48" s="15" t="s">
        <v>8728</v>
      </c>
      <c r="K48" s="16">
        <v>331.03937200000001</v>
      </c>
      <c r="L48" s="17">
        <v>619.44572100000005</v>
      </c>
      <c r="M48" s="18">
        <f t="shared" si="0"/>
        <v>1.8712146451268643</v>
      </c>
    </row>
    <row r="49" spans="1:13">
      <c r="A49" s="13" t="s">
        <v>2728</v>
      </c>
      <c r="B49" s="14" t="s">
        <v>2728</v>
      </c>
      <c r="C49" s="14" t="str">
        <f>HYPERLINK("http://uswest.ensembl.org/Homo_sapiens/Gene/Summary?g=ENSG00000121039","ENSG00000121039")</f>
        <v>ENSG00000121039</v>
      </c>
      <c r="D49" s="14" t="s">
        <v>2729</v>
      </c>
      <c r="E49" s="14" t="str">
        <f>HYPERLINK("http://www.ncbi.nlm.nih.gov/sites/entrez?db=gene&amp;cmd=Retrieve&amp;dopt=full_report&amp;list_uids=157506","157506")</f>
        <v>157506</v>
      </c>
      <c r="F49" s="14" t="s">
        <v>2730</v>
      </c>
      <c r="G49" s="14" t="s">
        <v>2731</v>
      </c>
      <c r="H49" s="14" t="s">
        <v>2732</v>
      </c>
      <c r="I49" s="14" t="s">
        <v>2733</v>
      </c>
      <c r="J49" s="15" t="s">
        <v>6051</v>
      </c>
      <c r="K49" s="16">
        <v>99.188705999999996</v>
      </c>
      <c r="L49" s="17">
        <v>185.37209999999999</v>
      </c>
      <c r="M49" s="18">
        <f t="shared" si="0"/>
        <v>1.8688831367555092</v>
      </c>
    </row>
    <row r="50" spans="1:13">
      <c r="A50" s="13" t="s">
        <v>2697</v>
      </c>
      <c r="B50" s="14" t="s">
        <v>2697</v>
      </c>
      <c r="C50" s="14" t="str">
        <f>HYPERLINK("http://uswest.ensembl.org/Homo_sapiens/Gene/Summary?g=","-")</f>
        <v>-</v>
      </c>
      <c r="D50" s="14" t="s">
        <v>2698</v>
      </c>
      <c r="E50" s="14" t="str">
        <f>HYPERLINK("http://www.ncbi.nlm.nih.gov/sites/entrez?db=gene&amp;cmd=Retrieve&amp;dopt=full_report&amp;list_uids=55174","55174")</f>
        <v>55174</v>
      </c>
      <c r="F50" s="14" t="s">
        <v>2699</v>
      </c>
      <c r="G50" s="14" t="s">
        <v>2700</v>
      </c>
      <c r="H50" s="14" t="s">
        <v>3019</v>
      </c>
      <c r="I50" s="14" t="s">
        <v>8665</v>
      </c>
      <c r="J50" s="15" t="s">
        <v>2701</v>
      </c>
      <c r="K50" s="16">
        <v>94.148893999999999</v>
      </c>
      <c r="L50" s="17">
        <v>175.68486999999999</v>
      </c>
      <c r="M50" s="18">
        <f t="shared" si="0"/>
        <v>1.8660322233843767</v>
      </c>
    </row>
    <row r="51" spans="1:13">
      <c r="A51" s="13" t="s">
        <v>2702</v>
      </c>
      <c r="B51" s="14" t="s">
        <v>2702</v>
      </c>
      <c r="C51" s="14" t="str">
        <f>HYPERLINK("http://uswest.ensembl.org/Homo_sapiens/Gene/Summary?g=ENSG00000108582","ENSG00000108582")</f>
        <v>ENSG00000108582</v>
      </c>
      <c r="D51" s="14" t="s">
        <v>2703</v>
      </c>
      <c r="E51" s="14" t="str">
        <f>HYPERLINK("http://www.ncbi.nlm.nih.gov/sites/entrez?db=gene&amp;cmd=Retrieve&amp;dopt=full_report&amp;list_uids=1362","1362")</f>
        <v>1362</v>
      </c>
      <c r="F51" s="14" t="s">
        <v>2704</v>
      </c>
      <c r="G51" s="14" t="s">
        <v>2705</v>
      </c>
      <c r="H51" s="14" t="s">
        <v>8623</v>
      </c>
      <c r="I51" s="14" t="s">
        <v>2706</v>
      </c>
      <c r="J51" s="15" t="s">
        <v>2707</v>
      </c>
      <c r="K51" s="16">
        <v>152.879244</v>
      </c>
      <c r="L51" s="17">
        <v>285.27012500000001</v>
      </c>
      <c r="M51" s="18">
        <f t="shared" si="0"/>
        <v>1.8659833574268592</v>
      </c>
    </row>
    <row r="52" spans="1:13">
      <c r="A52" s="13" t="s">
        <v>2708</v>
      </c>
      <c r="B52" s="14" t="s">
        <v>2708</v>
      </c>
      <c r="C52" s="14" t="str">
        <f>HYPERLINK("http://uswest.ensembl.org/Homo_sapiens/Gene/Summary?g=","-")</f>
        <v>-</v>
      </c>
      <c r="D52" s="14" t="s">
        <v>2709</v>
      </c>
      <c r="E52" s="14" t="str">
        <f>HYPERLINK("http://www.ncbi.nlm.nih.gov/sites/entrez?db=gene&amp;cmd=Retrieve&amp;dopt=full_report&amp;list_uids=55334","55334")</f>
        <v>55334</v>
      </c>
      <c r="F52" s="14" t="s">
        <v>2710</v>
      </c>
      <c r="G52" s="14" t="s">
        <v>2711</v>
      </c>
      <c r="H52" s="14" t="s">
        <v>2712</v>
      </c>
      <c r="I52" s="14" t="s">
        <v>2713</v>
      </c>
      <c r="J52" s="15" t="s">
        <v>2681</v>
      </c>
      <c r="K52" s="16">
        <v>53.501942</v>
      </c>
      <c r="L52" s="17">
        <v>99.831669000000005</v>
      </c>
      <c r="M52" s="18">
        <f t="shared" si="0"/>
        <v>1.8659447726215248</v>
      </c>
    </row>
    <row r="53" spans="1:13">
      <c r="A53" s="13" t="s">
        <v>2682</v>
      </c>
      <c r="B53" s="14" t="s">
        <v>2682</v>
      </c>
      <c r="C53" s="14" t="str">
        <f>HYPERLINK("http://uswest.ensembl.org/Homo_sapiens/Gene/Summary?g=ENSG00000112773","ENSG00000112773")</f>
        <v>ENSG00000112773</v>
      </c>
      <c r="D53" s="14" t="s">
        <v>2683</v>
      </c>
      <c r="E53" s="14" t="str">
        <f>HYPERLINK("http://www.ncbi.nlm.nih.gov/sites/entrez?db=gene&amp;cmd=Retrieve&amp;dopt=full_report&amp;list_uids=55603","55603")</f>
        <v>55603</v>
      </c>
      <c r="F53" s="14" t="s">
        <v>2684</v>
      </c>
      <c r="G53" s="14" t="s">
        <v>2685</v>
      </c>
      <c r="H53" s="14" t="s">
        <v>8728</v>
      </c>
      <c r="I53" s="14" t="s">
        <v>8728</v>
      </c>
      <c r="J53" s="15" t="s">
        <v>8728</v>
      </c>
      <c r="K53" s="16">
        <v>211.53786700000001</v>
      </c>
      <c r="L53" s="17">
        <v>394.25987500000002</v>
      </c>
      <c r="M53" s="18">
        <f t="shared" si="0"/>
        <v>1.8637791927815932</v>
      </c>
    </row>
    <row r="54" spans="1:13">
      <c r="A54" s="13" t="s">
        <v>2716</v>
      </c>
      <c r="B54" s="14" t="s">
        <v>2716</v>
      </c>
      <c r="C54" s="14" t="str">
        <f>HYPERLINK("http://uswest.ensembl.org/Homo_sapiens/Gene/Summary?g=ENSG00000147465","ENSG00000147465")</f>
        <v>ENSG00000147465</v>
      </c>
      <c r="D54" s="14" t="s">
        <v>2717</v>
      </c>
      <c r="E54" s="14" t="str">
        <f>HYPERLINK("http://www.ncbi.nlm.nih.gov/sites/entrez?db=gene&amp;cmd=Retrieve&amp;dopt=full_report&amp;list_uids=6770","6770")</f>
        <v>6770</v>
      </c>
      <c r="F54" s="14" t="s">
        <v>2718</v>
      </c>
      <c r="G54" s="14" t="s">
        <v>2686</v>
      </c>
      <c r="H54" s="14" t="s">
        <v>2687</v>
      </c>
      <c r="I54" s="14" t="s">
        <v>2688</v>
      </c>
      <c r="J54" s="15" t="s">
        <v>8728</v>
      </c>
      <c r="K54" s="16">
        <v>181.34009699999999</v>
      </c>
      <c r="L54" s="17">
        <v>337.95849399999997</v>
      </c>
      <c r="M54" s="18">
        <f t="shared" si="0"/>
        <v>1.8636721805657797</v>
      </c>
    </row>
    <row r="55" spans="1:13">
      <c r="A55" s="13" t="s">
        <v>2689</v>
      </c>
      <c r="B55" s="14" t="s">
        <v>2689</v>
      </c>
      <c r="C55" s="14" t="str">
        <f>HYPERLINK("http://uswest.ensembl.org/Homo_sapiens/Gene/Summary?g=","-")</f>
        <v>-</v>
      </c>
      <c r="D55" s="14" t="s">
        <v>2690</v>
      </c>
      <c r="E55" s="14" t="str">
        <f>HYPERLINK("http://www.ncbi.nlm.nih.gov/sites/entrez?db=gene&amp;cmd=Retrieve&amp;dopt=full_report&amp;list_uids=4538","4538")</f>
        <v>4538</v>
      </c>
      <c r="F55" s="14" t="s">
        <v>2691</v>
      </c>
      <c r="G55" s="14" t="s">
        <v>2692</v>
      </c>
      <c r="H55" s="14" t="s">
        <v>2694</v>
      </c>
      <c r="I55" s="14" t="s">
        <v>2695</v>
      </c>
      <c r="J55" s="15" t="s">
        <v>2696</v>
      </c>
      <c r="K55" s="16">
        <v>2111.40146</v>
      </c>
      <c r="L55" s="17">
        <v>3932.075683</v>
      </c>
      <c r="M55" s="18">
        <f t="shared" si="0"/>
        <v>1.862306035821345</v>
      </c>
    </row>
    <row r="56" spans="1:13">
      <c r="A56" s="13" t="s">
        <v>2671</v>
      </c>
      <c r="B56" s="14" t="s">
        <v>2671</v>
      </c>
      <c r="C56" s="14" t="str">
        <f>HYPERLINK("http://uswest.ensembl.org/Homo_sapiens/Gene/Summary?g=","-")</f>
        <v>-</v>
      </c>
      <c r="D56" s="14" t="s">
        <v>2672</v>
      </c>
      <c r="E56" s="14" t="str">
        <f>HYPERLINK("http://www.ncbi.nlm.nih.gov/sites/entrez?db=gene&amp;cmd=Retrieve&amp;dopt=full_report&amp;list_uids=8372","8372")</f>
        <v>8372</v>
      </c>
      <c r="F56" s="14" t="s">
        <v>2673</v>
      </c>
      <c r="G56" s="14" t="s">
        <v>2674</v>
      </c>
      <c r="H56" s="14" t="s">
        <v>2675</v>
      </c>
      <c r="I56" s="14" t="s">
        <v>2676</v>
      </c>
      <c r="J56" s="15" t="s">
        <v>6716</v>
      </c>
      <c r="K56" s="16">
        <v>256.90730000000002</v>
      </c>
      <c r="L56" s="17">
        <v>475.73514299999999</v>
      </c>
      <c r="M56" s="18">
        <f t="shared" si="0"/>
        <v>1.8517774426806866</v>
      </c>
    </row>
    <row r="57" spans="1:13">
      <c r="A57" s="13" t="s">
        <v>2677</v>
      </c>
      <c r="B57" s="14" t="s">
        <v>2677</v>
      </c>
      <c r="C57" s="14" t="str">
        <f>HYPERLINK("http://uswest.ensembl.org/Homo_sapiens/Gene/Summary?g=","-")</f>
        <v>-</v>
      </c>
      <c r="D57" s="14" t="s">
        <v>8728</v>
      </c>
      <c r="E57" s="14" t="str">
        <f>HYPERLINK("http://www.ncbi.nlm.nih.gov/sites/entrez?db=gene&amp;cmd=Retrieve&amp;dopt=full_report&amp;list_uids=100291661","100291661")</f>
        <v>100291661</v>
      </c>
      <c r="F57" s="14" t="s">
        <v>8728</v>
      </c>
      <c r="G57" s="14" t="s">
        <v>8728</v>
      </c>
      <c r="H57" s="14" t="s">
        <v>8728</v>
      </c>
      <c r="I57" s="14" t="s">
        <v>8728</v>
      </c>
      <c r="J57" s="15" t="s">
        <v>8728</v>
      </c>
      <c r="K57" s="16">
        <v>98.224751999999995</v>
      </c>
      <c r="L57" s="17">
        <v>181.62527299999999</v>
      </c>
      <c r="M57" s="18">
        <f t="shared" si="0"/>
        <v>1.8490784583502944</v>
      </c>
    </row>
    <row r="58" spans="1:13">
      <c r="A58" s="13" t="s">
        <v>2678</v>
      </c>
      <c r="B58" s="14" t="s">
        <v>2678</v>
      </c>
      <c r="C58" s="14" t="str">
        <f>HYPERLINK("http://uswest.ensembl.org/Homo_sapiens/Gene/Summary?g=ENSG00000092067","ENSG00000092067")</f>
        <v>ENSG00000092067</v>
      </c>
      <c r="D58" s="14" t="s">
        <v>2679</v>
      </c>
      <c r="E58" s="14" t="str">
        <f>HYPERLINK("http://www.ncbi.nlm.nih.gov/sites/entrez?db=gene&amp;cmd=Retrieve&amp;dopt=full_report&amp;list_uids=1053","1053")</f>
        <v>1053</v>
      </c>
      <c r="F58" s="14" t="s">
        <v>2680</v>
      </c>
      <c r="G58" s="14" t="s">
        <v>2661</v>
      </c>
      <c r="H58" s="14" t="s">
        <v>2662</v>
      </c>
      <c r="I58" s="14" t="s">
        <v>7192</v>
      </c>
      <c r="J58" s="15" t="s">
        <v>8558</v>
      </c>
      <c r="K58" s="16">
        <v>177.90666999999999</v>
      </c>
      <c r="L58" s="17">
        <v>328.94966299999999</v>
      </c>
      <c r="M58" s="18">
        <f t="shared" si="0"/>
        <v>1.8490012937682438</v>
      </c>
    </row>
    <row r="59" spans="1:13">
      <c r="A59" s="13" t="s">
        <v>2663</v>
      </c>
      <c r="B59" s="14" t="s">
        <v>2663</v>
      </c>
      <c r="C59" s="14" t="str">
        <f>HYPERLINK("http://uswest.ensembl.org/Homo_sapiens/Gene/Summary?g=","-")</f>
        <v>-</v>
      </c>
      <c r="D59" s="14" t="s">
        <v>2664</v>
      </c>
      <c r="E59" s="14" t="str">
        <f>HYPERLINK("http://www.ncbi.nlm.nih.gov/sites/entrez?db=gene&amp;cmd=Retrieve&amp;dopt=full_report&amp;list_uids=9409","9409")</f>
        <v>9409</v>
      </c>
      <c r="F59" s="14" t="s">
        <v>2665</v>
      </c>
      <c r="G59" s="14" t="s">
        <v>2666</v>
      </c>
      <c r="H59" s="14" t="s">
        <v>8728</v>
      </c>
      <c r="I59" s="14" t="s">
        <v>8728</v>
      </c>
      <c r="J59" s="15" t="s">
        <v>2667</v>
      </c>
      <c r="K59" s="16">
        <v>73.454583999999997</v>
      </c>
      <c r="L59" s="17">
        <v>135.31894299999999</v>
      </c>
      <c r="M59" s="18">
        <f t="shared" si="0"/>
        <v>1.8422123662152929</v>
      </c>
    </row>
    <row r="60" spans="1:13">
      <c r="A60" s="13" t="s">
        <v>2668</v>
      </c>
      <c r="B60" s="14" t="s">
        <v>2668</v>
      </c>
      <c r="C60" s="14" t="str">
        <f>HYPERLINK("http://uswest.ensembl.org/Homo_sapiens/Gene/Summary?g=ENSG00000100364","ENSG00000100364")</f>
        <v>ENSG00000100364</v>
      </c>
      <c r="D60" s="14" t="s">
        <v>2669</v>
      </c>
      <c r="E60" s="14" t="str">
        <f>HYPERLINK("http://www.ncbi.nlm.nih.gov/sites/entrez?db=gene&amp;cmd=Retrieve&amp;dopt=full_report&amp;list_uids=","-")</f>
        <v>-</v>
      </c>
      <c r="F60" s="14" t="s">
        <v>2670</v>
      </c>
      <c r="G60" s="14" t="s">
        <v>2653</v>
      </c>
      <c r="H60" s="14" t="s">
        <v>8728</v>
      </c>
      <c r="I60" s="14" t="s">
        <v>8728</v>
      </c>
      <c r="J60" s="15" t="s">
        <v>8728</v>
      </c>
      <c r="K60" s="16">
        <v>191.58230499999999</v>
      </c>
      <c r="L60" s="17">
        <v>352.89289600000001</v>
      </c>
      <c r="M60" s="18">
        <f t="shared" si="0"/>
        <v>1.8419910753239972</v>
      </c>
    </row>
    <row r="61" spans="1:13">
      <c r="A61" s="13" t="s">
        <v>2640</v>
      </c>
      <c r="B61" s="14" t="s">
        <v>2640</v>
      </c>
      <c r="C61" s="14" t="str">
        <f>HYPERLINK("http://uswest.ensembl.org/Homo_sapiens/Gene/Summary?g=","-")</f>
        <v>-</v>
      </c>
      <c r="D61" s="14" t="s">
        <v>2641</v>
      </c>
      <c r="E61" s="14" t="str">
        <f>HYPERLINK("http://www.ncbi.nlm.nih.gov/sites/entrez?db=gene&amp;cmd=Retrieve&amp;dopt=full_report&amp;list_uids=51390","51390")</f>
        <v>51390</v>
      </c>
      <c r="F61" s="14" t="s">
        <v>2642</v>
      </c>
      <c r="G61" s="14" t="s">
        <v>2643</v>
      </c>
      <c r="H61" s="14" t="s">
        <v>8728</v>
      </c>
      <c r="I61" s="14" t="s">
        <v>8728</v>
      </c>
      <c r="J61" s="15" t="s">
        <v>8669</v>
      </c>
      <c r="K61" s="16">
        <v>143.69700499999999</v>
      </c>
      <c r="L61" s="17">
        <v>263.20162099999999</v>
      </c>
      <c r="M61" s="18">
        <f t="shared" si="0"/>
        <v>1.8316430533816623</v>
      </c>
    </row>
    <row r="62" spans="1:13">
      <c r="A62" s="13" t="s">
        <v>2650</v>
      </c>
      <c r="B62" s="14" t="s">
        <v>2650</v>
      </c>
      <c r="C62" s="14" t="str">
        <f>HYPERLINK("http://uswest.ensembl.org/Homo_sapiens/Gene/Summary?g=","-")</f>
        <v>-</v>
      </c>
      <c r="D62" s="14" t="s">
        <v>2651</v>
      </c>
      <c r="E62" s="14" t="str">
        <f>HYPERLINK("http://www.ncbi.nlm.nih.gov/sites/entrez?db=gene&amp;cmd=Retrieve&amp;dopt=full_report&amp;list_uids=166012","166012")</f>
        <v>166012</v>
      </c>
      <c r="F62" s="14" t="s">
        <v>2652</v>
      </c>
      <c r="G62" s="14" t="s">
        <v>2660</v>
      </c>
      <c r="H62" s="14" t="s">
        <v>2721</v>
      </c>
      <c r="I62" s="14" t="s">
        <v>2644</v>
      </c>
      <c r="J62" s="15" t="s">
        <v>8474</v>
      </c>
      <c r="K62" s="16">
        <v>24.445139000000001</v>
      </c>
      <c r="L62" s="17">
        <v>44.744833</v>
      </c>
      <c r="M62" s="18">
        <f t="shared" si="0"/>
        <v>1.8304184320653689</v>
      </c>
    </row>
    <row r="63" spans="1:13">
      <c r="A63" s="13" t="s">
        <v>2645</v>
      </c>
      <c r="B63" s="14" t="s">
        <v>2645</v>
      </c>
      <c r="C63" s="14" t="str">
        <f>HYPERLINK("http://uswest.ensembl.org/Homo_sapiens/Gene/Summary?g=ENSG00000127838","ENSG00000127838")</f>
        <v>ENSG00000127838</v>
      </c>
      <c r="D63" s="14" t="s">
        <v>2646</v>
      </c>
      <c r="E63" s="14" t="str">
        <f>HYPERLINK("http://www.ncbi.nlm.nih.gov/sites/entrez?db=gene&amp;cmd=Retrieve&amp;dopt=full_report&amp;list_uids=25953","25953")</f>
        <v>25953</v>
      </c>
      <c r="F63" s="14" t="s">
        <v>2647</v>
      </c>
      <c r="G63" s="14" t="s">
        <v>2648</v>
      </c>
      <c r="H63" s="14" t="s">
        <v>8728</v>
      </c>
      <c r="I63" s="14" t="s">
        <v>2800</v>
      </c>
      <c r="J63" s="15" t="s">
        <v>2649</v>
      </c>
      <c r="K63" s="16">
        <v>80.794933</v>
      </c>
      <c r="L63" s="17">
        <v>147.82669000000001</v>
      </c>
      <c r="M63" s="18">
        <f t="shared" si="0"/>
        <v>1.829652980837301</v>
      </c>
    </row>
    <row r="64" spans="1:13">
      <c r="A64" s="13" t="s">
        <v>2654</v>
      </c>
      <c r="B64" s="14" t="s">
        <v>2654</v>
      </c>
      <c r="C64" s="14" t="str">
        <f>HYPERLINK("http://uswest.ensembl.org/Homo_sapiens/Gene/Summary?g=ENSG00000118705","ENSG00000118705")</f>
        <v>ENSG00000118705</v>
      </c>
      <c r="D64" s="14" t="s">
        <v>2655</v>
      </c>
      <c r="E64" s="14" t="str">
        <f>HYPERLINK("http://www.ncbi.nlm.nih.gov/sites/entrez?db=gene&amp;cmd=Retrieve&amp;dopt=full_report&amp;list_uids=6185","6185")</f>
        <v>6185</v>
      </c>
      <c r="F64" s="14" t="s">
        <v>2656</v>
      </c>
      <c r="G64" s="19" t="s">
        <v>2657</v>
      </c>
      <c r="H64" s="14" t="s">
        <v>2638</v>
      </c>
      <c r="I64" s="14" t="s">
        <v>2693</v>
      </c>
      <c r="J64" s="15" t="s">
        <v>2639</v>
      </c>
      <c r="K64" s="16">
        <v>913.96581900000001</v>
      </c>
      <c r="L64" s="17">
        <v>1669.20551</v>
      </c>
      <c r="M64" s="18">
        <f t="shared" si="0"/>
        <v>1.8263325337771741</v>
      </c>
    </row>
    <row r="65" spans="1:13">
      <c r="A65" s="13" t="s">
        <v>2631</v>
      </c>
      <c r="B65" s="14" t="s">
        <v>2631</v>
      </c>
      <c r="C65" s="14" t="str">
        <f>HYPERLINK("http://uswest.ensembl.org/Homo_sapiens/Gene/Summary?g=","-")</f>
        <v>-</v>
      </c>
      <c r="D65" s="14" t="s">
        <v>2632</v>
      </c>
      <c r="E65" s="14" t="str">
        <f>HYPERLINK("http://www.ncbi.nlm.nih.gov/sites/entrez?db=gene&amp;cmd=Retrieve&amp;dopt=full_report&amp;list_uids=4285","4285")</f>
        <v>4285</v>
      </c>
      <c r="F65" s="14" t="s">
        <v>2633</v>
      </c>
      <c r="G65" s="14" t="s">
        <v>2634</v>
      </c>
      <c r="H65" s="14" t="s">
        <v>2635</v>
      </c>
      <c r="I65" s="19" t="s">
        <v>2658</v>
      </c>
      <c r="J65" s="15" t="s">
        <v>2659</v>
      </c>
      <c r="K65" s="16">
        <v>38.414191000000002</v>
      </c>
      <c r="L65" s="17">
        <v>70.126684999999995</v>
      </c>
      <c r="M65" s="18">
        <f t="shared" si="0"/>
        <v>1.8255411131787207</v>
      </c>
    </row>
    <row r="66" spans="1:13">
      <c r="A66" s="13" t="s">
        <v>2620</v>
      </c>
      <c r="B66" s="14" t="s">
        <v>2620</v>
      </c>
      <c r="C66" s="14" t="str">
        <f>HYPERLINK("http://uswest.ensembl.org/Homo_sapiens/Gene/Summary?g=","-")</f>
        <v>-</v>
      </c>
      <c r="D66" s="14" t="s">
        <v>2621</v>
      </c>
      <c r="E66" s="14" t="str">
        <f>HYPERLINK("http://www.ncbi.nlm.nih.gov/sites/entrez?db=gene&amp;cmd=Retrieve&amp;dopt=full_report&amp;list_uids=85365","85365")</f>
        <v>85365</v>
      </c>
      <c r="F66" s="14" t="s">
        <v>2622</v>
      </c>
      <c r="G66" s="14" t="s">
        <v>2637</v>
      </c>
      <c r="H66" s="14" t="s">
        <v>2623</v>
      </c>
      <c r="I66" s="14" t="s">
        <v>2624</v>
      </c>
      <c r="J66" s="15" t="s">
        <v>2625</v>
      </c>
      <c r="K66" s="16">
        <v>169.75077200000001</v>
      </c>
      <c r="L66" s="17">
        <v>307.16435899999999</v>
      </c>
      <c r="M66" s="18">
        <f t="shared" ref="M66:M129" si="1">L66/K66</f>
        <v>1.8095019856522359</v>
      </c>
    </row>
    <row r="67" spans="1:13">
      <c r="A67" s="13" t="s">
        <v>2626</v>
      </c>
      <c r="B67" s="14" t="s">
        <v>2626</v>
      </c>
      <c r="C67" s="14" t="str">
        <f>HYPERLINK("http://uswest.ensembl.org/Homo_sapiens/Gene/Summary?g=ENSG00000169385","ENSG00000169385")</f>
        <v>ENSG00000169385</v>
      </c>
      <c r="D67" s="14" t="s">
        <v>2627</v>
      </c>
      <c r="E67" s="14" t="str">
        <f>HYPERLINK("http://www.ncbi.nlm.nih.gov/sites/entrez?db=gene&amp;cmd=Retrieve&amp;dopt=full_report&amp;list_uids=6036","6036")</f>
        <v>6036</v>
      </c>
      <c r="F67" s="14" t="s">
        <v>2628</v>
      </c>
      <c r="G67" s="14" t="s">
        <v>2629</v>
      </c>
      <c r="H67" s="14" t="s">
        <v>2630</v>
      </c>
      <c r="I67" s="14" t="s">
        <v>2608</v>
      </c>
      <c r="J67" s="15" t="s">
        <v>6716</v>
      </c>
      <c r="K67" s="16">
        <v>6672.9508390000001</v>
      </c>
      <c r="L67" s="17">
        <v>12063.760198</v>
      </c>
      <c r="M67" s="18">
        <f t="shared" si="1"/>
        <v>1.80785989423052</v>
      </c>
    </row>
    <row r="68" spans="1:13">
      <c r="A68" s="13" t="s">
        <v>2617</v>
      </c>
      <c r="B68" s="14" t="s">
        <v>2617</v>
      </c>
      <c r="C68" s="14" t="str">
        <f>HYPERLINK("http://uswest.ensembl.org/Homo_sapiens/Gene/Summary?g=ENSG00000178802","ENSG00000178802")</f>
        <v>ENSG00000178802</v>
      </c>
      <c r="D68" s="14" t="s">
        <v>2618</v>
      </c>
      <c r="E68" s="14" t="str">
        <f>HYPERLINK("http://www.ncbi.nlm.nih.gov/sites/entrez?db=gene&amp;cmd=Retrieve&amp;dopt=full_report&amp;list_uids=4351","4351")</f>
        <v>4351</v>
      </c>
      <c r="F68" s="14" t="s">
        <v>2619</v>
      </c>
      <c r="G68" s="14" t="s">
        <v>2593</v>
      </c>
      <c r="H68" s="14" t="s">
        <v>8210</v>
      </c>
      <c r="I68" s="14" t="s">
        <v>2594</v>
      </c>
      <c r="J68" s="15" t="s">
        <v>8619</v>
      </c>
      <c r="K68" s="16">
        <v>25.073222999999999</v>
      </c>
      <c r="L68" s="17">
        <v>45.256045</v>
      </c>
      <c r="M68" s="18">
        <f t="shared" si="1"/>
        <v>1.8049552305262073</v>
      </c>
    </row>
    <row r="69" spans="1:13">
      <c r="A69" s="13" t="s">
        <v>2596</v>
      </c>
      <c r="B69" s="14" t="s">
        <v>2596</v>
      </c>
      <c r="C69" s="14" t="str">
        <f>HYPERLINK("http://uswest.ensembl.org/Homo_sapiens/Gene/Summary?g=ENSG00000104835","ENSG00000104835")</f>
        <v>ENSG00000104835</v>
      </c>
      <c r="D69" s="14" t="s">
        <v>2597</v>
      </c>
      <c r="E69" s="14" t="str">
        <f>HYPERLINK("http://www.ncbi.nlm.nih.gov/sites/entrez?db=gene&amp;cmd=Retrieve&amp;dopt=full_report&amp;list_uids=54938","54938")</f>
        <v>54938</v>
      </c>
      <c r="F69" s="14" t="s">
        <v>2598</v>
      </c>
      <c r="G69" s="14" t="s">
        <v>2599</v>
      </c>
      <c r="H69" s="14" t="s">
        <v>2600</v>
      </c>
      <c r="I69" s="14" t="s">
        <v>2601</v>
      </c>
      <c r="J69" s="15" t="s">
        <v>7843</v>
      </c>
      <c r="K69" s="16">
        <v>35.217480999999999</v>
      </c>
      <c r="L69" s="17">
        <v>63.404432</v>
      </c>
      <c r="M69" s="18">
        <f t="shared" si="1"/>
        <v>1.8003681751116725</v>
      </c>
    </row>
    <row r="70" spans="1:13">
      <c r="A70" s="13" t="s">
        <v>2602</v>
      </c>
      <c r="B70" s="14" t="s">
        <v>2602</v>
      </c>
      <c r="C70" s="14" t="str">
        <f>HYPERLINK("http://uswest.ensembl.org/Homo_sapiens/Gene/Summary?g=ENSG00000121766","ENSG00000121766")</f>
        <v>ENSG00000121766</v>
      </c>
      <c r="D70" s="14" t="s">
        <v>2603</v>
      </c>
      <c r="E70" s="14" t="str">
        <f>HYPERLINK("http://www.ncbi.nlm.nih.gov/sites/entrez?db=gene&amp;cmd=Retrieve&amp;dopt=full_report&amp;list_uids=51538","51538")</f>
        <v>51538</v>
      </c>
      <c r="F70" s="14" t="s">
        <v>2604</v>
      </c>
      <c r="G70" s="14" t="s">
        <v>2606</v>
      </c>
      <c r="H70" s="14" t="s">
        <v>8681</v>
      </c>
      <c r="I70" s="14" t="s">
        <v>2752</v>
      </c>
      <c r="J70" s="15" t="s">
        <v>2607</v>
      </c>
      <c r="K70" s="16">
        <v>257.018036</v>
      </c>
      <c r="L70" s="17">
        <v>461.69065499999999</v>
      </c>
      <c r="M70" s="18">
        <f t="shared" si="1"/>
        <v>1.7963356275899642</v>
      </c>
    </row>
    <row r="71" spans="1:13">
      <c r="A71" s="13" t="s">
        <v>2610</v>
      </c>
      <c r="B71" s="14" t="s">
        <v>2610</v>
      </c>
      <c r="C71" s="14" t="str">
        <f>HYPERLINK("http://uswest.ensembl.org/Homo_sapiens/Gene/Summary?g=ENSG00000131467","ENSG00000131467")</f>
        <v>ENSG00000131467</v>
      </c>
      <c r="D71" s="14" t="s">
        <v>2611</v>
      </c>
      <c r="E71" s="14" t="str">
        <f>HYPERLINK("http://www.ncbi.nlm.nih.gov/sites/entrez?db=gene&amp;cmd=Retrieve&amp;dopt=full_report&amp;list_uids=10197","10197")</f>
        <v>10197</v>
      </c>
      <c r="F71" s="14" t="s">
        <v>2612</v>
      </c>
      <c r="G71" s="19" t="s">
        <v>2616</v>
      </c>
      <c r="H71" s="19" t="s">
        <v>2586</v>
      </c>
      <c r="I71" s="14" t="s">
        <v>2587</v>
      </c>
      <c r="J71" s="15" t="s">
        <v>2588</v>
      </c>
      <c r="K71" s="16">
        <v>25.520344000000001</v>
      </c>
      <c r="L71" s="17">
        <v>45.779977000000002</v>
      </c>
      <c r="M71" s="18">
        <f t="shared" si="1"/>
        <v>1.793862065495669</v>
      </c>
    </row>
    <row r="72" spans="1:13">
      <c r="A72" s="13" t="s">
        <v>2589</v>
      </c>
      <c r="B72" s="14" t="s">
        <v>2589</v>
      </c>
      <c r="C72" s="14" t="str">
        <f>HYPERLINK("http://uswest.ensembl.org/Homo_sapiens/Gene/Summary?g=ENSG00000067182","ENSG00000067182")</f>
        <v>ENSG00000067182</v>
      </c>
      <c r="D72" s="14" t="s">
        <v>2574</v>
      </c>
      <c r="E72" s="14" t="str">
        <f>HYPERLINK("http://www.ncbi.nlm.nih.gov/sites/entrez?db=gene&amp;cmd=Retrieve&amp;dopt=full_report&amp;list_uids=7132","7132")</f>
        <v>7132</v>
      </c>
      <c r="F72" s="14" t="s">
        <v>2575</v>
      </c>
      <c r="G72" s="19" t="s">
        <v>2595</v>
      </c>
      <c r="H72" s="19" t="s">
        <v>2576</v>
      </c>
      <c r="I72" s="14" t="s">
        <v>2577</v>
      </c>
      <c r="J72" s="15" t="s">
        <v>2605</v>
      </c>
      <c r="K72" s="16">
        <v>116.406403</v>
      </c>
      <c r="L72" s="17">
        <v>208.66834399999999</v>
      </c>
      <c r="M72" s="18">
        <f t="shared" si="1"/>
        <v>1.7925847601355742</v>
      </c>
    </row>
    <row r="73" spans="1:13">
      <c r="A73" s="13" t="s">
        <v>2567</v>
      </c>
      <c r="B73" s="14" t="s">
        <v>2567</v>
      </c>
      <c r="C73" s="14" t="str">
        <f>HYPERLINK("http://uswest.ensembl.org/Homo_sapiens/Gene/Summary?g=ENSG00000149428","ENSG00000149428")</f>
        <v>ENSG00000149428</v>
      </c>
      <c r="D73" s="14" t="s">
        <v>2613</v>
      </c>
      <c r="E73" s="14" t="str">
        <f>HYPERLINK("http://www.ncbi.nlm.nih.gov/sites/entrez?db=gene&amp;cmd=Retrieve&amp;dopt=full_report&amp;list_uids=10525","10525")</f>
        <v>10525</v>
      </c>
      <c r="F73" s="14" t="s">
        <v>2614</v>
      </c>
      <c r="G73" s="14" t="s">
        <v>2615</v>
      </c>
      <c r="H73" s="14" t="s">
        <v>2568</v>
      </c>
      <c r="I73" s="14" t="s">
        <v>2569</v>
      </c>
      <c r="J73" s="15" t="s">
        <v>8065</v>
      </c>
      <c r="K73" s="16">
        <v>53.040702000000003</v>
      </c>
      <c r="L73" s="17">
        <v>94.951429000000005</v>
      </c>
      <c r="M73" s="18">
        <f t="shared" si="1"/>
        <v>1.7901616196557881</v>
      </c>
    </row>
    <row r="74" spans="1:13">
      <c r="A74" s="13" t="s">
        <v>2570</v>
      </c>
      <c r="B74" s="14" t="s">
        <v>2570</v>
      </c>
      <c r="C74" s="14" t="str">
        <f>HYPERLINK("http://uswest.ensembl.org/Homo_sapiens/Gene/Summary?g=ENSG00000170017","ENSG00000170017")</f>
        <v>ENSG00000170017</v>
      </c>
      <c r="D74" s="14" t="s">
        <v>2571</v>
      </c>
      <c r="E74" s="14" t="str">
        <f>HYPERLINK("http://www.ncbi.nlm.nih.gov/sites/entrez?db=gene&amp;cmd=Retrieve&amp;dopt=full_report&amp;list_uids=","-")</f>
        <v>-</v>
      </c>
      <c r="F74" s="14" t="s">
        <v>5367</v>
      </c>
      <c r="G74" s="14" t="s">
        <v>5377</v>
      </c>
      <c r="H74" s="14" t="s">
        <v>2572</v>
      </c>
      <c r="I74" s="14" t="s">
        <v>8665</v>
      </c>
      <c r="J74" s="15" t="s">
        <v>2581</v>
      </c>
      <c r="K74" s="16">
        <v>274.28086400000001</v>
      </c>
      <c r="L74" s="17">
        <v>490.654651</v>
      </c>
      <c r="M74" s="18">
        <f t="shared" si="1"/>
        <v>1.7888767150740781</v>
      </c>
    </row>
    <row r="75" spans="1:13">
      <c r="A75" s="13" t="s">
        <v>2582</v>
      </c>
      <c r="B75" s="14" t="s">
        <v>2582</v>
      </c>
      <c r="C75" s="14" t="str">
        <f>HYPERLINK("http://uswest.ensembl.org/Homo_sapiens/Gene/Summary?g=ENSG00000132182","ENSG00000132182")</f>
        <v>ENSG00000132182</v>
      </c>
      <c r="D75" s="14" t="s">
        <v>2583</v>
      </c>
      <c r="E75" s="14" t="str">
        <f>HYPERLINK("http://www.ncbi.nlm.nih.gov/sites/entrez?db=gene&amp;cmd=Retrieve&amp;dopt=full_report&amp;list_uids=23225","23225")</f>
        <v>23225</v>
      </c>
      <c r="F75" s="14" t="s">
        <v>2584</v>
      </c>
      <c r="G75" s="14" t="s">
        <v>2585</v>
      </c>
      <c r="H75" s="14" t="s">
        <v>5223</v>
      </c>
      <c r="I75" s="14" t="s">
        <v>8665</v>
      </c>
      <c r="J75" s="15" t="s">
        <v>2573</v>
      </c>
      <c r="K75" s="16">
        <v>86.861080999999999</v>
      </c>
      <c r="L75" s="17">
        <v>155.003874</v>
      </c>
      <c r="M75" s="18">
        <f t="shared" si="1"/>
        <v>1.784503165462562</v>
      </c>
    </row>
    <row r="76" spans="1:13">
      <c r="A76" s="13" t="s">
        <v>2578</v>
      </c>
      <c r="B76" s="14" t="s">
        <v>2578</v>
      </c>
      <c r="C76" s="14" t="str">
        <f>HYPERLINK("http://uswest.ensembl.org/Homo_sapiens/Gene/Summary?g=ENSG00000145990","ENSG00000145990")</f>
        <v>ENSG00000145990</v>
      </c>
      <c r="D76" s="14" t="s">
        <v>2579</v>
      </c>
      <c r="E76" s="14" t="str">
        <f>HYPERLINK("http://www.ncbi.nlm.nih.gov/sites/entrez?db=gene&amp;cmd=Retrieve&amp;dopt=full_report&amp;list_uids=54438","54438")</f>
        <v>54438</v>
      </c>
      <c r="F76" s="14" t="s">
        <v>2580</v>
      </c>
      <c r="G76" s="14" t="s">
        <v>2560</v>
      </c>
      <c r="H76" s="14" t="s">
        <v>5894</v>
      </c>
      <c r="I76" s="14" t="s">
        <v>3745</v>
      </c>
      <c r="J76" s="15" t="s">
        <v>8731</v>
      </c>
      <c r="K76" s="16">
        <v>44.007823000000002</v>
      </c>
      <c r="L76" s="17">
        <v>78.150749000000005</v>
      </c>
      <c r="M76" s="18">
        <f t="shared" si="1"/>
        <v>1.7758376505013667</v>
      </c>
    </row>
    <row r="77" spans="1:13">
      <c r="A77" s="13" t="s">
        <v>2561</v>
      </c>
      <c r="B77" s="14" t="s">
        <v>2561</v>
      </c>
      <c r="C77" s="14" t="str">
        <f>HYPERLINK("http://uswest.ensembl.org/Homo_sapiens/Gene/Summary?g=ENSG00000036549","ENSG00000036549")</f>
        <v>ENSG00000036549</v>
      </c>
      <c r="D77" s="14" t="s">
        <v>2562</v>
      </c>
      <c r="E77" s="14" t="str">
        <f>HYPERLINK("http://www.ncbi.nlm.nih.gov/sites/entrez?db=gene&amp;cmd=Retrieve&amp;dopt=full_report&amp;list_uids=","-")</f>
        <v>-</v>
      </c>
      <c r="F77" s="14" t="s">
        <v>6227</v>
      </c>
      <c r="G77" s="14" t="s">
        <v>6228</v>
      </c>
      <c r="H77" s="14" t="s">
        <v>8728</v>
      </c>
      <c r="I77" s="14" t="s">
        <v>7870</v>
      </c>
      <c r="J77" s="15" t="s">
        <v>8728</v>
      </c>
      <c r="K77" s="16">
        <v>33.104942999999999</v>
      </c>
      <c r="L77" s="17">
        <v>58.744779999999999</v>
      </c>
      <c r="M77" s="18">
        <f t="shared" si="1"/>
        <v>1.7745017715330307</v>
      </c>
    </row>
    <row r="78" spans="1:13">
      <c r="A78" s="13" t="s">
        <v>2563</v>
      </c>
      <c r="B78" s="14" t="s">
        <v>2563</v>
      </c>
      <c r="C78" s="14" t="str">
        <f>HYPERLINK("http://uswest.ensembl.org/Homo_sapiens/Gene/Summary?g=ENSG00000162676","ENSG00000162676")</f>
        <v>ENSG00000162676</v>
      </c>
      <c r="D78" s="14" t="s">
        <v>2564</v>
      </c>
      <c r="E78" s="14" t="str">
        <f>HYPERLINK("http://www.ncbi.nlm.nih.gov/sites/entrez?db=gene&amp;cmd=Retrieve&amp;dopt=full_report&amp;list_uids=2672","2672")</f>
        <v>2672</v>
      </c>
      <c r="F78" s="14" t="s">
        <v>2565</v>
      </c>
      <c r="G78" s="14" t="s">
        <v>2566</v>
      </c>
      <c r="H78" s="19" t="s">
        <v>2549</v>
      </c>
      <c r="I78" s="14" t="s">
        <v>4319</v>
      </c>
      <c r="J78" s="15" t="s">
        <v>8622</v>
      </c>
      <c r="K78" s="16">
        <v>438.094672</v>
      </c>
      <c r="L78" s="17">
        <v>776.82747600000005</v>
      </c>
      <c r="M78" s="18">
        <f t="shared" si="1"/>
        <v>1.7731954430160248</v>
      </c>
    </row>
    <row r="79" spans="1:13">
      <c r="A79" s="13" t="s">
        <v>2555</v>
      </c>
      <c r="B79" s="14" t="s">
        <v>2555</v>
      </c>
      <c r="C79" s="14" t="str">
        <f>HYPERLINK("http://uswest.ensembl.org/Homo_sapiens/Gene/Summary?g=ENSG00000143870","ENSG00000143870")</f>
        <v>ENSG00000143870</v>
      </c>
      <c r="D79" s="14" t="s">
        <v>2556</v>
      </c>
      <c r="E79" s="14" t="str">
        <f>HYPERLINK("http://www.ncbi.nlm.nih.gov/sites/entrez?db=gene&amp;cmd=Retrieve&amp;dopt=full_report&amp;list_uids=","-")</f>
        <v>-</v>
      </c>
      <c r="F79" s="14" t="s">
        <v>2557</v>
      </c>
      <c r="G79" s="14" t="s">
        <v>2558</v>
      </c>
      <c r="H79" s="14" t="s">
        <v>7114</v>
      </c>
      <c r="I79" s="14" t="s">
        <v>2559</v>
      </c>
      <c r="J79" s="15" t="s">
        <v>8728</v>
      </c>
      <c r="K79" s="16">
        <v>2146.2530400000001</v>
      </c>
      <c r="L79" s="17">
        <v>3794.3397329999998</v>
      </c>
      <c r="M79" s="18">
        <f t="shared" si="1"/>
        <v>1.7678902078573175</v>
      </c>
    </row>
    <row r="80" spans="1:13">
      <c r="A80" s="13" t="s">
        <v>2540</v>
      </c>
      <c r="B80" s="14" t="s">
        <v>2540</v>
      </c>
      <c r="C80" s="14" t="str">
        <f>HYPERLINK("http://uswest.ensembl.org/Homo_sapiens/Gene/Summary?g=ENSG00000099958","ENSG00000099958")</f>
        <v>ENSG00000099958</v>
      </c>
      <c r="D80" s="14" t="s">
        <v>2541</v>
      </c>
      <c r="E80" s="14" t="str">
        <f>HYPERLINK("http://www.ncbi.nlm.nih.gov/sites/entrez?db=gene&amp;cmd=Retrieve&amp;dopt=full_report&amp;list_uids=91319","91319")</f>
        <v>91319</v>
      </c>
      <c r="F80" s="14" t="s">
        <v>2542</v>
      </c>
      <c r="G80" s="14" t="s">
        <v>2543</v>
      </c>
      <c r="H80" s="14" t="s">
        <v>8728</v>
      </c>
      <c r="I80" s="14" t="s">
        <v>8728</v>
      </c>
      <c r="J80" s="15" t="s">
        <v>8691</v>
      </c>
      <c r="K80" s="16">
        <v>40.078637999999998</v>
      </c>
      <c r="L80" s="17">
        <v>70.695156999999995</v>
      </c>
      <c r="M80" s="18">
        <f t="shared" si="1"/>
        <v>1.7639111638474341</v>
      </c>
    </row>
    <row r="81" spans="1:13">
      <c r="A81" s="13" t="s">
        <v>2544</v>
      </c>
      <c r="B81" s="14" t="s">
        <v>2544</v>
      </c>
      <c r="C81" s="14" t="str">
        <f>HYPERLINK("http://uswest.ensembl.org/Homo_sapiens/Gene/Summary?g=ENSG00000139343","ENSG00000139343")</f>
        <v>ENSG00000139343</v>
      </c>
      <c r="D81" s="14" t="s">
        <v>2545</v>
      </c>
      <c r="E81" s="14" t="str">
        <f>HYPERLINK("http://www.ncbi.nlm.nih.gov/sites/entrez?db=gene&amp;cmd=Retrieve&amp;dopt=full_report&amp;list_uids=6636","6636")</f>
        <v>6636</v>
      </c>
      <c r="F81" s="14" t="s">
        <v>2546</v>
      </c>
      <c r="G81" s="14" t="s">
        <v>2547</v>
      </c>
      <c r="H81" s="14" t="s">
        <v>2590</v>
      </c>
      <c r="I81" s="14" t="s">
        <v>5968</v>
      </c>
      <c r="J81" s="15" t="s">
        <v>2548</v>
      </c>
      <c r="K81" s="16">
        <v>952.61948099999995</v>
      </c>
      <c r="L81" s="17">
        <v>1676.905728</v>
      </c>
      <c r="M81" s="18">
        <f t="shared" si="1"/>
        <v>1.7603101358369135</v>
      </c>
    </row>
    <row r="82" spans="1:13">
      <c r="A82" s="13" t="s">
        <v>2550</v>
      </c>
      <c r="B82" s="14" t="s">
        <v>2550</v>
      </c>
      <c r="C82" s="14" t="str">
        <f>HYPERLINK("http://uswest.ensembl.org/Homo_sapiens/Gene/Summary?g=","-")</f>
        <v>-</v>
      </c>
      <c r="D82" s="14" t="s">
        <v>2551</v>
      </c>
      <c r="E82" s="14" t="str">
        <f>HYPERLINK("http://www.ncbi.nlm.nih.gov/sites/entrez?db=gene&amp;cmd=Retrieve&amp;dopt=full_report&amp;list_uids=54733","54733")</f>
        <v>54733</v>
      </c>
      <c r="F82" s="14" t="s">
        <v>2552</v>
      </c>
      <c r="G82" s="14" t="s">
        <v>2553</v>
      </c>
      <c r="H82" s="14" t="s">
        <v>2554</v>
      </c>
      <c r="I82" s="14" t="s">
        <v>8648</v>
      </c>
      <c r="J82" s="15" t="s">
        <v>6347</v>
      </c>
      <c r="K82" s="16">
        <v>24.995443000000002</v>
      </c>
      <c r="L82" s="17">
        <v>43.830997000000004</v>
      </c>
      <c r="M82" s="18">
        <f t="shared" si="1"/>
        <v>1.7535595188290922</v>
      </c>
    </row>
    <row r="83" spans="1:13">
      <c r="A83" s="13" t="s">
        <v>2591</v>
      </c>
      <c r="B83" s="14" t="s">
        <v>2591</v>
      </c>
      <c r="C83" s="14" t="str">
        <f>HYPERLINK("http://uswest.ensembl.org/Homo_sapiens/Gene/Summary?g=ENSG00000185275","ENSG00000185275")</f>
        <v>ENSG00000185275</v>
      </c>
      <c r="D83" s="14" t="s">
        <v>8728</v>
      </c>
      <c r="E83" s="14" t="str">
        <f>HYPERLINK("http://www.ncbi.nlm.nih.gov/sites/entrez?db=gene&amp;cmd=Retrieve&amp;dopt=full_report&amp;list_uids=100133941","100133941")</f>
        <v>100133941</v>
      </c>
      <c r="F83" s="14" t="s">
        <v>2592</v>
      </c>
      <c r="G83" s="14" t="s">
        <v>2539</v>
      </c>
      <c r="H83" s="19" t="s">
        <v>2538</v>
      </c>
      <c r="I83" s="14" t="s">
        <v>2537</v>
      </c>
      <c r="J83" s="20" t="s">
        <v>2515</v>
      </c>
      <c r="K83" s="16">
        <v>2825.7557750000001</v>
      </c>
      <c r="L83" s="17">
        <v>4949.6069029999999</v>
      </c>
      <c r="M83" s="18">
        <f t="shared" si="1"/>
        <v>1.7516046315078309</v>
      </c>
    </row>
    <row r="84" spans="1:13">
      <c r="A84" s="13" t="s">
        <v>2516</v>
      </c>
      <c r="B84" s="14" t="s">
        <v>2516</v>
      </c>
      <c r="C84" s="14" t="str">
        <f>HYPERLINK("http://uswest.ensembl.org/Homo_sapiens/Gene/Summary?g=ENSG00000048544","ENSG00000048544")</f>
        <v>ENSG00000048544</v>
      </c>
      <c r="D84" s="14" t="s">
        <v>2517</v>
      </c>
      <c r="E84" s="14" t="str">
        <f>HYPERLINK("http://www.ncbi.nlm.nih.gov/sites/entrez?db=gene&amp;cmd=Retrieve&amp;dopt=full_report&amp;list_uids=55173","55173")</f>
        <v>55173</v>
      </c>
      <c r="F84" s="14" t="s">
        <v>2518</v>
      </c>
      <c r="G84" s="14" t="s">
        <v>2519</v>
      </c>
      <c r="H84" s="14" t="s">
        <v>2520</v>
      </c>
      <c r="I84" s="14" t="s">
        <v>3910</v>
      </c>
      <c r="J84" s="15" t="s">
        <v>7808</v>
      </c>
      <c r="K84" s="16">
        <v>259.671311</v>
      </c>
      <c r="L84" s="17">
        <v>454.28059999999999</v>
      </c>
      <c r="M84" s="18">
        <f t="shared" si="1"/>
        <v>1.7494447047328998</v>
      </c>
    </row>
    <row r="85" spans="1:13">
      <c r="A85" s="13" t="s">
        <v>2521</v>
      </c>
      <c r="B85" s="14" t="s">
        <v>2521</v>
      </c>
      <c r="C85" s="14" t="str">
        <f>HYPERLINK("http://uswest.ensembl.org/Homo_sapiens/Gene/Summary?g=ENSG00000204472","ENSG00000204472")</f>
        <v>ENSG00000204472</v>
      </c>
      <c r="D85" s="14" t="s">
        <v>2522</v>
      </c>
      <c r="E85" s="14" t="str">
        <f>HYPERLINK("http://www.ncbi.nlm.nih.gov/sites/entrez?db=gene&amp;cmd=Retrieve&amp;dopt=full_report&amp;list_uids=199","199")</f>
        <v>199</v>
      </c>
      <c r="F85" s="14" t="s">
        <v>2523</v>
      </c>
      <c r="G85" s="14" t="s">
        <v>2524</v>
      </c>
      <c r="H85" s="14" t="s">
        <v>2525</v>
      </c>
      <c r="I85" s="14" t="s">
        <v>8626</v>
      </c>
      <c r="J85" s="15" t="s">
        <v>2526</v>
      </c>
      <c r="K85" s="16">
        <v>273.97676300000001</v>
      </c>
      <c r="L85" s="17">
        <v>478.91287999999997</v>
      </c>
      <c r="M85" s="18">
        <f t="shared" si="1"/>
        <v>1.7480054686243591</v>
      </c>
    </row>
    <row r="86" spans="1:13">
      <c r="A86" s="13" t="s">
        <v>2527</v>
      </c>
      <c r="B86" s="14" t="s">
        <v>2527</v>
      </c>
      <c r="C86" s="14" t="str">
        <f>HYPERLINK("http://uswest.ensembl.org/Homo_sapiens/Gene/Summary?g=ENSG00000006075","ENSG00000006075")</f>
        <v>ENSG00000006075</v>
      </c>
      <c r="D86" s="14" t="s">
        <v>2528</v>
      </c>
      <c r="E86" s="14" t="str">
        <f>HYPERLINK("http://www.ncbi.nlm.nih.gov/sites/entrez?db=gene&amp;cmd=Retrieve&amp;dopt=full_report&amp;list_uids=6348","6348")</f>
        <v>6348</v>
      </c>
      <c r="F86" s="14" t="s">
        <v>2529</v>
      </c>
      <c r="G86" s="19" t="s">
        <v>2530</v>
      </c>
      <c r="H86" s="19" t="s">
        <v>2531</v>
      </c>
      <c r="I86" s="14" t="s">
        <v>2532</v>
      </c>
      <c r="J86" s="15" t="s">
        <v>3629</v>
      </c>
      <c r="K86" s="16">
        <v>295.81120199999998</v>
      </c>
      <c r="L86" s="17">
        <v>516.81317000000001</v>
      </c>
      <c r="M86" s="18">
        <f t="shared" si="1"/>
        <v>1.7471047969305775</v>
      </c>
    </row>
    <row r="87" spans="1:13">
      <c r="A87" s="13" t="s">
        <v>2533</v>
      </c>
      <c r="B87" s="14" t="s">
        <v>2533</v>
      </c>
      <c r="C87" s="14" t="str">
        <f>HYPERLINK("http://uswest.ensembl.org/Homo_sapiens/Gene/Summary?g=","-")</f>
        <v>-</v>
      </c>
      <c r="D87" s="14" t="s">
        <v>2534</v>
      </c>
      <c r="E87" s="14" t="str">
        <f>HYPERLINK("http://www.ncbi.nlm.nih.gov/sites/entrez?db=gene&amp;cmd=Retrieve&amp;dopt=full_report&amp;list_uids=4609","4609")</f>
        <v>4609</v>
      </c>
      <c r="F87" s="14" t="s">
        <v>2535</v>
      </c>
      <c r="G87" s="14" t="s">
        <v>2536</v>
      </c>
      <c r="H87" s="19" t="s">
        <v>2512</v>
      </c>
      <c r="I87" s="14" t="s">
        <v>2513</v>
      </c>
      <c r="J87" s="15" t="s">
        <v>2514</v>
      </c>
      <c r="K87" s="16">
        <v>213.216509</v>
      </c>
      <c r="L87" s="17">
        <v>371.65686299999999</v>
      </c>
      <c r="M87" s="18">
        <f t="shared" si="1"/>
        <v>1.7430960892432583</v>
      </c>
    </row>
    <row r="88" spans="1:13">
      <c r="A88" s="13" t="s">
        <v>2499</v>
      </c>
      <c r="B88" s="14" t="s">
        <v>2499</v>
      </c>
      <c r="C88" s="14" t="str">
        <f>HYPERLINK("http://uswest.ensembl.org/Homo_sapiens/Gene/Summary?g=ENSG00000120526","ENSG00000120526")</f>
        <v>ENSG00000120526</v>
      </c>
      <c r="D88" s="14" t="s">
        <v>2500</v>
      </c>
      <c r="E88" s="14" t="str">
        <f>HYPERLINK("http://www.ncbi.nlm.nih.gov/sites/entrez?db=gene&amp;cmd=Retrieve&amp;dopt=full_report&amp;list_uids=84955","84955")</f>
        <v>84955</v>
      </c>
      <c r="F88" s="14" t="s">
        <v>2501</v>
      </c>
      <c r="G88" s="14" t="s">
        <v>2502</v>
      </c>
      <c r="H88" s="14" t="s">
        <v>8730</v>
      </c>
      <c r="I88" s="14" t="s">
        <v>8728</v>
      </c>
      <c r="J88" s="15" t="s">
        <v>8728</v>
      </c>
      <c r="K88" s="16">
        <v>136.84345200000001</v>
      </c>
      <c r="L88" s="17">
        <v>237.086431</v>
      </c>
      <c r="M88" s="18">
        <f t="shared" si="1"/>
        <v>1.7325376372411301</v>
      </c>
    </row>
    <row r="89" spans="1:13">
      <c r="A89" s="13" t="s">
        <v>2482</v>
      </c>
      <c r="B89" s="14" t="s">
        <v>2482</v>
      </c>
      <c r="C89" s="14" t="str">
        <f>HYPERLINK("http://uswest.ensembl.org/Homo_sapiens/Gene/Summary?g=ENSG00000135776","ENSG00000135776")</f>
        <v>ENSG00000135776</v>
      </c>
      <c r="D89" s="14" t="s">
        <v>2483</v>
      </c>
      <c r="E89" s="14" t="str">
        <f>HYPERLINK("http://www.ncbi.nlm.nih.gov/sites/entrez?db=gene&amp;cmd=Retrieve&amp;dopt=full_report&amp;list_uids=23456","23456")</f>
        <v>23456</v>
      </c>
      <c r="F89" s="14" t="s">
        <v>2484</v>
      </c>
      <c r="G89" s="14" t="s">
        <v>2487</v>
      </c>
      <c r="H89" s="14" t="s">
        <v>8734</v>
      </c>
      <c r="I89" s="14" t="s">
        <v>2488</v>
      </c>
      <c r="J89" s="15" t="s">
        <v>2489</v>
      </c>
      <c r="K89" s="16">
        <v>207.77591000000001</v>
      </c>
      <c r="L89" s="17">
        <v>359.90613000000002</v>
      </c>
      <c r="M89" s="18">
        <f t="shared" si="1"/>
        <v>1.7321841112379197</v>
      </c>
    </row>
    <row r="90" spans="1:13">
      <c r="A90" s="13" t="s">
        <v>2490</v>
      </c>
      <c r="B90" s="14" t="s">
        <v>2490</v>
      </c>
      <c r="C90" s="14" t="str">
        <f>HYPERLINK("http://uswest.ensembl.org/Homo_sapiens/Gene/Summary?g=ENSG00000158481","ENSG00000158481")</f>
        <v>ENSG00000158481</v>
      </c>
      <c r="D90" s="14" t="s">
        <v>2491</v>
      </c>
      <c r="E90" s="14" t="str">
        <f>HYPERLINK("http://www.ncbi.nlm.nih.gov/sites/entrez?db=gene&amp;cmd=Retrieve&amp;dopt=full_report&amp;list_uids=","-")</f>
        <v>-</v>
      </c>
      <c r="F90" s="14" t="s">
        <v>2492</v>
      </c>
      <c r="G90" s="14" t="s">
        <v>2493</v>
      </c>
      <c r="H90" s="14" t="s">
        <v>5952</v>
      </c>
      <c r="I90" s="14" t="s">
        <v>8728</v>
      </c>
      <c r="J90" s="15" t="s">
        <v>8691</v>
      </c>
      <c r="K90" s="16">
        <v>19.577627</v>
      </c>
      <c r="L90" s="17">
        <v>33.902116999999997</v>
      </c>
      <c r="M90" s="18">
        <f t="shared" si="1"/>
        <v>1.7316765203464137</v>
      </c>
    </row>
    <row r="91" spans="1:13">
      <c r="A91" s="13" t="s">
        <v>2494</v>
      </c>
      <c r="B91" s="14" t="s">
        <v>2494</v>
      </c>
      <c r="C91" s="14" t="str">
        <f>HYPERLINK("http://uswest.ensembl.org/Homo_sapiens/Gene/Summary?g=ENSG00000164070","ENSG00000164070")</f>
        <v>ENSG00000164070</v>
      </c>
      <c r="D91" s="14" t="s">
        <v>2495</v>
      </c>
      <c r="E91" s="14" t="str">
        <f>HYPERLINK("http://www.ncbi.nlm.nih.gov/sites/entrez?db=gene&amp;cmd=Retrieve&amp;dopt=full_report&amp;list_uids=22824","22824")</f>
        <v>22824</v>
      </c>
      <c r="F91" s="14" t="s">
        <v>2496</v>
      </c>
      <c r="G91" s="14" t="s">
        <v>2497</v>
      </c>
      <c r="H91" s="14" t="s">
        <v>2498</v>
      </c>
      <c r="I91" s="14" t="s">
        <v>7282</v>
      </c>
      <c r="J91" s="15" t="s">
        <v>8608</v>
      </c>
      <c r="K91" s="16">
        <v>36.988325000000003</v>
      </c>
      <c r="L91" s="17">
        <v>63.887175999999997</v>
      </c>
      <c r="M91" s="18">
        <f t="shared" si="1"/>
        <v>1.7272254420820621</v>
      </c>
    </row>
    <row r="92" spans="1:13">
      <c r="A92" s="13" t="s">
        <v>2508</v>
      </c>
      <c r="B92" s="14" t="s">
        <v>2508</v>
      </c>
      <c r="C92" s="14" t="str">
        <f>HYPERLINK("http://uswest.ensembl.org/Homo_sapiens/Gene/Summary?g=ENSG00000004455","ENSG00000004455")</f>
        <v>ENSG00000004455</v>
      </c>
      <c r="D92" s="14" t="s">
        <v>2509</v>
      </c>
      <c r="E92" s="14" t="str">
        <f>HYPERLINK("http://www.ncbi.nlm.nih.gov/sites/entrez?db=gene&amp;cmd=Retrieve&amp;dopt=full_report&amp;list_uids=204","204")</f>
        <v>204</v>
      </c>
      <c r="F92" s="14" t="s">
        <v>2510</v>
      </c>
      <c r="G92" s="14" t="s">
        <v>2511</v>
      </c>
      <c r="H92" s="14" t="s">
        <v>4511</v>
      </c>
      <c r="I92" s="19" t="s">
        <v>2469</v>
      </c>
      <c r="J92" s="15" t="s">
        <v>2470</v>
      </c>
      <c r="K92" s="16">
        <v>495.75219199999998</v>
      </c>
      <c r="L92" s="17">
        <v>855.56463399999996</v>
      </c>
      <c r="M92" s="18">
        <f t="shared" si="1"/>
        <v>1.7257909249950427</v>
      </c>
    </row>
    <row r="93" spans="1:13">
      <c r="A93" s="13" t="s">
        <v>2471</v>
      </c>
      <c r="B93" s="14" t="s">
        <v>2471</v>
      </c>
      <c r="C93" s="14" t="str">
        <f>HYPERLINK("http://uswest.ensembl.org/Homo_sapiens/Gene/Summary?g=ENSG00000101425","ENSG00000101425")</f>
        <v>ENSG00000101425</v>
      </c>
      <c r="D93" s="14" t="s">
        <v>2472</v>
      </c>
      <c r="E93" s="14" t="str">
        <f>HYPERLINK("http://www.ncbi.nlm.nih.gov/sites/entrez?db=gene&amp;cmd=Retrieve&amp;dopt=full_report&amp;list_uids=100134379","100134379")</f>
        <v>100134379</v>
      </c>
      <c r="F93" s="14" t="s">
        <v>2473</v>
      </c>
      <c r="G93" s="14" t="s">
        <v>2474</v>
      </c>
      <c r="H93" s="19" t="s">
        <v>2475</v>
      </c>
      <c r="I93" s="14" t="s">
        <v>2476</v>
      </c>
      <c r="J93" s="15" t="s">
        <v>2477</v>
      </c>
      <c r="K93" s="16">
        <v>25.388093000000001</v>
      </c>
      <c r="L93" s="17">
        <v>43.767440999999998</v>
      </c>
      <c r="M93" s="18">
        <f t="shared" si="1"/>
        <v>1.7239357442089092</v>
      </c>
    </row>
    <row r="94" spans="1:13">
      <c r="A94" s="13" t="s">
        <v>2478</v>
      </c>
      <c r="B94" s="14" t="s">
        <v>2478</v>
      </c>
      <c r="C94" s="14" t="str">
        <f>HYPERLINK("http://uswest.ensembl.org/Homo_sapiens/Gene/Summary?g=ENSG00000152558","ENSG00000152558")</f>
        <v>ENSG00000152558</v>
      </c>
      <c r="D94" s="14" t="s">
        <v>2479</v>
      </c>
      <c r="E94" s="14" t="str">
        <f>HYPERLINK("http://www.ncbi.nlm.nih.gov/sites/entrez?db=gene&amp;cmd=Retrieve&amp;dopt=full_report&amp;list_uids=","-")</f>
        <v>-</v>
      </c>
      <c r="F94" s="14" t="s">
        <v>2480</v>
      </c>
      <c r="G94" s="14" t="s">
        <v>2481</v>
      </c>
      <c r="H94" s="14" t="s">
        <v>8728</v>
      </c>
      <c r="I94" s="14" t="s">
        <v>8728</v>
      </c>
      <c r="J94" s="15" t="s">
        <v>8728</v>
      </c>
      <c r="K94" s="16">
        <v>884.41712700000005</v>
      </c>
      <c r="L94" s="17">
        <v>1523.990213</v>
      </c>
      <c r="M94" s="18">
        <f t="shared" si="1"/>
        <v>1.7231577345968787</v>
      </c>
    </row>
    <row r="95" spans="1:13">
      <c r="A95" s="13" t="s">
        <v>2458</v>
      </c>
      <c r="B95" s="14" t="s">
        <v>2458</v>
      </c>
      <c r="C95" s="14" t="str">
        <f>HYPERLINK("http://uswest.ensembl.org/Homo_sapiens/Gene/Summary?g=ENSG00000163956","ENSG00000163956")</f>
        <v>ENSG00000163956</v>
      </c>
      <c r="D95" s="14" t="s">
        <v>2459</v>
      </c>
      <c r="E95" s="14" t="str">
        <f>HYPERLINK("http://www.ncbi.nlm.nih.gov/sites/entrez?db=gene&amp;cmd=Retrieve&amp;dopt=full_report&amp;list_uids=4043","4043")</f>
        <v>4043</v>
      </c>
      <c r="F95" s="14" t="s">
        <v>2460</v>
      </c>
      <c r="G95" s="14" t="s">
        <v>2461</v>
      </c>
      <c r="H95" s="14" t="s">
        <v>2462</v>
      </c>
      <c r="I95" s="14" t="s">
        <v>2463</v>
      </c>
      <c r="J95" s="15" t="s">
        <v>2503</v>
      </c>
      <c r="K95" s="16">
        <v>1459.6854539999999</v>
      </c>
      <c r="L95" s="17">
        <v>2513.023029</v>
      </c>
      <c r="M95" s="18">
        <f t="shared" si="1"/>
        <v>1.7216195599630879</v>
      </c>
    </row>
    <row r="96" spans="1:13">
      <c r="A96" s="13" t="s">
        <v>2504</v>
      </c>
      <c r="B96" s="14" t="s">
        <v>2504</v>
      </c>
      <c r="C96" s="14" t="str">
        <f>HYPERLINK("http://uswest.ensembl.org/Homo_sapiens/Gene/Summary?g=ENSG00000204394","ENSG00000204394")</f>
        <v>ENSG00000204394</v>
      </c>
      <c r="D96" s="14" t="s">
        <v>2505</v>
      </c>
      <c r="E96" s="14" t="str">
        <f>HYPERLINK("http://www.ncbi.nlm.nih.gov/sites/entrez?db=gene&amp;cmd=Retrieve&amp;dopt=full_report&amp;list_uids=7407","7407")</f>
        <v>7407</v>
      </c>
      <c r="F96" s="14" t="s">
        <v>2506</v>
      </c>
      <c r="G96" s="14" t="s">
        <v>2507</v>
      </c>
      <c r="H96" s="19" t="s">
        <v>2485</v>
      </c>
      <c r="I96" s="19" t="s">
        <v>2486</v>
      </c>
      <c r="J96" s="15" t="s">
        <v>2451</v>
      </c>
      <c r="K96" s="16">
        <v>37.663862999999999</v>
      </c>
      <c r="L96" s="17">
        <v>64.689712</v>
      </c>
      <c r="M96" s="18">
        <f t="shared" si="1"/>
        <v>1.7175538260639913</v>
      </c>
    </row>
    <row r="97" spans="1:13">
      <c r="A97" s="13" t="s">
        <v>2452</v>
      </c>
      <c r="B97" s="14" t="s">
        <v>2452</v>
      </c>
      <c r="C97" s="14" t="str">
        <f>HYPERLINK("http://uswest.ensembl.org/Homo_sapiens/Gene/Summary?g=ENSG00000112303","ENSG00000112303")</f>
        <v>ENSG00000112303</v>
      </c>
      <c r="D97" s="14" t="s">
        <v>2453</v>
      </c>
      <c r="E97" s="14" t="str">
        <f>HYPERLINK("http://www.ncbi.nlm.nih.gov/sites/entrez?db=gene&amp;cmd=Retrieve&amp;dopt=full_report&amp;list_uids=8875","8875")</f>
        <v>8875</v>
      </c>
      <c r="F97" s="14" t="s">
        <v>2454</v>
      </c>
      <c r="G97" s="14" t="s">
        <v>2455</v>
      </c>
      <c r="H97" s="14" t="s">
        <v>2456</v>
      </c>
      <c r="I97" s="14" t="s">
        <v>2457</v>
      </c>
      <c r="J97" s="15" t="s">
        <v>8495</v>
      </c>
      <c r="K97" s="16">
        <v>33.959358000000002</v>
      </c>
      <c r="L97" s="17">
        <v>58.301932000000001</v>
      </c>
      <c r="M97" s="18">
        <f t="shared" si="1"/>
        <v>1.7168149056292523</v>
      </c>
    </row>
    <row r="98" spans="1:13">
      <c r="A98" s="13" t="s">
        <v>2438</v>
      </c>
      <c r="B98" s="14" t="s">
        <v>2438</v>
      </c>
      <c r="C98" s="14" t="str">
        <f>HYPERLINK("http://uswest.ensembl.org/Homo_sapiens/Gene/Summary?g=ENSG00000168291","ENSG00000168291")</f>
        <v>ENSG00000168291</v>
      </c>
      <c r="D98" s="14" t="s">
        <v>2439</v>
      </c>
      <c r="E98" s="14" t="str">
        <f>HYPERLINK("http://www.ncbi.nlm.nih.gov/sites/entrez?db=gene&amp;cmd=Retrieve&amp;dopt=full_report&amp;list_uids=5162","5162")</f>
        <v>5162</v>
      </c>
      <c r="F98" s="14" t="s">
        <v>2440</v>
      </c>
      <c r="G98" s="14" t="s">
        <v>2431</v>
      </c>
      <c r="H98" s="14" t="s">
        <v>2441</v>
      </c>
      <c r="I98" s="14" t="s">
        <v>2432</v>
      </c>
      <c r="J98" s="15" t="s">
        <v>7994</v>
      </c>
      <c r="K98" s="16">
        <v>436.11103500000002</v>
      </c>
      <c r="L98" s="17">
        <v>746.22851900000001</v>
      </c>
      <c r="M98" s="18">
        <f t="shared" si="1"/>
        <v>1.7110975396437744</v>
      </c>
    </row>
    <row r="99" spans="1:13">
      <c r="A99" s="13" t="s">
        <v>2433</v>
      </c>
      <c r="B99" s="14" t="s">
        <v>2433</v>
      </c>
      <c r="C99" s="14" t="str">
        <f>HYPERLINK("http://uswest.ensembl.org/Homo_sapiens/Gene/Summary?g=","-")</f>
        <v>-</v>
      </c>
      <c r="D99" s="14" t="s">
        <v>2434</v>
      </c>
      <c r="E99" s="14" t="str">
        <f>HYPERLINK("http://www.ncbi.nlm.nih.gov/sites/entrez?db=gene&amp;cmd=Retrieve&amp;dopt=full_report&amp;list_uids=55687","55687")</f>
        <v>55687</v>
      </c>
      <c r="F99" s="14" t="s">
        <v>2435</v>
      </c>
      <c r="G99" s="14" t="s">
        <v>2436</v>
      </c>
      <c r="H99" s="14" t="s">
        <v>4640</v>
      </c>
      <c r="I99" s="14" t="s">
        <v>2437</v>
      </c>
      <c r="J99" s="15" t="s">
        <v>8075</v>
      </c>
      <c r="K99" s="16">
        <v>55.256574999999998</v>
      </c>
      <c r="L99" s="17">
        <v>94.452905999999999</v>
      </c>
      <c r="M99" s="18">
        <f t="shared" si="1"/>
        <v>1.7093514391726234</v>
      </c>
    </row>
    <row r="100" spans="1:13">
      <c r="A100" s="13" t="s">
        <v>2424</v>
      </c>
      <c r="B100" s="14" t="s">
        <v>2424</v>
      </c>
      <c r="C100" s="14" t="str">
        <f>HYPERLINK("http://uswest.ensembl.org/Homo_sapiens/Gene/Summary?g=ENSG00000118855","ENSG00000118855")</f>
        <v>ENSG00000118855</v>
      </c>
      <c r="D100" s="14" t="s">
        <v>2425</v>
      </c>
      <c r="E100" s="14" t="str">
        <f>HYPERLINK("http://www.ncbi.nlm.nih.gov/sites/entrez?db=gene&amp;cmd=Retrieve&amp;dopt=full_report&amp;list_uids=64747","64747")</f>
        <v>64747</v>
      </c>
      <c r="F100" s="14" t="s">
        <v>2426</v>
      </c>
      <c r="G100" s="14" t="s">
        <v>2406</v>
      </c>
      <c r="H100" s="14" t="s">
        <v>8734</v>
      </c>
      <c r="I100" s="14" t="s">
        <v>8470</v>
      </c>
      <c r="J100" s="15" t="s">
        <v>8698</v>
      </c>
      <c r="K100" s="16">
        <v>623.37643700000001</v>
      </c>
      <c r="L100" s="17">
        <v>1059.617542</v>
      </c>
      <c r="M100" s="18">
        <f t="shared" si="1"/>
        <v>1.699803648497545</v>
      </c>
    </row>
    <row r="101" spans="1:13">
      <c r="A101" s="13" t="s">
        <v>2407</v>
      </c>
      <c r="B101" s="14" t="s">
        <v>2407</v>
      </c>
      <c r="C101" s="14" t="str">
        <f>HYPERLINK("http://uswest.ensembl.org/Homo_sapiens/Gene/Summary?g=ENSG00000088832","ENSG00000088832")</f>
        <v>ENSG00000088832</v>
      </c>
      <c r="D101" s="14" t="s">
        <v>2427</v>
      </c>
      <c r="E101" s="14" t="str">
        <f>HYPERLINK("http://www.ncbi.nlm.nih.gov/sites/entrez?db=gene&amp;cmd=Retrieve&amp;dopt=full_report&amp;list_uids=2280","2280")</f>
        <v>2280</v>
      </c>
      <c r="F101" s="14" t="s">
        <v>2428</v>
      </c>
      <c r="G101" s="14" t="s">
        <v>2429</v>
      </c>
      <c r="H101" s="19" t="s">
        <v>2411</v>
      </c>
      <c r="I101" s="19" t="s">
        <v>2464</v>
      </c>
      <c r="J101" s="15" t="s">
        <v>2465</v>
      </c>
      <c r="K101" s="16">
        <v>679.59314300000005</v>
      </c>
      <c r="L101" s="17">
        <v>1153.8070190000001</v>
      </c>
      <c r="M101" s="18">
        <f t="shared" si="1"/>
        <v>1.6977908486636981</v>
      </c>
    </row>
    <row r="102" spans="1:13">
      <c r="A102" s="13" t="s">
        <v>2397</v>
      </c>
      <c r="B102" s="14" t="s">
        <v>2397</v>
      </c>
      <c r="C102" s="14" t="str">
        <f>HYPERLINK("http://uswest.ensembl.org/Homo_sapiens/Gene/Summary?g=","-")</f>
        <v>-</v>
      </c>
      <c r="D102" s="14" t="s">
        <v>2398</v>
      </c>
      <c r="E102" s="14" t="str">
        <f>HYPERLINK("http://www.ncbi.nlm.nih.gov/sites/entrez?db=gene&amp;cmd=Retrieve&amp;dopt=full_report&amp;list_uids=5315","5315")</f>
        <v>5315</v>
      </c>
      <c r="F102" s="14" t="s">
        <v>2399</v>
      </c>
      <c r="G102" s="14" t="s">
        <v>2466</v>
      </c>
      <c r="H102" s="14" t="s">
        <v>2467</v>
      </c>
      <c r="I102" s="14" t="s">
        <v>2468</v>
      </c>
      <c r="J102" s="15" t="s">
        <v>8728</v>
      </c>
      <c r="K102" s="16">
        <v>342.94363900000002</v>
      </c>
      <c r="L102" s="17">
        <v>581.680339</v>
      </c>
      <c r="M102" s="18">
        <f t="shared" si="1"/>
        <v>1.6961397525731625</v>
      </c>
    </row>
    <row r="103" spans="1:13">
      <c r="A103" s="13" t="s">
        <v>2423</v>
      </c>
      <c r="B103" s="14" t="s">
        <v>2423</v>
      </c>
      <c r="C103" s="14" t="str">
        <f>HYPERLINK("http://uswest.ensembl.org/Homo_sapiens/Gene/Summary?g=ENSG00000133027","ENSG00000133027")</f>
        <v>ENSG00000133027</v>
      </c>
      <c r="D103" s="14" t="s">
        <v>2401</v>
      </c>
      <c r="E103" s="14" t="str">
        <f>HYPERLINK("http://www.ncbi.nlm.nih.gov/sites/entrez?db=gene&amp;cmd=Retrieve&amp;dopt=full_report&amp;list_uids=10400","10400")</f>
        <v>10400</v>
      </c>
      <c r="F103" s="14" t="s">
        <v>2402</v>
      </c>
      <c r="G103" s="14" t="s">
        <v>2403</v>
      </c>
      <c r="H103" s="14" t="s">
        <v>2442</v>
      </c>
      <c r="I103" s="14" t="s">
        <v>2404</v>
      </c>
      <c r="J103" s="15" t="s">
        <v>2405</v>
      </c>
      <c r="K103" s="16">
        <v>59.405135999999999</v>
      </c>
      <c r="L103" s="17">
        <v>100.757999</v>
      </c>
      <c r="M103" s="18">
        <f t="shared" si="1"/>
        <v>1.696115955361166</v>
      </c>
    </row>
    <row r="104" spans="1:13">
      <c r="A104" s="13" t="s">
        <v>2388</v>
      </c>
      <c r="B104" s="14" t="s">
        <v>2388</v>
      </c>
      <c r="C104" s="14" t="str">
        <f>HYPERLINK("http://uswest.ensembl.org/Homo_sapiens/Gene/Summary?g=ENSG00000130775","ENSG00000130775")</f>
        <v>ENSG00000130775</v>
      </c>
      <c r="D104" s="14" t="s">
        <v>2408</v>
      </c>
      <c r="E104" s="14" t="str">
        <f>HYPERLINK("http://www.ncbi.nlm.nih.gov/sites/entrez?db=gene&amp;cmd=Retrieve&amp;dopt=full_report&amp;list_uids=9473","9473")</f>
        <v>9473</v>
      </c>
      <c r="F104" s="14" t="s">
        <v>2409</v>
      </c>
      <c r="G104" s="14" t="s">
        <v>2410</v>
      </c>
      <c r="H104" s="14" t="s">
        <v>8628</v>
      </c>
      <c r="I104" s="14" t="s">
        <v>8728</v>
      </c>
      <c r="J104" s="15" t="s">
        <v>8728</v>
      </c>
      <c r="K104" s="16">
        <v>190.67267100000001</v>
      </c>
      <c r="L104" s="17">
        <v>322.95226200000002</v>
      </c>
      <c r="M104" s="18">
        <f t="shared" si="1"/>
        <v>1.6937522315403029</v>
      </c>
    </row>
    <row r="105" spans="1:13">
      <c r="A105" s="13" t="s">
        <v>2389</v>
      </c>
      <c r="B105" s="14" t="s">
        <v>2389</v>
      </c>
      <c r="C105" s="14" t="str">
        <f>HYPERLINK("http://uswest.ensembl.org/Homo_sapiens/Gene/Summary?g=ENSG00000140379","ENSG00000140379")</f>
        <v>ENSG00000140379</v>
      </c>
      <c r="D105" s="14" t="s">
        <v>2390</v>
      </c>
      <c r="E105" s="14" t="str">
        <f>HYPERLINK("http://www.ncbi.nlm.nih.gov/sites/entrez?db=gene&amp;cmd=Retrieve&amp;dopt=full_report&amp;list_uids=597","597")</f>
        <v>597</v>
      </c>
      <c r="F105" s="14" t="s">
        <v>2391</v>
      </c>
      <c r="G105" s="14" t="s">
        <v>2392</v>
      </c>
      <c r="H105" s="14" t="s">
        <v>2393</v>
      </c>
      <c r="I105" s="14" t="s">
        <v>8665</v>
      </c>
      <c r="J105" s="15" t="s">
        <v>8294</v>
      </c>
      <c r="K105" s="16">
        <v>150.736301</v>
      </c>
      <c r="L105" s="17">
        <v>254.76327499999999</v>
      </c>
      <c r="M105" s="18">
        <f t="shared" si="1"/>
        <v>1.6901255590715338</v>
      </c>
    </row>
    <row r="106" spans="1:13">
      <c r="A106" s="13" t="s">
        <v>2394</v>
      </c>
      <c r="B106" s="14" t="s">
        <v>2394</v>
      </c>
      <c r="C106" s="14" t="str">
        <f>HYPERLINK("http://uswest.ensembl.org/Homo_sapiens/Gene/Summary?g=ENSG00000131873","ENSG00000131873")</f>
        <v>ENSG00000131873</v>
      </c>
      <c r="D106" s="14" t="s">
        <v>2395</v>
      </c>
      <c r="E106" s="14" t="str">
        <f>HYPERLINK("http://www.ncbi.nlm.nih.gov/sites/entrez?db=gene&amp;cmd=Retrieve&amp;dopt=full_report&amp;list_uids=22856","22856")</f>
        <v>22856</v>
      </c>
      <c r="F106" s="14" t="s">
        <v>2396</v>
      </c>
      <c r="G106" s="19" t="s">
        <v>2400</v>
      </c>
      <c r="H106" s="14" t="s">
        <v>8728</v>
      </c>
      <c r="I106" s="19" t="s">
        <v>2443</v>
      </c>
      <c r="J106" s="15" t="s">
        <v>8474</v>
      </c>
      <c r="K106" s="16">
        <v>166.007419</v>
      </c>
      <c r="L106" s="17">
        <v>280.52269999999999</v>
      </c>
      <c r="M106" s="18">
        <f t="shared" si="1"/>
        <v>1.689820260382459</v>
      </c>
    </row>
    <row r="107" spans="1:13">
      <c r="A107" s="13" t="s">
        <v>2444</v>
      </c>
      <c r="B107" s="14" t="s">
        <v>2444</v>
      </c>
      <c r="C107" s="14" t="str">
        <f>HYPERLINK("http://uswest.ensembl.org/Homo_sapiens/Gene/Summary?g=ENSG00000168010","ENSG00000168010")</f>
        <v>ENSG00000168010</v>
      </c>
      <c r="D107" s="14" t="s">
        <v>2445</v>
      </c>
      <c r="E107" s="14" t="str">
        <f>HYPERLINK("http://www.ncbi.nlm.nih.gov/sites/entrez?db=gene&amp;cmd=Retrieve&amp;dopt=full_report&amp;list_uids=89849","89849")</f>
        <v>89849</v>
      </c>
      <c r="F107" s="14" t="s">
        <v>2446</v>
      </c>
      <c r="G107" s="14" t="s">
        <v>2447</v>
      </c>
      <c r="H107" s="14" t="s">
        <v>2448</v>
      </c>
      <c r="I107" s="14" t="s">
        <v>8728</v>
      </c>
      <c r="J107" s="15" t="s">
        <v>8619</v>
      </c>
      <c r="K107" s="16">
        <v>110.07537600000001</v>
      </c>
      <c r="L107" s="17">
        <v>185.884229</v>
      </c>
      <c r="M107" s="18">
        <f t="shared" si="1"/>
        <v>1.6886994689893224</v>
      </c>
    </row>
    <row r="108" spans="1:13">
      <c r="A108" s="13" t="s">
        <v>2449</v>
      </c>
      <c r="B108" s="14" t="s">
        <v>2449</v>
      </c>
      <c r="C108" s="14" t="str">
        <f>HYPERLINK("http://uswest.ensembl.org/Homo_sapiens/Gene/Summary?g=ENSG00000177556","ENSG00000177556")</f>
        <v>ENSG00000177556</v>
      </c>
      <c r="D108" s="14" t="s">
        <v>8728</v>
      </c>
      <c r="E108" s="14" t="str">
        <f>HYPERLINK("http://www.ncbi.nlm.nih.gov/sites/entrez?db=gene&amp;cmd=Retrieve&amp;dopt=full_report&amp;list_uids=475","475")</f>
        <v>475</v>
      </c>
      <c r="F108" s="14" t="s">
        <v>2450</v>
      </c>
      <c r="G108" s="14" t="s">
        <v>2386</v>
      </c>
      <c r="H108" s="14" t="s">
        <v>2412</v>
      </c>
      <c r="I108" s="14" t="s">
        <v>2413</v>
      </c>
      <c r="J108" s="15" t="s">
        <v>8096</v>
      </c>
      <c r="K108" s="16">
        <v>309.01050300000003</v>
      </c>
      <c r="L108" s="17">
        <v>521.71635300000003</v>
      </c>
      <c r="M108" s="18">
        <f t="shared" si="1"/>
        <v>1.6883450495532186</v>
      </c>
    </row>
    <row r="109" spans="1:13">
      <c r="A109" s="13" t="s">
        <v>2414</v>
      </c>
      <c r="B109" s="14" t="s">
        <v>2414</v>
      </c>
      <c r="C109" s="14" t="str">
        <f>HYPERLINK("http://uswest.ensembl.org/Homo_sapiens/Gene/Summary?g=ENSG00000076248","ENSG00000076248")</f>
        <v>ENSG00000076248</v>
      </c>
      <c r="D109" s="14" t="s">
        <v>2415</v>
      </c>
      <c r="E109" s="14" t="str">
        <f>HYPERLINK("http://www.ncbi.nlm.nih.gov/sites/entrez?db=gene&amp;cmd=Retrieve&amp;dopt=full_report&amp;list_uids=7374","7374")</f>
        <v>7374</v>
      </c>
      <c r="F109" s="14" t="s">
        <v>2416</v>
      </c>
      <c r="G109" s="14" t="s">
        <v>2417</v>
      </c>
      <c r="H109" s="14" t="s">
        <v>2418</v>
      </c>
      <c r="I109" s="14" t="s">
        <v>2419</v>
      </c>
      <c r="J109" s="15" t="s">
        <v>6454</v>
      </c>
      <c r="K109" s="16">
        <v>177.33537100000001</v>
      </c>
      <c r="L109" s="17">
        <v>299.23153100000002</v>
      </c>
      <c r="M109" s="18">
        <f t="shared" si="1"/>
        <v>1.6873764625332417</v>
      </c>
    </row>
    <row r="110" spans="1:13">
      <c r="A110" s="13" t="s">
        <v>2420</v>
      </c>
      <c r="B110" s="14" t="s">
        <v>2420</v>
      </c>
      <c r="C110" s="14" t="str">
        <f>HYPERLINK("http://uswest.ensembl.org/Homo_sapiens/Gene/Summary?g=","-")</f>
        <v>-</v>
      </c>
      <c r="D110" s="14" t="s">
        <v>2421</v>
      </c>
      <c r="E110" s="14" t="str">
        <f>HYPERLINK("http://www.ncbi.nlm.nih.gov/sites/entrez?db=gene&amp;cmd=Retrieve&amp;dopt=full_report&amp;list_uids=10370","10370")</f>
        <v>10370</v>
      </c>
      <c r="F110" s="14" t="s">
        <v>2422</v>
      </c>
      <c r="G110" s="14" t="s">
        <v>2387</v>
      </c>
      <c r="H110" s="19" t="s">
        <v>2383</v>
      </c>
      <c r="I110" s="19" t="s">
        <v>2384</v>
      </c>
      <c r="J110" s="15" t="s">
        <v>2385</v>
      </c>
      <c r="K110" s="16">
        <v>238.90497500000001</v>
      </c>
      <c r="L110" s="17">
        <v>402.96369800000002</v>
      </c>
      <c r="M110" s="18">
        <f t="shared" si="1"/>
        <v>1.6867112039002119</v>
      </c>
    </row>
    <row r="111" spans="1:13">
      <c r="A111" s="13" t="s">
        <v>2373</v>
      </c>
      <c r="B111" s="14" t="s">
        <v>2373</v>
      </c>
      <c r="C111" s="14" t="str">
        <f>HYPERLINK("http://uswest.ensembl.org/Homo_sapiens/Gene/Summary?g=ENSG00000157426","ENSG00000157426")</f>
        <v>ENSG00000157426</v>
      </c>
      <c r="D111" s="14" t="s">
        <v>2374</v>
      </c>
      <c r="E111" s="14" t="str">
        <f>HYPERLINK("http://www.ncbi.nlm.nih.gov/sites/entrez?db=gene&amp;cmd=Retrieve&amp;dopt=full_report&amp;list_uids=132949","132949")</f>
        <v>132949</v>
      </c>
      <c r="F111" s="14" t="s">
        <v>2375</v>
      </c>
      <c r="G111" s="14" t="s">
        <v>2376</v>
      </c>
      <c r="H111" s="14" t="s">
        <v>6601</v>
      </c>
      <c r="I111" s="14" t="s">
        <v>2377</v>
      </c>
      <c r="J111" s="15" t="s">
        <v>8728</v>
      </c>
      <c r="K111" s="16">
        <v>51.699191999999996</v>
      </c>
      <c r="L111" s="17">
        <v>87.102041</v>
      </c>
      <c r="M111" s="18">
        <f t="shared" si="1"/>
        <v>1.6847853444208569</v>
      </c>
    </row>
    <row r="112" spans="1:13">
      <c r="A112" s="13" t="s">
        <v>2365</v>
      </c>
      <c r="B112" s="14" t="s">
        <v>2365</v>
      </c>
      <c r="C112" s="14" t="str">
        <f>HYPERLINK("http://uswest.ensembl.org/Homo_sapiens/Gene/Summary?g=ENSG00000166557","ENSG00000166557")</f>
        <v>ENSG00000166557</v>
      </c>
      <c r="D112" s="14" t="s">
        <v>2366</v>
      </c>
      <c r="E112" s="14" t="str">
        <f>HYPERLINK("http://www.ncbi.nlm.nih.gov/sites/entrez?db=gene&amp;cmd=Retrieve&amp;dopt=full_report&amp;list_uids=23423","23423")</f>
        <v>23423</v>
      </c>
      <c r="F112" s="14" t="s">
        <v>2367</v>
      </c>
      <c r="G112" s="14" t="s">
        <v>2368</v>
      </c>
      <c r="H112" s="14" t="s">
        <v>5852</v>
      </c>
      <c r="I112" s="14" t="s">
        <v>8728</v>
      </c>
      <c r="J112" s="15" t="s">
        <v>2369</v>
      </c>
      <c r="K112" s="16">
        <v>628.429393</v>
      </c>
      <c r="L112" s="17">
        <v>1054.160247</v>
      </c>
      <c r="M112" s="18">
        <f t="shared" si="1"/>
        <v>1.6774521668498723</v>
      </c>
    </row>
    <row r="113" spans="1:13">
      <c r="A113" s="13" t="s">
        <v>2370</v>
      </c>
      <c r="B113" s="14" t="s">
        <v>2370</v>
      </c>
      <c r="C113" s="14" t="str">
        <f>HYPERLINK("http://uswest.ensembl.org/Homo_sapiens/Gene/Summary?g=ENSG00000138772","ENSG00000138772")</f>
        <v>ENSG00000138772</v>
      </c>
      <c r="D113" s="14" t="s">
        <v>2371</v>
      </c>
      <c r="E113" s="14" t="str">
        <f>HYPERLINK("http://www.ncbi.nlm.nih.gov/sites/entrez?db=gene&amp;cmd=Retrieve&amp;dopt=full_report&amp;list_uids=306","306")</f>
        <v>306</v>
      </c>
      <c r="F113" s="14" t="s">
        <v>2372</v>
      </c>
      <c r="G113" s="14" t="s">
        <v>2349</v>
      </c>
      <c r="H113" s="14" t="s">
        <v>2350</v>
      </c>
      <c r="I113" s="14" t="s">
        <v>2351</v>
      </c>
      <c r="J113" s="15" t="s">
        <v>8619</v>
      </c>
      <c r="K113" s="16">
        <v>106.13624900000001</v>
      </c>
      <c r="L113" s="17">
        <v>177.96777</v>
      </c>
      <c r="M113" s="18">
        <f t="shared" si="1"/>
        <v>1.6767859395520939</v>
      </c>
    </row>
    <row r="114" spans="1:13">
      <c r="A114" s="13" t="s">
        <v>2352</v>
      </c>
      <c r="B114" s="14" t="s">
        <v>2352</v>
      </c>
      <c r="C114" s="14" t="str">
        <f>HYPERLINK("http://uswest.ensembl.org/Homo_sapiens/Gene/Summary?g=ENSG00000165140","ENSG00000165140")</f>
        <v>ENSG00000165140</v>
      </c>
      <c r="D114" s="14" t="s">
        <v>2353</v>
      </c>
      <c r="E114" s="14" t="str">
        <f>HYPERLINK("http://www.ncbi.nlm.nih.gov/sites/entrez?db=gene&amp;cmd=Retrieve&amp;dopt=full_report&amp;list_uids=2203","2203")</f>
        <v>2203</v>
      </c>
      <c r="F114" s="14" t="s">
        <v>2354</v>
      </c>
      <c r="G114" s="14" t="s">
        <v>2355</v>
      </c>
      <c r="H114" s="14" t="s">
        <v>2356</v>
      </c>
      <c r="I114" s="19" t="s">
        <v>2359</v>
      </c>
      <c r="J114" s="15" t="s">
        <v>2360</v>
      </c>
      <c r="K114" s="16">
        <v>38.623775999999999</v>
      </c>
      <c r="L114" s="17">
        <v>64.716592000000006</v>
      </c>
      <c r="M114" s="18">
        <f t="shared" si="1"/>
        <v>1.6755635699627092</v>
      </c>
    </row>
    <row r="115" spans="1:13">
      <c r="A115" s="13" t="s">
        <v>2361</v>
      </c>
      <c r="B115" s="14" t="s">
        <v>2361</v>
      </c>
      <c r="C115" s="14" t="str">
        <f>HYPERLINK("http://uswest.ensembl.org/Homo_sapiens/Gene/Summary?g=ENSG00000175792","ENSG00000175792")</f>
        <v>ENSG00000175792</v>
      </c>
      <c r="D115" s="14" t="s">
        <v>2362</v>
      </c>
      <c r="E115" s="14" t="str">
        <f>HYPERLINK("http://www.ncbi.nlm.nih.gov/sites/entrez?db=gene&amp;cmd=Retrieve&amp;dopt=full_report&amp;list_uids=8607","8607")</f>
        <v>8607</v>
      </c>
      <c r="F115" s="14" t="s">
        <v>2363</v>
      </c>
      <c r="G115" s="19" t="s">
        <v>2364</v>
      </c>
      <c r="H115" s="19" t="s">
        <v>2346</v>
      </c>
      <c r="I115" s="14" t="s">
        <v>2347</v>
      </c>
      <c r="J115" s="15" t="s">
        <v>2348</v>
      </c>
      <c r="K115" s="16">
        <v>180.316069</v>
      </c>
      <c r="L115" s="17">
        <v>301.85189800000001</v>
      </c>
      <c r="M115" s="18">
        <f t="shared" si="1"/>
        <v>1.6740155199368283</v>
      </c>
    </row>
    <row r="116" spans="1:13">
      <c r="A116" s="13" t="s">
        <v>2342</v>
      </c>
      <c r="B116" s="14" t="s">
        <v>2342</v>
      </c>
      <c r="C116" s="14" t="str">
        <f>HYPERLINK("http://uswest.ensembl.org/Homo_sapiens/Gene/Summary?g=ENSG00000165272","ENSG00000165272")</f>
        <v>ENSG00000165272</v>
      </c>
      <c r="D116" s="14" t="s">
        <v>2343</v>
      </c>
      <c r="E116" s="14" t="str">
        <f>HYPERLINK("http://www.ncbi.nlm.nih.gov/sites/entrez?db=gene&amp;cmd=Retrieve&amp;dopt=full_report&amp;list_uids=","-")</f>
        <v>-</v>
      </c>
      <c r="F116" s="14" t="s">
        <v>2344</v>
      </c>
      <c r="G116" s="14" t="s">
        <v>2378</v>
      </c>
      <c r="H116" s="14" t="s">
        <v>8734</v>
      </c>
      <c r="I116" s="14" t="s">
        <v>8470</v>
      </c>
      <c r="J116" s="15" t="s">
        <v>8691</v>
      </c>
      <c r="K116" s="16">
        <v>44.887788999999998</v>
      </c>
      <c r="L116" s="17">
        <v>74.962778999999998</v>
      </c>
      <c r="M116" s="18">
        <f t="shared" si="1"/>
        <v>1.6700038177420591</v>
      </c>
    </row>
    <row r="117" spans="1:13">
      <c r="A117" s="13" t="s">
        <v>2379</v>
      </c>
      <c r="B117" s="14" t="s">
        <v>2379</v>
      </c>
      <c r="C117" s="14" t="str">
        <f>HYPERLINK("http://uswest.ensembl.org/Homo_sapiens/Gene/Summary?g=","-")</f>
        <v>-</v>
      </c>
      <c r="D117" s="14" t="s">
        <v>2380</v>
      </c>
      <c r="E117" s="14" t="str">
        <f>HYPERLINK("http://www.ncbi.nlm.nih.gov/sites/entrez?db=gene&amp;cmd=Retrieve&amp;dopt=full_report&amp;list_uids=949","949")</f>
        <v>949</v>
      </c>
      <c r="F117" s="14" t="s">
        <v>2381</v>
      </c>
      <c r="G117" s="14" t="s">
        <v>2382</v>
      </c>
      <c r="H117" s="14" t="s">
        <v>2345</v>
      </c>
      <c r="I117" s="14" t="s">
        <v>2358</v>
      </c>
      <c r="J117" s="15" t="s">
        <v>2324</v>
      </c>
      <c r="K117" s="16">
        <v>128.12365500000001</v>
      </c>
      <c r="L117" s="17">
        <v>213.68289100000001</v>
      </c>
      <c r="M117" s="18">
        <f t="shared" si="1"/>
        <v>1.667786413055419</v>
      </c>
    </row>
    <row r="118" spans="1:13">
      <c r="A118" s="13" t="s">
        <v>2325</v>
      </c>
      <c r="B118" s="14" t="s">
        <v>2325</v>
      </c>
      <c r="C118" s="14" t="str">
        <f>HYPERLINK("http://uswest.ensembl.org/Homo_sapiens/Gene/Summary?g=ENSG00000113649","ENSG00000113649")</f>
        <v>ENSG00000113649</v>
      </c>
      <c r="D118" s="14" t="s">
        <v>2326</v>
      </c>
      <c r="E118" s="14" t="str">
        <f>HYPERLINK("http://www.ncbi.nlm.nih.gov/sites/entrez?db=gene&amp;cmd=Retrieve&amp;dopt=full_report&amp;list_uids=10915","10915")</f>
        <v>10915</v>
      </c>
      <c r="F118" s="14" t="s">
        <v>2327</v>
      </c>
      <c r="G118" s="14" t="s">
        <v>2328</v>
      </c>
      <c r="H118" s="14" t="s">
        <v>2329</v>
      </c>
      <c r="I118" s="14" t="s">
        <v>2330</v>
      </c>
      <c r="J118" s="15" t="s">
        <v>8360</v>
      </c>
      <c r="K118" s="16">
        <v>109.48106199999999</v>
      </c>
      <c r="L118" s="17">
        <v>182.50938300000001</v>
      </c>
      <c r="M118" s="18">
        <f t="shared" si="1"/>
        <v>1.6670406704677383</v>
      </c>
    </row>
    <row r="119" spans="1:13">
      <c r="A119" s="13" t="s">
        <v>2331</v>
      </c>
      <c r="B119" s="14" t="s">
        <v>2331</v>
      </c>
      <c r="C119" s="14" t="str">
        <f>HYPERLINK("http://uswest.ensembl.org/Homo_sapiens/Gene/Summary?g=ENSG00000174695","ENSG00000174695")</f>
        <v>ENSG00000174695</v>
      </c>
      <c r="D119" s="14" t="s">
        <v>2332</v>
      </c>
      <c r="E119" s="14" t="str">
        <f>HYPERLINK("http://www.ncbi.nlm.nih.gov/sites/entrez?db=gene&amp;cmd=Retrieve&amp;dopt=full_report&amp;list_uids=100129118","100129118")</f>
        <v>100129118</v>
      </c>
      <c r="F119" s="14" t="s">
        <v>2333</v>
      </c>
      <c r="G119" s="14" t="s">
        <v>2334</v>
      </c>
      <c r="H119" s="14" t="s">
        <v>8728</v>
      </c>
      <c r="I119" s="14" t="s">
        <v>8728</v>
      </c>
      <c r="J119" s="15" t="s">
        <v>8698</v>
      </c>
      <c r="K119" s="16">
        <v>500.77998600000001</v>
      </c>
      <c r="L119" s="17">
        <v>834.47130200000004</v>
      </c>
      <c r="M119" s="18">
        <f t="shared" si="1"/>
        <v>1.6663431553352854</v>
      </c>
    </row>
    <row r="120" spans="1:13">
      <c r="A120" s="13" t="s">
        <v>2335</v>
      </c>
      <c r="B120" s="14" t="s">
        <v>2335</v>
      </c>
      <c r="C120" s="14" t="str">
        <f>HYPERLINK("http://uswest.ensembl.org/Homo_sapiens/Gene/Summary?g=","-")</f>
        <v>-</v>
      </c>
      <c r="D120" s="14" t="s">
        <v>2336</v>
      </c>
      <c r="E120" s="14" t="str">
        <f>HYPERLINK("http://www.ncbi.nlm.nih.gov/sites/entrez?db=gene&amp;cmd=Retrieve&amp;dopt=full_report&amp;list_uids=8560","8560")</f>
        <v>8560</v>
      </c>
      <c r="F120" s="14" t="s">
        <v>2337</v>
      </c>
      <c r="G120" s="14" t="s">
        <v>2338</v>
      </c>
      <c r="H120" s="14" t="s">
        <v>2339</v>
      </c>
      <c r="I120" s="14" t="s">
        <v>2340</v>
      </c>
      <c r="J120" s="15" t="s">
        <v>2341</v>
      </c>
      <c r="K120" s="16">
        <v>420.001621</v>
      </c>
      <c r="L120" s="17">
        <v>699.53076499999997</v>
      </c>
      <c r="M120" s="18">
        <f t="shared" si="1"/>
        <v>1.6655430122732788</v>
      </c>
    </row>
    <row r="121" spans="1:13">
      <c r="A121" s="13" t="s">
        <v>2307</v>
      </c>
      <c r="B121" s="14" t="s">
        <v>2307</v>
      </c>
      <c r="C121" s="14" t="str">
        <f>HYPERLINK("http://uswest.ensembl.org/Homo_sapiens/Gene/Summary?g=","-")</f>
        <v>-</v>
      </c>
      <c r="D121" s="14" t="s">
        <v>2308</v>
      </c>
      <c r="E121" s="14" t="str">
        <f>HYPERLINK("http://www.ncbi.nlm.nih.gov/sites/entrez?db=gene&amp;cmd=Retrieve&amp;dopt=full_report&amp;list_uids=25917","25917")</f>
        <v>25917</v>
      </c>
      <c r="F121" s="14" t="s">
        <v>2309</v>
      </c>
      <c r="G121" s="14" t="s">
        <v>2310</v>
      </c>
      <c r="H121" s="14" t="s">
        <v>2311</v>
      </c>
      <c r="I121" s="14" t="s">
        <v>2312</v>
      </c>
      <c r="J121" s="15" t="s">
        <v>8728</v>
      </c>
      <c r="K121" s="16">
        <v>92.541611000000003</v>
      </c>
      <c r="L121" s="17">
        <v>154.00927999999999</v>
      </c>
      <c r="M121" s="18">
        <f t="shared" si="1"/>
        <v>1.6642165436259801</v>
      </c>
    </row>
    <row r="122" spans="1:13">
      <c r="A122" s="13" t="s">
        <v>2313</v>
      </c>
      <c r="B122" s="14" t="s">
        <v>2313</v>
      </c>
      <c r="C122" s="14" t="str">
        <f>HYPERLINK("http://uswest.ensembl.org/Homo_sapiens/Gene/Summary?g=ENSG00000110921","ENSG00000110921")</f>
        <v>ENSG00000110921</v>
      </c>
      <c r="D122" s="14" t="s">
        <v>2314</v>
      </c>
      <c r="E122" s="14" t="str">
        <f>HYPERLINK("http://www.ncbi.nlm.nih.gov/sites/entrez?db=gene&amp;cmd=Retrieve&amp;dopt=full_report&amp;list_uids=4598","4598")</f>
        <v>4598</v>
      </c>
      <c r="F122" s="14" t="s">
        <v>2315</v>
      </c>
      <c r="G122" s="14" t="s">
        <v>2316</v>
      </c>
      <c r="H122" s="14" t="s">
        <v>2317</v>
      </c>
      <c r="I122" s="14" t="s">
        <v>2318</v>
      </c>
      <c r="J122" s="15" t="s">
        <v>2319</v>
      </c>
      <c r="K122" s="16">
        <v>132.64595199999999</v>
      </c>
      <c r="L122" s="17">
        <v>220.583696</v>
      </c>
      <c r="M122" s="18">
        <f t="shared" si="1"/>
        <v>1.6629508301919385</v>
      </c>
    </row>
    <row r="123" spans="1:13">
      <c r="A123" s="13" t="s">
        <v>2320</v>
      </c>
      <c r="B123" s="14" t="s">
        <v>2320</v>
      </c>
      <c r="C123" s="14" t="str">
        <f>HYPERLINK("http://uswest.ensembl.org/Homo_sapiens/Gene/Summary?g=ENSG00000122884","ENSG00000122884")</f>
        <v>ENSG00000122884</v>
      </c>
      <c r="D123" s="14" t="s">
        <v>2321</v>
      </c>
      <c r="E123" s="14" t="str">
        <f>HYPERLINK("http://www.ncbi.nlm.nih.gov/sites/entrez?db=gene&amp;cmd=Retrieve&amp;dopt=full_report&amp;list_uids=5033","5033")</f>
        <v>5033</v>
      </c>
      <c r="F123" s="14" t="s">
        <v>2322</v>
      </c>
      <c r="G123" s="14" t="s">
        <v>2323</v>
      </c>
      <c r="H123" s="14" t="s">
        <v>2357</v>
      </c>
      <c r="I123" s="19" t="s">
        <v>2298</v>
      </c>
      <c r="J123" s="15" t="s">
        <v>6896</v>
      </c>
      <c r="K123" s="16">
        <v>127.845767</v>
      </c>
      <c r="L123" s="17">
        <v>212.590945</v>
      </c>
      <c r="M123" s="18">
        <f t="shared" si="1"/>
        <v>1.6628704257372871</v>
      </c>
    </row>
    <row r="124" spans="1:13">
      <c r="A124" s="13" t="s">
        <v>2299</v>
      </c>
      <c r="B124" s="14" t="s">
        <v>2299</v>
      </c>
      <c r="C124" s="14" t="str">
        <f>HYPERLINK("http://uswest.ensembl.org/Homo_sapiens/Gene/Summary?g=","-")</f>
        <v>-</v>
      </c>
      <c r="D124" s="14" t="s">
        <v>2300</v>
      </c>
      <c r="E124" s="14" t="str">
        <f>HYPERLINK("http://www.ncbi.nlm.nih.gov/sites/entrez?db=gene&amp;cmd=Retrieve&amp;dopt=full_report&amp;list_uids=6137","6137")</f>
        <v>6137</v>
      </c>
      <c r="F124" s="14" t="s">
        <v>2301</v>
      </c>
      <c r="G124" s="14" t="s">
        <v>2302</v>
      </c>
      <c r="H124" s="14" t="s">
        <v>7772</v>
      </c>
      <c r="I124" s="14" t="s">
        <v>7691</v>
      </c>
      <c r="J124" s="15" t="s">
        <v>2303</v>
      </c>
      <c r="K124" s="16">
        <v>1122.574018</v>
      </c>
      <c r="L124" s="17">
        <v>1865.498603</v>
      </c>
      <c r="M124" s="18">
        <f t="shared" si="1"/>
        <v>1.6618045430301416</v>
      </c>
    </row>
    <row r="125" spans="1:13">
      <c r="A125" s="13" t="s">
        <v>2304</v>
      </c>
      <c r="B125" s="14" t="s">
        <v>2304</v>
      </c>
      <c r="C125" s="14" t="str">
        <f>HYPERLINK("http://uswest.ensembl.org/Homo_sapiens/Gene/Summary?g=ENSG00000166801","ENSG00000166801")</f>
        <v>ENSG00000166801</v>
      </c>
      <c r="D125" s="14" t="s">
        <v>8728</v>
      </c>
      <c r="E125" s="14" t="str">
        <f>HYPERLINK("http://www.ncbi.nlm.nih.gov/sites/entrez?db=gene&amp;cmd=Retrieve&amp;dopt=full_report&amp;list_uids=63901","63901")</f>
        <v>63901</v>
      </c>
      <c r="F125" s="14" t="s">
        <v>2305</v>
      </c>
      <c r="G125" s="14" t="s">
        <v>2306</v>
      </c>
      <c r="H125" s="14" t="s">
        <v>8728</v>
      </c>
      <c r="I125" s="14" t="s">
        <v>7575</v>
      </c>
      <c r="J125" s="15" t="s">
        <v>8728</v>
      </c>
      <c r="K125" s="16">
        <v>244.3647</v>
      </c>
      <c r="L125" s="17">
        <v>405.710601</v>
      </c>
      <c r="M125" s="18">
        <f t="shared" si="1"/>
        <v>1.6602668102225895</v>
      </c>
    </row>
    <row r="126" spans="1:13">
      <c r="A126" s="13" t="s">
        <v>2283</v>
      </c>
      <c r="B126" s="14" t="s">
        <v>2283</v>
      </c>
      <c r="C126" s="14" t="str">
        <f>HYPERLINK("http://uswest.ensembl.org/Homo_sapiens/Gene/Summary?g=ENSG00000163737","ENSG00000163737")</f>
        <v>ENSG00000163737</v>
      </c>
      <c r="D126" s="14" t="s">
        <v>2284</v>
      </c>
      <c r="E126" s="14" t="str">
        <f>HYPERLINK("http://www.ncbi.nlm.nih.gov/sites/entrez?db=gene&amp;cmd=Retrieve&amp;dopt=full_report&amp;list_uids=5196","5196")</f>
        <v>5196</v>
      </c>
      <c r="F126" s="14" t="s">
        <v>2285</v>
      </c>
      <c r="G126" s="14" t="s">
        <v>2286</v>
      </c>
      <c r="H126" s="19" t="s">
        <v>2287</v>
      </c>
      <c r="I126" s="14" t="s">
        <v>2964</v>
      </c>
      <c r="J126" s="15" t="s">
        <v>2783</v>
      </c>
      <c r="K126" s="16">
        <v>610.72931400000004</v>
      </c>
      <c r="L126" s="17">
        <v>1010.968799</v>
      </c>
      <c r="M126" s="18">
        <f t="shared" si="1"/>
        <v>1.6553467728257758</v>
      </c>
    </row>
    <row r="127" spans="1:13">
      <c r="A127" s="13" t="s">
        <v>2288</v>
      </c>
      <c r="B127" s="14" t="s">
        <v>2288</v>
      </c>
      <c r="C127" s="14" t="str">
        <f>HYPERLINK("http://uswest.ensembl.org/Homo_sapiens/Gene/Summary?g=","-")</f>
        <v>-</v>
      </c>
      <c r="D127" s="14" t="s">
        <v>2289</v>
      </c>
      <c r="E127" s="14" t="str">
        <f>HYPERLINK("http://www.ncbi.nlm.nih.gov/sites/entrez?db=gene&amp;cmd=Retrieve&amp;dopt=full_report&amp;list_uids=23065","23065")</f>
        <v>23065</v>
      </c>
      <c r="F127" s="14" t="s">
        <v>2290</v>
      </c>
      <c r="G127" s="14" t="s">
        <v>2291</v>
      </c>
      <c r="H127" s="14" t="s">
        <v>8728</v>
      </c>
      <c r="I127" s="14" t="s">
        <v>8665</v>
      </c>
      <c r="J127" s="15" t="s">
        <v>8698</v>
      </c>
      <c r="K127" s="16">
        <v>40.707399000000002</v>
      </c>
      <c r="L127" s="17">
        <v>67.342009000000004</v>
      </c>
      <c r="M127" s="18">
        <f t="shared" si="1"/>
        <v>1.6542940756298383</v>
      </c>
    </row>
    <row r="128" spans="1:13">
      <c r="A128" s="13" t="s">
        <v>2292</v>
      </c>
      <c r="B128" s="14" t="s">
        <v>2292</v>
      </c>
      <c r="C128" s="14" t="str">
        <f>HYPERLINK("http://uswest.ensembl.org/Homo_sapiens/Gene/Summary?g=","-")</f>
        <v>-</v>
      </c>
      <c r="D128" s="14" t="s">
        <v>2293</v>
      </c>
      <c r="E128" s="14" t="str">
        <f>HYPERLINK("http://www.ncbi.nlm.nih.gov/sites/entrez?db=gene&amp;cmd=Retrieve&amp;dopt=full_report&amp;list_uids=84663","84663")</f>
        <v>84663</v>
      </c>
      <c r="F128" s="14" t="s">
        <v>2294</v>
      </c>
      <c r="G128" s="14" t="s">
        <v>2295</v>
      </c>
      <c r="H128" s="14" t="s">
        <v>8728</v>
      </c>
      <c r="I128" s="14" t="s">
        <v>8728</v>
      </c>
      <c r="J128" s="15" t="s">
        <v>8728</v>
      </c>
      <c r="K128" s="16">
        <v>50.498677999999998</v>
      </c>
      <c r="L128" s="17">
        <v>83.529348999999996</v>
      </c>
      <c r="M128" s="18">
        <f t="shared" si="1"/>
        <v>1.6540898159749846</v>
      </c>
    </row>
    <row r="129" spans="1:13">
      <c r="A129" s="13" t="s">
        <v>2264</v>
      </c>
      <c r="B129" s="14" t="s">
        <v>2264</v>
      </c>
      <c r="C129" s="14" t="str">
        <f>HYPERLINK("http://uswest.ensembl.org/Homo_sapiens/Gene/Summary?g=","-")</f>
        <v>-</v>
      </c>
      <c r="D129" s="14" t="s">
        <v>2265</v>
      </c>
      <c r="E129" s="14" t="str">
        <f>HYPERLINK("http://www.ncbi.nlm.nih.gov/sites/entrez?db=gene&amp;cmd=Retrieve&amp;dopt=full_report&amp;list_uids=7837","7837")</f>
        <v>7837</v>
      </c>
      <c r="F129" s="14" t="s">
        <v>2266</v>
      </c>
      <c r="G129" s="14" t="s">
        <v>2267</v>
      </c>
      <c r="H129" s="14" t="s">
        <v>2268</v>
      </c>
      <c r="I129" s="14" t="s">
        <v>2269</v>
      </c>
      <c r="J129" s="15" t="s">
        <v>2271</v>
      </c>
      <c r="K129" s="16">
        <v>47.596809</v>
      </c>
      <c r="L129" s="17">
        <v>78.675972999999999</v>
      </c>
      <c r="M129" s="18">
        <f t="shared" si="1"/>
        <v>1.652967386952348</v>
      </c>
    </row>
    <row r="130" spans="1:13">
      <c r="A130" s="13" t="s">
        <v>2272</v>
      </c>
      <c r="B130" s="14" t="s">
        <v>2272</v>
      </c>
      <c r="C130" s="14" t="str">
        <f>HYPERLINK("http://uswest.ensembl.org/Homo_sapiens/Gene/Summary?g=ENSG00000139832","ENSG00000139832")</f>
        <v>ENSG00000139832</v>
      </c>
      <c r="D130" s="14" t="s">
        <v>2273</v>
      </c>
      <c r="E130" s="14" t="str">
        <f>HYPERLINK("http://www.ncbi.nlm.nih.gov/sites/entrez?db=gene&amp;cmd=Retrieve&amp;dopt=full_report&amp;list_uids=55647","55647")</f>
        <v>55647</v>
      </c>
      <c r="F130" s="14" t="s">
        <v>2274</v>
      </c>
      <c r="G130" s="14" t="s">
        <v>2275</v>
      </c>
      <c r="H130" s="14" t="s">
        <v>8131</v>
      </c>
      <c r="I130" s="14" t="s">
        <v>8467</v>
      </c>
      <c r="J130" s="15" t="s">
        <v>2276</v>
      </c>
      <c r="K130" s="16">
        <v>50.386825999999999</v>
      </c>
      <c r="L130" s="17">
        <v>83.280963</v>
      </c>
      <c r="M130" s="18">
        <f t="shared" ref="M130:M193" si="2">L130/K130</f>
        <v>1.6528320914677181</v>
      </c>
    </row>
    <row r="131" spans="1:13">
      <c r="A131" s="13" t="s">
        <v>2277</v>
      </c>
      <c r="B131" s="14" t="s">
        <v>2277</v>
      </c>
      <c r="C131" s="14" t="str">
        <f>HYPERLINK("http://uswest.ensembl.org/Homo_sapiens/Gene/Summary?g=ENSG00000171049","ENSG00000171049")</f>
        <v>ENSG00000171049</v>
      </c>
      <c r="D131" s="14" t="s">
        <v>2278</v>
      </c>
      <c r="E131" s="14" t="str">
        <f>HYPERLINK("http://www.ncbi.nlm.nih.gov/sites/entrez?db=gene&amp;cmd=Retrieve&amp;dopt=full_report&amp;list_uids=2358","2358")</f>
        <v>2358</v>
      </c>
      <c r="F131" s="14" t="s">
        <v>2279</v>
      </c>
      <c r="G131" s="14" t="s">
        <v>2280</v>
      </c>
      <c r="H131" s="14" t="s">
        <v>2281</v>
      </c>
      <c r="I131" s="19" t="s">
        <v>2282</v>
      </c>
      <c r="J131" s="15" t="s">
        <v>8701</v>
      </c>
      <c r="K131" s="16">
        <v>162.11738399999999</v>
      </c>
      <c r="L131" s="17">
        <v>267.69192500000003</v>
      </c>
      <c r="M131" s="18">
        <f t="shared" si="2"/>
        <v>1.6512228262948041</v>
      </c>
    </row>
    <row r="132" spans="1:13">
      <c r="A132" s="13" t="s">
        <v>2258</v>
      </c>
      <c r="B132" s="14" t="s">
        <v>2258</v>
      </c>
      <c r="C132" s="14" t="str">
        <f>HYPERLINK("http://uswest.ensembl.org/Homo_sapiens/Gene/Summary?g=","-")</f>
        <v>-</v>
      </c>
      <c r="D132" s="14" t="s">
        <v>2259</v>
      </c>
      <c r="E132" s="14" t="str">
        <f>HYPERLINK("http://www.ncbi.nlm.nih.gov/sites/entrez?db=gene&amp;cmd=Retrieve&amp;dopt=full_report&amp;list_uids=10533","10533")</f>
        <v>10533</v>
      </c>
      <c r="F132" s="14" t="s">
        <v>2260</v>
      </c>
      <c r="G132" s="14" t="s">
        <v>2261</v>
      </c>
      <c r="H132" s="14" t="s">
        <v>2262</v>
      </c>
      <c r="I132" s="14" t="s">
        <v>2263</v>
      </c>
      <c r="J132" s="15" t="s">
        <v>8619</v>
      </c>
      <c r="K132" s="16">
        <v>32.545520000000003</v>
      </c>
      <c r="L132" s="17">
        <v>53.652075000000004</v>
      </c>
      <c r="M132" s="18">
        <f t="shared" si="2"/>
        <v>1.6485241286665568</v>
      </c>
    </row>
    <row r="133" spans="1:13">
      <c r="A133" s="13" t="s">
        <v>2252</v>
      </c>
      <c r="B133" s="14" t="s">
        <v>2252</v>
      </c>
      <c r="C133" s="14" t="str">
        <f>HYPERLINK("http://uswest.ensembl.org/Homo_sapiens/Gene/Summary?g=","-")</f>
        <v>-</v>
      </c>
      <c r="D133" s="14" t="s">
        <v>2253</v>
      </c>
      <c r="E133" s="14" t="str">
        <f>HYPERLINK("http://www.ncbi.nlm.nih.gov/sites/entrez?db=gene&amp;cmd=Retrieve&amp;dopt=full_report&amp;list_uids=23646","23646")</f>
        <v>23646</v>
      </c>
      <c r="F133" s="14" t="s">
        <v>2254</v>
      </c>
      <c r="G133" s="14" t="s">
        <v>2255</v>
      </c>
      <c r="H133" s="14" t="s">
        <v>2256</v>
      </c>
      <c r="I133" s="14" t="s">
        <v>2257</v>
      </c>
      <c r="J133" s="15" t="s">
        <v>8092</v>
      </c>
      <c r="K133" s="16">
        <v>758.58839799999998</v>
      </c>
      <c r="L133" s="17">
        <v>1247.0505000000001</v>
      </c>
      <c r="M133" s="18">
        <f t="shared" si="2"/>
        <v>1.6439092705448946</v>
      </c>
    </row>
    <row r="134" spans="1:13">
      <c r="A134" s="13" t="s">
        <v>2249</v>
      </c>
      <c r="B134" s="14" t="s">
        <v>2249</v>
      </c>
      <c r="C134" s="14" t="str">
        <f>HYPERLINK("http://uswest.ensembl.org/Homo_sapiens/Gene/Summary?g=ENSG00000142512","ENSG00000142512")</f>
        <v>ENSG00000142512</v>
      </c>
      <c r="D134" s="14" t="s">
        <v>2250</v>
      </c>
      <c r="E134" s="14" t="str">
        <f>HYPERLINK("http://www.ncbi.nlm.nih.gov/sites/entrez?db=gene&amp;cmd=Retrieve&amp;dopt=full_report&amp;list_uids=","-")</f>
        <v>-</v>
      </c>
      <c r="F134" s="14" t="s">
        <v>2251</v>
      </c>
      <c r="G134" s="14" t="s">
        <v>2296</v>
      </c>
      <c r="H134" s="14" t="s">
        <v>8628</v>
      </c>
      <c r="I134" s="14" t="s">
        <v>8728</v>
      </c>
      <c r="J134" s="15" t="s">
        <v>8691</v>
      </c>
      <c r="K134" s="16">
        <v>82.493145999999996</v>
      </c>
      <c r="L134" s="17">
        <v>135.207742</v>
      </c>
      <c r="M134" s="18">
        <f t="shared" si="2"/>
        <v>1.6390178888316371</v>
      </c>
    </row>
    <row r="135" spans="1:13">
      <c r="A135" s="13" t="s">
        <v>2297</v>
      </c>
      <c r="B135" s="14" t="s">
        <v>2297</v>
      </c>
      <c r="C135" s="14" t="str">
        <f>HYPERLINK("http://uswest.ensembl.org/Homo_sapiens/Gene/Summary?g=ENSG00000116133","ENSG00000116133")</f>
        <v>ENSG00000116133</v>
      </c>
      <c r="D135" s="14" t="s">
        <v>2243</v>
      </c>
      <c r="E135" s="14" t="str">
        <f>HYPERLINK("http://www.ncbi.nlm.nih.gov/sites/entrez?db=gene&amp;cmd=Retrieve&amp;dopt=full_report&amp;list_uids=1718","1718")</f>
        <v>1718</v>
      </c>
      <c r="F135" s="14" t="s">
        <v>2244</v>
      </c>
      <c r="G135" s="14" t="s">
        <v>2245</v>
      </c>
      <c r="H135" s="19" t="s">
        <v>2246</v>
      </c>
      <c r="I135" s="14" t="s">
        <v>2247</v>
      </c>
      <c r="J135" s="15" t="s">
        <v>2248</v>
      </c>
      <c r="K135" s="16">
        <v>429.80875700000001</v>
      </c>
      <c r="L135" s="17">
        <v>704.18844000000001</v>
      </c>
      <c r="M135" s="18">
        <f t="shared" si="2"/>
        <v>1.6383762046058079</v>
      </c>
    </row>
    <row r="136" spans="1:13">
      <c r="A136" s="13" t="s">
        <v>2240</v>
      </c>
      <c r="B136" s="14" t="s">
        <v>2240</v>
      </c>
      <c r="C136" s="14" t="str">
        <f>HYPERLINK("http://uswest.ensembl.org/Homo_sapiens/Gene/Summary?g=ENSG00000142528","ENSG00000142528")</f>
        <v>ENSG00000142528</v>
      </c>
      <c r="D136" s="14" t="s">
        <v>2241</v>
      </c>
      <c r="E136" s="14" t="str">
        <f>HYPERLINK("http://www.ncbi.nlm.nih.gov/sites/entrez?db=gene&amp;cmd=Retrieve&amp;dopt=full_report&amp;list_uids=25888","25888")</f>
        <v>25888</v>
      </c>
      <c r="F136" s="14" t="s">
        <v>2242</v>
      </c>
      <c r="G136" s="14" t="s">
        <v>2231</v>
      </c>
      <c r="H136" s="14" t="s">
        <v>8163</v>
      </c>
      <c r="I136" s="14" t="s">
        <v>8582</v>
      </c>
      <c r="J136" s="15" t="s">
        <v>8622</v>
      </c>
      <c r="K136" s="16">
        <v>28.558727000000001</v>
      </c>
      <c r="L136" s="17">
        <v>46.607627000000001</v>
      </c>
      <c r="M136" s="18">
        <f t="shared" si="2"/>
        <v>1.631992455406013</v>
      </c>
    </row>
    <row r="137" spans="1:13">
      <c r="A137" s="13" t="s">
        <v>2232</v>
      </c>
      <c r="B137" s="14" t="s">
        <v>2232</v>
      </c>
      <c r="C137" s="14" t="str">
        <f>HYPERLINK("http://uswest.ensembl.org/Homo_sapiens/Gene/Summary?g=ENSG00000189091","ENSG00000189091")</f>
        <v>ENSG00000189091</v>
      </c>
      <c r="D137" s="14" t="s">
        <v>2233</v>
      </c>
      <c r="E137" s="14" t="str">
        <f>HYPERLINK("http://www.ncbi.nlm.nih.gov/sites/entrez?db=gene&amp;cmd=Retrieve&amp;dopt=full_report&amp;list_uids=23450","23450")</f>
        <v>23450</v>
      </c>
      <c r="F137" s="14" t="s">
        <v>2270</v>
      </c>
      <c r="G137" s="14" t="s">
        <v>2234</v>
      </c>
      <c r="H137" s="14" t="s">
        <v>2235</v>
      </c>
      <c r="I137" s="14" t="s">
        <v>2236</v>
      </c>
      <c r="J137" s="15" t="s">
        <v>2237</v>
      </c>
      <c r="K137" s="16">
        <v>302.27740999999997</v>
      </c>
      <c r="L137" s="17">
        <v>493.02518800000001</v>
      </c>
      <c r="M137" s="18">
        <f t="shared" si="2"/>
        <v>1.6310355047702707</v>
      </c>
    </row>
    <row r="138" spans="1:13">
      <c r="A138" s="13" t="s">
        <v>2238</v>
      </c>
      <c r="B138" s="14" t="s">
        <v>2238</v>
      </c>
      <c r="C138" s="14" t="str">
        <f>HYPERLINK("http://uswest.ensembl.org/Homo_sapiens/Gene/Summary?g=ENSG00000035403","ENSG00000035403")</f>
        <v>ENSG00000035403</v>
      </c>
      <c r="D138" s="14" t="s">
        <v>2209</v>
      </c>
      <c r="E138" s="14" t="str">
        <f>HYPERLINK("http://www.ncbi.nlm.nih.gov/sites/entrez?db=gene&amp;cmd=Retrieve&amp;dopt=full_report&amp;list_uids=7414","7414")</f>
        <v>7414</v>
      </c>
      <c r="F138" s="14" t="s">
        <v>2210</v>
      </c>
      <c r="G138" s="14" t="s">
        <v>2211</v>
      </c>
      <c r="H138" s="14" t="s">
        <v>8628</v>
      </c>
      <c r="I138" s="14" t="s">
        <v>8679</v>
      </c>
      <c r="J138" s="15" t="s">
        <v>8493</v>
      </c>
      <c r="K138" s="16">
        <v>320.755089</v>
      </c>
      <c r="L138" s="17">
        <v>522.40729199999998</v>
      </c>
      <c r="M138" s="18">
        <f t="shared" si="2"/>
        <v>1.6286796684307634</v>
      </c>
    </row>
    <row r="139" spans="1:13">
      <c r="A139" s="13" t="s">
        <v>2212</v>
      </c>
      <c r="B139" s="14" t="s">
        <v>2212</v>
      </c>
      <c r="C139" s="14" t="str">
        <f>HYPERLINK("http://uswest.ensembl.org/Homo_sapiens/Gene/Summary?g=ENSG00000115694","ENSG00000115694")</f>
        <v>ENSG00000115694</v>
      </c>
      <c r="D139" s="14" t="s">
        <v>2213</v>
      </c>
      <c r="E139" s="14" t="str">
        <f>HYPERLINK("http://www.ncbi.nlm.nih.gov/sites/entrez?db=gene&amp;cmd=Retrieve&amp;dopt=full_report&amp;list_uids=10494","10494")</f>
        <v>10494</v>
      </c>
      <c r="F139" s="14" t="s">
        <v>2214</v>
      </c>
      <c r="G139" s="14" t="s">
        <v>2218</v>
      </c>
      <c r="H139" s="14" t="s">
        <v>2239</v>
      </c>
      <c r="I139" s="19" t="s">
        <v>2219</v>
      </c>
      <c r="J139" s="15" t="s">
        <v>4014</v>
      </c>
      <c r="K139" s="16">
        <v>95.596952000000002</v>
      </c>
      <c r="L139" s="17">
        <v>155.662767</v>
      </c>
      <c r="M139" s="18">
        <f t="shared" si="2"/>
        <v>1.6283235369261564</v>
      </c>
    </row>
    <row r="140" spans="1:13">
      <c r="A140" s="13" t="s">
        <v>2220</v>
      </c>
      <c r="B140" s="14" t="s">
        <v>2220</v>
      </c>
      <c r="C140" s="14" t="str">
        <f>HYPERLINK("http://uswest.ensembl.org/Homo_sapiens/Gene/Summary?g=ENSG00000060762","ENSG00000060762")</f>
        <v>ENSG00000060762</v>
      </c>
      <c r="D140" s="14" t="s">
        <v>2221</v>
      </c>
      <c r="E140" s="14" t="str">
        <f>HYPERLINK("http://www.ncbi.nlm.nih.gov/sites/entrez?db=gene&amp;cmd=Retrieve&amp;dopt=full_report&amp;list_uids=51660","51660")</f>
        <v>51660</v>
      </c>
      <c r="F140" s="14" t="s">
        <v>2222</v>
      </c>
      <c r="G140" s="14" t="s">
        <v>2223</v>
      </c>
      <c r="H140" s="14" t="s">
        <v>8076</v>
      </c>
      <c r="I140" s="14" t="s">
        <v>8648</v>
      </c>
      <c r="J140" s="15" t="s">
        <v>2224</v>
      </c>
      <c r="K140" s="16">
        <v>597.29852400000004</v>
      </c>
      <c r="L140" s="17">
        <v>972.48026800000002</v>
      </c>
      <c r="M140" s="18">
        <f t="shared" si="2"/>
        <v>1.6281310415560311</v>
      </c>
    </row>
    <row r="141" spans="1:13">
      <c r="A141" s="13" t="s">
        <v>2225</v>
      </c>
      <c r="B141" s="14" t="s">
        <v>2225</v>
      </c>
      <c r="C141" s="14" t="str">
        <f>HYPERLINK("http://uswest.ensembl.org/Homo_sapiens/Gene/Summary?g=ENSG00000115816","ENSG00000115816")</f>
        <v>ENSG00000115816</v>
      </c>
      <c r="D141" s="14" t="s">
        <v>2226</v>
      </c>
      <c r="E141" s="14" t="str">
        <f>HYPERLINK("http://www.ncbi.nlm.nih.gov/sites/entrez?db=gene&amp;cmd=Retrieve&amp;dopt=full_report&amp;list_uids=10153","10153")</f>
        <v>10153</v>
      </c>
      <c r="F141" s="14" t="s">
        <v>2227</v>
      </c>
      <c r="G141" s="14" t="s">
        <v>2228</v>
      </c>
      <c r="H141" s="14" t="s">
        <v>6861</v>
      </c>
      <c r="I141" s="14" t="s">
        <v>4520</v>
      </c>
      <c r="J141" s="15" t="s">
        <v>8558</v>
      </c>
      <c r="K141" s="16">
        <v>344.72905200000002</v>
      </c>
      <c r="L141" s="17">
        <v>560.95505000000003</v>
      </c>
      <c r="M141" s="18">
        <f t="shared" si="2"/>
        <v>1.6272346259925896</v>
      </c>
    </row>
    <row r="142" spans="1:13">
      <c r="A142" s="13" t="s">
        <v>2198</v>
      </c>
      <c r="B142" s="14" t="s">
        <v>2198</v>
      </c>
      <c r="C142" s="14" t="str">
        <f>HYPERLINK("http://uswest.ensembl.org/Homo_sapiens/Gene/Summary?g=","-")</f>
        <v>-</v>
      </c>
      <c r="D142" s="14" t="s">
        <v>2229</v>
      </c>
      <c r="E142" s="14" t="str">
        <f>HYPERLINK("http://www.ncbi.nlm.nih.gov/sites/entrez?db=gene&amp;cmd=Retrieve&amp;dopt=full_report&amp;list_uids=1723","1723")</f>
        <v>1723</v>
      </c>
      <c r="F142" s="14" t="s">
        <v>2230</v>
      </c>
      <c r="G142" s="14" t="s">
        <v>2199</v>
      </c>
      <c r="H142" s="14" t="s">
        <v>2200</v>
      </c>
      <c r="I142" s="14" t="s">
        <v>2201</v>
      </c>
      <c r="J142" s="15" t="s">
        <v>2202</v>
      </c>
      <c r="K142" s="16">
        <v>37.115645000000001</v>
      </c>
      <c r="L142" s="17">
        <v>60.344031000000001</v>
      </c>
      <c r="M142" s="18">
        <f t="shared" si="2"/>
        <v>1.6258381337573413</v>
      </c>
    </row>
    <row r="143" spans="1:13">
      <c r="A143" s="13" t="s">
        <v>2203</v>
      </c>
      <c r="B143" s="14" t="s">
        <v>2203</v>
      </c>
      <c r="C143" s="14" t="str">
        <f>HYPERLINK("http://uswest.ensembl.org/Homo_sapiens/Gene/Summary?g=ENSG00000134809","ENSG00000134809")</f>
        <v>ENSG00000134809</v>
      </c>
      <c r="D143" s="14" t="s">
        <v>2204</v>
      </c>
      <c r="E143" s="14" t="str">
        <f>HYPERLINK("http://www.ncbi.nlm.nih.gov/sites/entrez?db=gene&amp;cmd=Retrieve&amp;dopt=full_report&amp;list_uids=26519","26519")</f>
        <v>26519</v>
      </c>
      <c r="F143" s="14" t="s">
        <v>2205</v>
      </c>
      <c r="G143" s="14" t="s">
        <v>2206</v>
      </c>
      <c r="H143" s="14" t="s">
        <v>2207</v>
      </c>
      <c r="I143" s="14" t="s">
        <v>8609</v>
      </c>
      <c r="J143" s="15" t="s">
        <v>2208</v>
      </c>
      <c r="K143" s="16">
        <v>123.305007</v>
      </c>
      <c r="L143" s="17">
        <v>200.456491</v>
      </c>
      <c r="M143" s="18">
        <f t="shared" si="2"/>
        <v>1.6256962784974336</v>
      </c>
    </row>
    <row r="144" spans="1:13">
      <c r="A144" s="13" t="s">
        <v>2215</v>
      </c>
      <c r="B144" s="14" t="s">
        <v>2215</v>
      </c>
      <c r="C144" s="14" t="str">
        <f>HYPERLINK("http://uswest.ensembl.org/Homo_sapiens/Gene/Summary?g=","-")</f>
        <v>-</v>
      </c>
      <c r="D144" s="14" t="s">
        <v>2216</v>
      </c>
      <c r="E144" s="14" t="str">
        <f>HYPERLINK("http://www.ncbi.nlm.nih.gov/sites/entrez?db=gene&amp;cmd=Retrieve&amp;dopt=full_report&amp;list_uids=9554","9554")</f>
        <v>9554</v>
      </c>
      <c r="F144" s="14" t="s">
        <v>2217</v>
      </c>
      <c r="G144" s="14" t="s">
        <v>2180</v>
      </c>
      <c r="H144" s="14" t="s">
        <v>2181</v>
      </c>
      <c r="I144" s="14" t="s">
        <v>8665</v>
      </c>
      <c r="J144" s="15" t="s">
        <v>2182</v>
      </c>
      <c r="K144" s="16">
        <v>221.52116599999999</v>
      </c>
      <c r="L144" s="17">
        <v>359.87673000000001</v>
      </c>
      <c r="M144" s="18">
        <f t="shared" si="2"/>
        <v>1.6245704033536914</v>
      </c>
    </row>
    <row r="145" spans="1:13">
      <c r="A145" s="13" t="s">
        <v>2183</v>
      </c>
      <c r="B145" s="14" t="s">
        <v>2183</v>
      </c>
      <c r="C145" s="14" t="str">
        <f>HYPERLINK("http://uswest.ensembl.org/Homo_sapiens/Gene/Summary?g=ENSG00000119777","ENSG00000119777")</f>
        <v>ENSG00000119777</v>
      </c>
      <c r="D145" s="14" t="s">
        <v>2184</v>
      </c>
      <c r="E145" s="14" t="str">
        <f>HYPERLINK("http://www.ncbi.nlm.nih.gov/sites/entrez?db=gene&amp;cmd=Retrieve&amp;dopt=full_report&amp;list_uids=54867","54867")</f>
        <v>54867</v>
      </c>
      <c r="F145" s="14" t="s">
        <v>2185</v>
      </c>
      <c r="G145" s="14" t="s">
        <v>2186</v>
      </c>
      <c r="H145" s="14" t="s">
        <v>8728</v>
      </c>
      <c r="I145" s="14" t="s">
        <v>8665</v>
      </c>
      <c r="J145" s="15" t="s">
        <v>8698</v>
      </c>
      <c r="K145" s="16">
        <v>33.601751</v>
      </c>
      <c r="L145" s="17">
        <v>54.572026999999999</v>
      </c>
      <c r="M145" s="18">
        <f t="shared" si="2"/>
        <v>1.6240828342546791</v>
      </c>
    </row>
    <row r="146" spans="1:13">
      <c r="A146" s="13" t="s">
        <v>2187</v>
      </c>
      <c r="B146" s="14" t="s">
        <v>2187</v>
      </c>
      <c r="C146" s="14" t="str">
        <f>HYPERLINK("http://uswest.ensembl.org/Homo_sapiens/Gene/Summary?g=ENSG00000155660","ENSG00000155660")</f>
        <v>ENSG00000155660</v>
      </c>
      <c r="D146" s="14" t="s">
        <v>2188</v>
      </c>
      <c r="E146" s="14" t="str">
        <f>HYPERLINK("http://www.ncbi.nlm.nih.gov/sites/entrez?db=gene&amp;cmd=Retrieve&amp;dopt=full_report&amp;list_uids=9601","9601")</f>
        <v>9601</v>
      </c>
      <c r="F146" s="14" t="s">
        <v>2189</v>
      </c>
      <c r="G146" s="14" t="s">
        <v>2190</v>
      </c>
      <c r="H146" s="14" t="s">
        <v>2191</v>
      </c>
      <c r="I146" s="14" t="s">
        <v>2192</v>
      </c>
      <c r="J146" s="15" t="s">
        <v>2193</v>
      </c>
      <c r="K146" s="16">
        <v>428.446551</v>
      </c>
      <c r="L146" s="17">
        <v>695.55329099999994</v>
      </c>
      <c r="M146" s="18">
        <f t="shared" si="2"/>
        <v>1.6234307158654195</v>
      </c>
    </row>
    <row r="147" spans="1:13">
      <c r="A147" s="13" t="s">
        <v>2194</v>
      </c>
      <c r="B147" s="14" t="s">
        <v>2194</v>
      </c>
      <c r="C147" s="14" t="str">
        <f>HYPERLINK("http://uswest.ensembl.org/Homo_sapiens/Gene/Summary?g=ENSG00000100749","ENSG00000100749")</f>
        <v>ENSG00000100749</v>
      </c>
      <c r="D147" s="14" t="s">
        <v>2195</v>
      </c>
      <c r="E147" s="14" t="str">
        <f>HYPERLINK("http://www.ncbi.nlm.nih.gov/sites/entrez?db=gene&amp;cmd=Retrieve&amp;dopt=full_report&amp;list_uids=7443","7443")</f>
        <v>7443</v>
      </c>
      <c r="F147" s="14" t="s">
        <v>2196</v>
      </c>
      <c r="G147" s="14" t="s">
        <v>2197</v>
      </c>
      <c r="H147" s="14" t="s">
        <v>8656</v>
      </c>
      <c r="I147" s="14" t="s">
        <v>5796</v>
      </c>
      <c r="J147" s="15" t="s">
        <v>8608</v>
      </c>
      <c r="K147" s="16">
        <v>622.98983899999996</v>
      </c>
      <c r="L147" s="17">
        <v>1009.87474</v>
      </c>
      <c r="M147" s="18">
        <f t="shared" si="2"/>
        <v>1.6210131799597458</v>
      </c>
    </row>
    <row r="148" spans="1:13">
      <c r="A148" s="13" t="s">
        <v>2176</v>
      </c>
      <c r="B148" s="14" t="s">
        <v>2176</v>
      </c>
      <c r="C148" s="14" t="str">
        <f>HYPERLINK("http://uswest.ensembl.org/Homo_sapiens/Gene/Summary?g=ENSG00000179218","ENSG00000179218")</f>
        <v>ENSG00000179218</v>
      </c>
      <c r="D148" s="14" t="s">
        <v>2177</v>
      </c>
      <c r="E148" s="14" t="str">
        <f>HYPERLINK("http://www.ncbi.nlm.nih.gov/sites/entrez?db=gene&amp;cmd=Retrieve&amp;dopt=full_report&amp;list_uids=811","811")</f>
        <v>811</v>
      </c>
      <c r="F148" s="14" t="s">
        <v>2178</v>
      </c>
      <c r="G148" s="14" t="s">
        <v>2179</v>
      </c>
      <c r="H148" s="19" t="s">
        <v>2169</v>
      </c>
      <c r="I148" s="19" t="s">
        <v>2170</v>
      </c>
      <c r="J148" s="20" t="s">
        <v>2171</v>
      </c>
      <c r="K148" s="16">
        <v>120.471951</v>
      </c>
      <c r="L148" s="17">
        <v>194.94830899999999</v>
      </c>
      <c r="M148" s="18">
        <f t="shared" si="2"/>
        <v>1.6182049629129023</v>
      </c>
    </row>
    <row r="149" spans="1:13">
      <c r="A149" s="13" t="s">
        <v>2172</v>
      </c>
      <c r="B149" s="14" t="s">
        <v>2172</v>
      </c>
      <c r="C149" s="14" t="str">
        <f>HYPERLINK("http://uswest.ensembl.org/Homo_sapiens/Gene/Summary?g=","-")</f>
        <v>-</v>
      </c>
      <c r="D149" s="14" t="s">
        <v>2173</v>
      </c>
      <c r="E149" s="14" t="str">
        <f>HYPERLINK("http://www.ncbi.nlm.nih.gov/sites/entrez?db=gene&amp;cmd=Retrieve&amp;dopt=full_report&amp;list_uids=64417","64417")</f>
        <v>64417</v>
      </c>
      <c r="F149" s="14" t="s">
        <v>2174</v>
      </c>
      <c r="G149" s="14" t="s">
        <v>2175</v>
      </c>
      <c r="H149" s="14" t="s">
        <v>8728</v>
      </c>
      <c r="I149" s="14" t="s">
        <v>8728</v>
      </c>
      <c r="J149" s="15" t="s">
        <v>8698</v>
      </c>
      <c r="K149" s="16">
        <v>22.148116999999999</v>
      </c>
      <c r="L149" s="17">
        <v>35.812376999999998</v>
      </c>
      <c r="M149" s="18">
        <f t="shared" si="2"/>
        <v>1.6169490616290314</v>
      </c>
    </row>
    <row r="150" spans="1:13">
      <c r="A150" s="13" t="s">
        <v>2154</v>
      </c>
      <c r="B150" s="14" t="s">
        <v>2154</v>
      </c>
      <c r="C150" s="14" t="str">
        <f>HYPERLINK("http://uswest.ensembl.org/Homo_sapiens/Gene/Summary?g=ENSG00000198833","ENSG00000198833")</f>
        <v>ENSG00000198833</v>
      </c>
      <c r="D150" s="14" t="s">
        <v>2155</v>
      </c>
      <c r="E150" s="14" t="str">
        <f>HYPERLINK("http://www.ncbi.nlm.nih.gov/sites/entrez?db=gene&amp;cmd=Retrieve&amp;dopt=full_report&amp;list_uids=51465","51465")</f>
        <v>51465</v>
      </c>
      <c r="F150" s="14" t="s">
        <v>2156</v>
      </c>
      <c r="G150" s="14" t="s">
        <v>2157</v>
      </c>
      <c r="H150" s="14" t="s">
        <v>2799</v>
      </c>
      <c r="I150" s="14" t="s">
        <v>2158</v>
      </c>
      <c r="J150" s="15" t="s">
        <v>8579</v>
      </c>
      <c r="K150" s="16">
        <v>147.35503600000001</v>
      </c>
      <c r="L150" s="17">
        <v>238.17270400000001</v>
      </c>
      <c r="M150" s="18">
        <f t="shared" si="2"/>
        <v>1.6163187256117937</v>
      </c>
    </row>
    <row r="151" spans="1:13">
      <c r="A151" s="13" t="s">
        <v>2159</v>
      </c>
      <c r="B151" s="14" t="s">
        <v>2159</v>
      </c>
      <c r="C151" s="14" t="str">
        <f>HYPERLINK("http://uswest.ensembl.org/Homo_sapiens/Gene/Summary?g=ENSG00000135473","ENSG00000135473")</f>
        <v>ENSG00000135473</v>
      </c>
      <c r="D151" s="14" t="s">
        <v>2160</v>
      </c>
      <c r="E151" s="14" t="str">
        <f>HYPERLINK("http://www.ncbi.nlm.nih.gov/sites/entrez?db=gene&amp;cmd=Retrieve&amp;dopt=full_report&amp;list_uids=9924","9924")</f>
        <v>9924</v>
      </c>
      <c r="F151" s="14" t="s">
        <v>2161</v>
      </c>
      <c r="G151" s="14" t="s">
        <v>2162</v>
      </c>
      <c r="H151" s="14" t="s">
        <v>8600</v>
      </c>
      <c r="I151" s="14" t="s">
        <v>2163</v>
      </c>
      <c r="J151" s="15" t="s">
        <v>8707</v>
      </c>
      <c r="K151" s="16">
        <v>55.025092000000001</v>
      </c>
      <c r="L151" s="17">
        <v>88.910336000000001</v>
      </c>
      <c r="M151" s="18">
        <f t="shared" si="2"/>
        <v>1.6158143997287637</v>
      </c>
    </row>
    <row r="152" spans="1:13">
      <c r="A152" s="13" t="s">
        <v>2146</v>
      </c>
      <c r="B152" s="14" t="s">
        <v>2146</v>
      </c>
      <c r="C152" s="14" t="str">
        <f>HYPERLINK("http://uswest.ensembl.org/Homo_sapiens/Gene/Summary?g=","-")</f>
        <v>-</v>
      </c>
      <c r="D152" s="14" t="s">
        <v>2147</v>
      </c>
      <c r="E152" s="14" t="str">
        <f>HYPERLINK("http://www.ncbi.nlm.nih.gov/sites/entrez?db=gene&amp;cmd=Retrieve&amp;dopt=full_report&amp;list_uids=8673","8673")</f>
        <v>8673</v>
      </c>
      <c r="F152" s="14" t="s">
        <v>2148</v>
      </c>
      <c r="G152" s="14" t="s">
        <v>2149</v>
      </c>
      <c r="H152" s="14" t="s">
        <v>8053</v>
      </c>
      <c r="I152" s="14" t="s">
        <v>8665</v>
      </c>
      <c r="J152" s="15" t="s">
        <v>2150</v>
      </c>
      <c r="K152" s="16">
        <v>779.50641800000005</v>
      </c>
      <c r="L152" s="17">
        <v>1256.5754790000001</v>
      </c>
      <c r="M152" s="18">
        <f t="shared" si="2"/>
        <v>1.6120142823506554</v>
      </c>
    </row>
    <row r="153" spans="1:13">
      <c r="A153" s="13" t="s">
        <v>2151</v>
      </c>
      <c r="B153" s="14" t="s">
        <v>2151</v>
      </c>
      <c r="C153" s="14" t="str">
        <f>HYPERLINK("http://uswest.ensembl.org/Homo_sapiens/Gene/Summary?g=ENSG00000135541","ENSG00000135541")</f>
        <v>ENSG00000135541</v>
      </c>
      <c r="D153" s="14" t="s">
        <v>8728</v>
      </c>
      <c r="E153" s="14" t="str">
        <f>HYPERLINK("http://www.ncbi.nlm.nih.gov/sites/entrez?db=gene&amp;cmd=Retrieve&amp;dopt=full_report&amp;list_uids=54806","54806")</f>
        <v>54806</v>
      </c>
      <c r="F153" s="14" t="s">
        <v>2152</v>
      </c>
      <c r="G153" s="14" t="s">
        <v>2153</v>
      </c>
      <c r="H153" s="14" t="s">
        <v>8728</v>
      </c>
      <c r="I153" s="14" t="s">
        <v>8728</v>
      </c>
      <c r="J153" s="15" t="s">
        <v>8728</v>
      </c>
      <c r="K153" s="16">
        <v>44.413843999999997</v>
      </c>
      <c r="L153" s="17">
        <v>71.575556000000006</v>
      </c>
      <c r="M153" s="18">
        <f t="shared" si="2"/>
        <v>1.6115595848897928</v>
      </c>
    </row>
    <row r="154" spans="1:13">
      <c r="A154" s="13" t="s">
        <v>2127</v>
      </c>
      <c r="B154" s="14" t="s">
        <v>2127</v>
      </c>
      <c r="C154" s="14" t="str">
        <f>HYPERLINK("http://uswest.ensembl.org/Homo_sapiens/Gene/Summary?g=ENSG00000163661","ENSG00000163661")</f>
        <v>ENSG00000163661</v>
      </c>
      <c r="D154" s="14" t="s">
        <v>2128</v>
      </c>
      <c r="E154" s="14" t="str">
        <f>HYPERLINK("http://www.ncbi.nlm.nih.gov/sites/entrez?db=gene&amp;cmd=Retrieve&amp;dopt=full_report&amp;list_uids=5806","5806")</f>
        <v>5806</v>
      </c>
      <c r="F154" s="14" t="s">
        <v>2129</v>
      </c>
      <c r="G154" s="14" t="s">
        <v>2130</v>
      </c>
      <c r="H154" s="14" t="s">
        <v>2140</v>
      </c>
      <c r="I154" s="14" t="s">
        <v>2141</v>
      </c>
      <c r="J154" s="15" t="s">
        <v>8731</v>
      </c>
      <c r="K154" s="16">
        <v>145.958303</v>
      </c>
      <c r="L154" s="17">
        <v>234.94086300000001</v>
      </c>
      <c r="M154" s="18">
        <f t="shared" si="2"/>
        <v>1.6096437007766526</v>
      </c>
    </row>
    <row r="155" spans="1:13">
      <c r="A155" s="13" t="s">
        <v>2142</v>
      </c>
      <c r="B155" s="14" t="s">
        <v>2142</v>
      </c>
      <c r="C155" s="14" t="str">
        <f>HYPERLINK("http://uswest.ensembl.org/Homo_sapiens/Gene/Summary?g=","-")</f>
        <v>-</v>
      </c>
      <c r="D155" s="14" t="s">
        <v>2143</v>
      </c>
      <c r="E155" s="14" t="str">
        <f>HYPERLINK("http://www.ncbi.nlm.nih.gov/sites/entrez?db=gene&amp;cmd=Retrieve&amp;dopt=full_report&amp;list_uids=55009","55009")</f>
        <v>55009</v>
      </c>
      <c r="F155" s="14" t="s">
        <v>2144</v>
      </c>
      <c r="G155" s="14" t="s">
        <v>2145</v>
      </c>
      <c r="H155" s="14" t="s">
        <v>8728</v>
      </c>
      <c r="I155" s="14" t="s">
        <v>8728</v>
      </c>
      <c r="J155" s="15" t="s">
        <v>8728</v>
      </c>
      <c r="K155" s="16">
        <v>74.161882000000006</v>
      </c>
      <c r="L155" s="17">
        <v>119.35072099999999</v>
      </c>
      <c r="M155" s="18">
        <f t="shared" si="2"/>
        <v>1.6093270259781161</v>
      </c>
    </row>
    <row r="156" spans="1:13">
      <c r="A156" s="13" t="s">
        <v>2116</v>
      </c>
      <c r="B156" s="14" t="s">
        <v>2116</v>
      </c>
      <c r="C156" s="14" t="str">
        <f>HYPERLINK("http://uswest.ensembl.org/Homo_sapiens/Gene/Summary?g=ENSG00000136250","ENSG00000136250")</f>
        <v>ENSG00000136250</v>
      </c>
      <c r="D156" s="14" t="s">
        <v>2117</v>
      </c>
      <c r="E156" s="14" t="str">
        <f>HYPERLINK("http://www.ncbi.nlm.nih.gov/sites/entrez?db=gene&amp;cmd=Retrieve&amp;dopt=full_report&amp;list_uids=313","313")</f>
        <v>313</v>
      </c>
      <c r="F156" s="14" t="s">
        <v>2118</v>
      </c>
      <c r="G156" s="14" t="s">
        <v>2119</v>
      </c>
      <c r="H156" s="14" t="s">
        <v>2120</v>
      </c>
      <c r="I156" s="14" t="s">
        <v>2121</v>
      </c>
      <c r="J156" s="15" t="s">
        <v>8728</v>
      </c>
      <c r="K156" s="16">
        <v>28.720120000000001</v>
      </c>
      <c r="L156" s="17">
        <v>46.144193000000001</v>
      </c>
      <c r="M156" s="18">
        <f t="shared" si="2"/>
        <v>1.6066852436549708</v>
      </c>
    </row>
    <row r="157" spans="1:13">
      <c r="A157" s="13" t="s">
        <v>2122</v>
      </c>
      <c r="B157" s="14" t="s">
        <v>2122</v>
      </c>
      <c r="C157" s="14" t="str">
        <f>HYPERLINK("http://uswest.ensembl.org/Homo_sapiens/Gene/Summary?g=ENSG00000102531","ENSG00000102531")</f>
        <v>ENSG00000102531</v>
      </c>
      <c r="D157" s="14" t="s">
        <v>2123</v>
      </c>
      <c r="E157" s="14" t="str">
        <f>HYPERLINK("http://www.ncbi.nlm.nih.gov/sites/entrez?db=gene&amp;cmd=Retrieve&amp;dopt=full_report&amp;list_uids=22862","22862")</f>
        <v>22862</v>
      </c>
      <c r="F157" s="14" t="s">
        <v>2124</v>
      </c>
      <c r="G157" s="14" t="s">
        <v>2125</v>
      </c>
      <c r="H157" s="14" t="s">
        <v>2126</v>
      </c>
      <c r="I157" s="14" t="s">
        <v>8728</v>
      </c>
      <c r="J157" s="15" t="s">
        <v>2089</v>
      </c>
      <c r="K157" s="16">
        <v>44.099949000000002</v>
      </c>
      <c r="L157" s="17">
        <v>70.799246999999994</v>
      </c>
      <c r="M157" s="18">
        <f t="shared" si="2"/>
        <v>1.6054269586570269</v>
      </c>
    </row>
    <row r="158" spans="1:13">
      <c r="A158" s="13" t="s">
        <v>2090</v>
      </c>
      <c r="B158" s="14" t="s">
        <v>2090</v>
      </c>
      <c r="C158" s="14" t="str">
        <f>HYPERLINK("http://uswest.ensembl.org/Homo_sapiens/Gene/Summary?g=ENSG00000142197","ENSG00000142197")</f>
        <v>ENSG00000142197</v>
      </c>
      <c r="D158" s="14" t="s">
        <v>2091</v>
      </c>
      <c r="E158" s="14" t="str">
        <f>HYPERLINK("http://www.ncbi.nlm.nih.gov/sites/entrez?db=gene&amp;cmd=Retrieve&amp;dopt=full_report&amp;list_uids=9980","9980")</f>
        <v>9980</v>
      </c>
      <c r="F158" s="14" t="s">
        <v>2092</v>
      </c>
      <c r="G158" s="14" t="s">
        <v>2093</v>
      </c>
      <c r="H158" s="14" t="s">
        <v>2094</v>
      </c>
      <c r="I158" s="14" t="s">
        <v>8648</v>
      </c>
      <c r="J158" s="15" t="s">
        <v>5364</v>
      </c>
      <c r="K158" s="16">
        <v>22.177032000000001</v>
      </c>
      <c r="L158" s="17">
        <v>35.602791000000003</v>
      </c>
      <c r="M158" s="18">
        <f t="shared" si="2"/>
        <v>1.6053902524016741</v>
      </c>
    </row>
    <row r="159" spans="1:13">
      <c r="A159" s="13" t="s">
        <v>2095</v>
      </c>
      <c r="B159" s="14" t="s">
        <v>2095</v>
      </c>
      <c r="C159" s="14" t="str">
        <f>HYPERLINK("http://uswest.ensembl.org/Homo_sapiens/Gene/Summary?g=ENSG00000143179","ENSG00000143179")</f>
        <v>ENSG00000143179</v>
      </c>
      <c r="D159" s="14" t="s">
        <v>2096</v>
      </c>
      <c r="E159" s="14" t="str">
        <f>HYPERLINK("http://www.ncbi.nlm.nih.gov/sites/entrez?db=gene&amp;cmd=Retrieve&amp;dopt=full_report&amp;list_uids=7371","7371")</f>
        <v>7371</v>
      </c>
      <c r="F159" s="14" t="s">
        <v>2097</v>
      </c>
      <c r="G159" s="14" t="s">
        <v>2164</v>
      </c>
      <c r="H159" s="14" t="s">
        <v>2675</v>
      </c>
      <c r="I159" s="19" t="s">
        <v>2165</v>
      </c>
      <c r="J159" s="15" t="s">
        <v>7792</v>
      </c>
      <c r="K159" s="16">
        <v>147.26461800000001</v>
      </c>
      <c r="L159" s="17">
        <v>236.23548</v>
      </c>
      <c r="M159" s="18">
        <f t="shared" si="2"/>
        <v>1.6041564036787164</v>
      </c>
    </row>
    <row r="160" spans="1:13">
      <c r="A160" s="13" t="s">
        <v>2166</v>
      </c>
      <c r="B160" s="14" t="s">
        <v>2166</v>
      </c>
      <c r="C160" s="14" t="str">
        <f>HYPERLINK("http://uswest.ensembl.org/Homo_sapiens/Gene/Summary?g=ENSG00000156150","ENSG00000156150")</f>
        <v>ENSG00000156150</v>
      </c>
      <c r="D160" s="14" t="s">
        <v>2167</v>
      </c>
      <c r="E160" s="14" t="str">
        <f>HYPERLINK("http://www.ncbi.nlm.nih.gov/sites/entrez?db=gene&amp;cmd=Retrieve&amp;dopt=full_report&amp;list_uids=257","257")</f>
        <v>257</v>
      </c>
      <c r="F160" s="14" t="s">
        <v>2168</v>
      </c>
      <c r="G160" s="14" t="s">
        <v>2112</v>
      </c>
      <c r="H160" s="19" t="s">
        <v>2113</v>
      </c>
      <c r="I160" s="14" t="s">
        <v>8557</v>
      </c>
      <c r="J160" s="15" t="s">
        <v>8558</v>
      </c>
      <c r="K160" s="16">
        <v>177.97347199999999</v>
      </c>
      <c r="L160" s="17">
        <v>285.24409400000002</v>
      </c>
      <c r="M160" s="18">
        <f t="shared" si="2"/>
        <v>1.6027337714690426</v>
      </c>
    </row>
    <row r="161" spans="1:13">
      <c r="A161" s="13" t="s">
        <v>2114</v>
      </c>
      <c r="B161" s="14" t="s">
        <v>2114</v>
      </c>
      <c r="C161" s="14" t="str">
        <f>HYPERLINK("http://uswest.ensembl.org/Homo_sapiens/Gene/Summary?g=ENSG00000143546","ENSG00000143546")</f>
        <v>ENSG00000143546</v>
      </c>
      <c r="D161" s="14" t="s">
        <v>8728</v>
      </c>
      <c r="E161" s="14" t="str">
        <f>HYPERLINK("http://www.ncbi.nlm.nih.gov/sites/entrez?db=gene&amp;cmd=Retrieve&amp;dopt=full_report&amp;list_uids=6279","6279")</f>
        <v>6279</v>
      </c>
      <c r="F161" s="14" t="s">
        <v>2115</v>
      </c>
      <c r="G161" s="19" t="s">
        <v>2077</v>
      </c>
      <c r="H161" s="14" t="s">
        <v>2078</v>
      </c>
      <c r="I161" s="14" t="s">
        <v>8626</v>
      </c>
      <c r="J161" s="15" t="s">
        <v>8728</v>
      </c>
      <c r="K161" s="16">
        <v>124.311626</v>
      </c>
      <c r="L161" s="17">
        <v>199.20584099999999</v>
      </c>
      <c r="M161" s="18">
        <f t="shared" si="2"/>
        <v>1.6024715258732114</v>
      </c>
    </row>
    <row r="162" spans="1:13">
      <c r="A162" s="13" t="s">
        <v>2079</v>
      </c>
      <c r="B162" s="14" t="s">
        <v>2079</v>
      </c>
      <c r="C162" s="14" t="str">
        <f>HYPERLINK("http://uswest.ensembl.org/Homo_sapiens/Gene/Summary?g=ENSG00000160221","ENSG00000160221")</f>
        <v>ENSG00000160221</v>
      </c>
      <c r="D162" s="14" t="s">
        <v>2080</v>
      </c>
      <c r="E162" s="14" t="str">
        <f>HYPERLINK("http://www.ncbi.nlm.nih.gov/sites/entrez?db=gene&amp;cmd=Retrieve&amp;dopt=full_report&amp;list_uids=","-")</f>
        <v>-</v>
      </c>
      <c r="F162" s="14" t="s">
        <v>2081</v>
      </c>
      <c r="G162" s="14" t="s">
        <v>2082</v>
      </c>
      <c r="H162" s="14" t="s">
        <v>8728</v>
      </c>
      <c r="I162" s="14" t="s">
        <v>8728</v>
      </c>
      <c r="J162" s="15" t="s">
        <v>8728</v>
      </c>
      <c r="K162" s="16">
        <v>97.515968999999998</v>
      </c>
      <c r="L162" s="17">
        <v>156.17736300000001</v>
      </c>
      <c r="M162" s="18">
        <f t="shared" si="2"/>
        <v>1.6015567973282407</v>
      </c>
    </row>
    <row r="163" spans="1:13">
      <c r="A163" s="13" t="s">
        <v>2083</v>
      </c>
      <c r="B163" s="14" t="s">
        <v>2083</v>
      </c>
      <c r="C163" s="14" t="str">
        <f>HYPERLINK("http://uswest.ensembl.org/Homo_sapiens/Gene/Summary?g=ENSG00000196756","ENSG00000196756")</f>
        <v>ENSG00000196756</v>
      </c>
      <c r="D163" s="14" t="s">
        <v>8728</v>
      </c>
      <c r="E163" s="14" t="str">
        <f>HYPERLINK("http://www.ncbi.nlm.nih.gov/sites/entrez?db=gene&amp;cmd=Retrieve&amp;dopt=full_report&amp;list_uids=","-")</f>
        <v>-</v>
      </c>
      <c r="F163" s="14" t="s">
        <v>2084</v>
      </c>
      <c r="G163" s="14" t="s">
        <v>2085</v>
      </c>
      <c r="H163" s="14" t="s">
        <v>8728</v>
      </c>
      <c r="I163" s="14" t="s">
        <v>8728</v>
      </c>
      <c r="J163" s="15" t="s">
        <v>8728</v>
      </c>
      <c r="K163" s="16">
        <v>127.453193</v>
      </c>
      <c r="L163" s="17">
        <v>204.045468</v>
      </c>
      <c r="M163" s="18">
        <f t="shared" si="2"/>
        <v>1.6009443404058148</v>
      </c>
    </row>
    <row r="164" spans="1:13">
      <c r="A164" s="13" t="s">
        <v>2086</v>
      </c>
      <c r="B164" s="14" t="s">
        <v>2086</v>
      </c>
      <c r="C164" s="14" t="str">
        <f>HYPERLINK("http://uswest.ensembl.org/Homo_sapiens/Gene/Summary?g=","-")</f>
        <v>-</v>
      </c>
      <c r="D164" s="14" t="s">
        <v>8728</v>
      </c>
      <c r="E164" s="14" t="str">
        <f>HYPERLINK("http://www.ncbi.nlm.nih.gov/sites/entrez?db=gene&amp;cmd=Retrieve&amp;dopt=full_report&amp;list_uids=100292934","100292934")</f>
        <v>100292934</v>
      </c>
      <c r="F164" s="14" t="s">
        <v>8728</v>
      </c>
      <c r="G164" s="14" t="s">
        <v>8728</v>
      </c>
      <c r="H164" s="14" t="s">
        <v>8728</v>
      </c>
      <c r="I164" s="14" t="s">
        <v>8728</v>
      </c>
      <c r="J164" s="15" t="s">
        <v>8728</v>
      </c>
      <c r="K164" s="16">
        <v>25.970526</v>
      </c>
      <c r="L164" s="17">
        <v>41.575715000000002</v>
      </c>
      <c r="M164" s="18">
        <f t="shared" si="2"/>
        <v>1.6008807445794515</v>
      </c>
    </row>
    <row r="165" spans="1:13">
      <c r="A165" s="13" t="s">
        <v>2087</v>
      </c>
      <c r="B165" s="14" t="s">
        <v>2087</v>
      </c>
      <c r="C165" s="14" t="str">
        <f>HYPERLINK("http://uswest.ensembl.org/Homo_sapiens/Gene/Summary?g=ENSG00000169697","ENSG00000169697")</f>
        <v>ENSG00000169697</v>
      </c>
      <c r="D165" s="14" t="s">
        <v>8728</v>
      </c>
      <c r="E165" s="14" t="str">
        <f>HYPERLINK("http://www.ncbi.nlm.nih.gov/sites/entrez?db=gene&amp;cmd=Retrieve&amp;dopt=full_report&amp;list_uids=","-")</f>
        <v>-</v>
      </c>
      <c r="F165" s="14" t="s">
        <v>2088</v>
      </c>
      <c r="G165" s="14" t="s">
        <v>8728</v>
      </c>
      <c r="H165" s="14" t="s">
        <v>8728</v>
      </c>
      <c r="I165" s="14" t="s">
        <v>8728</v>
      </c>
      <c r="J165" s="15" t="s">
        <v>8728</v>
      </c>
      <c r="K165" s="16">
        <v>1338.287274</v>
      </c>
      <c r="L165" s="17">
        <v>2142.2999500000001</v>
      </c>
      <c r="M165" s="18">
        <f t="shared" si="2"/>
        <v>1.6007773455073593</v>
      </c>
    </row>
    <row r="166" spans="1:13">
      <c r="A166" s="13" t="s">
        <v>2065</v>
      </c>
      <c r="B166" s="14" t="s">
        <v>2065</v>
      </c>
      <c r="C166" s="14" t="str">
        <f>HYPERLINK("http://uswest.ensembl.org/Homo_sapiens/Gene/Summary?g=","-")</f>
        <v>-</v>
      </c>
      <c r="D166" s="14" t="s">
        <v>2066</v>
      </c>
      <c r="E166" s="14" t="str">
        <f>HYPERLINK("http://www.ncbi.nlm.nih.gov/sites/entrez?db=gene&amp;cmd=Retrieve&amp;dopt=full_report&amp;list_uids=253738","253738")</f>
        <v>253738</v>
      </c>
      <c r="F166" s="14" t="s">
        <v>2067</v>
      </c>
      <c r="G166" s="14" t="s">
        <v>2068</v>
      </c>
      <c r="H166" s="14" t="s">
        <v>8490</v>
      </c>
      <c r="I166" s="14" t="s">
        <v>8491</v>
      </c>
      <c r="J166" s="15" t="s">
        <v>8558</v>
      </c>
      <c r="K166" s="16">
        <v>19.704274999999999</v>
      </c>
      <c r="L166" s="17">
        <v>31.521570000000001</v>
      </c>
      <c r="M166" s="18">
        <f t="shared" si="2"/>
        <v>1.5997325453486617</v>
      </c>
    </row>
    <row r="167" spans="1:13">
      <c r="A167" s="13" t="s">
        <v>2069</v>
      </c>
      <c r="B167" s="14" t="s">
        <v>2069</v>
      </c>
      <c r="C167" s="14" t="str">
        <f>HYPERLINK("http://uswest.ensembl.org/Homo_sapiens/Gene/Summary?g=ENSG00000139344","ENSG00000139344")</f>
        <v>ENSG00000139344</v>
      </c>
      <c r="D167" s="14" t="s">
        <v>2070</v>
      </c>
      <c r="E167" s="14" t="str">
        <f>HYPERLINK("http://www.ncbi.nlm.nih.gov/sites/entrez?db=gene&amp;cmd=Retrieve&amp;dopt=full_report&amp;list_uids=144193","144193")</f>
        <v>144193</v>
      </c>
      <c r="F167" s="14" t="s">
        <v>2071</v>
      </c>
      <c r="G167" s="14" t="s">
        <v>2072</v>
      </c>
      <c r="H167" s="14" t="s">
        <v>2073</v>
      </c>
      <c r="I167" s="14" t="s">
        <v>2131</v>
      </c>
      <c r="J167" s="15" t="s">
        <v>8702</v>
      </c>
      <c r="K167" s="16">
        <v>30.892206000000002</v>
      </c>
      <c r="L167" s="17">
        <v>49.408079999999998</v>
      </c>
      <c r="M167" s="18">
        <f t="shared" si="2"/>
        <v>1.5993704043019781</v>
      </c>
    </row>
    <row r="168" spans="1:13">
      <c r="A168" s="13" t="s">
        <v>2132</v>
      </c>
      <c r="B168" s="14" t="s">
        <v>2132</v>
      </c>
      <c r="C168" s="14" t="str">
        <f>HYPERLINK("http://uswest.ensembl.org/Homo_sapiens/Gene/Summary?g=ENSG00000119640","ENSG00000119640")</f>
        <v>ENSG00000119640</v>
      </c>
      <c r="D168" s="14" t="s">
        <v>2133</v>
      </c>
      <c r="E168" s="14" t="str">
        <f>HYPERLINK("http://www.ncbi.nlm.nih.gov/sites/entrez?db=gene&amp;cmd=Retrieve&amp;dopt=full_report&amp;list_uids=","-")</f>
        <v>-</v>
      </c>
      <c r="F168" s="14" t="s">
        <v>2134</v>
      </c>
      <c r="G168" s="14" t="s">
        <v>2135</v>
      </c>
      <c r="H168" s="14" t="s">
        <v>8728</v>
      </c>
      <c r="I168" s="14" t="s">
        <v>2136</v>
      </c>
      <c r="J168" s="15" t="s">
        <v>8728</v>
      </c>
      <c r="K168" s="16">
        <v>158.29661200000001</v>
      </c>
      <c r="L168" s="17">
        <v>253.07908</v>
      </c>
      <c r="M168" s="18">
        <f t="shared" si="2"/>
        <v>1.5987649817799006</v>
      </c>
    </row>
    <row r="169" spans="1:13">
      <c r="A169" s="13" t="s">
        <v>2137</v>
      </c>
      <c r="B169" s="14" t="s">
        <v>2137</v>
      </c>
      <c r="C169" s="14" t="str">
        <f>HYPERLINK("http://uswest.ensembl.org/Homo_sapiens/Gene/Summary?g=ENSG00000077984","ENSG00000077984")</f>
        <v>ENSG00000077984</v>
      </c>
      <c r="D169" s="14" t="s">
        <v>2138</v>
      </c>
      <c r="E169" s="14" t="str">
        <f>HYPERLINK("http://www.ncbi.nlm.nih.gov/sites/entrez?db=gene&amp;cmd=Retrieve&amp;dopt=full_report&amp;list_uids=8530","8530")</f>
        <v>8530</v>
      </c>
      <c r="F169" s="14" t="s">
        <v>2139</v>
      </c>
      <c r="G169" s="14" t="s">
        <v>2076</v>
      </c>
      <c r="H169" s="14" t="s">
        <v>8730</v>
      </c>
      <c r="I169" s="14" t="s">
        <v>2106</v>
      </c>
      <c r="J169" s="15" t="s">
        <v>8729</v>
      </c>
      <c r="K169" s="16">
        <v>1845.6164000000001</v>
      </c>
      <c r="L169" s="17">
        <v>2948.8396899999998</v>
      </c>
      <c r="M169" s="18">
        <f t="shared" si="2"/>
        <v>1.5977532980309448</v>
      </c>
    </row>
    <row r="170" spans="1:13">
      <c r="A170" s="13" t="s">
        <v>2107</v>
      </c>
      <c r="B170" s="14" t="s">
        <v>2107</v>
      </c>
      <c r="C170" s="14" t="str">
        <f>HYPERLINK("http://uswest.ensembl.org/Homo_sapiens/Gene/Summary?g=ENSG00000134684","ENSG00000134684")</f>
        <v>ENSG00000134684</v>
      </c>
      <c r="D170" s="14" t="s">
        <v>2108</v>
      </c>
      <c r="E170" s="14" t="str">
        <f>HYPERLINK("http://www.ncbi.nlm.nih.gov/sites/entrez?db=gene&amp;cmd=Retrieve&amp;dopt=full_report&amp;list_uids=8565","8565")</f>
        <v>8565</v>
      </c>
      <c r="F170" s="14" t="s">
        <v>2109</v>
      </c>
      <c r="G170" s="14" t="s">
        <v>2110</v>
      </c>
      <c r="H170" s="14" t="s">
        <v>2111</v>
      </c>
      <c r="I170" s="19" t="s">
        <v>2053</v>
      </c>
      <c r="J170" s="15" t="s">
        <v>2054</v>
      </c>
      <c r="K170" s="16">
        <v>267.33638200000001</v>
      </c>
      <c r="L170" s="17">
        <v>426.645625</v>
      </c>
      <c r="M170" s="18">
        <f t="shared" si="2"/>
        <v>1.5959130658093517</v>
      </c>
    </row>
    <row r="171" spans="1:13">
      <c r="A171" s="13" t="s">
        <v>2055</v>
      </c>
      <c r="B171" s="14" t="s">
        <v>2055</v>
      </c>
      <c r="C171" s="14" t="str">
        <f>HYPERLINK("http://uswest.ensembl.org/Homo_sapiens/Gene/Summary?g=ENSG00000160194","ENSG00000160194")</f>
        <v>ENSG00000160194</v>
      </c>
      <c r="D171" s="14" t="s">
        <v>2056</v>
      </c>
      <c r="E171" s="14" t="str">
        <f>HYPERLINK("http://www.ncbi.nlm.nih.gov/sites/entrez?db=gene&amp;cmd=Retrieve&amp;dopt=full_report&amp;list_uids=4731","4731")</f>
        <v>4731</v>
      </c>
      <c r="F171" s="14" t="s">
        <v>2057</v>
      </c>
      <c r="G171" s="14" t="s">
        <v>2058</v>
      </c>
      <c r="H171" s="14" t="s">
        <v>8728</v>
      </c>
      <c r="I171" s="14" t="s">
        <v>8728</v>
      </c>
      <c r="J171" s="15" t="s">
        <v>8639</v>
      </c>
      <c r="K171" s="16">
        <v>155.464606</v>
      </c>
      <c r="L171" s="17">
        <v>247.78817100000001</v>
      </c>
      <c r="M171" s="18">
        <f t="shared" si="2"/>
        <v>1.5938558452333518</v>
      </c>
    </row>
    <row r="172" spans="1:13">
      <c r="A172" s="13" t="s">
        <v>2059</v>
      </c>
      <c r="B172" s="14" t="s">
        <v>2059</v>
      </c>
      <c r="C172" s="14" t="str">
        <f>HYPERLINK("http://uswest.ensembl.org/Homo_sapiens/Gene/Summary?g=ENSG00000161999","ENSG00000161999")</f>
        <v>ENSG00000161999</v>
      </c>
      <c r="D172" s="14" t="s">
        <v>8728</v>
      </c>
      <c r="E172" s="14" t="str">
        <f>HYPERLINK("http://www.ncbi.nlm.nih.gov/sites/entrez?db=gene&amp;cmd=Retrieve&amp;dopt=full_report&amp;list_uids=339123","339123")</f>
        <v>339123</v>
      </c>
      <c r="F172" s="14" t="s">
        <v>2060</v>
      </c>
      <c r="G172" s="14" t="s">
        <v>2044</v>
      </c>
      <c r="H172" s="14" t="s">
        <v>8728</v>
      </c>
      <c r="I172" s="14" t="s">
        <v>8728</v>
      </c>
      <c r="J172" s="15" t="s">
        <v>8728</v>
      </c>
      <c r="K172" s="16">
        <v>28.691205</v>
      </c>
      <c r="L172" s="17">
        <v>45.722062000000001</v>
      </c>
      <c r="M172" s="18">
        <f t="shared" si="2"/>
        <v>1.5935915553215698</v>
      </c>
    </row>
    <row r="173" spans="1:13">
      <c r="A173" s="13" t="s">
        <v>2061</v>
      </c>
      <c r="B173" s="14" t="s">
        <v>2061</v>
      </c>
      <c r="C173" s="14" t="str">
        <f>HYPERLINK("http://uswest.ensembl.org/Homo_sapiens/Gene/Summary?g=","-")</f>
        <v>-</v>
      </c>
      <c r="D173" s="14" t="s">
        <v>2062</v>
      </c>
      <c r="E173" s="14" t="str">
        <f>HYPERLINK("http://www.ncbi.nlm.nih.gov/sites/entrez?db=gene&amp;cmd=Retrieve&amp;dopt=full_report&amp;list_uids=10961","10961")</f>
        <v>10961</v>
      </c>
      <c r="F173" s="14" t="s">
        <v>2063</v>
      </c>
      <c r="G173" s="14" t="s">
        <v>2064</v>
      </c>
      <c r="H173" s="14" t="s">
        <v>2045</v>
      </c>
      <c r="I173" s="14" t="s">
        <v>2046</v>
      </c>
      <c r="J173" s="15" t="s">
        <v>2098</v>
      </c>
      <c r="K173" s="16">
        <v>699.54080299999998</v>
      </c>
      <c r="L173" s="17">
        <v>1114.4212460000001</v>
      </c>
      <c r="M173" s="18">
        <f t="shared" si="2"/>
        <v>1.5930754020648601</v>
      </c>
    </row>
    <row r="174" spans="1:13">
      <c r="A174" s="13" t="s">
        <v>2099</v>
      </c>
      <c r="B174" s="14" t="s">
        <v>2099</v>
      </c>
      <c r="C174" s="14" t="str">
        <f>HYPERLINK("http://uswest.ensembl.org/Homo_sapiens/Gene/Summary?g=ENSG00000145220","ENSG00000145220")</f>
        <v>ENSG00000145220</v>
      </c>
      <c r="D174" s="14" t="s">
        <v>2100</v>
      </c>
      <c r="E174" s="14" t="str">
        <f>HYPERLINK("http://www.ncbi.nlm.nih.gov/sites/entrez?db=gene&amp;cmd=Retrieve&amp;dopt=full_report&amp;list_uids=55646","55646")</f>
        <v>55646</v>
      </c>
      <c r="F174" s="14" t="s">
        <v>2101</v>
      </c>
      <c r="G174" s="14" t="s">
        <v>2102</v>
      </c>
      <c r="H174" s="14" t="s">
        <v>8490</v>
      </c>
      <c r="I174" s="14" t="s">
        <v>4282</v>
      </c>
      <c r="J174" s="15" t="s">
        <v>6617</v>
      </c>
      <c r="K174" s="16">
        <v>74.776746000000003</v>
      </c>
      <c r="L174" s="17">
        <v>118.933757</v>
      </c>
      <c r="M174" s="18">
        <f t="shared" si="2"/>
        <v>1.5905179532685201</v>
      </c>
    </row>
    <row r="175" spans="1:13">
      <c r="A175" s="13" t="s">
        <v>2103</v>
      </c>
      <c r="B175" s="14" t="s">
        <v>2103</v>
      </c>
      <c r="C175" s="14" t="str">
        <f>HYPERLINK("http://uswest.ensembl.org/Homo_sapiens/Gene/Summary?g=ENSG00000162851","ENSG00000162851")</f>
        <v>ENSG00000162851</v>
      </c>
      <c r="D175" s="14" t="s">
        <v>2104</v>
      </c>
      <c r="E175" s="14" t="str">
        <f>HYPERLINK("http://www.ncbi.nlm.nih.gov/sites/entrez?db=gene&amp;cmd=Retrieve&amp;dopt=full_report&amp;list_uids=64216","64216")</f>
        <v>64216</v>
      </c>
      <c r="F175" s="14" t="s">
        <v>2105</v>
      </c>
      <c r="G175" s="19" t="s">
        <v>2075</v>
      </c>
      <c r="H175" s="14" t="s">
        <v>2033</v>
      </c>
      <c r="I175" s="14" t="s">
        <v>2034</v>
      </c>
      <c r="J175" s="15" t="s">
        <v>7994</v>
      </c>
      <c r="K175" s="16">
        <v>109.140191</v>
      </c>
      <c r="L175" s="17">
        <v>173.39975000000001</v>
      </c>
      <c r="M175" s="18">
        <f t="shared" si="2"/>
        <v>1.5887799756553478</v>
      </c>
    </row>
    <row r="176" spans="1:13">
      <c r="A176" s="13" t="s">
        <v>2035</v>
      </c>
      <c r="B176" s="14" t="s">
        <v>2035</v>
      </c>
      <c r="C176" s="14" t="str">
        <f>HYPERLINK("http://uswest.ensembl.org/Homo_sapiens/Gene/Summary?g=ENSG00000174371","ENSG00000174371")</f>
        <v>ENSG00000174371</v>
      </c>
      <c r="D176" s="14" t="s">
        <v>2036</v>
      </c>
      <c r="E176" s="14" t="str">
        <f>HYPERLINK("http://www.ncbi.nlm.nih.gov/sites/entrez?db=gene&amp;cmd=Retrieve&amp;dopt=full_report&amp;list_uids=9156","9156")</f>
        <v>9156</v>
      </c>
      <c r="F176" s="14" t="s">
        <v>2037</v>
      </c>
      <c r="G176" s="14" t="s">
        <v>2038</v>
      </c>
      <c r="H176" s="14" t="s">
        <v>2039</v>
      </c>
      <c r="I176" s="19" t="s">
        <v>2040</v>
      </c>
      <c r="J176" s="15" t="s">
        <v>8558</v>
      </c>
      <c r="K176" s="16">
        <v>108.940234</v>
      </c>
      <c r="L176" s="17">
        <v>173.054745</v>
      </c>
      <c r="M176" s="18">
        <f t="shared" si="2"/>
        <v>1.5885292205265502</v>
      </c>
    </row>
    <row r="177" spans="1:13">
      <c r="A177" s="13" t="s">
        <v>2041</v>
      </c>
      <c r="B177" s="14" t="s">
        <v>2041</v>
      </c>
      <c r="C177" s="14" t="str">
        <f>HYPERLINK("http://uswest.ensembl.org/Homo_sapiens/Gene/Summary?g=ENSG00000117143","ENSG00000117143")</f>
        <v>ENSG00000117143</v>
      </c>
      <c r="D177" s="14" t="s">
        <v>2042</v>
      </c>
      <c r="E177" s="14" t="str">
        <f>HYPERLINK("http://www.ncbi.nlm.nih.gov/sites/entrez?db=gene&amp;cmd=Retrieve&amp;dopt=full_report&amp;list_uids=","-")</f>
        <v>-</v>
      </c>
      <c r="F177" s="14" t="s">
        <v>2043</v>
      </c>
      <c r="G177" s="19" t="s">
        <v>2016</v>
      </c>
      <c r="H177" s="14" t="s">
        <v>8329</v>
      </c>
      <c r="I177" s="14" t="s">
        <v>2017</v>
      </c>
      <c r="J177" s="15" t="s">
        <v>8728</v>
      </c>
      <c r="K177" s="16">
        <v>99.552515999999997</v>
      </c>
      <c r="L177" s="17">
        <v>158.04691</v>
      </c>
      <c r="M177" s="18">
        <f t="shared" si="2"/>
        <v>1.5875732362203683</v>
      </c>
    </row>
    <row r="178" spans="1:13">
      <c r="A178" s="13" t="s">
        <v>2018</v>
      </c>
      <c r="B178" s="14" t="s">
        <v>2018</v>
      </c>
      <c r="C178" s="14" t="str">
        <f>HYPERLINK("http://uswest.ensembl.org/Homo_sapiens/Gene/Summary?g=","-")</f>
        <v>-</v>
      </c>
      <c r="D178" s="14" t="s">
        <v>2019</v>
      </c>
      <c r="E178" s="14" t="str">
        <f>HYPERLINK("http://www.ncbi.nlm.nih.gov/sites/entrez?db=gene&amp;cmd=Retrieve&amp;dopt=full_report&amp;list_uids=23246","23246")</f>
        <v>23246</v>
      </c>
      <c r="F178" s="14" t="s">
        <v>2020</v>
      </c>
      <c r="G178" s="14" t="s">
        <v>2021</v>
      </c>
      <c r="H178" s="14" t="s">
        <v>2022</v>
      </c>
      <c r="I178" s="14" t="s">
        <v>8665</v>
      </c>
      <c r="J178" s="15" t="s">
        <v>2023</v>
      </c>
      <c r="K178" s="16">
        <v>46.892805000000003</v>
      </c>
      <c r="L178" s="17">
        <v>74.410396000000006</v>
      </c>
      <c r="M178" s="18">
        <f t="shared" si="2"/>
        <v>1.586819043987665</v>
      </c>
    </row>
    <row r="179" spans="1:13">
      <c r="A179" s="13" t="s">
        <v>2024</v>
      </c>
      <c r="B179" s="14" t="s">
        <v>2024</v>
      </c>
      <c r="C179" s="14" t="str">
        <f>HYPERLINK("http://uswest.ensembl.org/Homo_sapiens/Gene/Summary?g=ENSG00000135446","ENSG00000135446")</f>
        <v>ENSG00000135446</v>
      </c>
      <c r="D179" s="14" t="s">
        <v>2025</v>
      </c>
      <c r="E179" s="14" t="str">
        <f>HYPERLINK("http://www.ncbi.nlm.nih.gov/sites/entrez?db=gene&amp;cmd=Retrieve&amp;dopt=full_report&amp;list_uids=","-")</f>
        <v>-</v>
      </c>
      <c r="F179" s="14" t="s">
        <v>6769</v>
      </c>
      <c r="G179" s="14" t="s">
        <v>6736</v>
      </c>
      <c r="H179" s="14" t="s">
        <v>8656</v>
      </c>
      <c r="I179" s="14" t="s">
        <v>2026</v>
      </c>
      <c r="J179" s="15" t="s">
        <v>8728</v>
      </c>
      <c r="K179" s="16">
        <v>219.250902</v>
      </c>
      <c r="L179" s="17">
        <v>347.74145900000002</v>
      </c>
      <c r="M179" s="18">
        <f t="shared" si="2"/>
        <v>1.586043459013911</v>
      </c>
    </row>
    <row r="180" spans="1:13">
      <c r="A180" s="13" t="s">
        <v>2027</v>
      </c>
      <c r="B180" s="14" t="s">
        <v>2027</v>
      </c>
      <c r="C180" s="14" t="str">
        <f>HYPERLINK("http://uswest.ensembl.org/Homo_sapiens/Gene/Summary?g=ENSG00000106397","ENSG00000106397")</f>
        <v>ENSG00000106397</v>
      </c>
      <c r="D180" s="14" t="s">
        <v>2028</v>
      </c>
      <c r="E180" s="14" t="str">
        <f>HYPERLINK("http://www.ncbi.nlm.nih.gov/sites/entrez?db=gene&amp;cmd=Retrieve&amp;dopt=full_report&amp;list_uids=8985","8985")</f>
        <v>8985</v>
      </c>
      <c r="F180" s="14" t="s">
        <v>2029</v>
      </c>
      <c r="G180" s="14" t="s">
        <v>2030</v>
      </c>
      <c r="H180" s="14" t="s">
        <v>2074</v>
      </c>
      <c r="I180" s="19" t="s">
        <v>2002</v>
      </c>
      <c r="J180" s="15" t="s">
        <v>2047</v>
      </c>
      <c r="K180" s="16">
        <v>45.848827999999997</v>
      </c>
      <c r="L180" s="17">
        <v>72.652524999999997</v>
      </c>
      <c r="M180" s="18">
        <f t="shared" si="2"/>
        <v>1.5846102979993295</v>
      </c>
    </row>
    <row r="181" spans="1:13">
      <c r="A181" s="13" t="s">
        <v>2048</v>
      </c>
      <c r="B181" s="14" t="s">
        <v>2048</v>
      </c>
      <c r="C181" s="14" t="str">
        <f>HYPERLINK("http://uswest.ensembl.org/Homo_sapiens/Gene/Summary?g=ENSG00000159063","ENSG00000159063")</f>
        <v>ENSG00000159063</v>
      </c>
      <c r="D181" s="14" t="s">
        <v>2049</v>
      </c>
      <c r="E181" s="14" t="str">
        <f>HYPERLINK("http://www.ncbi.nlm.nih.gov/sites/entrez?db=gene&amp;cmd=Retrieve&amp;dopt=full_report&amp;list_uids=79053","79053")</f>
        <v>79053</v>
      </c>
      <c r="F181" s="14" t="s">
        <v>2050</v>
      </c>
      <c r="G181" s="14" t="s">
        <v>2051</v>
      </c>
      <c r="H181" s="14" t="s">
        <v>8728</v>
      </c>
      <c r="I181" s="14" t="s">
        <v>2052</v>
      </c>
      <c r="J181" s="15" t="s">
        <v>2011</v>
      </c>
      <c r="K181" s="16">
        <v>459.39875000000001</v>
      </c>
      <c r="L181" s="17">
        <v>727.89311299999997</v>
      </c>
      <c r="M181" s="18">
        <f t="shared" si="2"/>
        <v>1.5844473085745225</v>
      </c>
    </row>
    <row r="182" spans="1:13">
      <c r="A182" s="13" t="s">
        <v>2012</v>
      </c>
      <c r="B182" s="14" t="s">
        <v>2012</v>
      </c>
      <c r="C182" s="14" t="str">
        <f>HYPERLINK("http://uswest.ensembl.org/Homo_sapiens/Gene/Summary?g=ENSG00000165168","ENSG00000165168")</f>
        <v>ENSG00000165168</v>
      </c>
      <c r="D182" s="14" t="s">
        <v>2013</v>
      </c>
      <c r="E182" s="14" t="str">
        <f>HYPERLINK("http://www.ncbi.nlm.nih.gov/sites/entrez?db=gene&amp;cmd=Retrieve&amp;dopt=full_report&amp;list_uids=1536","1536")</f>
        <v>1536</v>
      </c>
      <c r="F182" s="14" t="s">
        <v>2014</v>
      </c>
      <c r="G182" s="19" t="s">
        <v>2015</v>
      </c>
      <c r="H182" s="14" t="s">
        <v>2031</v>
      </c>
      <c r="I182" s="19" t="s">
        <v>2032</v>
      </c>
      <c r="J182" s="15" t="s">
        <v>1990</v>
      </c>
      <c r="K182" s="16">
        <v>68.877067999999994</v>
      </c>
      <c r="L182" s="17">
        <v>109.070426</v>
      </c>
      <c r="M182" s="18">
        <f t="shared" si="2"/>
        <v>1.5835521047440639</v>
      </c>
    </row>
    <row r="183" spans="1:13">
      <c r="A183" s="13" t="s">
        <v>1991</v>
      </c>
      <c r="B183" s="14" t="s">
        <v>1991</v>
      </c>
      <c r="C183" s="14" t="str">
        <f>HYPERLINK("http://uswest.ensembl.org/Homo_sapiens/Gene/Summary?g=ENSG00000164604","ENSG00000164604")</f>
        <v>ENSG00000164604</v>
      </c>
      <c r="D183" s="14" t="s">
        <v>1992</v>
      </c>
      <c r="E183" s="14" t="str">
        <f>HYPERLINK("http://www.ncbi.nlm.nih.gov/sites/entrez?db=gene&amp;cmd=Retrieve&amp;dopt=full_report&amp;list_uids=54329","54329")</f>
        <v>54329</v>
      </c>
      <c r="F183" s="14" t="s">
        <v>1993</v>
      </c>
      <c r="G183" s="14" t="s">
        <v>1994</v>
      </c>
      <c r="H183" s="14" t="s">
        <v>8427</v>
      </c>
      <c r="I183" s="14" t="s">
        <v>8513</v>
      </c>
      <c r="J183" s="15" t="s">
        <v>8701</v>
      </c>
      <c r="K183" s="16">
        <v>83.665042999999997</v>
      </c>
      <c r="L183" s="17">
        <v>132.38804200000001</v>
      </c>
      <c r="M183" s="18">
        <f t="shared" si="2"/>
        <v>1.5823579030491866</v>
      </c>
    </row>
    <row r="184" spans="1:13">
      <c r="A184" s="13" t="s">
        <v>1995</v>
      </c>
      <c r="B184" s="14" t="s">
        <v>1995</v>
      </c>
      <c r="C184" s="14" t="str">
        <f>HYPERLINK("http://uswest.ensembl.org/Homo_sapiens/Gene/Summary?g=ENSG00000174106","ENSG00000174106")</f>
        <v>ENSG00000174106</v>
      </c>
      <c r="D184" s="14" t="s">
        <v>1996</v>
      </c>
      <c r="E184" s="14" t="str">
        <f>HYPERLINK("http://www.ncbi.nlm.nih.gov/sites/entrez?db=gene&amp;cmd=Retrieve&amp;dopt=full_report&amp;list_uids=23592","23592")</f>
        <v>23592</v>
      </c>
      <c r="F184" s="14" t="s">
        <v>1997</v>
      </c>
      <c r="G184" s="14" t="s">
        <v>1998</v>
      </c>
      <c r="H184" s="14" t="s">
        <v>8728</v>
      </c>
      <c r="I184" s="14" t="s">
        <v>1999</v>
      </c>
      <c r="J184" s="15" t="s">
        <v>2000</v>
      </c>
      <c r="K184" s="16">
        <v>117.809335</v>
      </c>
      <c r="L184" s="17">
        <v>186.134545</v>
      </c>
      <c r="M184" s="18">
        <f t="shared" si="2"/>
        <v>1.5799643126752221</v>
      </c>
    </row>
    <row r="185" spans="1:13">
      <c r="A185" s="13" t="s">
        <v>1969</v>
      </c>
      <c r="B185" s="14" t="s">
        <v>1969</v>
      </c>
      <c r="C185" s="14" t="str">
        <f>HYPERLINK("http://uswest.ensembl.org/Homo_sapiens/Gene/Summary?g=ENSG00000198917","ENSG00000198917")</f>
        <v>ENSG00000198917</v>
      </c>
      <c r="D185" s="14" t="s">
        <v>1970</v>
      </c>
      <c r="E185" s="14" t="str">
        <f>HYPERLINK("http://www.ncbi.nlm.nih.gov/sites/entrez?db=gene&amp;cmd=Retrieve&amp;dopt=full_report&amp;list_uids=","-")</f>
        <v>-</v>
      </c>
      <c r="F185" s="14" t="s">
        <v>1971</v>
      </c>
      <c r="G185" s="14" t="s">
        <v>2001</v>
      </c>
      <c r="H185" s="14" t="s">
        <v>8728</v>
      </c>
      <c r="I185" s="14" t="s">
        <v>8728</v>
      </c>
      <c r="J185" s="15" t="s">
        <v>8728</v>
      </c>
      <c r="K185" s="16">
        <v>43.191290000000002</v>
      </c>
      <c r="L185" s="17">
        <v>68.228982000000002</v>
      </c>
      <c r="M185" s="18">
        <f t="shared" si="2"/>
        <v>1.5796930816375245</v>
      </c>
    </row>
    <row r="186" spans="1:13">
      <c r="A186" s="13" t="s">
        <v>1972</v>
      </c>
      <c r="B186" s="14" t="s">
        <v>1972</v>
      </c>
      <c r="C186" s="14" t="str">
        <f>HYPERLINK("http://uswest.ensembl.org/Homo_sapiens/Gene/Summary?g=ENSG00000011600","ENSG00000011600")</f>
        <v>ENSG00000011600</v>
      </c>
      <c r="D186" s="14" t="s">
        <v>1973</v>
      </c>
      <c r="E186" s="14" t="str">
        <f>HYPERLINK("http://www.ncbi.nlm.nih.gov/sites/entrez?db=gene&amp;cmd=Retrieve&amp;dopt=full_report&amp;list_uids=7305","7305")</f>
        <v>7305</v>
      </c>
      <c r="F186" s="14" t="s">
        <v>1974</v>
      </c>
      <c r="G186" s="14" t="s">
        <v>1975</v>
      </c>
      <c r="H186" s="14" t="s">
        <v>1976</v>
      </c>
      <c r="I186" s="14" t="s">
        <v>1977</v>
      </c>
      <c r="J186" s="15" t="s">
        <v>8374</v>
      </c>
      <c r="K186" s="16">
        <v>1105.806276</v>
      </c>
      <c r="L186" s="17">
        <v>1745.6652670000001</v>
      </c>
      <c r="M186" s="18">
        <f t="shared" si="2"/>
        <v>1.5786357021905708</v>
      </c>
    </row>
    <row r="187" spans="1:13">
      <c r="A187" s="13" t="s">
        <v>1978</v>
      </c>
      <c r="B187" s="14" t="s">
        <v>1978</v>
      </c>
      <c r="C187" s="14" t="str">
        <f>HYPERLINK("http://uswest.ensembl.org/Homo_sapiens/Gene/Summary?g=ENSG00000175591","ENSG00000175591")</f>
        <v>ENSG00000175591</v>
      </c>
      <c r="D187" s="14" t="s">
        <v>1979</v>
      </c>
      <c r="E187" s="14" t="str">
        <f>HYPERLINK("http://www.ncbi.nlm.nih.gov/sites/entrez?db=gene&amp;cmd=Retrieve&amp;dopt=full_report&amp;list_uids=5029","5029")</f>
        <v>5029</v>
      </c>
      <c r="F187" s="14" t="s">
        <v>1980</v>
      </c>
      <c r="G187" s="14" t="s">
        <v>1981</v>
      </c>
      <c r="H187" s="14" t="s">
        <v>1982</v>
      </c>
      <c r="I187" s="19" t="s">
        <v>1983</v>
      </c>
      <c r="J187" s="15" t="s">
        <v>8667</v>
      </c>
      <c r="K187" s="16">
        <v>73.394889000000006</v>
      </c>
      <c r="L187" s="17">
        <v>115.850056</v>
      </c>
      <c r="M187" s="18">
        <f t="shared" si="2"/>
        <v>1.5784485483723532</v>
      </c>
    </row>
    <row r="188" spans="1:13">
      <c r="A188" s="13" t="s">
        <v>2007</v>
      </c>
      <c r="B188" s="14" t="s">
        <v>2007</v>
      </c>
      <c r="C188" s="14" t="str">
        <f>HYPERLINK("http://uswest.ensembl.org/Homo_sapiens/Gene/Summary?g=ENSG00000204560","ENSG00000204560")</f>
        <v>ENSG00000204560</v>
      </c>
      <c r="D188" s="14" t="s">
        <v>2008</v>
      </c>
      <c r="E188" s="14" t="str">
        <f>HYPERLINK("http://www.ncbi.nlm.nih.gov/sites/entrez?db=gene&amp;cmd=Retrieve&amp;dopt=full_report&amp;list_uids=8449","8449")</f>
        <v>8449</v>
      </c>
      <c r="F188" s="14" t="s">
        <v>2009</v>
      </c>
      <c r="G188" s="14" t="s">
        <v>2010</v>
      </c>
      <c r="H188" s="14" t="s">
        <v>5350</v>
      </c>
      <c r="I188" s="19" t="s">
        <v>1965</v>
      </c>
      <c r="J188" s="15" t="s">
        <v>8558</v>
      </c>
      <c r="K188" s="16">
        <v>223.44309799999999</v>
      </c>
      <c r="L188" s="17">
        <v>352.57004699999999</v>
      </c>
      <c r="M188" s="18">
        <f t="shared" si="2"/>
        <v>1.5778963420924284</v>
      </c>
    </row>
    <row r="189" spans="1:13">
      <c r="A189" s="13" t="s">
        <v>1966</v>
      </c>
      <c r="B189" s="14" t="s">
        <v>1966</v>
      </c>
      <c r="C189" s="14" t="str">
        <f>HYPERLINK("http://uswest.ensembl.org/Homo_sapiens/Gene/Summary?g=ENSG00000051382","ENSG00000051382")</f>
        <v>ENSG00000051382</v>
      </c>
      <c r="D189" s="14" t="s">
        <v>1967</v>
      </c>
      <c r="E189" s="14" t="str">
        <f>HYPERLINK("http://www.ncbi.nlm.nih.gov/sites/entrez?db=gene&amp;cmd=Retrieve&amp;dopt=full_report&amp;list_uids=5291","5291")</f>
        <v>5291</v>
      </c>
      <c r="F189" s="14" t="s">
        <v>1968</v>
      </c>
      <c r="G189" s="14" t="s">
        <v>1984</v>
      </c>
      <c r="H189" s="19" t="s">
        <v>1945</v>
      </c>
      <c r="I189" s="19" t="s">
        <v>1946</v>
      </c>
      <c r="J189" s="15" t="s">
        <v>1947</v>
      </c>
      <c r="K189" s="16">
        <v>260.008444</v>
      </c>
      <c r="L189" s="17">
        <v>409.99548900000002</v>
      </c>
      <c r="M189" s="18">
        <f t="shared" si="2"/>
        <v>1.5768545155402722</v>
      </c>
    </row>
    <row r="190" spans="1:13">
      <c r="A190" s="13" t="s">
        <v>1948</v>
      </c>
      <c r="B190" s="14" t="s">
        <v>1948</v>
      </c>
      <c r="C190" s="14" t="str">
        <f>HYPERLINK("http://uswest.ensembl.org/Homo_sapiens/Gene/Summary?g=ENSG00000184840","ENSG00000184840")</f>
        <v>ENSG00000184840</v>
      </c>
      <c r="D190" s="14" t="s">
        <v>1949</v>
      </c>
      <c r="E190" s="14" t="str">
        <f>HYPERLINK("http://www.ncbi.nlm.nih.gov/sites/entrez?db=gene&amp;cmd=Retrieve&amp;dopt=full_report&amp;list_uids=54732","54732")</f>
        <v>54732</v>
      </c>
      <c r="F190" s="14" t="s">
        <v>1950</v>
      </c>
      <c r="G190" s="14" t="s">
        <v>1951</v>
      </c>
      <c r="H190" s="14" t="s">
        <v>8734</v>
      </c>
      <c r="I190" s="14" t="s">
        <v>8728</v>
      </c>
      <c r="J190" s="15" t="s">
        <v>1952</v>
      </c>
      <c r="K190" s="16">
        <v>1254.5844199999999</v>
      </c>
      <c r="L190" s="17">
        <v>1977.371576</v>
      </c>
      <c r="M190" s="18">
        <f t="shared" si="2"/>
        <v>1.5761167957115234</v>
      </c>
    </row>
    <row r="191" spans="1:13">
      <c r="A191" s="13" t="s">
        <v>1953</v>
      </c>
      <c r="B191" s="14" t="s">
        <v>1953</v>
      </c>
      <c r="C191" s="14" t="str">
        <f>HYPERLINK("http://uswest.ensembl.org/Homo_sapiens/Gene/Summary?g=","-")</f>
        <v>-</v>
      </c>
      <c r="D191" s="14" t="s">
        <v>1954</v>
      </c>
      <c r="E191" s="14" t="str">
        <f>HYPERLINK("http://www.ncbi.nlm.nih.gov/sites/entrez?db=gene&amp;cmd=Retrieve&amp;dopt=full_report&amp;list_uids=65990","65990")</f>
        <v>65990</v>
      </c>
      <c r="F191" s="14" t="s">
        <v>1955</v>
      </c>
      <c r="G191" s="14" t="s">
        <v>1956</v>
      </c>
      <c r="H191" s="14" t="s">
        <v>8728</v>
      </c>
      <c r="I191" s="14" t="s">
        <v>8728</v>
      </c>
      <c r="J191" s="15" t="s">
        <v>8698</v>
      </c>
      <c r="K191" s="16">
        <v>95.880290000000002</v>
      </c>
      <c r="L191" s="17">
        <v>151.104263</v>
      </c>
      <c r="M191" s="18">
        <f t="shared" si="2"/>
        <v>1.5759679387703145</v>
      </c>
    </row>
    <row r="192" spans="1:13">
      <c r="A192" s="13" t="s">
        <v>1957</v>
      </c>
      <c r="B192" s="14" t="s">
        <v>1957</v>
      </c>
      <c r="C192" s="14" t="str">
        <f>HYPERLINK("http://uswest.ensembl.org/Homo_sapiens/Gene/Summary?g=ENSG00000167645","ENSG00000167645")</f>
        <v>ENSG00000167645</v>
      </c>
      <c r="D192" s="14" t="s">
        <v>2003</v>
      </c>
      <c r="E192" s="14" t="str">
        <f>HYPERLINK("http://www.ncbi.nlm.nih.gov/sites/entrez?db=gene&amp;cmd=Retrieve&amp;dopt=full_report&amp;list_uids=","-")</f>
        <v>-</v>
      </c>
      <c r="F192" s="14" t="s">
        <v>2004</v>
      </c>
      <c r="G192" s="14" t="s">
        <v>2005</v>
      </c>
      <c r="H192" s="14" t="s">
        <v>8728</v>
      </c>
      <c r="I192" s="14" t="s">
        <v>8728</v>
      </c>
      <c r="J192" s="15" t="s">
        <v>8728</v>
      </c>
      <c r="K192" s="16">
        <v>231.311036</v>
      </c>
      <c r="L192" s="17">
        <v>364.050612</v>
      </c>
      <c r="M192" s="18">
        <f t="shared" si="2"/>
        <v>1.5738575136553363</v>
      </c>
    </row>
    <row r="193" spans="1:13">
      <c r="A193" s="13" t="s">
        <v>1921</v>
      </c>
      <c r="B193" s="14" t="s">
        <v>1921</v>
      </c>
      <c r="C193" s="14" t="str">
        <f>HYPERLINK("http://uswest.ensembl.org/Homo_sapiens/Gene/Summary?g=","-")</f>
        <v>-</v>
      </c>
      <c r="D193" s="14" t="s">
        <v>1922</v>
      </c>
      <c r="E193" s="14" t="str">
        <f>HYPERLINK("http://www.ncbi.nlm.nih.gov/sites/entrez?db=gene&amp;cmd=Retrieve&amp;dopt=full_report&amp;list_uids=6134","6134")</f>
        <v>6134</v>
      </c>
      <c r="F193" s="14" t="s">
        <v>1923</v>
      </c>
      <c r="G193" s="14" t="s">
        <v>2006</v>
      </c>
      <c r="H193" s="14" t="s">
        <v>7772</v>
      </c>
      <c r="I193" s="14" t="s">
        <v>7807</v>
      </c>
      <c r="J193" s="15" t="s">
        <v>1924</v>
      </c>
      <c r="K193" s="16">
        <v>3754.4478279999998</v>
      </c>
      <c r="L193" s="17">
        <v>5907.6781250000004</v>
      </c>
      <c r="M193" s="18">
        <f t="shared" si="2"/>
        <v>1.5735145074973726</v>
      </c>
    </row>
    <row r="194" spans="1:13">
      <c r="A194" s="13" t="s">
        <v>1928</v>
      </c>
      <c r="B194" s="14" t="s">
        <v>1928</v>
      </c>
      <c r="C194" s="14" t="str">
        <f>HYPERLINK("http://uswest.ensembl.org/Homo_sapiens/Gene/Summary?g=ENSG00000178999","ENSG00000178999")</f>
        <v>ENSG00000178999</v>
      </c>
      <c r="D194" s="14" t="s">
        <v>1929</v>
      </c>
      <c r="E194" s="14" t="str">
        <f>HYPERLINK("http://www.ncbi.nlm.nih.gov/sites/entrez?db=gene&amp;cmd=Retrieve&amp;dopt=full_report&amp;list_uids=9212","9212")</f>
        <v>9212</v>
      </c>
      <c r="F194" s="14" t="s">
        <v>1930</v>
      </c>
      <c r="G194" s="14" t="s">
        <v>1931</v>
      </c>
      <c r="H194" s="14" t="s">
        <v>1932</v>
      </c>
      <c r="I194" s="19" t="s">
        <v>1933</v>
      </c>
      <c r="J194" s="15" t="s">
        <v>1905</v>
      </c>
      <c r="K194" s="16">
        <v>353.88110799999998</v>
      </c>
      <c r="L194" s="17">
        <v>556.43099700000005</v>
      </c>
      <c r="M194" s="18">
        <f t="shared" ref="M194:M257" si="3">L194/K194</f>
        <v>1.5723670589389023</v>
      </c>
    </row>
    <row r="195" spans="1:13">
      <c r="A195" s="13" t="s">
        <v>1906</v>
      </c>
      <c r="B195" s="14" t="s">
        <v>1906</v>
      </c>
      <c r="C195" s="14" t="str">
        <f>HYPERLINK("http://uswest.ensembl.org/Homo_sapiens/Gene/Summary?g=ENSG00000167447","ENSG00000167447")</f>
        <v>ENSG00000167447</v>
      </c>
      <c r="D195" s="14" t="s">
        <v>1907</v>
      </c>
      <c r="E195" s="14" t="str">
        <f>HYPERLINK("http://www.ncbi.nlm.nih.gov/sites/entrez?db=gene&amp;cmd=Retrieve&amp;dopt=full_report&amp;list_uids=55181","55181")</f>
        <v>55181</v>
      </c>
      <c r="F195" s="14" t="s">
        <v>1908</v>
      </c>
      <c r="G195" s="14" t="s">
        <v>1985</v>
      </c>
      <c r="H195" s="14" t="s">
        <v>8728</v>
      </c>
      <c r="I195" s="14" t="s">
        <v>8728</v>
      </c>
      <c r="J195" s="15" t="s">
        <v>8728</v>
      </c>
      <c r="K195" s="16">
        <v>146.83611200000001</v>
      </c>
      <c r="L195" s="17">
        <v>230.84181899999999</v>
      </c>
      <c r="M195" s="18">
        <f t="shared" si="3"/>
        <v>1.5721052257226749</v>
      </c>
    </row>
    <row r="196" spans="1:13">
      <c r="A196" s="13" t="s">
        <v>1909</v>
      </c>
      <c r="B196" s="14" t="s">
        <v>1909</v>
      </c>
      <c r="C196" s="14" t="str">
        <f>HYPERLINK("http://uswest.ensembl.org/Homo_sapiens/Gene/Summary?g=ENSG00000163993","ENSG00000163993")</f>
        <v>ENSG00000163993</v>
      </c>
      <c r="D196" s="14" t="s">
        <v>1910</v>
      </c>
      <c r="E196" s="14" t="str">
        <f>HYPERLINK("http://www.ncbi.nlm.nih.gov/sites/entrez?db=gene&amp;cmd=Retrieve&amp;dopt=full_report&amp;list_uids=6286","6286")</f>
        <v>6286</v>
      </c>
      <c r="F196" s="14" t="s">
        <v>1911</v>
      </c>
      <c r="G196" s="14" t="s">
        <v>1912</v>
      </c>
      <c r="H196" s="14" t="s">
        <v>1958</v>
      </c>
      <c r="I196" s="14" t="s">
        <v>1986</v>
      </c>
      <c r="J196" s="15" t="s">
        <v>8608</v>
      </c>
      <c r="K196" s="16">
        <v>566.08322299999998</v>
      </c>
      <c r="L196" s="17">
        <v>889.66741000000002</v>
      </c>
      <c r="M196" s="18">
        <f t="shared" si="3"/>
        <v>1.5716194613313952</v>
      </c>
    </row>
    <row r="197" spans="1:13">
      <c r="A197" s="13" t="s">
        <v>1987</v>
      </c>
      <c r="B197" s="14" t="s">
        <v>1987</v>
      </c>
      <c r="C197" s="14" t="str">
        <f>HYPERLINK("http://uswest.ensembl.org/Homo_sapiens/Gene/Summary?g=ENSG00000121053","ENSG00000121053")</f>
        <v>ENSG00000121053</v>
      </c>
      <c r="D197" s="14" t="s">
        <v>1988</v>
      </c>
      <c r="E197" s="14" t="str">
        <f>HYPERLINK("http://www.ncbi.nlm.nih.gov/sites/entrez?db=gene&amp;cmd=Retrieve&amp;dopt=full_report&amp;list_uids=8288","8288")</f>
        <v>8288</v>
      </c>
      <c r="F197" s="14" t="s">
        <v>1989</v>
      </c>
      <c r="G197" s="14" t="s">
        <v>1944</v>
      </c>
      <c r="H197" s="14" t="s">
        <v>1964</v>
      </c>
      <c r="I197" s="14" t="s">
        <v>1914</v>
      </c>
      <c r="J197" s="15" t="s">
        <v>8728</v>
      </c>
      <c r="K197" s="16">
        <v>3524.8487300000002</v>
      </c>
      <c r="L197" s="17">
        <v>5539.5849120000003</v>
      </c>
      <c r="M197" s="18">
        <f t="shared" si="3"/>
        <v>1.5715808922103729</v>
      </c>
    </row>
    <row r="198" spans="1:13">
      <c r="A198" s="13" t="s">
        <v>1915</v>
      </c>
      <c r="B198" s="14" t="s">
        <v>1915</v>
      </c>
      <c r="C198" s="14" t="str">
        <f>HYPERLINK("http://uswest.ensembl.org/Homo_sapiens/Gene/Summary?g=ENSG00000147955","ENSG00000147955")</f>
        <v>ENSG00000147955</v>
      </c>
      <c r="D198" s="14" t="s">
        <v>1916</v>
      </c>
      <c r="E198" s="14" t="str">
        <f>HYPERLINK("http://www.ncbi.nlm.nih.gov/sites/entrez?db=gene&amp;cmd=Retrieve&amp;dopt=full_report&amp;list_uids=","-")</f>
        <v>-</v>
      </c>
      <c r="F198" s="14" t="s">
        <v>1917</v>
      </c>
      <c r="G198" s="14" t="s">
        <v>1918</v>
      </c>
      <c r="H198" s="14" t="s">
        <v>1919</v>
      </c>
      <c r="I198" s="14" t="s">
        <v>1920</v>
      </c>
      <c r="J198" s="15" t="s">
        <v>6896</v>
      </c>
      <c r="K198" s="16">
        <v>108.193417</v>
      </c>
      <c r="L198" s="17">
        <v>169.94324700000001</v>
      </c>
      <c r="M198" s="18">
        <f t="shared" si="3"/>
        <v>1.5707355559349792</v>
      </c>
    </row>
    <row r="199" spans="1:13">
      <c r="A199" s="13" t="s">
        <v>1925</v>
      </c>
      <c r="B199" s="14" t="s">
        <v>1925</v>
      </c>
      <c r="C199" s="14" t="str">
        <f>HYPERLINK("http://uswest.ensembl.org/Homo_sapiens/Gene/Summary?g=ENSG00000120438","ENSG00000120438")</f>
        <v>ENSG00000120438</v>
      </c>
      <c r="D199" s="14" t="s">
        <v>1926</v>
      </c>
      <c r="E199" s="14" t="str">
        <f>HYPERLINK("http://www.ncbi.nlm.nih.gov/sites/entrez?db=gene&amp;cmd=Retrieve&amp;dopt=full_report&amp;list_uids=6950","6950")</f>
        <v>6950</v>
      </c>
      <c r="F199" s="14" t="s">
        <v>1927</v>
      </c>
      <c r="G199" s="14" t="s">
        <v>1901</v>
      </c>
      <c r="H199" s="14" t="s">
        <v>1902</v>
      </c>
      <c r="I199" s="14" t="s">
        <v>1903</v>
      </c>
      <c r="J199" s="15" t="s">
        <v>1904</v>
      </c>
      <c r="K199" s="16">
        <v>1066.1876150000001</v>
      </c>
      <c r="L199" s="17">
        <v>1671.5301039999999</v>
      </c>
      <c r="M199" s="18">
        <f t="shared" si="3"/>
        <v>1.5677635722677195</v>
      </c>
    </row>
    <row r="200" spans="1:13">
      <c r="A200" s="13" t="s">
        <v>1943</v>
      </c>
      <c r="B200" s="14" t="s">
        <v>1943</v>
      </c>
      <c r="C200" s="14" t="str">
        <f>HYPERLINK("http://uswest.ensembl.org/Homo_sapiens/Gene/Summary?g=","-")</f>
        <v>-</v>
      </c>
      <c r="D200" s="14" t="s">
        <v>1890</v>
      </c>
      <c r="E200" s="14" t="str">
        <f>HYPERLINK("http://www.ncbi.nlm.nih.gov/sites/entrez?db=gene&amp;cmd=Retrieve&amp;dopt=full_report&amp;list_uids=10171","10171")</f>
        <v>10171</v>
      </c>
      <c r="F200" s="14" t="s">
        <v>1891</v>
      </c>
      <c r="G200" s="14" t="s">
        <v>1892</v>
      </c>
      <c r="H200" s="14" t="s">
        <v>1893</v>
      </c>
      <c r="I200" s="14" t="s">
        <v>1894</v>
      </c>
      <c r="J200" s="15" t="s">
        <v>1959</v>
      </c>
      <c r="K200" s="16">
        <v>84.270793999999995</v>
      </c>
      <c r="L200" s="17">
        <v>131.953596</v>
      </c>
      <c r="M200" s="18">
        <f t="shared" si="3"/>
        <v>1.5658283224434792</v>
      </c>
    </row>
    <row r="201" spans="1:13">
      <c r="A201" s="13" t="s">
        <v>1960</v>
      </c>
      <c r="B201" s="14" t="s">
        <v>1960</v>
      </c>
      <c r="C201" s="14" t="str">
        <f>HYPERLINK("http://uswest.ensembl.org/Homo_sapiens/Gene/Summary?g=ENSG00000169397","ENSG00000169397")</f>
        <v>ENSG00000169397</v>
      </c>
      <c r="D201" s="14" t="s">
        <v>1961</v>
      </c>
      <c r="E201" s="14" t="str">
        <f>HYPERLINK("http://www.ncbi.nlm.nih.gov/sites/entrez?db=gene&amp;cmd=Retrieve&amp;dopt=full_report&amp;list_uids=6037","6037")</f>
        <v>6037</v>
      </c>
      <c r="F201" s="14" t="s">
        <v>1962</v>
      </c>
      <c r="G201" s="14" t="s">
        <v>1963</v>
      </c>
      <c r="H201" s="14" t="s">
        <v>1899</v>
      </c>
      <c r="I201" s="14" t="s">
        <v>2608</v>
      </c>
      <c r="J201" s="15" t="s">
        <v>8532</v>
      </c>
      <c r="K201" s="16">
        <v>2166.2169520000002</v>
      </c>
      <c r="L201" s="17">
        <v>3391.6053550000001</v>
      </c>
      <c r="M201" s="18">
        <f t="shared" si="3"/>
        <v>1.5656812914646603</v>
      </c>
    </row>
    <row r="202" spans="1:13">
      <c r="A202" s="13" t="s">
        <v>1872</v>
      </c>
      <c r="B202" s="14" t="s">
        <v>1872</v>
      </c>
      <c r="C202" s="14" t="str">
        <f>HYPERLINK("http://uswest.ensembl.org/Homo_sapiens/Gene/Summary?g=","-")</f>
        <v>-</v>
      </c>
      <c r="D202" s="14" t="s">
        <v>1873</v>
      </c>
      <c r="E202" s="14" t="str">
        <f>HYPERLINK("http://www.ncbi.nlm.nih.gov/sites/entrez?db=gene&amp;cmd=Retrieve&amp;dopt=full_report&amp;list_uids=653354","653354")</f>
        <v>653354</v>
      </c>
      <c r="F202" s="14" t="s">
        <v>1874</v>
      </c>
      <c r="G202" s="14" t="s">
        <v>1875</v>
      </c>
      <c r="H202" s="14" t="s">
        <v>8728</v>
      </c>
      <c r="I202" s="14" t="s">
        <v>8728</v>
      </c>
      <c r="J202" s="15" t="s">
        <v>8698</v>
      </c>
      <c r="K202" s="16">
        <v>119.819659</v>
      </c>
      <c r="L202" s="17">
        <v>187.36965900000001</v>
      </c>
      <c r="M202" s="18">
        <f t="shared" si="3"/>
        <v>1.5637639145676421</v>
      </c>
    </row>
    <row r="203" spans="1:13">
      <c r="A203" s="13" t="s">
        <v>1876</v>
      </c>
      <c r="B203" s="14" t="s">
        <v>1876</v>
      </c>
      <c r="C203" s="14" t="str">
        <f>HYPERLINK("http://uswest.ensembl.org/Homo_sapiens/Gene/Summary?g=","-")</f>
        <v>-</v>
      </c>
      <c r="D203" s="14" t="s">
        <v>1877</v>
      </c>
      <c r="E203" s="14" t="str">
        <f>HYPERLINK("http://www.ncbi.nlm.nih.gov/sites/entrez?db=gene&amp;cmd=Retrieve&amp;dopt=full_report&amp;list_uids=7088","7088")</f>
        <v>7088</v>
      </c>
      <c r="F203" s="14" t="s">
        <v>1878</v>
      </c>
      <c r="G203" s="14" t="s">
        <v>1900</v>
      </c>
      <c r="H203" s="14" t="s">
        <v>1879</v>
      </c>
      <c r="I203" s="14" t="s">
        <v>1880</v>
      </c>
      <c r="J203" s="15" t="s">
        <v>8558</v>
      </c>
      <c r="K203" s="16">
        <v>33.976917</v>
      </c>
      <c r="L203" s="17">
        <v>53.101263000000003</v>
      </c>
      <c r="M203" s="18">
        <f t="shared" si="3"/>
        <v>1.5628628989498961</v>
      </c>
    </row>
    <row r="204" spans="1:13">
      <c r="A204" s="13" t="s">
        <v>1881</v>
      </c>
      <c r="B204" s="14" t="s">
        <v>1881</v>
      </c>
      <c r="C204" s="14" t="str">
        <f>HYPERLINK("http://uswest.ensembl.org/Homo_sapiens/Gene/Summary?g=","-")</f>
        <v>-</v>
      </c>
      <c r="D204" s="14" t="s">
        <v>1882</v>
      </c>
      <c r="E204" s="14" t="str">
        <f>HYPERLINK("http://www.ncbi.nlm.nih.gov/sites/entrez?db=gene&amp;cmd=Retrieve&amp;dopt=full_report&amp;list_uids=10954","10954")</f>
        <v>10954</v>
      </c>
      <c r="F204" s="14" t="s">
        <v>1883</v>
      </c>
      <c r="G204" s="14" t="s">
        <v>1884</v>
      </c>
      <c r="H204" s="14" t="s">
        <v>1885</v>
      </c>
      <c r="I204" s="14" t="s">
        <v>1934</v>
      </c>
      <c r="J204" s="15" t="s">
        <v>6679</v>
      </c>
      <c r="K204" s="16">
        <v>164.45130800000001</v>
      </c>
      <c r="L204" s="17">
        <v>256.95923399999998</v>
      </c>
      <c r="M204" s="18">
        <f t="shared" si="3"/>
        <v>1.5625247200831018</v>
      </c>
    </row>
    <row r="205" spans="1:13">
      <c r="A205" s="13" t="s">
        <v>1935</v>
      </c>
      <c r="B205" s="14" t="s">
        <v>1935</v>
      </c>
      <c r="C205" s="14" t="str">
        <f>HYPERLINK("http://uswest.ensembl.org/Homo_sapiens/Gene/Summary?g=ENSG00000135763","ENSG00000135763")</f>
        <v>ENSG00000135763</v>
      </c>
      <c r="D205" s="14" t="s">
        <v>1936</v>
      </c>
      <c r="E205" s="14" t="str">
        <f>HYPERLINK("http://www.ncbi.nlm.nih.gov/sites/entrez?db=gene&amp;cmd=Retrieve&amp;dopt=full_report&amp;list_uids=9816","9816")</f>
        <v>9816</v>
      </c>
      <c r="F205" s="14" t="s">
        <v>1937</v>
      </c>
      <c r="G205" s="14" t="s">
        <v>1938</v>
      </c>
      <c r="H205" s="14" t="s">
        <v>8728</v>
      </c>
      <c r="I205" s="14" t="s">
        <v>8728</v>
      </c>
      <c r="J205" s="15" t="s">
        <v>8698</v>
      </c>
      <c r="K205" s="16">
        <v>21.706900999999998</v>
      </c>
      <c r="L205" s="17">
        <v>33.906646000000002</v>
      </c>
      <c r="M205" s="18">
        <f t="shared" si="3"/>
        <v>1.5620214972187878</v>
      </c>
    </row>
    <row r="206" spans="1:13">
      <c r="A206" s="13" t="s">
        <v>1939</v>
      </c>
      <c r="B206" s="14" t="s">
        <v>1939</v>
      </c>
      <c r="C206" s="14" t="str">
        <f>HYPERLINK("http://uswest.ensembl.org/Homo_sapiens/Gene/Summary?g=ENSG00000115364","ENSG00000115364")</f>
        <v>ENSG00000115364</v>
      </c>
      <c r="D206" s="14" t="s">
        <v>1940</v>
      </c>
      <c r="E206" s="14" t="str">
        <f>HYPERLINK("http://www.ncbi.nlm.nih.gov/sites/entrez?db=gene&amp;cmd=Retrieve&amp;dopt=full_report&amp;list_uids=9801","9801")</f>
        <v>9801</v>
      </c>
      <c r="F206" s="14" t="s">
        <v>1941</v>
      </c>
      <c r="G206" s="14" t="s">
        <v>1942</v>
      </c>
      <c r="H206" s="14" t="s">
        <v>7806</v>
      </c>
      <c r="I206" s="14" t="s">
        <v>7807</v>
      </c>
      <c r="J206" s="15" t="s">
        <v>1895</v>
      </c>
      <c r="K206" s="16">
        <v>318.36078900000001</v>
      </c>
      <c r="L206" s="17">
        <v>496.38280099999997</v>
      </c>
      <c r="M206" s="18">
        <f t="shared" si="3"/>
        <v>1.5591832227806168</v>
      </c>
    </row>
    <row r="207" spans="1:13">
      <c r="A207" s="13" t="s">
        <v>1896</v>
      </c>
      <c r="B207" s="14" t="s">
        <v>1896</v>
      </c>
      <c r="C207" s="14" t="str">
        <f>HYPERLINK("http://uswest.ensembl.org/Homo_sapiens/Gene/Summary?g=ENSG00000138138","ENSG00000138138")</f>
        <v>ENSG00000138138</v>
      </c>
      <c r="D207" s="14" t="s">
        <v>1897</v>
      </c>
      <c r="E207" s="14" t="str">
        <f>HYPERLINK("http://www.ncbi.nlm.nih.gov/sites/entrez?db=gene&amp;cmd=Retrieve&amp;dopt=full_report&amp;list_uids=84896","84896")</f>
        <v>84896</v>
      </c>
      <c r="F207" s="14" t="s">
        <v>1898</v>
      </c>
      <c r="G207" s="14" t="s">
        <v>1865</v>
      </c>
      <c r="H207" s="14" t="s">
        <v>4511</v>
      </c>
      <c r="I207" s="14" t="s">
        <v>1866</v>
      </c>
      <c r="J207" s="15" t="s">
        <v>8728</v>
      </c>
      <c r="K207" s="16">
        <v>130.52915999999999</v>
      </c>
      <c r="L207" s="17">
        <v>203.36798200000001</v>
      </c>
      <c r="M207" s="18">
        <f t="shared" si="3"/>
        <v>1.5580272025040232</v>
      </c>
    </row>
    <row r="208" spans="1:13">
      <c r="A208" s="13" t="s">
        <v>1867</v>
      </c>
      <c r="B208" s="14" t="s">
        <v>1867</v>
      </c>
      <c r="C208" s="14" t="str">
        <f>HYPERLINK("http://uswest.ensembl.org/Homo_sapiens/Gene/Summary?g=ENSG00000131153","ENSG00000131153")</f>
        <v>ENSG00000131153</v>
      </c>
      <c r="D208" s="14" t="s">
        <v>1868</v>
      </c>
      <c r="E208" s="14" t="str">
        <f>HYPERLINK("http://www.ncbi.nlm.nih.gov/sites/entrez?db=gene&amp;cmd=Retrieve&amp;dopt=full_report&amp;list_uids=51659","51659")</f>
        <v>51659</v>
      </c>
      <c r="F208" s="14" t="s">
        <v>1869</v>
      </c>
      <c r="G208" s="14" t="s">
        <v>1870</v>
      </c>
      <c r="H208" s="14" t="s">
        <v>1871</v>
      </c>
      <c r="I208" s="14" t="s">
        <v>8665</v>
      </c>
      <c r="J208" s="15" t="s">
        <v>8558</v>
      </c>
      <c r="K208" s="16">
        <v>244.52452700000001</v>
      </c>
      <c r="L208" s="17">
        <v>380.942564</v>
      </c>
      <c r="M208" s="18">
        <f t="shared" si="3"/>
        <v>1.5578910167976727</v>
      </c>
    </row>
    <row r="209" spans="1:13">
      <c r="A209" s="13" t="s">
        <v>1854</v>
      </c>
      <c r="B209" s="14" t="s">
        <v>1854</v>
      </c>
      <c r="C209" s="14" t="str">
        <f>HYPERLINK("http://uswest.ensembl.org/Homo_sapiens/Gene/Summary?g=ENSG00000104980","ENSG00000104980")</f>
        <v>ENSG00000104980</v>
      </c>
      <c r="D209" s="14" t="s">
        <v>1855</v>
      </c>
      <c r="E209" s="14" t="str">
        <f>HYPERLINK("http://www.ncbi.nlm.nih.gov/sites/entrez?db=gene&amp;cmd=Retrieve&amp;dopt=full_report&amp;list_uids=10469","10469")</f>
        <v>10469</v>
      </c>
      <c r="F209" s="14" t="s">
        <v>1856</v>
      </c>
      <c r="G209" s="14" t="s">
        <v>1857</v>
      </c>
      <c r="H209" s="14" t="s">
        <v>1858</v>
      </c>
      <c r="I209" s="14" t="s">
        <v>1859</v>
      </c>
      <c r="J209" s="15" t="s">
        <v>1860</v>
      </c>
      <c r="K209" s="16">
        <v>80.805087</v>
      </c>
      <c r="L209" s="17">
        <v>125.807012</v>
      </c>
      <c r="M209" s="18">
        <f t="shared" si="3"/>
        <v>1.5569194548358076</v>
      </c>
    </row>
    <row r="210" spans="1:13">
      <c r="A210" s="13" t="s">
        <v>1861</v>
      </c>
      <c r="B210" s="14" t="s">
        <v>1861</v>
      </c>
      <c r="C210" s="14" t="str">
        <f>HYPERLINK("http://uswest.ensembl.org/Homo_sapiens/Gene/Summary?g=ENSG00000184937","ENSG00000184937")</f>
        <v>ENSG00000184937</v>
      </c>
      <c r="D210" s="14" t="s">
        <v>1862</v>
      </c>
      <c r="E210" s="14" t="str">
        <f>HYPERLINK("http://www.ncbi.nlm.nih.gov/sites/entrez?db=gene&amp;cmd=Retrieve&amp;dopt=full_report&amp;list_uids=7490","7490")</f>
        <v>7490</v>
      </c>
      <c r="F210" s="14" t="s">
        <v>1863</v>
      </c>
      <c r="G210" s="14" t="s">
        <v>1913</v>
      </c>
      <c r="H210" s="19" t="s">
        <v>1864</v>
      </c>
      <c r="I210" s="14" t="s">
        <v>1840</v>
      </c>
      <c r="J210" s="15" t="s">
        <v>8610</v>
      </c>
      <c r="K210" s="16">
        <v>46.266281999999997</v>
      </c>
      <c r="L210" s="17">
        <v>71.990870000000001</v>
      </c>
      <c r="M210" s="18">
        <f t="shared" si="3"/>
        <v>1.5560115679924313</v>
      </c>
    </row>
    <row r="211" spans="1:13">
      <c r="A211" s="13" t="s">
        <v>1841</v>
      </c>
      <c r="B211" s="14" t="s">
        <v>1841</v>
      </c>
      <c r="C211" s="14" t="str">
        <f>HYPERLINK("http://uswest.ensembl.org/Homo_sapiens/Gene/Summary?g=","-")</f>
        <v>-</v>
      </c>
      <c r="D211" s="14" t="s">
        <v>1842</v>
      </c>
      <c r="E211" s="14" t="str">
        <f>HYPERLINK("http://www.ncbi.nlm.nih.gov/sites/entrez?db=gene&amp;cmd=Retrieve&amp;dopt=full_report&amp;list_uids=821","821")</f>
        <v>821</v>
      </c>
      <c r="F211" s="14" t="s">
        <v>1843</v>
      </c>
      <c r="G211" s="14" t="s">
        <v>1845</v>
      </c>
      <c r="H211" s="14" t="s">
        <v>1846</v>
      </c>
      <c r="I211" s="14" t="s">
        <v>1847</v>
      </c>
      <c r="J211" s="15" t="s">
        <v>1848</v>
      </c>
      <c r="K211" s="16">
        <v>904.16377</v>
      </c>
      <c r="L211" s="17">
        <v>1406.6990490000001</v>
      </c>
      <c r="M211" s="18">
        <f t="shared" si="3"/>
        <v>1.555801167525215</v>
      </c>
    </row>
    <row r="212" spans="1:13">
      <c r="A212" s="13" t="s">
        <v>1849</v>
      </c>
      <c r="B212" s="14" t="s">
        <v>1849</v>
      </c>
      <c r="C212" s="14" t="str">
        <f>HYPERLINK("http://uswest.ensembl.org/Homo_sapiens/Gene/Summary?g=ENSG00000125966","ENSG00000125966")</f>
        <v>ENSG00000125966</v>
      </c>
      <c r="D212" s="14" t="s">
        <v>8728</v>
      </c>
      <c r="E212" s="14" t="str">
        <f>HYPERLINK("http://www.ncbi.nlm.nih.gov/sites/entrez?db=gene&amp;cmd=Retrieve&amp;dopt=full_report&amp;list_uids=10893","10893")</f>
        <v>10893</v>
      </c>
      <c r="F212" s="14" t="s">
        <v>1850</v>
      </c>
      <c r="G212" s="14" t="s">
        <v>1851</v>
      </c>
      <c r="H212" s="14" t="s">
        <v>8318</v>
      </c>
      <c r="I212" s="14" t="s">
        <v>8062</v>
      </c>
      <c r="J212" s="15" t="s">
        <v>1852</v>
      </c>
      <c r="K212" s="16">
        <v>137.49268699999999</v>
      </c>
      <c r="L212" s="17">
        <v>213.746726</v>
      </c>
      <c r="M212" s="18">
        <f t="shared" si="3"/>
        <v>1.5546043259740789</v>
      </c>
    </row>
    <row r="213" spans="1:13">
      <c r="A213" s="13" t="s">
        <v>1817</v>
      </c>
      <c r="B213" s="14" t="s">
        <v>1817</v>
      </c>
      <c r="C213" s="14" t="str">
        <f>HYPERLINK("http://uswest.ensembl.org/Homo_sapiens/Gene/Summary?g=ENSG00000084623","ENSG00000084623")</f>
        <v>ENSG00000084623</v>
      </c>
      <c r="D213" s="14" t="s">
        <v>1818</v>
      </c>
      <c r="E213" s="14" t="str">
        <f>HYPERLINK("http://www.ncbi.nlm.nih.gov/sites/entrez?db=gene&amp;cmd=Retrieve&amp;dopt=full_report&amp;list_uids=8668","8668")</f>
        <v>8668</v>
      </c>
      <c r="F213" s="14" t="s">
        <v>1819</v>
      </c>
      <c r="G213" s="14" t="s">
        <v>1820</v>
      </c>
      <c r="H213" s="14" t="s">
        <v>6527</v>
      </c>
      <c r="I213" s="14" t="s">
        <v>6528</v>
      </c>
      <c r="J213" s="15" t="s">
        <v>6529</v>
      </c>
      <c r="K213" s="16">
        <v>540.71127899999999</v>
      </c>
      <c r="L213" s="17">
        <v>840.47471900000005</v>
      </c>
      <c r="M213" s="18">
        <f t="shared" si="3"/>
        <v>1.5543872518331545</v>
      </c>
    </row>
    <row r="214" spans="1:13">
      <c r="A214" s="13" t="s">
        <v>1821</v>
      </c>
      <c r="B214" s="14" t="s">
        <v>1821</v>
      </c>
      <c r="C214" s="14" t="str">
        <f>HYPERLINK("http://uswest.ensembl.org/Homo_sapiens/Gene/Summary?g=ENSG00000108773","ENSG00000108773")</f>
        <v>ENSG00000108773</v>
      </c>
      <c r="D214" s="14" t="s">
        <v>1822</v>
      </c>
      <c r="E214" s="14" t="str">
        <f>HYPERLINK("http://www.ncbi.nlm.nih.gov/sites/entrez?db=gene&amp;cmd=Retrieve&amp;dopt=full_report&amp;list_uids=2648","2648")</f>
        <v>2648</v>
      </c>
      <c r="F214" s="14" t="s">
        <v>1823</v>
      </c>
      <c r="G214" s="14" t="s">
        <v>1853</v>
      </c>
      <c r="H214" s="19" t="s">
        <v>1828</v>
      </c>
      <c r="I214" s="14" t="s">
        <v>1829</v>
      </c>
      <c r="J214" s="15" t="s">
        <v>1830</v>
      </c>
      <c r="K214" s="16">
        <v>76.738499000000004</v>
      </c>
      <c r="L214" s="17">
        <v>119.10638899999999</v>
      </c>
      <c r="M214" s="18">
        <f t="shared" si="3"/>
        <v>1.5521073587847996</v>
      </c>
    </row>
    <row r="215" spans="1:13">
      <c r="A215" s="13" t="s">
        <v>1831</v>
      </c>
      <c r="B215" s="14" t="s">
        <v>1831</v>
      </c>
      <c r="C215" s="14" t="str">
        <f>HYPERLINK("http://uswest.ensembl.org/Homo_sapiens/Gene/Summary?g=ENSG00000123136","ENSG00000123136")</f>
        <v>ENSG00000123136</v>
      </c>
      <c r="D215" s="14" t="s">
        <v>1832</v>
      </c>
      <c r="E215" s="14" t="str">
        <f>HYPERLINK("http://www.ncbi.nlm.nih.gov/sites/entrez?db=gene&amp;cmd=Retrieve&amp;dopt=full_report&amp;list_uids=10212","10212")</f>
        <v>10212</v>
      </c>
      <c r="F215" s="14" t="s">
        <v>1833</v>
      </c>
      <c r="G215" s="14" t="s">
        <v>1834</v>
      </c>
      <c r="H215" s="14" t="s">
        <v>1835</v>
      </c>
      <c r="I215" s="14" t="s">
        <v>1836</v>
      </c>
      <c r="J215" s="15" t="s">
        <v>8558</v>
      </c>
      <c r="K215" s="16">
        <v>666.63735299999996</v>
      </c>
      <c r="L215" s="17">
        <v>1034.5593570000001</v>
      </c>
      <c r="M215" s="18">
        <f t="shared" si="3"/>
        <v>1.5519072736387758</v>
      </c>
    </row>
    <row r="216" spans="1:13">
      <c r="A216" s="13" t="s">
        <v>1837</v>
      </c>
      <c r="B216" s="14" t="s">
        <v>1837</v>
      </c>
      <c r="C216" s="14" t="str">
        <f>HYPERLINK("http://uswest.ensembl.org/Homo_sapiens/Gene/Summary?g=ENSG00000112759","ENSG00000112759")</f>
        <v>ENSG00000112759</v>
      </c>
      <c r="D216" s="14" t="s">
        <v>1838</v>
      </c>
      <c r="E216" s="14" t="str">
        <f>HYPERLINK("http://www.ncbi.nlm.nih.gov/sites/entrez?db=gene&amp;cmd=Retrieve&amp;dopt=full_report&amp;list_uids=2030","2030")</f>
        <v>2030</v>
      </c>
      <c r="F216" s="14" t="s">
        <v>1839</v>
      </c>
      <c r="G216" s="19" t="s">
        <v>1812</v>
      </c>
      <c r="H216" s="14" t="s">
        <v>1813</v>
      </c>
      <c r="I216" s="14" t="s">
        <v>1886</v>
      </c>
      <c r="J216" s="15" t="s">
        <v>7574</v>
      </c>
      <c r="K216" s="16">
        <v>166.67578</v>
      </c>
      <c r="L216" s="17">
        <v>258.52310199999999</v>
      </c>
      <c r="M216" s="18">
        <f t="shared" si="3"/>
        <v>1.5510538003781953</v>
      </c>
    </row>
    <row r="217" spans="1:13">
      <c r="A217" s="13" t="s">
        <v>1887</v>
      </c>
      <c r="B217" s="14" t="s">
        <v>1887</v>
      </c>
      <c r="C217" s="14" t="str">
        <f>HYPERLINK("http://uswest.ensembl.org/Homo_sapiens/Gene/Summary?g=","-")</f>
        <v>-</v>
      </c>
      <c r="D217" s="14" t="s">
        <v>1888</v>
      </c>
      <c r="E217" s="14" t="str">
        <f>HYPERLINK("http://www.ncbi.nlm.nih.gov/sites/entrez?db=gene&amp;cmd=Retrieve&amp;dopt=full_report&amp;list_uids=119559","119559")</f>
        <v>119559</v>
      </c>
      <c r="F217" s="14" t="s">
        <v>1889</v>
      </c>
      <c r="G217" s="14" t="s">
        <v>1844</v>
      </c>
      <c r="H217" s="14" t="s">
        <v>1814</v>
      </c>
      <c r="I217" s="14" t="s">
        <v>1815</v>
      </c>
      <c r="J217" s="15" t="s">
        <v>1816</v>
      </c>
      <c r="K217" s="16">
        <v>55.149653999999998</v>
      </c>
      <c r="L217" s="17">
        <v>85.499194000000003</v>
      </c>
      <c r="M217" s="18">
        <f t="shared" si="3"/>
        <v>1.5503124280707183</v>
      </c>
    </row>
    <row r="218" spans="1:13">
      <c r="A218" s="13" t="s">
        <v>1824</v>
      </c>
      <c r="B218" s="14" t="s">
        <v>1824</v>
      </c>
      <c r="C218" s="14" t="str">
        <f>HYPERLINK("http://uswest.ensembl.org/Homo_sapiens/Gene/Summary?g=","-")</f>
        <v>-</v>
      </c>
      <c r="D218" s="14" t="s">
        <v>1825</v>
      </c>
      <c r="E218" s="14" t="str">
        <f>HYPERLINK("http://www.ncbi.nlm.nih.gov/sites/entrez?db=gene&amp;cmd=Retrieve&amp;dopt=full_report&amp;list_uids=10560","10560")</f>
        <v>10560</v>
      </c>
      <c r="F218" s="14" t="s">
        <v>1826</v>
      </c>
      <c r="G218" s="14" t="s">
        <v>1827</v>
      </c>
      <c r="H218" s="14" t="s">
        <v>1802</v>
      </c>
      <c r="I218" s="19" t="s">
        <v>1805</v>
      </c>
      <c r="J218" s="15" t="s">
        <v>1806</v>
      </c>
      <c r="K218" s="16">
        <v>24.747672999999999</v>
      </c>
      <c r="L218" s="17">
        <v>38.332593000000003</v>
      </c>
      <c r="M218" s="18">
        <f t="shared" si="3"/>
        <v>1.5489372677584679</v>
      </c>
    </row>
    <row r="219" spans="1:13">
      <c r="A219" s="13" t="s">
        <v>1807</v>
      </c>
      <c r="B219" s="14" t="s">
        <v>1807</v>
      </c>
      <c r="C219" s="14" t="str">
        <f>HYPERLINK("http://uswest.ensembl.org/Homo_sapiens/Gene/Summary?g=ENSG00000169710","ENSG00000169710")</f>
        <v>ENSG00000169710</v>
      </c>
      <c r="D219" s="14" t="s">
        <v>1808</v>
      </c>
      <c r="E219" s="14" t="str">
        <f>HYPERLINK("http://www.ncbi.nlm.nih.gov/sites/entrez?db=gene&amp;cmd=Retrieve&amp;dopt=full_report&amp;list_uids=2194","2194")</f>
        <v>2194</v>
      </c>
      <c r="F219" s="14" t="s">
        <v>1809</v>
      </c>
      <c r="G219" s="19" t="s">
        <v>1810</v>
      </c>
      <c r="H219" s="14" t="s">
        <v>1811</v>
      </c>
      <c r="I219" s="19" t="s">
        <v>1796</v>
      </c>
      <c r="J219" s="15" t="s">
        <v>1797</v>
      </c>
      <c r="K219" s="16">
        <v>746.16319199999998</v>
      </c>
      <c r="L219" s="17">
        <v>1155.433297</v>
      </c>
      <c r="M219" s="18">
        <f t="shared" si="3"/>
        <v>1.5484994561350596</v>
      </c>
    </row>
    <row r="220" spans="1:13">
      <c r="A220" s="13" t="s">
        <v>1798</v>
      </c>
      <c r="B220" s="14" t="s">
        <v>1798</v>
      </c>
      <c r="C220" s="14" t="str">
        <f>HYPERLINK("http://uswest.ensembl.org/Homo_sapiens/Gene/Summary?g=ENSG00000124802","ENSG00000124802")</f>
        <v>ENSG00000124802</v>
      </c>
      <c r="D220" s="14" t="s">
        <v>1799</v>
      </c>
      <c r="E220" s="14" t="str">
        <f>HYPERLINK("http://www.ncbi.nlm.nih.gov/sites/entrez?db=gene&amp;cmd=Retrieve&amp;dopt=full_report&amp;list_uids=9521","9521")</f>
        <v>9521</v>
      </c>
      <c r="F220" s="14" t="s">
        <v>1800</v>
      </c>
      <c r="G220" s="14" t="s">
        <v>1801</v>
      </c>
      <c r="H220" s="14" t="s">
        <v>1770</v>
      </c>
      <c r="I220" s="14" t="s">
        <v>8665</v>
      </c>
      <c r="J220" s="15" t="s">
        <v>8608</v>
      </c>
      <c r="K220" s="16">
        <v>343.87156499999998</v>
      </c>
      <c r="L220" s="17">
        <v>532.27222500000005</v>
      </c>
      <c r="M220" s="18">
        <f t="shared" si="3"/>
        <v>1.5478808926815455</v>
      </c>
    </row>
    <row r="221" spans="1:13">
      <c r="A221" s="13" t="s">
        <v>1771</v>
      </c>
      <c r="B221" s="14" t="s">
        <v>1771</v>
      </c>
      <c r="C221" s="14" t="str">
        <f>HYPERLINK("http://uswest.ensembl.org/Homo_sapiens/Gene/Summary?g=ENSG00000153551","ENSG00000153551")</f>
        <v>ENSG00000153551</v>
      </c>
      <c r="D221" s="14" t="s">
        <v>1772</v>
      </c>
      <c r="E221" s="14" t="str">
        <f>HYPERLINK("http://www.ncbi.nlm.nih.gov/sites/entrez?db=gene&amp;cmd=Retrieve&amp;dopt=full_report&amp;list_uids=112616","112616")</f>
        <v>112616</v>
      </c>
      <c r="F221" s="14" t="s">
        <v>1773</v>
      </c>
      <c r="G221" s="14" t="s">
        <v>1774</v>
      </c>
      <c r="H221" s="14" t="s">
        <v>8728</v>
      </c>
      <c r="I221" s="14" t="s">
        <v>8728</v>
      </c>
      <c r="J221" s="15" t="s">
        <v>8698</v>
      </c>
      <c r="K221" s="16">
        <v>276.14099499999998</v>
      </c>
      <c r="L221" s="17">
        <v>427.32472799999999</v>
      </c>
      <c r="M221" s="18">
        <f t="shared" si="3"/>
        <v>1.5474874637863894</v>
      </c>
    </row>
    <row r="222" spans="1:13">
      <c r="A222" s="13" t="s">
        <v>1775</v>
      </c>
      <c r="B222" s="14" t="s">
        <v>1775</v>
      </c>
      <c r="C222" s="14" t="str">
        <f>HYPERLINK("http://uswest.ensembl.org/Homo_sapiens/Gene/Summary?g=ENSG00000128059","ENSG00000128059")</f>
        <v>ENSG00000128059</v>
      </c>
      <c r="D222" s="14" t="s">
        <v>1776</v>
      </c>
      <c r="E222" s="14" t="str">
        <f>HYPERLINK("http://www.ncbi.nlm.nih.gov/sites/entrez?db=gene&amp;cmd=Retrieve&amp;dopt=full_report&amp;list_uids=5471","5471")</f>
        <v>5471</v>
      </c>
      <c r="F222" s="14" t="s">
        <v>1777</v>
      </c>
      <c r="G222" s="14" t="s">
        <v>1778</v>
      </c>
      <c r="H222" s="14" t="s">
        <v>1779</v>
      </c>
      <c r="I222" s="14" t="s">
        <v>1780</v>
      </c>
      <c r="J222" s="15" t="s">
        <v>8728</v>
      </c>
      <c r="K222" s="16">
        <v>36.997216000000002</v>
      </c>
      <c r="L222" s="17">
        <v>57.234594000000001</v>
      </c>
      <c r="M222" s="18">
        <f t="shared" si="3"/>
        <v>1.5469973200145655</v>
      </c>
    </row>
    <row r="223" spans="1:13">
      <c r="A223" s="13" t="s">
        <v>1781</v>
      </c>
      <c r="B223" s="14" t="s">
        <v>1781</v>
      </c>
      <c r="C223" s="14" t="str">
        <f>HYPERLINK("http://uswest.ensembl.org/Homo_sapiens/Gene/Summary?g=","-")</f>
        <v>-</v>
      </c>
      <c r="D223" s="14" t="s">
        <v>1782</v>
      </c>
      <c r="E223" s="14" t="str">
        <f>HYPERLINK("http://www.ncbi.nlm.nih.gov/sites/entrez?db=gene&amp;cmd=Retrieve&amp;dopt=full_report&amp;list_uids=26227","26227")</f>
        <v>26227</v>
      </c>
      <c r="F223" s="14" t="s">
        <v>1783</v>
      </c>
      <c r="G223" s="14" t="s">
        <v>1784</v>
      </c>
      <c r="H223" s="14" t="s">
        <v>1785</v>
      </c>
      <c r="I223" s="14" t="s">
        <v>1790</v>
      </c>
      <c r="J223" s="15" t="s">
        <v>8731</v>
      </c>
      <c r="K223" s="16">
        <v>275.83486900000003</v>
      </c>
      <c r="L223" s="17">
        <v>426.692474</v>
      </c>
      <c r="M223" s="18">
        <f t="shared" si="3"/>
        <v>1.54691274365316</v>
      </c>
    </row>
    <row r="224" spans="1:13">
      <c r="A224" s="13" t="s">
        <v>1791</v>
      </c>
      <c r="B224" s="14" t="s">
        <v>1791</v>
      </c>
      <c r="C224" s="14" t="str">
        <f>HYPERLINK("http://uswest.ensembl.org/Homo_sapiens/Gene/Summary?g=ENSG00000186767","ENSG00000186767")</f>
        <v>ENSG00000186767</v>
      </c>
      <c r="D224" s="14" t="s">
        <v>1792</v>
      </c>
      <c r="E224" s="14" t="str">
        <f>HYPERLINK("http://www.ncbi.nlm.nih.gov/sites/entrez?db=gene&amp;cmd=Retrieve&amp;dopt=full_report&amp;list_uids=","-")</f>
        <v>-</v>
      </c>
      <c r="F224" s="14" t="s">
        <v>1793</v>
      </c>
      <c r="G224" s="14" t="s">
        <v>1794</v>
      </c>
      <c r="H224" s="14" t="s">
        <v>1795</v>
      </c>
      <c r="I224" s="14" t="s">
        <v>8728</v>
      </c>
      <c r="J224" s="15" t="s">
        <v>8728</v>
      </c>
      <c r="K224" s="16">
        <v>26.461358000000001</v>
      </c>
      <c r="L224" s="17">
        <v>40.921156000000003</v>
      </c>
      <c r="M224" s="18">
        <f t="shared" si="3"/>
        <v>1.5464495813102261</v>
      </c>
    </row>
    <row r="225" spans="1:13">
      <c r="A225" s="13" t="s">
        <v>1748</v>
      </c>
      <c r="B225" s="14" t="s">
        <v>1748</v>
      </c>
      <c r="C225" s="14" t="str">
        <f>HYPERLINK("http://uswest.ensembl.org/Homo_sapiens/Gene/Summary?g=ENSG00000073605","ENSG00000073605")</f>
        <v>ENSG00000073605</v>
      </c>
      <c r="D225" s="14" t="s">
        <v>1749</v>
      </c>
      <c r="E225" s="14" t="str">
        <f>HYPERLINK("http://www.ncbi.nlm.nih.gov/sites/entrez?db=gene&amp;cmd=Retrieve&amp;dopt=full_report&amp;list_uids=55876","55876")</f>
        <v>55876</v>
      </c>
      <c r="F225" s="14" t="s">
        <v>1750</v>
      </c>
      <c r="G225" s="14" t="s">
        <v>1751</v>
      </c>
      <c r="H225" s="14" t="s">
        <v>8728</v>
      </c>
      <c r="I225" s="14" t="s">
        <v>8383</v>
      </c>
      <c r="J225" s="15" t="s">
        <v>8728</v>
      </c>
      <c r="K225" s="16">
        <v>65.498035999999999</v>
      </c>
      <c r="L225" s="17">
        <v>101.24398100000001</v>
      </c>
      <c r="M225" s="18">
        <f t="shared" si="3"/>
        <v>1.5457559826679383</v>
      </c>
    </row>
    <row r="226" spans="1:13">
      <c r="A226" s="13" t="s">
        <v>1752</v>
      </c>
      <c r="B226" s="14" t="s">
        <v>1752</v>
      </c>
      <c r="C226" s="14" t="str">
        <f>HYPERLINK("http://uswest.ensembl.org/Homo_sapiens/Gene/Summary?g=ENSG00000211445","ENSG00000211445")</f>
        <v>ENSG00000211445</v>
      </c>
      <c r="D226" s="14" t="s">
        <v>1753</v>
      </c>
      <c r="E226" s="14" t="str">
        <f>HYPERLINK("http://www.ncbi.nlm.nih.gov/sites/entrez?db=gene&amp;cmd=Retrieve&amp;dopt=full_report&amp;list_uids=2878","2878")</f>
        <v>2878</v>
      </c>
      <c r="F226" s="14" t="s">
        <v>1754</v>
      </c>
      <c r="G226" s="14" t="s">
        <v>1755</v>
      </c>
      <c r="H226" s="19" t="s">
        <v>1756</v>
      </c>
      <c r="I226" s="14" t="s">
        <v>1757</v>
      </c>
      <c r="J226" s="15" t="s">
        <v>1758</v>
      </c>
      <c r="K226" s="16">
        <v>55.103174000000003</v>
      </c>
      <c r="L226" s="17">
        <v>85.173304000000002</v>
      </c>
      <c r="M226" s="18">
        <f t="shared" si="3"/>
        <v>1.5457059515301241</v>
      </c>
    </row>
    <row r="227" spans="1:13">
      <c r="A227" s="13" t="s">
        <v>1759</v>
      </c>
      <c r="B227" s="14" t="s">
        <v>1759</v>
      </c>
      <c r="C227" s="14" t="str">
        <f>HYPERLINK("http://uswest.ensembl.org/Homo_sapiens/Gene/Summary?g=ENSG00000110077","ENSG00000110077")</f>
        <v>ENSG00000110077</v>
      </c>
      <c r="D227" s="14" t="s">
        <v>1760</v>
      </c>
      <c r="E227" s="14" t="str">
        <f>HYPERLINK("http://www.ncbi.nlm.nih.gov/sites/entrez?db=gene&amp;cmd=Retrieve&amp;dopt=full_report&amp;list_uids=64231","64231")</f>
        <v>64231</v>
      </c>
      <c r="F227" s="14" t="s">
        <v>1761</v>
      </c>
      <c r="G227" s="14" t="s">
        <v>1762</v>
      </c>
      <c r="H227" s="14" t="s">
        <v>8565</v>
      </c>
      <c r="I227" s="14" t="s">
        <v>8607</v>
      </c>
      <c r="J227" s="15" t="s">
        <v>8698</v>
      </c>
      <c r="K227" s="16">
        <v>26.761205</v>
      </c>
      <c r="L227" s="17">
        <v>41.354208999999997</v>
      </c>
      <c r="M227" s="18">
        <f t="shared" si="3"/>
        <v>1.545304443503198</v>
      </c>
    </row>
    <row r="228" spans="1:13">
      <c r="A228" s="13" t="s">
        <v>1763</v>
      </c>
      <c r="B228" s="14" t="s">
        <v>1763</v>
      </c>
      <c r="C228" s="14" t="str">
        <f>HYPERLINK("http://uswest.ensembl.org/Homo_sapiens/Gene/Summary?g=ENSG00000162298","ENSG00000162298")</f>
        <v>ENSG00000162298</v>
      </c>
      <c r="D228" s="14" t="s">
        <v>1803</v>
      </c>
      <c r="E228" s="14" t="str">
        <f>HYPERLINK("http://www.ncbi.nlm.nih.gov/sites/entrez?db=gene&amp;cmd=Retrieve&amp;dopt=full_report&amp;list_uids=84447","84447")</f>
        <v>84447</v>
      </c>
      <c r="F228" s="14" t="s">
        <v>1804</v>
      </c>
      <c r="G228" s="14" t="s">
        <v>1768</v>
      </c>
      <c r="H228" s="14" t="s">
        <v>1787</v>
      </c>
      <c r="I228" s="14" t="s">
        <v>1769</v>
      </c>
      <c r="J228" s="15" t="s">
        <v>8360</v>
      </c>
      <c r="K228" s="16">
        <v>24.70964</v>
      </c>
      <c r="L228" s="17">
        <v>38.173172000000001</v>
      </c>
      <c r="M228" s="18">
        <f t="shared" si="3"/>
        <v>1.5448696136406681</v>
      </c>
    </row>
    <row r="229" spans="1:13">
      <c r="A229" s="13" t="s">
        <v>1788</v>
      </c>
      <c r="B229" s="14" t="s">
        <v>1788</v>
      </c>
      <c r="C229" s="14" t="str">
        <f>HYPERLINK("http://uswest.ensembl.org/Homo_sapiens/Gene/Summary?g=ENSG00000140905","ENSG00000140905")</f>
        <v>ENSG00000140905</v>
      </c>
      <c r="D229" s="14" t="s">
        <v>1789</v>
      </c>
      <c r="E229" s="14" t="str">
        <f>HYPERLINK("http://www.ncbi.nlm.nih.gov/sites/entrez?db=gene&amp;cmd=Retrieve&amp;dopt=full_report&amp;list_uids=730107","730107")</f>
        <v>730107</v>
      </c>
      <c r="F229" s="14" t="s">
        <v>1740</v>
      </c>
      <c r="G229" s="14" t="s">
        <v>1741</v>
      </c>
      <c r="H229" s="14" t="s">
        <v>7842</v>
      </c>
      <c r="I229" s="14" t="s">
        <v>1742</v>
      </c>
      <c r="J229" s="15" t="s">
        <v>1743</v>
      </c>
      <c r="K229" s="16">
        <v>203.88071199999999</v>
      </c>
      <c r="L229" s="17">
        <v>314.75507399999998</v>
      </c>
      <c r="M229" s="18">
        <f t="shared" si="3"/>
        <v>1.5438197704547942</v>
      </c>
    </row>
    <row r="230" spans="1:13">
      <c r="A230" s="13" t="s">
        <v>1725</v>
      </c>
      <c r="B230" s="14" t="s">
        <v>1725</v>
      </c>
      <c r="C230" s="14" t="str">
        <f>HYPERLINK("http://uswest.ensembl.org/Homo_sapiens/Gene/Summary?g=","-")</f>
        <v>-</v>
      </c>
      <c r="D230" s="14" t="s">
        <v>1726</v>
      </c>
      <c r="E230" s="14" t="str">
        <f>HYPERLINK("http://www.ncbi.nlm.nih.gov/sites/entrez?db=gene&amp;cmd=Retrieve&amp;dopt=full_report&amp;list_uids=10130","10130")</f>
        <v>10130</v>
      </c>
      <c r="F230" s="14" t="s">
        <v>2557</v>
      </c>
      <c r="G230" s="14" t="s">
        <v>2558</v>
      </c>
      <c r="H230" s="14" t="s">
        <v>1727</v>
      </c>
      <c r="I230" s="14" t="s">
        <v>1728</v>
      </c>
      <c r="J230" s="15" t="s">
        <v>1744</v>
      </c>
      <c r="K230" s="16">
        <v>1117.05621</v>
      </c>
      <c r="L230" s="17">
        <v>1724.0807669999999</v>
      </c>
      <c r="M230" s="18">
        <f t="shared" si="3"/>
        <v>1.5434145135811921</v>
      </c>
    </row>
    <row r="231" spans="1:13">
      <c r="A231" s="13" t="s">
        <v>1745</v>
      </c>
      <c r="B231" s="14" t="s">
        <v>1745</v>
      </c>
      <c r="C231" s="14" t="str">
        <f>HYPERLINK("http://uswest.ensembl.org/Homo_sapiens/Gene/Summary?g=ENSG00000162521","ENSG00000162521")</f>
        <v>ENSG00000162521</v>
      </c>
      <c r="D231" s="14" t="s">
        <v>1746</v>
      </c>
      <c r="E231" s="14" t="str">
        <f>HYPERLINK("http://www.ncbi.nlm.nih.gov/sites/entrez?db=gene&amp;cmd=Retrieve&amp;dopt=full_report&amp;list_uids=642954","642954")</f>
        <v>642954</v>
      </c>
      <c r="F231" s="14" t="s">
        <v>1747</v>
      </c>
      <c r="G231" s="19" t="s">
        <v>1729</v>
      </c>
      <c r="H231" s="14" t="s">
        <v>8728</v>
      </c>
      <c r="I231" s="14" t="s">
        <v>8728</v>
      </c>
      <c r="J231" s="15" t="s">
        <v>8728</v>
      </c>
      <c r="K231" s="16">
        <v>380.38170200000002</v>
      </c>
      <c r="L231" s="17">
        <v>586.69770100000005</v>
      </c>
      <c r="M231" s="18">
        <f t="shared" si="3"/>
        <v>1.5423920181102719</v>
      </c>
    </row>
    <row r="232" spans="1:13">
      <c r="A232" s="13" t="s">
        <v>1730</v>
      </c>
      <c r="B232" s="14" t="s">
        <v>1730</v>
      </c>
      <c r="C232" s="14" t="str">
        <f>HYPERLINK("http://uswest.ensembl.org/Homo_sapiens/Gene/Summary?g=","-")</f>
        <v>-</v>
      </c>
      <c r="D232" s="14" t="s">
        <v>1731</v>
      </c>
      <c r="E232" s="14" t="str">
        <f>HYPERLINK("http://www.ncbi.nlm.nih.gov/sites/entrez?db=gene&amp;cmd=Retrieve&amp;dopt=full_report&amp;list_uids=56704","56704")</f>
        <v>56704</v>
      </c>
      <c r="F232" s="14" t="s">
        <v>1732</v>
      </c>
      <c r="G232" s="14" t="s">
        <v>1733</v>
      </c>
      <c r="H232" s="14" t="s">
        <v>1734</v>
      </c>
      <c r="I232" s="14" t="s">
        <v>1735</v>
      </c>
      <c r="J232" s="20" t="s">
        <v>1736</v>
      </c>
      <c r="K232" s="16">
        <v>43.546204000000003</v>
      </c>
      <c r="L232" s="17">
        <v>67.139814000000001</v>
      </c>
      <c r="M232" s="18">
        <f t="shared" si="3"/>
        <v>1.5418063535457647</v>
      </c>
    </row>
    <row r="233" spans="1:13">
      <c r="A233" s="13" t="s">
        <v>1737</v>
      </c>
      <c r="B233" s="14" t="s">
        <v>1737</v>
      </c>
      <c r="C233" s="14" t="str">
        <f>HYPERLINK("http://uswest.ensembl.org/Homo_sapiens/Gene/Summary?g=ENSG00000146576","ENSG00000146576")</f>
        <v>ENSG00000146576</v>
      </c>
      <c r="D233" s="14" t="s">
        <v>1738</v>
      </c>
      <c r="E233" s="14" t="str">
        <f>HYPERLINK("http://www.ncbi.nlm.nih.gov/sites/entrez?db=gene&amp;cmd=Retrieve&amp;dopt=full_report&amp;list_uids=79034","79034")</f>
        <v>79034</v>
      </c>
      <c r="F233" s="14" t="s">
        <v>1739</v>
      </c>
      <c r="G233" s="14" t="s">
        <v>1786</v>
      </c>
      <c r="H233" s="14" t="s">
        <v>8728</v>
      </c>
      <c r="I233" s="14" t="s">
        <v>8728</v>
      </c>
      <c r="J233" s="15" t="s">
        <v>8728</v>
      </c>
      <c r="K233" s="16">
        <v>162.43067400000001</v>
      </c>
      <c r="L233" s="17">
        <v>250.376586</v>
      </c>
      <c r="M233" s="18">
        <f t="shared" si="3"/>
        <v>1.5414366008233149</v>
      </c>
    </row>
    <row r="234" spans="1:13">
      <c r="A234" s="13" t="s">
        <v>1718</v>
      </c>
      <c r="B234" s="14" t="s">
        <v>1718</v>
      </c>
      <c r="C234" s="14" t="str">
        <f>HYPERLINK("http://uswest.ensembl.org/Homo_sapiens/Gene/Summary?g=ENSG00000106624","ENSG00000106624")</f>
        <v>ENSG00000106624</v>
      </c>
      <c r="D234" s="14" t="s">
        <v>1719</v>
      </c>
      <c r="E234" s="14" t="str">
        <f>HYPERLINK("http://www.ncbi.nlm.nih.gov/sites/entrez?db=gene&amp;cmd=Retrieve&amp;dopt=full_report&amp;list_uids=165","165")</f>
        <v>165</v>
      </c>
      <c r="F234" s="14" t="s">
        <v>1720</v>
      </c>
      <c r="G234" s="14" t="s">
        <v>1721</v>
      </c>
      <c r="H234" s="14" t="s">
        <v>1722</v>
      </c>
      <c r="I234" s="14" t="s">
        <v>1764</v>
      </c>
      <c r="J234" s="15" t="s">
        <v>7853</v>
      </c>
      <c r="K234" s="16">
        <v>34.943109</v>
      </c>
      <c r="L234" s="17">
        <v>53.807262999999999</v>
      </c>
      <c r="M234" s="18">
        <f t="shared" si="3"/>
        <v>1.539853337034206</v>
      </c>
    </row>
    <row r="235" spans="1:13">
      <c r="A235" s="13" t="s">
        <v>1765</v>
      </c>
      <c r="B235" s="14" t="s">
        <v>1765</v>
      </c>
      <c r="C235" s="14" t="str">
        <f>HYPERLINK("http://uswest.ensembl.org/Homo_sapiens/Gene/Summary?g=ENSG00000169738","ENSG00000169738")</f>
        <v>ENSG00000169738</v>
      </c>
      <c r="D235" s="14" t="s">
        <v>1766</v>
      </c>
      <c r="E235" s="14" t="str">
        <f>HYPERLINK("http://www.ncbi.nlm.nih.gov/sites/entrez?db=gene&amp;cmd=Retrieve&amp;dopt=full_report&amp;list_uids=51181","51181")</f>
        <v>51181</v>
      </c>
      <c r="F235" s="14" t="s">
        <v>1767</v>
      </c>
      <c r="G235" s="14" t="s">
        <v>1723</v>
      </c>
      <c r="H235" s="19" t="s">
        <v>1724</v>
      </c>
      <c r="I235" s="19" t="s">
        <v>1703</v>
      </c>
      <c r="J235" s="15" t="s">
        <v>1704</v>
      </c>
      <c r="K235" s="16">
        <v>362.66660000000002</v>
      </c>
      <c r="L235" s="17">
        <v>558.29014199999995</v>
      </c>
      <c r="M235" s="18">
        <f t="shared" si="3"/>
        <v>1.5394032480520674</v>
      </c>
    </row>
    <row r="236" spans="1:13">
      <c r="A236" s="13" t="s">
        <v>1705</v>
      </c>
      <c r="B236" s="14" t="s">
        <v>1705</v>
      </c>
      <c r="C236" s="14" t="str">
        <f>HYPERLINK("http://uswest.ensembl.org/Homo_sapiens/Gene/Summary?g=ENSG00000140263","ENSG00000140263")</f>
        <v>ENSG00000140263</v>
      </c>
      <c r="D236" s="14" t="s">
        <v>1706</v>
      </c>
      <c r="E236" s="14" t="str">
        <f>HYPERLINK("http://www.ncbi.nlm.nih.gov/sites/entrez?db=gene&amp;cmd=Retrieve&amp;dopt=full_report&amp;list_uids=6652","6652")</f>
        <v>6652</v>
      </c>
      <c r="F236" s="14" t="s">
        <v>1707</v>
      </c>
      <c r="G236" s="14" t="s">
        <v>1708</v>
      </c>
      <c r="H236" s="14" t="s">
        <v>1709</v>
      </c>
      <c r="I236" s="19" t="s">
        <v>1710</v>
      </c>
      <c r="J236" s="15" t="s">
        <v>1711</v>
      </c>
      <c r="K236" s="16">
        <v>390.65947899999998</v>
      </c>
      <c r="L236" s="17">
        <v>601.00708999999995</v>
      </c>
      <c r="M236" s="18">
        <f t="shared" si="3"/>
        <v>1.5384423578776134</v>
      </c>
    </row>
    <row r="237" spans="1:13">
      <c r="A237" s="13" t="s">
        <v>1712</v>
      </c>
      <c r="B237" s="14" t="s">
        <v>1712</v>
      </c>
      <c r="C237" s="14" t="str">
        <f>HYPERLINK("http://uswest.ensembl.org/Homo_sapiens/Gene/Summary?g=ENSG00000138073","ENSG00000138073")</f>
        <v>ENSG00000138073</v>
      </c>
      <c r="D237" s="14" t="s">
        <v>1713</v>
      </c>
      <c r="E237" s="14" t="str">
        <f>HYPERLINK("http://www.ncbi.nlm.nih.gov/sites/entrez?db=gene&amp;cmd=Retrieve&amp;dopt=full_report&amp;list_uids=10113","10113")</f>
        <v>10113</v>
      </c>
      <c r="F237" s="14" t="s">
        <v>1714</v>
      </c>
      <c r="G237" s="14" t="s">
        <v>1715</v>
      </c>
      <c r="H237" s="14" t="s">
        <v>1716</v>
      </c>
      <c r="I237" s="14" t="s">
        <v>8682</v>
      </c>
      <c r="J237" s="15" t="s">
        <v>1717</v>
      </c>
      <c r="K237" s="16">
        <v>77.196601999999999</v>
      </c>
      <c r="L237" s="17">
        <v>118.72721199999999</v>
      </c>
      <c r="M237" s="18">
        <f t="shared" si="3"/>
        <v>1.5379849491302739</v>
      </c>
    </row>
    <row r="238" spans="1:13">
      <c r="A238" s="13" t="s">
        <v>1699</v>
      </c>
      <c r="B238" s="14" t="s">
        <v>1699</v>
      </c>
      <c r="C238" s="14" t="str">
        <f>HYPERLINK("http://uswest.ensembl.org/Homo_sapiens/Gene/Summary?g=","-")</f>
        <v>-</v>
      </c>
      <c r="D238" s="14" t="s">
        <v>1700</v>
      </c>
      <c r="E238" s="14" t="str">
        <f>HYPERLINK("http://www.ncbi.nlm.nih.gov/sites/entrez?db=gene&amp;cmd=Retrieve&amp;dopt=full_report&amp;list_uids=683","683")</f>
        <v>683</v>
      </c>
      <c r="F238" s="14" t="s">
        <v>1701</v>
      </c>
      <c r="G238" s="14" t="s">
        <v>1702</v>
      </c>
      <c r="H238" s="14" t="s">
        <v>1683</v>
      </c>
      <c r="I238" s="14" t="s">
        <v>1684</v>
      </c>
      <c r="J238" s="15" t="s">
        <v>1685</v>
      </c>
      <c r="K238" s="16">
        <v>95.975109000000003</v>
      </c>
      <c r="L238" s="17">
        <v>147.57192499999999</v>
      </c>
      <c r="M238" s="18">
        <f t="shared" si="3"/>
        <v>1.5376062245472415</v>
      </c>
    </row>
    <row r="239" spans="1:13">
      <c r="A239" s="13" t="s">
        <v>1686</v>
      </c>
      <c r="B239" s="14" t="s">
        <v>1686</v>
      </c>
      <c r="C239" s="14" t="str">
        <f>HYPERLINK("http://uswest.ensembl.org/Homo_sapiens/Gene/Summary?g=ENSG00000138442","ENSG00000138442")</f>
        <v>ENSG00000138442</v>
      </c>
      <c r="D239" s="14" t="s">
        <v>1687</v>
      </c>
      <c r="E239" s="14" t="str">
        <f>HYPERLINK("http://www.ncbi.nlm.nih.gov/sites/entrez?db=gene&amp;cmd=Retrieve&amp;dopt=full_report&amp;list_uids=55759","55759")</f>
        <v>55759</v>
      </c>
      <c r="F239" s="14" t="s">
        <v>1688</v>
      </c>
      <c r="G239" s="14" t="s">
        <v>1689</v>
      </c>
      <c r="H239" s="14" t="s">
        <v>1690</v>
      </c>
      <c r="I239" s="14" t="s">
        <v>8665</v>
      </c>
      <c r="J239" s="15" t="s">
        <v>8558</v>
      </c>
      <c r="K239" s="16">
        <v>205.45011400000001</v>
      </c>
      <c r="L239" s="17">
        <v>315.90004800000003</v>
      </c>
      <c r="M239" s="18">
        <f t="shared" si="3"/>
        <v>1.5375997698399915</v>
      </c>
    </row>
    <row r="240" spans="1:13">
      <c r="A240" s="13" t="s">
        <v>1673</v>
      </c>
      <c r="B240" s="14" t="s">
        <v>1673</v>
      </c>
      <c r="C240" s="14" t="str">
        <f>HYPERLINK("http://uswest.ensembl.org/Homo_sapiens/Gene/Summary?g=","-")</f>
        <v>-</v>
      </c>
      <c r="D240" s="14" t="s">
        <v>1674</v>
      </c>
      <c r="E240" s="14" t="str">
        <f>HYPERLINK("http://www.ncbi.nlm.nih.gov/sites/entrez?db=gene&amp;cmd=Retrieve&amp;dopt=full_report&amp;list_uids=23385","23385")</f>
        <v>23385</v>
      </c>
      <c r="F240" s="14" t="s">
        <v>1675</v>
      </c>
      <c r="G240" s="14" t="s">
        <v>1676</v>
      </c>
      <c r="H240" s="14" t="s">
        <v>1679</v>
      </c>
      <c r="I240" s="14" t="s">
        <v>1697</v>
      </c>
      <c r="J240" s="15" t="s">
        <v>1698</v>
      </c>
      <c r="K240" s="16">
        <v>73.622260999999995</v>
      </c>
      <c r="L240" s="17">
        <v>113.01485700000001</v>
      </c>
      <c r="M240" s="18">
        <f t="shared" si="3"/>
        <v>1.535063654184704</v>
      </c>
    </row>
    <row r="241" spans="1:13">
      <c r="A241" s="13" t="s">
        <v>1664</v>
      </c>
      <c r="B241" s="14" t="s">
        <v>1664</v>
      </c>
      <c r="C241" s="14" t="str">
        <f>HYPERLINK("http://uswest.ensembl.org/Homo_sapiens/Gene/Summary?g=","-")</f>
        <v>-</v>
      </c>
      <c r="D241" s="14" t="s">
        <v>1665</v>
      </c>
      <c r="E241" s="14" t="str">
        <f>HYPERLINK("http://www.ncbi.nlm.nih.gov/sites/entrez?db=gene&amp;cmd=Retrieve&amp;dopt=full_report&amp;list_uids=51069","51069")</f>
        <v>51069</v>
      </c>
      <c r="F241" s="14" t="s">
        <v>1666</v>
      </c>
      <c r="G241" s="14" t="s">
        <v>1667</v>
      </c>
      <c r="H241" s="14" t="s">
        <v>7806</v>
      </c>
      <c r="I241" s="14" t="s">
        <v>7807</v>
      </c>
      <c r="J241" s="15" t="s">
        <v>1668</v>
      </c>
      <c r="K241" s="16">
        <v>28.321715999999999</v>
      </c>
      <c r="L241" s="17">
        <v>43.461319000000003</v>
      </c>
      <c r="M241" s="18">
        <f t="shared" si="3"/>
        <v>1.534558110815037</v>
      </c>
    </row>
    <row r="242" spans="1:13">
      <c r="A242" s="13" t="s">
        <v>1691</v>
      </c>
      <c r="B242" s="14" t="s">
        <v>1691</v>
      </c>
      <c r="C242" s="14" t="str">
        <f>HYPERLINK("http://uswest.ensembl.org/Homo_sapiens/Gene/Summary?g=ENSG00000109674","ENSG00000109674")</f>
        <v>ENSG00000109674</v>
      </c>
      <c r="D242" s="14" t="s">
        <v>1692</v>
      </c>
      <c r="E242" s="14" t="str">
        <f>HYPERLINK("http://www.ncbi.nlm.nih.gov/sites/entrez?db=gene&amp;cmd=Retrieve&amp;dopt=full_report&amp;list_uids=55247","55247")</f>
        <v>55247</v>
      </c>
      <c r="F242" s="14" t="s">
        <v>1693</v>
      </c>
      <c r="G242" s="14" t="s">
        <v>1694</v>
      </c>
      <c r="H242" s="14" t="s">
        <v>1695</v>
      </c>
      <c r="I242" s="19" t="s">
        <v>1696</v>
      </c>
      <c r="J242" s="15" t="s">
        <v>8622</v>
      </c>
      <c r="K242" s="16">
        <v>54.159920999999997</v>
      </c>
      <c r="L242" s="17">
        <v>83.036434999999997</v>
      </c>
      <c r="M242" s="18">
        <f t="shared" si="3"/>
        <v>1.533171272535645</v>
      </c>
    </row>
    <row r="243" spans="1:13">
      <c r="A243" s="13" t="s">
        <v>1680</v>
      </c>
      <c r="B243" s="14" t="s">
        <v>1680</v>
      </c>
      <c r="C243" s="14" t="str">
        <f>HYPERLINK("http://uswest.ensembl.org/Homo_sapiens/Gene/Summary?g=ENSG00000121031","ENSG00000121031")</f>
        <v>ENSG00000121031</v>
      </c>
      <c r="D243" s="14" t="s">
        <v>8728</v>
      </c>
      <c r="E243" s="14" t="str">
        <f>HYPERLINK("http://www.ncbi.nlm.nih.gov/sites/entrez?db=gene&amp;cmd=Retrieve&amp;dopt=full_report&amp;list_uids=5591","5591")</f>
        <v>5591</v>
      </c>
      <c r="F243" s="14" t="s">
        <v>1681</v>
      </c>
      <c r="G243" s="14" t="s">
        <v>1682</v>
      </c>
      <c r="H243" s="19" t="s">
        <v>1662</v>
      </c>
      <c r="I243" s="14" t="s">
        <v>1663</v>
      </c>
      <c r="J243" s="15" t="s">
        <v>1626</v>
      </c>
      <c r="K243" s="16">
        <v>146.18044599999999</v>
      </c>
      <c r="L243" s="17">
        <v>224.04602</v>
      </c>
      <c r="M243" s="18">
        <f t="shared" si="3"/>
        <v>1.5326675087583193</v>
      </c>
    </row>
    <row r="244" spans="1:13">
      <c r="A244" s="13" t="s">
        <v>1627</v>
      </c>
      <c r="B244" s="14" t="s">
        <v>1627</v>
      </c>
      <c r="C244" s="14" t="str">
        <f>HYPERLINK("http://uswest.ensembl.org/Homo_sapiens/Gene/Summary?g=ENSG00000082516","ENSG00000082516")</f>
        <v>ENSG00000082516</v>
      </c>
      <c r="D244" s="14" t="s">
        <v>1628</v>
      </c>
      <c r="E244" s="14" t="str">
        <f>HYPERLINK("http://www.ncbi.nlm.nih.gov/sites/entrez?db=gene&amp;cmd=Retrieve&amp;dopt=full_report&amp;list_uids=25929","25929")</f>
        <v>25929</v>
      </c>
      <c r="F244" s="14" t="s">
        <v>1629</v>
      </c>
      <c r="G244" s="14" t="s">
        <v>1669</v>
      </c>
      <c r="H244" s="14" t="s">
        <v>1670</v>
      </c>
      <c r="I244" s="14" t="s">
        <v>1671</v>
      </c>
      <c r="J244" s="15" t="s">
        <v>1672</v>
      </c>
      <c r="K244" s="16">
        <v>23.699883</v>
      </c>
      <c r="L244" s="17">
        <v>36.313599000000004</v>
      </c>
      <c r="M244" s="18">
        <f t="shared" si="3"/>
        <v>1.5322269312468759</v>
      </c>
    </row>
    <row r="245" spans="1:13">
      <c r="A245" s="13" t="s">
        <v>1638</v>
      </c>
      <c r="B245" s="14" t="s">
        <v>1638</v>
      </c>
      <c r="C245" s="14" t="str">
        <f>HYPERLINK("http://uswest.ensembl.org/Homo_sapiens/Gene/Summary?g=ENSG00000143498","ENSG00000143498")</f>
        <v>ENSG00000143498</v>
      </c>
      <c r="D245" s="14" t="s">
        <v>1639</v>
      </c>
      <c r="E245" s="14" t="str">
        <f>HYPERLINK("http://www.ncbi.nlm.nih.gov/sites/entrez?db=gene&amp;cmd=Retrieve&amp;dopt=full_report&amp;list_uids=9015","9015")</f>
        <v>9015</v>
      </c>
      <c r="F245" s="14" t="s">
        <v>1640</v>
      </c>
      <c r="G245" s="19" t="s">
        <v>1641</v>
      </c>
      <c r="H245" s="14" t="s">
        <v>8728</v>
      </c>
      <c r="I245" s="14" t="s">
        <v>8728</v>
      </c>
      <c r="J245" s="15" t="s">
        <v>8728</v>
      </c>
      <c r="K245" s="16">
        <v>21.723935000000001</v>
      </c>
      <c r="L245" s="17">
        <v>33.268813999999999</v>
      </c>
      <c r="M245" s="18">
        <f t="shared" si="3"/>
        <v>1.5314359023814055</v>
      </c>
    </row>
    <row r="246" spans="1:13">
      <c r="A246" s="13" t="s">
        <v>1642</v>
      </c>
      <c r="B246" s="14" t="s">
        <v>1642</v>
      </c>
      <c r="C246" s="14" t="str">
        <f>HYPERLINK("http://uswest.ensembl.org/Homo_sapiens/Gene/Summary?g=","-")</f>
        <v>-</v>
      </c>
      <c r="D246" s="14" t="s">
        <v>1643</v>
      </c>
      <c r="E246" s="14" t="str">
        <f>HYPERLINK("http://www.ncbi.nlm.nih.gov/sites/entrez?db=gene&amp;cmd=Retrieve&amp;dopt=full_report&amp;list_uids=81887","81887")</f>
        <v>81887</v>
      </c>
      <c r="F246" s="14" t="s">
        <v>1644</v>
      </c>
      <c r="G246" s="14" t="s">
        <v>1645</v>
      </c>
      <c r="H246" s="14" t="s">
        <v>8728</v>
      </c>
      <c r="I246" s="14" t="s">
        <v>8665</v>
      </c>
      <c r="J246" s="15" t="s">
        <v>8558</v>
      </c>
      <c r="K246" s="16">
        <v>57.699891999999998</v>
      </c>
      <c r="L246" s="17">
        <v>88.259113999999997</v>
      </c>
      <c r="M246" s="18">
        <f t="shared" si="3"/>
        <v>1.5296235563144556</v>
      </c>
    </row>
    <row r="247" spans="1:13">
      <c r="A247" s="13" t="s">
        <v>1647</v>
      </c>
      <c r="B247" s="14" t="s">
        <v>1647</v>
      </c>
      <c r="C247" s="14" t="str">
        <f>HYPERLINK("http://uswest.ensembl.org/Homo_sapiens/Gene/Summary?g=ENSG00000170917","ENSG00000170917")</f>
        <v>ENSG00000170917</v>
      </c>
      <c r="D247" s="14" t="s">
        <v>1648</v>
      </c>
      <c r="E247" s="14" t="str">
        <f>HYPERLINK("http://www.ncbi.nlm.nih.gov/sites/entrez?db=gene&amp;cmd=Retrieve&amp;dopt=full_report&amp;list_uids=11162","11162")</f>
        <v>11162</v>
      </c>
      <c r="F247" s="14" t="s">
        <v>1649</v>
      </c>
      <c r="G247" s="14" t="s">
        <v>1650</v>
      </c>
      <c r="H247" s="14" t="s">
        <v>8076</v>
      </c>
      <c r="I247" s="14" t="s">
        <v>1611</v>
      </c>
      <c r="J247" s="15" t="s">
        <v>7768</v>
      </c>
      <c r="K247" s="16">
        <v>35.131407000000003</v>
      </c>
      <c r="L247" s="17">
        <v>53.651896000000001</v>
      </c>
      <c r="M247" s="18">
        <f t="shared" si="3"/>
        <v>1.5271775479985756</v>
      </c>
    </row>
    <row r="248" spans="1:13">
      <c r="A248" s="13" t="s">
        <v>1612</v>
      </c>
      <c r="B248" s="14" t="s">
        <v>1612</v>
      </c>
      <c r="C248" s="14" t="str">
        <f>HYPERLINK("http://uswest.ensembl.org/Homo_sapiens/Gene/Summary?g=","-")</f>
        <v>-</v>
      </c>
      <c r="D248" s="14" t="s">
        <v>1613</v>
      </c>
      <c r="E248" s="14" t="str">
        <f>HYPERLINK("http://www.ncbi.nlm.nih.gov/sites/entrez?db=gene&amp;cmd=Retrieve&amp;dopt=full_report&amp;list_uids=84079","84079")</f>
        <v>84079</v>
      </c>
      <c r="F248" s="14" t="s">
        <v>1614</v>
      </c>
      <c r="G248" s="14" t="s">
        <v>1677</v>
      </c>
      <c r="H248" s="14" t="s">
        <v>1678</v>
      </c>
      <c r="I248" s="14" t="s">
        <v>1624</v>
      </c>
      <c r="J248" s="15" t="s">
        <v>1625</v>
      </c>
      <c r="K248" s="16">
        <v>55.737763999999999</v>
      </c>
      <c r="L248" s="17">
        <v>85.108177999999995</v>
      </c>
      <c r="M248" s="18">
        <f t="shared" si="3"/>
        <v>1.5269392220326599</v>
      </c>
    </row>
    <row r="249" spans="1:13">
      <c r="A249" s="13" t="s">
        <v>1630</v>
      </c>
      <c r="B249" s="14" t="s">
        <v>1630</v>
      </c>
      <c r="C249" s="14" t="str">
        <f>HYPERLINK("http://uswest.ensembl.org/Homo_sapiens/Gene/Summary?g=ENSG00000164808","ENSG00000164808")</f>
        <v>ENSG00000164808</v>
      </c>
      <c r="D249" s="14" t="s">
        <v>1631</v>
      </c>
      <c r="E249" s="14" t="str">
        <f>HYPERLINK("http://www.ncbi.nlm.nih.gov/sites/entrez?db=gene&amp;cmd=Retrieve&amp;dopt=full_report&amp;list_uids=23514","23514")</f>
        <v>23514</v>
      </c>
      <c r="F249" s="14" t="s">
        <v>1632</v>
      </c>
      <c r="G249" s="14" t="s">
        <v>1633</v>
      </c>
      <c r="H249" s="14" t="s">
        <v>8728</v>
      </c>
      <c r="I249" s="14" t="s">
        <v>8728</v>
      </c>
      <c r="J249" s="15" t="s">
        <v>8728</v>
      </c>
      <c r="K249" s="16">
        <v>68.427108000000004</v>
      </c>
      <c r="L249" s="17">
        <v>104.432768</v>
      </c>
      <c r="M249" s="18">
        <f t="shared" si="3"/>
        <v>1.5261900006061924</v>
      </c>
    </row>
    <row r="250" spans="1:13">
      <c r="A250" s="13" t="s">
        <v>1634</v>
      </c>
      <c r="B250" s="14" t="s">
        <v>1634</v>
      </c>
      <c r="C250" s="14" t="str">
        <f>HYPERLINK("http://uswest.ensembl.org/Homo_sapiens/Gene/Summary?g=ENSG00000176142","ENSG00000176142")</f>
        <v>ENSG00000176142</v>
      </c>
      <c r="D250" s="14" t="s">
        <v>1635</v>
      </c>
      <c r="E250" s="14" t="str">
        <f>HYPERLINK("http://www.ncbi.nlm.nih.gov/sites/entrez?db=gene&amp;cmd=Retrieve&amp;dopt=full_report&amp;list_uids=55254","55254")</f>
        <v>55254</v>
      </c>
      <c r="F250" s="14" t="s">
        <v>1636</v>
      </c>
      <c r="G250" s="14" t="s">
        <v>1637</v>
      </c>
      <c r="H250" s="14" t="s">
        <v>8728</v>
      </c>
      <c r="I250" s="14" t="s">
        <v>8728</v>
      </c>
      <c r="J250" s="15" t="s">
        <v>8698</v>
      </c>
      <c r="K250" s="16">
        <v>29.057551</v>
      </c>
      <c r="L250" s="17">
        <v>44.346246000000001</v>
      </c>
      <c r="M250" s="18">
        <f t="shared" si="3"/>
        <v>1.5261522211558709</v>
      </c>
    </row>
    <row r="251" spans="1:13">
      <c r="A251" s="13" t="s">
        <v>1595</v>
      </c>
      <c r="B251" s="14" t="s">
        <v>1595</v>
      </c>
      <c r="C251" s="14" t="str">
        <f>HYPERLINK("http://uswest.ensembl.org/Homo_sapiens/Gene/Summary?g=","-")</f>
        <v>-</v>
      </c>
      <c r="D251" s="14" t="s">
        <v>1596</v>
      </c>
      <c r="E251" s="14" t="str">
        <f>HYPERLINK("http://www.ncbi.nlm.nih.gov/sites/entrez?db=gene&amp;cmd=Retrieve&amp;dopt=full_report&amp;list_uids=55920","55920")</f>
        <v>55920</v>
      </c>
      <c r="F251" s="14" t="s">
        <v>1597</v>
      </c>
      <c r="G251" s="14" t="s">
        <v>1598</v>
      </c>
      <c r="H251" s="14" t="s">
        <v>1599</v>
      </c>
      <c r="I251" s="14" t="s">
        <v>8728</v>
      </c>
      <c r="J251" s="15" t="s">
        <v>1600</v>
      </c>
      <c r="K251" s="16">
        <v>63.227468999999999</v>
      </c>
      <c r="L251" s="17">
        <v>96.33869</v>
      </c>
      <c r="M251" s="18">
        <f t="shared" si="3"/>
        <v>1.5236841126757739</v>
      </c>
    </row>
    <row r="252" spans="1:13">
      <c r="A252" s="13" t="s">
        <v>1601</v>
      </c>
      <c r="B252" s="14" t="s">
        <v>1601</v>
      </c>
      <c r="C252" s="14" t="str">
        <f>HYPERLINK("http://uswest.ensembl.org/Homo_sapiens/Gene/Summary?g=ENSG00000167123","ENSG00000167123")</f>
        <v>ENSG00000167123</v>
      </c>
      <c r="D252" s="14" t="s">
        <v>1602</v>
      </c>
      <c r="E252" s="14" t="str">
        <f>HYPERLINK("http://www.ncbi.nlm.nih.gov/sites/entrez?db=gene&amp;cmd=Retrieve&amp;dopt=full_report&amp;list_uids=","-")</f>
        <v>-</v>
      </c>
      <c r="F252" s="14" t="s">
        <v>1603</v>
      </c>
      <c r="G252" s="14" t="s">
        <v>1604</v>
      </c>
      <c r="H252" s="14" t="s">
        <v>2636</v>
      </c>
      <c r="I252" s="14" t="s">
        <v>8728</v>
      </c>
      <c r="J252" s="15" t="s">
        <v>8728</v>
      </c>
      <c r="K252" s="16">
        <v>73.988607000000002</v>
      </c>
      <c r="L252" s="17">
        <v>112.655807</v>
      </c>
      <c r="M252" s="18">
        <f t="shared" si="3"/>
        <v>1.5226101905121689</v>
      </c>
    </row>
    <row r="253" spans="1:13">
      <c r="A253" s="13" t="s">
        <v>1605</v>
      </c>
      <c r="B253" s="14" t="s">
        <v>1605</v>
      </c>
      <c r="C253" s="14" t="str">
        <f>HYPERLINK("http://uswest.ensembl.org/Homo_sapiens/Gene/Summary?g=ENSG00000116353","ENSG00000116353")</f>
        <v>ENSG00000116353</v>
      </c>
      <c r="D253" s="14" t="s">
        <v>1606</v>
      </c>
      <c r="E253" s="14" t="str">
        <f>HYPERLINK("http://www.ncbi.nlm.nih.gov/sites/entrez?db=gene&amp;cmd=Retrieve&amp;dopt=full_report&amp;list_uids=51102","51102")</f>
        <v>51102</v>
      </c>
      <c r="F253" s="14" t="s">
        <v>1607</v>
      </c>
      <c r="G253" s="14" t="s">
        <v>1570</v>
      </c>
      <c r="H253" s="14" t="s">
        <v>5894</v>
      </c>
      <c r="I253" s="14" t="s">
        <v>1571</v>
      </c>
      <c r="J253" s="15" t="s">
        <v>8728</v>
      </c>
      <c r="K253" s="16">
        <v>53.718105000000001</v>
      </c>
      <c r="L253" s="17">
        <v>81.784150999999994</v>
      </c>
      <c r="M253" s="18">
        <f t="shared" si="3"/>
        <v>1.5224690260388001</v>
      </c>
    </row>
    <row r="254" spans="1:13">
      <c r="A254" s="13" t="s">
        <v>1572</v>
      </c>
      <c r="B254" s="14" t="s">
        <v>1572</v>
      </c>
      <c r="C254" s="14" t="str">
        <f>HYPERLINK("http://uswest.ensembl.org/Homo_sapiens/Gene/Summary?g=ENSG00000104442","ENSG00000104442")</f>
        <v>ENSG00000104442</v>
      </c>
      <c r="D254" s="14" t="s">
        <v>1573</v>
      </c>
      <c r="E254" s="14" t="str">
        <f>HYPERLINK("http://www.ncbi.nlm.nih.gov/sites/entrez?db=gene&amp;cmd=Retrieve&amp;dopt=full_report&amp;list_uids=55156","55156")</f>
        <v>55156</v>
      </c>
      <c r="F254" s="14" t="s">
        <v>1574</v>
      </c>
      <c r="G254" s="14" t="s">
        <v>1608</v>
      </c>
      <c r="H254" s="14" t="s">
        <v>1609</v>
      </c>
      <c r="I254" s="14" t="s">
        <v>1610</v>
      </c>
      <c r="J254" s="15" t="s">
        <v>8728</v>
      </c>
      <c r="K254" s="16">
        <v>387.484511</v>
      </c>
      <c r="L254" s="17">
        <v>589.89502300000004</v>
      </c>
      <c r="M254" s="18">
        <f t="shared" si="3"/>
        <v>1.5223705883820478</v>
      </c>
    </row>
    <row r="255" spans="1:13">
      <c r="A255" s="13" t="s">
        <v>1651</v>
      </c>
      <c r="B255" s="14" t="s">
        <v>1651</v>
      </c>
      <c r="C255" s="14" t="str">
        <f>HYPERLINK("http://uswest.ensembl.org/Homo_sapiens/Gene/Summary?g=","-")</f>
        <v>-</v>
      </c>
      <c r="D255" s="14" t="s">
        <v>1652</v>
      </c>
      <c r="E255" s="14" t="str">
        <f>HYPERLINK("http://www.ncbi.nlm.nih.gov/sites/entrez?db=gene&amp;cmd=Retrieve&amp;dopt=full_report&amp;list_uids=968","968")</f>
        <v>968</v>
      </c>
      <c r="F255" s="14" t="s">
        <v>1653</v>
      </c>
      <c r="G255" s="14" t="s">
        <v>1654</v>
      </c>
      <c r="H255" s="14" t="s">
        <v>8728</v>
      </c>
      <c r="I255" s="14" t="s">
        <v>8728</v>
      </c>
      <c r="J255" s="15" t="s">
        <v>1655</v>
      </c>
      <c r="K255" s="16">
        <v>122.72257399999999</v>
      </c>
      <c r="L255" s="17">
        <v>186.52122800000001</v>
      </c>
      <c r="M255" s="18">
        <f t="shared" si="3"/>
        <v>1.5198607877960579</v>
      </c>
    </row>
    <row r="256" spans="1:13">
      <c r="A256" s="13" t="s">
        <v>1656</v>
      </c>
      <c r="B256" s="14" t="s">
        <v>1656</v>
      </c>
      <c r="C256" s="14" t="str">
        <f>HYPERLINK("http://uswest.ensembl.org/Homo_sapiens/Gene/Summary?g=ENSG00000138381","ENSG00000138381")</f>
        <v>ENSG00000138381</v>
      </c>
      <c r="D256" s="14" t="s">
        <v>1657</v>
      </c>
      <c r="E256" s="14" t="str">
        <f>HYPERLINK("http://www.ncbi.nlm.nih.gov/sites/entrez?db=gene&amp;cmd=Retrieve&amp;dopt=full_report&amp;list_uids=54529","54529")</f>
        <v>54529</v>
      </c>
      <c r="F256" s="14" t="s">
        <v>1658</v>
      </c>
      <c r="G256" s="14" t="s">
        <v>1659</v>
      </c>
      <c r="H256" s="14" t="s">
        <v>1623</v>
      </c>
      <c r="I256" s="14" t="s">
        <v>1563</v>
      </c>
      <c r="J256" s="15" t="s">
        <v>8728</v>
      </c>
      <c r="K256" s="16">
        <v>199.246477</v>
      </c>
      <c r="L256" s="17">
        <v>302.18823700000002</v>
      </c>
      <c r="M256" s="18">
        <f t="shared" si="3"/>
        <v>1.5166553584784339</v>
      </c>
    </row>
    <row r="257" spans="1:13">
      <c r="A257" s="13" t="s">
        <v>1564</v>
      </c>
      <c r="B257" s="14" t="s">
        <v>1564</v>
      </c>
      <c r="C257" s="14" t="str">
        <f>HYPERLINK("http://uswest.ensembl.org/Homo_sapiens/Gene/Summary?g=ENSG00000018510","ENSG00000018510")</f>
        <v>ENSG00000018510</v>
      </c>
      <c r="D257" s="14" t="s">
        <v>1660</v>
      </c>
      <c r="E257" s="14" t="str">
        <f>HYPERLINK("http://www.ncbi.nlm.nih.gov/sites/entrez?db=gene&amp;cmd=Retrieve&amp;dopt=full_report&amp;list_uids=","-")</f>
        <v>-</v>
      </c>
      <c r="F257" s="14" t="s">
        <v>1661</v>
      </c>
      <c r="G257" s="14" t="s">
        <v>1586</v>
      </c>
      <c r="H257" s="14" t="s">
        <v>1587</v>
      </c>
      <c r="I257" s="14" t="s">
        <v>1588</v>
      </c>
      <c r="J257" s="15" t="s">
        <v>1589</v>
      </c>
      <c r="K257" s="16">
        <v>133.59010799999999</v>
      </c>
      <c r="L257" s="17">
        <v>202.585036</v>
      </c>
      <c r="M257" s="18">
        <f t="shared" si="3"/>
        <v>1.5164673420280492</v>
      </c>
    </row>
    <row r="258" spans="1:13">
      <c r="A258" s="13" t="s">
        <v>1590</v>
      </c>
      <c r="B258" s="14" t="s">
        <v>1590</v>
      </c>
      <c r="C258" s="14" t="str">
        <f>HYPERLINK("http://uswest.ensembl.org/Homo_sapiens/Gene/Summary?g=ENSG00000115307","ENSG00000115307")</f>
        <v>ENSG00000115307</v>
      </c>
      <c r="D258" s="14" t="s">
        <v>1591</v>
      </c>
      <c r="E258" s="14" t="str">
        <f>HYPERLINK("http://www.ncbi.nlm.nih.gov/sites/entrez?db=gene&amp;cmd=Retrieve&amp;dopt=full_report&amp;list_uids=550","550")</f>
        <v>550</v>
      </c>
      <c r="F258" s="14" t="s">
        <v>1592</v>
      </c>
      <c r="G258" s="14" t="s">
        <v>1593</v>
      </c>
      <c r="H258" s="14" t="s">
        <v>8329</v>
      </c>
      <c r="I258" s="14" t="s">
        <v>1594</v>
      </c>
      <c r="J258" s="15" t="s">
        <v>8728</v>
      </c>
      <c r="K258" s="16">
        <v>510.246013</v>
      </c>
      <c r="L258" s="17">
        <v>773.68360399999995</v>
      </c>
      <c r="M258" s="18">
        <f t="shared" ref="M258:M321" si="4">L258/K258</f>
        <v>1.5162952463873538</v>
      </c>
    </row>
    <row r="259" spans="1:13">
      <c r="A259" s="13" t="s">
        <v>1567</v>
      </c>
      <c r="B259" s="14" t="s">
        <v>1567</v>
      </c>
      <c r="C259" s="14" t="str">
        <f>HYPERLINK("http://uswest.ensembl.org/Homo_sapiens/Gene/Summary?g=","-")</f>
        <v>-</v>
      </c>
      <c r="D259" s="14" t="s">
        <v>1568</v>
      </c>
      <c r="E259" s="14" t="str">
        <f>HYPERLINK("http://www.ncbi.nlm.nih.gov/sites/entrez?db=gene&amp;cmd=Retrieve&amp;dopt=full_report&amp;list_uids=9516","9516")</f>
        <v>9516</v>
      </c>
      <c r="F259" s="14" t="s">
        <v>1569</v>
      </c>
      <c r="G259" s="14" t="s">
        <v>1540</v>
      </c>
      <c r="H259" s="14" t="s">
        <v>1575</v>
      </c>
      <c r="I259" s="14" t="s">
        <v>1576</v>
      </c>
      <c r="J259" s="15" t="s">
        <v>1577</v>
      </c>
      <c r="K259" s="16">
        <v>97.945605999999998</v>
      </c>
      <c r="L259" s="17">
        <v>148.451965</v>
      </c>
      <c r="M259" s="18">
        <f t="shared" si="4"/>
        <v>1.5156572210089752</v>
      </c>
    </row>
    <row r="260" spans="1:13">
      <c r="A260" s="13" t="s">
        <v>1578</v>
      </c>
      <c r="B260" s="14" t="s">
        <v>1578</v>
      </c>
      <c r="C260" s="14" t="str">
        <f>HYPERLINK("http://uswest.ensembl.org/Homo_sapiens/Gene/Summary?g=","-")</f>
        <v>-</v>
      </c>
      <c r="D260" s="14" t="s">
        <v>1579</v>
      </c>
      <c r="E260" s="14" t="str">
        <f>HYPERLINK("http://www.ncbi.nlm.nih.gov/sites/entrez?db=gene&amp;cmd=Retrieve&amp;dopt=full_report&amp;list_uids=8233","8233")</f>
        <v>8233</v>
      </c>
      <c r="F260" s="14" t="s">
        <v>1580</v>
      </c>
      <c r="G260" s="19" t="s">
        <v>1547</v>
      </c>
      <c r="H260" s="14" t="s">
        <v>1548</v>
      </c>
      <c r="I260" s="14" t="s">
        <v>1549</v>
      </c>
      <c r="J260" s="15" t="s">
        <v>1550</v>
      </c>
      <c r="K260" s="16">
        <v>126.61394799999999</v>
      </c>
      <c r="L260" s="17">
        <v>191.89982800000001</v>
      </c>
      <c r="M260" s="18">
        <f t="shared" si="4"/>
        <v>1.5156294470811384</v>
      </c>
    </row>
    <row r="261" spans="1:13">
      <c r="A261" s="13" t="s">
        <v>1551</v>
      </c>
      <c r="B261" s="14" t="s">
        <v>1551</v>
      </c>
      <c r="C261" s="14" t="str">
        <f>HYPERLINK("http://uswest.ensembl.org/Homo_sapiens/Gene/Summary?g=ENSG00000106066","ENSG00000106066")</f>
        <v>ENSG00000106066</v>
      </c>
      <c r="D261" s="14" t="s">
        <v>1552</v>
      </c>
      <c r="E261" s="14" t="str">
        <f>HYPERLINK("http://www.ncbi.nlm.nih.gov/sites/entrez?db=gene&amp;cmd=Retrieve&amp;dopt=full_report&amp;list_uids=54504","54504")</f>
        <v>54504</v>
      </c>
      <c r="F261" s="14" t="s">
        <v>1553</v>
      </c>
      <c r="G261" s="14" t="s">
        <v>1554</v>
      </c>
      <c r="H261" s="14" t="s">
        <v>8623</v>
      </c>
      <c r="I261" s="14" t="s">
        <v>1555</v>
      </c>
      <c r="J261" s="15" t="s">
        <v>8728</v>
      </c>
      <c r="K261" s="16">
        <v>108.63172299999999</v>
      </c>
      <c r="L261" s="17">
        <v>164.63495599999999</v>
      </c>
      <c r="M261" s="18">
        <f t="shared" si="4"/>
        <v>1.5155329534817374</v>
      </c>
    </row>
    <row r="262" spans="1:13">
      <c r="A262" s="13" t="s">
        <v>1556</v>
      </c>
      <c r="B262" s="14" t="s">
        <v>1556</v>
      </c>
      <c r="C262" s="14" t="str">
        <f>HYPERLINK("http://uswest.ensembl.org/Homo_sapiens/Gene/Summary?g=","-")</f>
        <v>-</v>
      </c>
      <c r="D262" s="14" t="s">
        <v>1615</v>
      </c>
      <c r="E262" s="14" t="str">
        <f>HYPERLINK("http://www.ncbi.nlm.nih.gov/sites/entrez?db=gene&amp;cmd=Retrieve&amp;dopt=full_report&amp;list_uids=54942","54942")</f>
        <v>54942</v>
      </c>
      <c r="F262" s="14" t="s">
        <v>1616</v>
      </c>
      <c r="G262" s="14" t="s">
        <v>1617</v>
      </c>
      <c r="H262" s="14" t="s">
        <v>8728</v>
      </c>
      <c r="I262" s="14" t="s">
        <v>8728</v>
      </c>
      <c r="J262" s="15" t="s">
        <v>8728</v>
      </c>
      <c r="K262" s="16">
        <v>48.182909000000002</v>
      </c>
      <c r="L262" s="17">
        <v>73.016857000000002</v>
      </c>
      <c r="M262" s="18">
        <f t="shared" si="4"/>
        <v>1.5154098935786546</v>
      </c>
    </row>
    <row r="263" spans="1:13">
      <c r="A263" s="13" t="s">
        <v>1618</v>
      </c>
      <c r="B263" s="14" t="s">
        <v>1618</v>
      </c>
      <c r="C263" s="14" t="str">
        <f>HYPERLINK("http://uswest.ensembl.org/Homo_sapiens/Gene/Summary?g=ENSG00000112514","ENSG00000112514")</f>
        <v>ENSG00000112514</v>
      </c>
      <c r="D263" s="14" t="s">
        <v>1619</v>
      </c>
      <c r="E263" s="14" t="str">
        <f>HYPERLINK("http://www.ncbi.nlm.nih.gov/sites/entrez?db=gene&amp;cmd=Retrieve&amp;dopt=full_report&amp;list_uids=51596","51596")</f>
        <v>51596</v>
      </c>
      <c r="F263" s="14" t="s">
        <v>1620</v>
      </c>
      <c r="G263" s="14" t="s">
        <v>1621</v>
      </c>
      <c r="H263" s="14" t="s">
        <v>1622</v>
      </c>
      <c r="I263" s="14" t="s">
        <v>8728</v>
      </c>
      <c r="J263" s="15" t="s">
        <v>8728</v>
      </c>
      <c r="K263" s="16">
        <v>723.71904199999994</v>
      </c>
      <c r="L263" s="17">
        <v>1096.6344429999999</v>
      </c>
      <c r="M263" s="18">
        <f t="shared" si="4"/>
        <v>1.5152764807313168</v>
      </c>
    </row>
    <row r="264" spans="1:13">
      <c r="A264" s="13" t="s">
        <v>1520</v>
      </c>
      <c r="B264" s="14" t="s">
        <v>1520</v>
      </c>
      <c r="C264" s="14" t="str">
        <f>HYPERLINK("http://uswest.ensembl.org/Homo_sapiens/Gene/Summary?g=ENSG00000105887","ENSG00000105887")</f>
        <v>ENSG00000105887</v>
      </c>
      <c r="D264" s="14" t="s">
        <v>1521</v>
      </c>
      <c r="E264" s="14" t="str">
        <f>HYPERLINK("http://www.ncbi.nlm.nih.gov/sites/entrez?db=gene&amp;cmd=Retrieve&amp;dopt=full_report&amp;list_uids=136319","136319")</f>
        <v>136319</v>
      </c>
      <c r="F264" s="14" t="s">
        <v>1522</v>
      </c>
      <c r="G264" s="14" t="s">
        <v>1523</v>
      </c>
      <c r="H264" s="19" t="s">
        <v>1565</v>
      </c>
      <c r="I264" s="14" t="s">
        <v>8665</v>
      </c>
      <c r="J264" s="15" t="s">
        <v>1524</v>
      </c>
      <c r="K264" s="16">
        <v>2152.4249580000001</v>
      </c>
      <c r="L264" s="17">
        <v>3261.2972709999999</v>
      </c>
      <c r="M264" s="18">
        <f t="shared" si="4"/>
        <v>1.5151735064577336</v>
      </c>
    </row>
    <row r="265" spans="1:13">
      <c r="A265" s="13" t="s">
        <v>1525</v>
      </c>
      <c r="B265" s="14" t="s">
        <v>1525</v>
      </c>
      <c r="C265" s="14" t="str">
        <f>HYPERLINK("http://uswest.ensembl.org/Homo_sapiens/Gene/Summary?g=","-")</f>
        <v>-</v>
      </c>
      <c r="D265" s="14" t="s">
        <v>1526</v>
      </c>
      <c r="E265" s="14" t="str">
        <f>HYPERLINK("http://www.ncbi.nlm.nih.gov/sites/entrez?db=gene&amp;cmd=Retrieve&amp;dopt=full_report&amp;list_uids=203547","203547")</f>
        <v>203547</v>
      </c>
      <c r="F265" s="14" t="s">
        <v>1527</v>
      </c>
      <c r="G265" s="14" t="s">
        <v>1528</v>
      </c>
      <c r="H265" s="14" t="s">
        <v>1529</v>
      </c>
      <c r="I265" s="14" t="s">
        <v>8728</v>
      </c>
      <c r="J265" s="15" t="s">
        <v>1530</v>
      </c>
      <c r="K265" s="16">
        <v>84.694900000000004</v>
      </c>
      <c r="L265" s="17">
        <v>128.315878</v>
      </c>
      <c r="M265" s="18">
        <f t="shared" si="4"/>
        <v>1.5150366550996577</v>
      </c>
    </row>
    <row r="266" spans="1:13">
      <c r="A266" s="13" t="s">
        <v>1531</v>
      </c>
      <c r="B266" s="14" t="s">
        <v>1531</v>
      </c>
      <c r="C266" s="14" t="str">
        <f>HYPERLINK("http://uswest.ensembl.org/Homo_sapiens/Gene/Summary?g=ENSG00000166794","ENSG00000166794")</f>
        <v>ENSG00000166794</v>
      </c>
      <c r="D266" s="14" t="s">
        <v>1532</v>
      </c>
      <c r="E266" s="14" t="str">
        <f>HYPERLINK("http://www.ncbi.nlm.nih.gov/sites/entrez?db=gene&amp;cmd=Retrieve&amp;dopt=full_report&amp;list_uids=5479","5479")</f>
        <v>5479</v>
      </c>
      <c r="F266" s="14" t="s">
        <v>1533</v>
      </c>
      <c r="G266" s="14" t="s">
        <v>1534</v>
      </c>
      <c r="H266" s="14" t="s">
        <v>8671</v>
      </c>
      <c r="I266" s="14" t="s">
        <v>1581</v>
      </c>
      <c r="J266" s="15" t="s">
        <v>2193</v>
      </c>
      <c r="K266" s="16">
        <v>1017.9077</v>
      </c>
      <c r="L266" s="17">
        <v>1542.083805</v>
      </c>
      <c r="M266" s="18">
        <f t="shared" si="4"/>
        <v>1.5149544551043281</v>
      </c>
    </row>
    <row r="267" spans="1:13">
      <c r="A267" s="13" t="s">
        <v>1582</v>
      </c>
      <c r="B267" s="14" t="s">
        <v>1582</v>
      </c>
      <c r="C267" s="14" t="str">
        <f>HYPERLINK("http://uswest.ensembl.org/Homo_sapiens/Gene/Summary?g=ENSG00000105011","ENSG00000105011")</f>
        <v>ENSG00000105011</v>
      </c>
      <c r="D267" s="14" t="s">
        <v>1583</v>
      </c>
      <c r="E267" s="14" t="str">
        <f>HYPERLINK("http://www.ncbi.nlm.nih.gov/sites/entrez?db=gene&amp;cmd=Retrieve&amp;dopt=full_report&amp;list_uids=55723","55723")</f>
        <v>55723</v>
      </c>
      <c r="F267" s="14" t="s">
        <v>1584</v>
      </c>
      <c r="G267" s="14" t="s">
        <v>1585</v>
      </c>
      <c r="H267" s="19" t="s">
        <v>1541</v>
      </c>
      <c r="I267" s="14" t="s">
        <v>1542</v>
      </c>
      <c r="J267" s="15" t="s">
        <v>7938</v>
      </c>
      <c r="K267" s="16">
        <v>245.24565100000001</v>
      </c>
      <c r="L267" s="17">
        <v>371.384096</v>
      </c>
      <c r="M267" s="18">
        <f t="shared" si="4"/>
        <v>1.5143350941623832</v>
      </c>
    </row>
    <row r="268" spans="1:13">
      <c r="A268" s="13" t="s">
        <v>1543</v>
      </c>
      <c r="B268" s="14" t="s">
        <v>1543</v>
      </c>
      <c r="C268" s="14" t="str">
        <f>HYPERLINK("http://uswest.ensembl.org/Homo_sapiens/Gene/Summary?g=","-")</f>
        <v>-</v>
      </c>
      <c r="D268" s="14" t="s">
        <v>1544</v>
      </c>
      <c r="E268" s="14" t="str">
        <f>HYPERLINK("http://www.ncbi.nlm.nih.gov/sites/entrez?db=gene&amp;cmd=Retrieve&amp;dopt=full_report&amp;list_uids=23633","23633")</f>
        <v>23633</v>
      </c>
      <c r="F268" s="14" t="s">
        <v>1545</v>
      </c>
      <c r="G268" s="14" t="s">
        <v>1546</v>
      </c>
      <c r="H268" s="14" t="s">
        <v>1562</v>
      </c>
      <c r="I268" s="14" t="s">
        <v>1509</v>
      </c>
      <c r="J268" s="15" t="s">
        <v>8449</v>
      </c>
      <c r="K268" s="16">
        <v>64.383823000000007</v>
      </c>
      <c r="L268" s="17">
        <v>97.492245999999994</v>
      </c>
      <c r="M268" s="18">
        <f t="shared" si="4"/>
        <v>1.5142351208315168</v>
      </c>
    </row>
    <row r="269" spans="1:13">
      <c r="A269" s="13" t="s">
        <v>1510</v>
      </c>
      <c r="B269" s="14" t="s">
        <v>1510</v>
      </c>
      <c r="C269" s="14" t="str">
        <f>HYPERLINK("http://uswest.ensembl.org/Homo_sapiens/Gene/Summary?g=ENSG00000141349","ENSG00000141349")</f>
        <v>ENSG00000141349</v>
      </c>
      <c r="D269" s="14" t="s">
        <v>1511</v>
      </c>
      <c r="E269" s="14" t="str">
        <f>HYPERLINK("http://www.ncbi.nlm.nih.gov/sites/entrez?db=gene&amp;cmd=Retrieve&amp;dopt=full_report&amp;list_uids=92579","92579")</f>
        <v>92579</v>
      </c>
      <c r="F269" s="14" t="s">
        <v>1512</v>
      </c>
      <c r="G269" s="14" t="s">
        <v>1513</v>
      </c>
      <c r="H269" s="14" t="s">
        <v>1514</v>
      </c>
      <c r="I269" s="14" t="s">
        <v>1515</v>
      </c>
      <c r="J269" s="15" t="s">
        <v>8579</v>
      </c>
      <c r="K269" s="16">
        <v>45.707009999999997</v>
      </c>
      <c r="L269" s="17">
        <v>69.204607999999993</v>
      </c>
      <c r="M269" s="18">
        <f t="shared" si="4"/>
        <v>1.51409177716941</v>
      </c>
    </row>
    <row r="270" spans="1:13">
      <c r="A270" s="13" t="s">
        <v>1516</v>
      </c>
      <c r="B270" s="14" t="s">
        <v>1516</v>
      </c>
      <c r="C270" s="14" t="str">
        <f>HYPERLINK("http://uswest.ensembl.org/Homo_sapiens/Gene/Summary?g=ENSG00000132640","ENSG00000132640")</f>
        <v>ENSG00000132640</v>
      </c>
      <c r="D270" s="14" t="s">
        <v>1517</v>
      </c>
      <c r="E270" s="14" t="str">
        <f>HYPERLINK("http://www.ncbi.nlm.nih.gov/sites/entrez?db=gene&amp;cmd=Retrieve&amp;dopt=full_report&amp;list_uids=22903","22903")</f>
        <v>22903</v>
      </c>
      <c r="F270" s="14" t="s">
        <v>1518</v>
      </c>
      <c r="G270" s="14" t="s">
        <v>1519</v>
      </c>
      <c r="H270" s="14" t="s">
        <v>8728</v>
      </c>
      <c r="I270" s="14" t="s">
        <v>8665</v>
      </c>
      <c r="J270" s="15" t="s">
        <v>8728</v>
      </c>
      <c r="K270" s="16">
        <v>33.500355999999996</v>
      </c>
      <c r="L270" s="17">
        <v>50.686264999999999</v>
      </c>
      <c r="M270" s="18">
        <f t="shared" si="4"/>
        <v>1.5130067573013255</v>
      </c>
    </row>
    <row r="271" spans="1:13">
      <c r="A271" s="13" t="s">
        <v>1485</v>
      </c>
      <c r="B271" s="14" t="s">
        <v>1485</v>
      </c>
      <c r="C271" s="14" t="str">
        <f>HYPERLINK("http://uswest.ensembl.org/Homo_sapiens/Gene/Summary?g=","-")</f>
        <v>-</v>
      </c>
      <c r="D271" s="14" t="s">
        <v>1486</v>
      </c>
      <c r="E271" s="14" t="str">
        <f>HYPERLINK("http://www.ncbi.nlm.nih.gov/sites/entrez?db=gene&amp;cmd=Retrieve&amp;dopt=full_report&amp;list_uids=79717","79717")</f>
        <v>79717</v>
      </c>
      <c r="F271" s="14" t="s">
        <v>1487</v>
      </c>
      <c r="G271" s="14" t="s">
        <v>1488</v>
      </c>
      <c r="H271" s="14" t="s">
        <v>8728</v>
      </c>
      <c r="I271" s="14" t="s">
        <v>1489</v>
      </c>
      <c r="J271" s="15" t="s">
        <v>8728</v>
      </c>
      <c r="K271" s="16">
        <v>424.50011000000001</v>
      </c>
      <c r="L271" s="17">
        <v>642.11096899999995</v>
      </c>
      <c r="M271" s="18">
        <f t="shared" si="4"/>
        <v>1.5126285102729418</v>
      </c>
    </row>
    <row r="272" spans="1:13">
      <c r="A272" s="13" t="s">
        <v>1490</v>
      </c>
      <c r="B272" s="14" t="s">
        <v>1490</v>
      </c>
      <c r="C272" s="14" t="str">
        <f>HYPERLINK("http://uswest.ensembl.org/Homo_sapiens/Gene/Summary?g=ENSG00000116649","ENSG00000116649")</f>
        <v>ENSG00000116649</v>
      </c>
      <c r="D272" s="14" t="s">
        <v>1491</v>
      </c>
      <c r="E272" s="14" t="str">
        <f>HYPERLINK("http://www.ncbi.nlm.nih.gov/sites/entrez?db=gene&amp;cmd=Retrieve&amp;dopt=full_report&amp;list_uids=6723","6723")</f>
        <v>6723</v>
      </c>
      <c r="F272" s="14" t="s">
        <v>1492</v>
      </c>
      <c r="G272" s="14" t="s">
        <v>1493</v>
      </c>
      <c r="H272" s="14" t="s">
        <v>1494</v>
      </c>
      <c r="I272" s="14" t="s">
        <v>1495</v>
      </c>
      <c r="J272" s="15" t="s">
        <v>8728</v>
      </c>
      <c r="K272" s="16">
        <v>439.55184800000001</v>
      </c>
      <c r="L272" s="17">
        <v>664.60496799999999</v>
      </c>
      <c r="M272" s="18">
        <f t="shared" si="4"/>
        <v>1.5120058555640516</v>
      </c>
    </row>
    <row r="273" spans="1:13">
      <c r="A273" s="13" t="s">
        <v>1496</v>
      </c>
      <c r="B273" s="14" t="s">
        <v>1496</v>
      </c>
      <c r="C273" s="14" t="str">
        <f>HYPERLINK("http://uswest.ensembl.org/Homo_sapiens/Gene/Summary?g=ENSG00000216490","ENSG00000216490")</f>
        <v>ENSG00000216490</v>
      </c>
      <c r="D273" s="14" t="s">
        <v>8728</v>
      </c>
      <c r="E273" s="14" t="str">
        <f>HYPERLINK("http://www.ncbi.nlm.nih.gov/sites/entrez?db=gene&amp;cmd=Retrieve&amp;dopt=full_report&amp;list_uids=10437","10437")</f>
        <v>10437</v>
      </c>
      <c r="F273" s="14" t="s">
        <v>1497</v>
      </c>
      <c r="G273" s="14" t="s">
        <v>1498</v>
      </c>
      <c r="H273" s="14" t="s">
        <v>1499</v>
      </c>
      <c r="I273" s="14" t="s">
        <v>8170</v>
      </c>
      <c r="J273" s="15" t="s">
        <v>6716</v>
      </c>
      <c r="K273" s="16">
        <v>644.21008500000005</v>
      </c>
      <c r="L273" s="17">
        <v>973.12565400000005</v>
      </c>
      <c r="M273" s="18">
        <f t="shared" si="4"/>
        <v>1.510571902953056</v>
      </c>
    </row>
    <row r="274" spans="1:13">
      <c r="A274" s="13" t="s">
        <v>1500</v>
      </c>
      <c r="B274" s="14" t="s">
        <v>1500</v>
      </c>
      <c r="C274" s="14" t="str">
        <f>HYPERLINK("http://uswest.ensembl.org/Homo_sapiens/Gene/Summary?g=","-")</f>
        <v>-</v>
      </c>
      <c r="D274" s="14" t="s">
        <v>1501</v>
      </c>
      <c r="E274" s="14" t="str">
        <f>HYPERLINK("http://www.ncbi.nlm.nih.gov/sites/entrez?db=gene&amp;cmd=Retrieve&amp;dopt=full_report&amp;list_uids=375035","375035")</f>
        <v>375035</v>
      </c>
      <c r="F274" s="14" t="s">
        <v>1502</v>
      </c>
      <c r="G274" s="14" t="s">
        <v>1557</v>
      </c>
      <c r="H274" s="14" t="s">
        <v>8454</v>
      </c>
      <c r="I274" s="14" t="s">
        <v>8728</v>
      </c>
      <c r="J274" s="15" t="s">
        <v>7988</v>
      </c>
      <c r="K274" s="16">
        <v>36.065168</v>
      </c>
      <c r="L274" s="17">
        <v>54.465696999999999</v>
      </c>
      <c r="M274" s="18">
        <f t="shared" si="4"/>
        <v>1.5102022261479553</v>
      </c>
    </row>
    <row r="275" spans="1:13">
      <c r="A275" s="13" t="s">
        <v>1558</v>
      </c>
      <c r="B275" s="14" t="s">
        <v>1558</v>
      </c>
      <c r="C275" s="14" t="str">
        <f>HYPERLINK("http://uswest.ensembl.org/Homo_sapiens/Gene/Summary?g=","-")</f>
        <v>-</v>
      </c>
      <c r="D275" s="14" t="s">
        <v>8728</v>
      </c>
      <c r="E275" s="14" t="str">
        <f>HYPERLINK("http://www.ncbi.nlm.nih.gov/sites/entrez?db=gene&amp;cmd=Retrieve&amp;dopt=full_report&amp;list_uids=100292841","100292841")</f>
        <v>100292841</v>
      </c>
      <c r="F275" s="14" t="s">
        <v>8728</v>
      </c>
      <c r="G275" s="14" t="s">
        <v>8728</v>
      </c>
      <c r="H275" s="14" t="s">
        <v>8728</v>
      </c>
      <c r="I275" s="14" t="s">
        <v>8728</v>
      </c>
      <c r="J275" s="15" t="s">
        <v>8728</v>
      </c>
      <c r="K275" s="16">
        <v>114.207943</v>
      </c>
      <c r="L275" s="17">
        <v>172.43094099999999</v>
      </c>
      <c r="M275" s="18">
        <f t="shared" si="4"/>
        <v>1.5097981495034893</v>
      </c>
    </row>
    <row r="276" spans="1:13">
      <c r="A276" s="13" t="s">
        <v>1559</v>
      </c>
      <c r="B276" s="14" t="s">
        <v>1559</v>
      </c>
      <c r="C276" s="14" t="str">
        <f>HYPERLINK("http://uswest.ensembl.org/Homo_sapiens/Gene/Summary?g=ENSG00000136867","ENSG00000136867")</f>
        <v>ENSG00000136867</v>
      </c>
      <c r="D276" s="14" t="s">
        <v>1560</v>
      </c>
      <c r="E276" s="14" t="str">
        <f>HYPERLINK("http://www.ncbi.nlm.nih.gov/sites/entrez?db=gene&amp;cmd=Retrieve&amp;dopt=full_report&amp;list_uids=1318","1318")</f>
        <v>1318</v>
      </c>
      <c r="F276" s="14" t="s">
        <v>1561</v>
      </c>
      <c r="G276" s="14" t="s">
        <v>1462</v>
      </c>
      <c r="H276" s="14" t="s">
        <v>1463</v>
      </c>
      <c r="I276" s="14" t="s">
        <v>1464</v>
      </c>
      <c r="J276" s="15" t="s">
        <v>8407</v>
      </c>
      <c r="K276" s="16">
        <v>134.617197</v>
      </c>
      <c r="L276" s="17">
        <v>203.23343299999999</v>
      </c>
      <c r="M276" s="18">
        <f t="shared" si="4"/>
        <v>1.5097137477910789</v>
      </c>
    </row>
    <row r="277" spans="1:13">
      <c r="A277" s="13" t="s">
        <v>1465</v>
      </c>
      <c r="B277" s="14" t="s">
        <v>1465</v>
      </c>
      <c r="C277" s="14" t="str">
        <f>HYPERLINK("http://uswest.ensembl.org/Homo_sapiens/Gene/Summary?g=ENSG00000145494","ENSG00000145494")</f>
        <v>ENSG00000145494</v>
      </c>
      <c r="D277" s="14" t="s">
        <v>1466</v>
      </c>
      <c r="E277" s="14" t="str">
        <f>HYPERLINK("http://www.ncbi.nlm.nih.gov/sites/entrez?db=gene&amp;cmd=Retrieve&amp;dopt=full_report&amp;list_uids=4726","4726")</f>
        <v>4726</v>
      </c>
      <c r="F277" s="14" t="s">
        <v>1467</v>
      </c>
      <c r="G277" s="14" t="s">
        <v>1468</v>
      </c>
      <c r="H277" s="14" t="s">
        <v>7349</v>
      </c>
      <c r="I277" s="14" t="s">
        <v>1469</v>
      </c>
      <c r="J277" s="15" t="s">
        <v>5447</v>
      </c>
      <c r="K277" s="16">
        <v>820.565969</v>
      </c>
      <c r="L277" s="17">
        <v>1238.471536</v>
      </c>
      <c r="M277" s="18">
        <f t="shared" si="4"/>
        <v>1.5092894207022618</v>
      </c>
    </row>
    <row r="278" spans="1:13">
      <c r="A278" s="13" t="s">
        <v>1470</v>
      </c>
      <c r="B278" s="14" t="s">
        <v>1470</v>
      </c>
      <c r="C278" s="14" t="str">
        <f>HYPERLINK("http://uswest.ensembl.org/Homo_sapiens/Gene/Summary?g=ENSG00000100380","ENSG00000100380")</f>
        <v>ENSG00000100380</v>
      </c>
      <c r="D278" s="14" t="s">
        <v>1471</v>
      </c>
      <c r="E278" s="14" t="str">
        <f>HYPERLINK("http://www.ncbi.nlm.nih.gov/sites/entrez?db=gene&amp;cmd=Retrieve&amp;dopt=full_report&amp;list_uids=6767","6767")</f>
        <v>6767</v>
      </c>
      <c r="F278" s="14" t="s">
        <v>1472</v>
      </c>
      <c r="G278" s="14" t="s">
        <v>1535</v>
      </c>
      <c r="H278" s="14" t="s">
        <v>8671</v>
      </c>
      <c r="I278" s="14" t="s">
        <v>1536</v>
      </c>
      <c r="J278" s="15" t="s">
        <v>8619</v>
      </c>
      <c r="K278" s="16">
        <v>505.78057200000001</v>
      </c>
      <c r="L278" s="17">
        <v>763.34211000000005</v>
      </c>
      <c r="M278" s="18">
        <f t="shared" si="4"/>
        <v>1.5092357284138624</v>
      </c>
    </row>
    <row r="279" spans="1:13">
      <c r="A279" s="13" t="s">
        <v>1537</v>
      </c>
      <c r="B279" s="14" t="s">
        <v>1537</v>
      </c>
      <c r="C279" s="14" t="str">
        <f>HYPERLINK("http://uswest.ensembl.org/Homo_sapiens/Gene/Summary?g=ENSG00000101473","ENSG00000101473")</f>
        <v>ENSG00000101473</v>
      </c>
      <c r="D279" s="14" t="s">
        <v>1538</v>
      </c>
      <c r="E279" s="14" t="str">
        <f>HYPERLINK("http://www.ncbi.nlm.nih.gov/sites/entrez?db=gene&amp;cmd=Retrieve&amp;dopt=full_report&amp;list_uids=10005","10005")</f>
        <v>10005</v>
      </c>
      <c r="F279" s="14" t="s">
        <v>1539</v>
      </c>
      <c r="G279" s="19" t="s">
        <v>1478</v>
      </c>
      <c r="H279" s="14" t="s">
        <v>1479</v>
      </c>
      <c r="I279" s="14" t="s">
        <v>1480</v>
      </c>
      <c r="J279" s="15" t="s">
        <v>8728</v>
      </c>
      <c r="K279" s="16">
        <v>176.64003</v>
      </c>
      <c r="L279" s="17">
        <v>266.578755</v>
      </c>
      <c r="M279" s="18">
        <f t="shared" si="4"/>
        <v>1.509163891106676</v>
      </c>
    </row>
    <row r="280" spans="1:13">
      <c r="A280" s="13" t="s">
        <v>1481</v>
      </c>
      <c r="B280" s="14" t="s">
        <v>1481</v>
      </c>
      <c r="C280" s="14" t="str">
        <f>HYPERLINK("http://uswest.ensembl.org/Homo_sapiens/Gene/Summary?g=ENSG00000160991","ENSG00000160991")</f>
        <v>ENSG00000160991</v>
      </c>
      <c r="D280" s="14" t="s">
        <v>1482</v>
      </c>
      <c r="E280" s="14" t="str">
        <f>HYPERLINK("http://www.ncbi.nlm.nih.gov/sites/entrez?db=gene&amp;cmd=Retrieve&amp;dopt=full_report&amp;list_uids=80228","80228")</f>
        <v>80228</v>
      </c>
      <c r="F280" s="14" t="s">
        <v>1483</v>
      </c>
      <c r="G280" s="14" t="s">
        <v>1484</v>
      </c>
      <c r="H280" s="14" t="s">
        <v>8728</v>
      </c>
      <c r="I280" s="14" t="s">
        <v>8728</v>
      </c>
      <c r="J280" s="15" t="s">
        <v>8698</v>
      </c>
      <c r="K280" s="16">
        <v>86.498473000000004</v>
      </c>
      <c r="L280" s="17">
        <v>130.529302</v>
      </c>
      <c r="M280" s="18">
        <f t="shared" si="4"/>
        <v>1.5090359109576419</v>
      </c>
    </row>
    <row r="281" spans="1:13">
      <c r="A281" s="13" t="s">
        <v>1504</v>
      </c>
      <c r="B281" s="14" t="s">
        <v>1504</v>
      </c>
      <c r="C281" s="14" t="str">
        <f>HYPERLINK("http://uswest.ensembl.org/Homo_sapiens/Gene/Summary?g=","-")</f>
        <v>-</v>
      </c>
      <c r="D281" s="14" t="s">
        <v>1505</v>
      </c>
      <c r="E281" s="14" t="str">
        <f>HYPERLINK("http://www.ncbi.nlm.nih.gov/sites/entrez?db=gene&amp;cmd=Retrieve&amp;dopt=full_report&amp;list_uids=8727","8727")</f>
        <v>8727</v>
      </c>
      <c r="F281" s="14" t="s">
        <v>1506</v>
      </c>
      <c r="G281" s="14" t="s">
        <v>1507</v>
      </c>
      <c r="H281" s="14" t="s">
        <v>8628</v>
      </c>
      <c r="I281" s="14" t="s">
        <v>1508</v>
      </c>
      <c r="J281" s="15" t="s">
        <v>1454</v>
      </c>
      <c r="K281" s="16">
        <v>54.185921999999998</v>
      </c>
      <c r="L281" s="17">
        <v>81.689381999999995</v>
      </c>
      <c r="M281" s="18">
        <f t="shared" si="4"/>
        <v>1.5075757500259939</v>
      </c>
    </row>
    <row r="282" spans="1:13">
      <c r="A282" s="13" t="s">
        <v>1455</v>
      </c>
      <c r="B282" s="14" t="s">
        <v>1455</v>
      </c>
      <c r="C282" s="14" t="str">
        <f>HYPERLINK("http://uswest.ensembl.org/Homo_sapiens/Gene/Summary?g=ENSG00000106628","ENSG00000106628")</f>
        <v>ENSG00000106628</v>
      </c>
      <c r="D282" s="14" t="s">
        <v>1456</v>
      </c>
      <c r="E282" s="14" t="str">
        <f>HYPERLINK("http://www.ncbi.nlm.nih.gov/sites/entrez?db=gene&amp;cmd=Retrieve&amp;dopt=full_report&amp;list_uids=5425","5425")</f>
        <v>5425</v>
      </c>
      <c r="F282" s="14" t="s">
        <v>1457</v>
      </c>
      <c r="G282" s="14" t="s">
        <v>1458</v>
      </c>
      <c r="H282" s="14" t="s">
        <v>1459</v>
      </c>
      <c r="I282" s="14" t="s">
        <v>1460</v>
      </c>
      <c r="J282" s="15" t="s">
        <v>1461</v>
      </c>
      <c r="K282" s="16">
        <v>284.99126899999999</v>
      </c>
      <c r="L282" s="17">
        <v>429.57736299999999</v>
      </c>
      <c r="M282" s="18">
        <f t="shared" si="4"/>
        <v>1.5073351703276214</v>
      </c>
    </row>
    <row r="283" spans="1:13">
      <c r="A283" s="13" t="s">
        <v>1444</v>
      </c>
      <c r="B283" s="14" t="s">
        <v>1444</v>
      </c>
      <c r="C283" s="14" t="str">
        <f>HYPERLINK("http://uswest.ensembl.org/Homo_sapiens/Gene/Summary?g=ENSG00000128228","ENSG00000128228")</f>
        <v>ENSG00000128228</v>
      </c>
      <c r="D283" s="14" t="s">
        <v>1445</v>
      </c>
      <c r="E283" s="14" t="str">
        <f>HYPERLINK("http://www.ncbi.nlm.nih.gov/sites/entrez?db=gene&amp;cmd=Retrieve&amp;dopt=full_report&amp;list_uids=23753","23753")</f>
        <v>23753</v>
      </c>
      <c r="F283" s="14" t="s">
        <v>1446</v>
      </c>
      <c r="G283" s="14" t="s">
        <v>1503</v>
      </c>
      <c r="H283" s="14" t="s">
        <v>8728</v>
      </c>
      <c r="I283" s="14" t="s">
        <v>8728</v>
      </c>
      <c r="J283" s="15" t="s">
        <v>8691</v>
      </c>
      <c r="K283" s="16">
        <v>612.61491999999998</v>
      </c>
      <c r="L283" s="17">
        <v>922.31136000000004</v>
      </c>
      <c r="M283" s="18">
        <f t="shared" si="4"/>
        <v>1.5055319906345084</v>
      </c>
    </row>
    <row r="284" spans="1:13">
      <c r="A284" s="13" t="s">
        <v>1429</v>
      </c>
      <c r="B284" s="14" t="s">
        <v>1429</v>
      </c>
      <c r="C284" s="14" t="str">
        <f>HYPERLINK("http://uswest.ensembl.org/Homo_sapiens/Gene/Summary?g=ENSG00000182885","ENSG00000182885")</f>
        <v>ENSG00000182885</v>
      </c>
      <c r="D284" s="14" t="s">
        <v>1430</v>
      </c>
      <c r="E284" s="14" t="str">
        <f>HYPERLINK("http://www.ncbi.nlm.nih.gov/sites/entrez?db=gene&amp;cmd=Retrieve&amp;dopt=full_report&amp;list_uids=222487","222487")</f>
        <v>222487</v>
      </c>
      <c r="F284" s="14" t="s">
        <v>1431</v>
      </c>
      <c r="G284" s="14" t="s">
        <v>1432</v>
      </c>
      <c r="H284" s="14" t="s">
        <v>8587</v>
      </c>
      <c r="I284" s="14" t="s">
        <v>8588</v>
      </c>
      <c r="J284" s="15" t="s">
        <v>8589</v>
      </c>
      <c r="K284" s="16">
        <v>140.88681700000001</v>
      </c>
      <c r="L284" s="17">
        <v>211.98483300000001</v>
      </c>
      <c r="M284" s="18">
        <f t="shared" si="4"/>
        <v>1.5046463360727356</v>
      </c>
    </row>
    <row r="285" spans="1:13">
      <c r="A285" s="13" t="s">
        <v>1433</v>
      </c>
      <c r="B285" s="14" t="s">
        <v>1433</v>
      </c>
      <c r="C285" s="14" t="str">
        <f>HYPERLINK("http://uswest.ensembl.org/Homo_sapiens/Gene/Summary?g=ENSG00000137161","ENSG00000137161")</f>
        <v>ENSG00000137161</v>
      </c>
      <c r="D285" s="14" t="s">
        <v>1434</v>
      </c>
      <c r="E285" s="14" t="str">
        <f>HYPERLINK("http://www.ncbi.nlm.nih.gov/sites/entrez?db=gene&amp;cmd=Retrieve&amp;dopt=full_report&amp;list_uids=10695","10695")</f>
        <v>10695</v>
      </c>
      <c r="F285" s="14" t="s">
        <v>1435</v>
      </c>
      <c r="G285" s="14" t="s">
        <v>1436</v>
      </c>
      <c r="H285" s="14" t="s">
        <v>8728</v>
      </c>
      <c r="I285" s="14" t="s">
        <v>8494</v>
      </c>
      <c r="J285" s="15" t="s">
        <v>8731</v>
      </c>
      <c r="K285" s="16">
        <v>169.07912300000001</v>
      </c>
      <c r="L285" s="17">
        <v>254.34840299999999</v>
      </c>
      <c r="M285" s="18">
        <f t="shared" si="4"/>
        <v>1.5043158403418024</v>
      </c>
    </row>
    <row r="286" spans="1:13">
      <c r="A286" s="13" t="s">
        <v>1437</v>
      </c>
      <c r="B286" s="14" t="s">
        <v>1437</v>
      </c>
      <c r="C286" s="14" t="str">
        <f>HYPERLINK("http://uswest.ensembl.org/Homo_sapiens/Gene/Summary?g=ENSG00000166037","ENSG00000166037")</f>
        <v>ENSG00000166037</v>
      </c>
      <c r="D286" s="14" t="s">
        <v>1438</v>
      </c>
      <c r="E286" s="14" t="str">
        <f>HYPERLINK("http://www.ncbi.nlm.nih.gov/sites/entrez?db=gene&amp;cmd=Retrieve&amp;dopt=full_report&amp;list_uids=9702","9702")</f>
        <v>9702</v>
      </c>
      <c r="F286" s="14" t="s">
        <v>1439</v>
      </c>
      <c r="G286" s="14" t="s">
        <v>1440</v>
      </c>
      <c r="H286" s="14" t="s">
        <v>1441</v>
      </c>
      <c r="I286" s="14" t="s">
        <v>1414</v>
      </c>
      <c r="J286" s="15" t="s">
        <v>1442</v>
      </c>
      <c r="K286" s="16">
        <v>117.53758000000001</v>
      </c>
      <c r="L286" s="17">
        <v>176.769589</v>
      </c>
      <c r="M286" s="18">
        <f t="shared" si="4"/>
        <v>1.5039410289032664</v>
      </c>
    </row>
    <row r="287" spans="1:13">
      <c r="A287" s="13" t="s">
        <v>1443</v>
      </c>
      <c r="B287" s="14" t="s">
        <v>1443</v>
      </c>
      <c r="C287" s="14" t="str">
        <f>HYPERLINK("http://uswest.ensembl.org/Homo_sapiens/Gene/Summary?g=ENSG00000109861","ENSG00000109861")</f>
        <v>ENSG00000109861</v>
      </c>
      <c r="D287" s="14" t="s">
        <v>1476</v>
      </c>
      <c r="E287" s="14" t="str">
        <f>HYPERLINK("http://www.ncbi.nlm.nih.gov/sites/entrez?db=gene&amp;cmd=Retrieve&amp;dopt=full_report&amp;list_uids=1075","1075")</f>
        <v>1075</v>
      </c>
      <c r="F287" s="14" t="s">
        <v>1477</v>
      </c>
      <c r="G287" s="19" t="s">
        <v>1424</v>
      </c>
      <c r="H287" s="14" t="s">
        <v>8728</v>
      </c>
      <c r="I287" s="14" t="s">
        <v>1425</v>
      </c>
      <c r="J287" s="15" t="s">
        <v>8728</v>
      </c>
      <c r="K287" s="16">
        <v>1089.339729</v>
      </c>
      <c r="L287" s="17">
        <v>1637.711916</v>
      </c>
      <c r="M287" s="18">
        <f t="shared" si="4"/>
        <v>1.503398684911087</v>
      </c>
    </row>
    <row r="288" spans="1:13">
      <c r="A288" s="13" t="s">
        <v>1426</v>
      </c>
      <c r="B288" s="14" t="s">
        <v>1426</v>
      </c>
      <c r="C288" s="14" t="str">
        <f>HYPERLINK("http://uswest.ensembl.org/Homo_sapiens/Gene/Summary?g=","-")</f>
        <v>-</v>
      </c>
      <c r="D288" s="14" t="s">
        <v>1427</v>
      </c>
      <c r="E288" s="14" t="str">
        <f>HYPERLINK("http://www.ncbi.nlm.nih.gov/sites/entrez?db=gene&amp;cmd=Retrieve&amp;dopt=full_report&amp;list_uids=10772","10772")</f>
        <v>10772</v>
      </c>
      <c r="F288" s="14" t="s">
        <v>1428</v>
      </c>
      <c r="G288" s="14" t="s">
        <v>1401</v>
      </c>
      <c r="H288" s="14" t="s">
        <v>1402</v>
      </c>
      <c r="I288" s="14" t="s">
        <v>1403</v>
      </c>
      <c r="J288" s="15" t="s">
        <v>1404</v>
      </c>
      <c r="K288" s="16">
        <v>148.00897399999999</v>
      </c>
      <c r="L288" s="17">
        <v>222.36550600000001</v>
      </c>
      <c r="M288" s="18">
        <f t="shared" si="4"/>
        <v>1.5023785382094468</v>
      </c>
    </row>
    <row r="289" spans="1:13">
      <c r="A289" s="13" t="s">
        <v>1405</v>
      </c>
      <c r="B289" s="14" t="s">
        <v>1405</v>
      </c>
      <c r="C289" s="14" t="str">
        <f>HYPERLINK("http://uswest.ensembl.org/Homo_sapiens/Gene/Summary?g=ENSG00000036448","ENSG00000036448")</f>
        <v>ENSG00000036448</v>
      </c>
      <c r="D289" s="14" t="s">
        <v>1406</v>
      </c>
      <c r="E289" s="14" t="str">
        <f>HYPERLINK("http://www.ncbi.nlm.nih.gov/sites/entrez?db=gene&amp;cmd=Retrieve&amp;dopt=full_report&amp;list_uids=9172","9172")</f>
        <v>9172</v>
      </c>
      <c r="F289" s="14" t="s">
        <v>1407</v>
      </c>
      <c r="G289" s="14" t="s">
        <v>1408</v>
      </c>
      <c r="H289" s="14" t="s">
        <v>2975</v>
      </c>
      <c r="I289" s="14" t="s">
        <v>1409</v>
      </c>
      <c r="J289" s="15" t="s">
        <v>1410</v>
      </c>
      <c r="K289" s="16">
        <v>249.95392699999999</v>
      </c>
      <c r="L289" s="17">
        <v>375.39899800000001</v>
      </c>
      <c r="M289" s="18">
        <f t="shared" si="4"/>
        <v>1.5018727751374756</v>
      </c>
    </row>
    <row r="290" spans="1:13">
      <c r="A290" s="13" t="s">
        <v>1411</v>
      </c>
      <c r="B290" s="14" t="s">
        <v>1411</v>
      </c>
      <c r="C290" s="14" t="str">
        <f>HYPERLINK("http://uswest.ensembl.org/Homo_sapiens/Gene/Summary?g=ENSG00000105402","ENSG00000105402")</f>
        <v>ENSG00000105402</v>
      </c>
      <c r="D290" s="14" t="s">
        <v>1412</v>
      </c>
      <c r="E290" s="14" t="str">
        <f>HYPERLINK("http://www.ncbi.nlm.nih.gov/sites/entrez?db=gene&amp;cmd=Retrieve&amp;dopt=full_report&amp;list_uids=8775","8775")</f>
        <v>8775</v>
      </c>
      <c r="F290" s="14" t="s">
        <v>1413</v>
      </c>
      <c r="G290" s="14" t="s">
        <v>1381</v>
      </c>
      <c r="H290" s="19" t="s">
        <v>1473</v>
      </c>
      <c r="I290" s="14" t="s">
        <v>1474</v>
      </c>
      <c r="J290" s="15" t="s">
        <v>1475</v>
      </c>
      <c r="K290" s="16">
        <v>148.66680199999999</v>
      </c>
      <c r="L290" s="17">
        <v>223.02791500000001</v>
      </c>
      <c r="M290" s="18">
        <f t="shared" si="4"/>
        <v>1.5001864034177586</v>
      </c>
    </row>
    <row r="291" spans="1:13">
      <c r="A291" s="13" t="s">
        <v>1390</v>
      </c>
      <c r="B291" s="14" t="s">
        <v>1390</v>
      </c>
      <c r="C291" s="14" t="str">
        <f>HYPERLINK("http://uswest.ensembl.org/Homo_sapiens/Gene/Summary?g=ENSG00000095209","ENSG00000095209")</f>
        <v>ENSG00000095209</v>
      </c>
      <c r="D291" s="14" t="s">
        <v>1391</v>
      </c>
      <c r="E291" s="14" t="str">
        <f>HYPERLINK("http://www.ncbi.nlm.nih.gov/sites/entrez?db=gene&amp;cmd=Retrieve&amp;dopt=full_report&amp;list_uids=55151","55151")</f>
        <v>55151</v>
      </c>
      <c r="F291" s="14" t="s">
        <v>1447</v>
      </c>
      <c r="G291" s="14" t="s">
        <v>1357</v>
      </c>
      <c r="H291" s="14" t="s">
        <v>8335</v>
      </c>
      <c r="I291" s="14" t="s">
        <v>8336</v>
      </c>
      <c r="J291" s="15" t="s">
        <v>8579</v>
      </c>
      <c r="K291" s="16">
        <v>80.670446999999996</v>
      </c>
      <c r="L291" s="17">
        <v>120.933441</v>
      </c>
      <c r="M291" s="18">
        <f t="shared" si="4"/>
        <v>1.4991046349352695</v>
      </c>
    </row>
    <row r="292" spans="1:13">
      <c r="A292" s="13" t="s">
        <v>1358</v>
      </c>
      <c r="B292" s="14" t="s">
        <v>1358</v>
      </c>
      <c r="C292" s="14" t="str">
        <f>HYPERLINK("http://uswest.ensembl.org/Homo_sapiens/Gene/Summary?g=ENSG00000066455","ENSG00000066455")</f>
        <v>ENSG00000066455</v>
      </c>
      <c r="D292" s="14" t="s">
        <v>1359</v>
      </c>
      <c r="E292" s="14" t="str">
        <f>HYPERLINK("http://www.ncbi.nlm.nih.gov/sites/entrez?db=gene&amp;cmd=Retrieve&amp;dopt=full_report&amp;list_uids=","-")</f>
        <v>-</v>
      </c>
      <c r="F292" s="14" t="s">
        <v>1360</v>
      </c>
      <c r="G292" s="14" t="s">
        <v>1448</v>
      </c>
      <c r="H292" s="14" t="s">
        <v>8728</v>
      </c>
      <c r="I292" s="14" t="s">
        <v>8728</v>
      </c>
      <c r="J292" s="15" t="s">
        <v>8728</v>
      </c>
      <c r="K292" s="16">
        <v>100.547775</v>
      </c>
      <c r="L292" s="17">
        <v>150.64386999999999</v>
      </c>
      <c r="M292" s="18">
        <f t="shared" si="4"/>
        <v>1.4982317609713391</v>
      </c>
    </row>
    <row r="293" spans="1:13">
      <c r="A293" s="13" t="s">
        <v>1449</v>
      </c>
      <c r="B293" s="14" t="s">
        <v>1449</v>
      </c>
      <c r="C293" s="14" t="str">
        <f>HYPERLINK("http://uswest.ensembl.org/Homo_sapiens/Gene/Summary?g=","-")</f>
        <v>-</v>
      </c>
      <c r="D293" s="14" t="s">
        <v>1450</v>
      </c>
      <c r="E293" s="14" t="str">
        <f>HYPERLINK("http://www.ncbi.nlm.nih.gov/sites/entrez?db=gene&amp;cmd=Retrieve&amp;dopt=full_report&amp;list_uids=2990","2990")</f>
        <v>2990</v>
      </c>
      <c r="F293" s="14" t="s">
        <v>1451</v>
      </c>
      <c r="G293" s="14" t="s">
        <v>1452</v>
      </c>
      <c r="H293" s="14" t="s">
        <v>1453</v>
      </c>
      <c r="I293" s="14" t="s">
        <v>1398</v>
      </c>
      <c r="J293" s="15" t="s">
        <v>7931</v>
      </c>
      <c r="K293" s="16">
        <v>454.25322899999998</v>
      </c>
      <c r="L293" s="17">
        <v>680.49391900000001</v>
      </c>
      <c r="M293" s="18">
        <f t="shared" si="4"/>
        <v>1.4980497122674279</v>
      </c>
    </row>
    <row r="294" spans="1:13">
      <c r="A294" s="13" t="s">
        <v>1399</v>
      </c>
      <c r="B294" s="14" t="s">
        <v>1399</v>
      </c>
      <c r="C294" s="14" t="str">
        <f>HYPERLINK("http://uswest.ensembl.org/Homo_sapiens/Gene/Summary?g=ENSG00000168439","ENSG00000168439")</f>
        <v>ENSG00000168439</v>
      </c>
      <c r="D294" s="14" t="s">
        <v>1371</v>
      </c>
      <c r="E294" s="14" t="str">
        <f>HYPERLINK("http://www.ncbi.nlm.nih.gov/sites/entrez?db=gene&amp;cmd=Retrieve&amp;dopt=full_report&amp;list_uids=10963","10963")</f>
        <v>10963</v>
      </c>
      <c r="F294" s="14" t="s">
        <v>1372</v>
      </c>
      <c r="G294" s="14" t="s">
        <v>1373</v>
      </c>
      <c r="H294" s="14" t="s">
        <v>3501</v>
      </c>
      <c r="I294" s="14" t="s">
        <v>4941</v>
      </c>
      <c r="J294" s="15" t="s">
        <v>5106</v>
      </c>
      <c r="K294" s="16">
        <v>285.727396</v>
      </c>
      <c r="L294" s="17">
        <v>428.00237700000002</v>
      </c>
      <c r="M294" s="18">
        <f t="shared" si="4"/>
        <v>1.4979395850442008</v>
      </c>
    </row>
    <row r="295" spans="1:13">
      <c r="A295" s="13" t="s">
        <v>1400</v>
      </c>
      <c r="B295" s="14" t="s">
        <v>1400</v>
      </c>
      <c r="C295" s="14" t="str">
        <f>HYPERLINK("http://uswest.ensembl.org/Homo_sapiens/Gene/Summary?g=","-")</f>
        <v>-</v>
      </c>
      <c r="D295" s="14" t="s">
        <v>8728</v>
      </c>
      <c r="E295" s="14" t="str">
        <f>HYPERLINK("http://www.ncbi.nlm.nih.gov/sites/entrez?db=gene&amp;cmd=Retrieve&amp;dopt=full_report&amp;list_uids=100289612","100289612")</f>
        <v>100289612</v>
      </c>
      <c r="F295" s="14" t="s">
        <v>8728</v>
      </c>
      <c r="G295" s="14" t="s">
        <v>8728</v>
      </c>
      <c r="H295" s="14" t="s">
        <v>8728</v>
      </c>
      <c r="I295" s="14" t="s">
        <v>8728</v>
      </c>
      <c r="J295" s="15" t="s">
        <v>8728</v>
      </c>
      <c r="K295" s="16">
        <v>65.062275999999997</v>
      </c>
      <c r="L295" s="17">
        <v>97.377250000000004</v>
      </c>
      <c r="M295" s="18">
        <f t="shared" si="4"/>
        <v>1.4966775831819965</v>
      </c>
    </row>
    <row r="296" spans="1:13">
      <c r="A296" s="13" t="s">
        <v>1374</v>
      </c>
      <c r="B296" s="14" t="s">
        <v>1374</v>
      </c>
      <c r="C296" s="14" t="str">
        <f>HYPERLINK("http://uswest.ensembl.org/Homo_sapiens/Gene/Summary?g=ENSG00000138629","ENSG00000138629")</f>
        <v>ENSG00000138629</v>
      </c>
      <c r="D296" s="14" t="s">
        <v>1375</v>
      </c>
      <c r="E296" s="14" t="str">
        <f>HYPERLINK("http://www.ncbi.nlm.nih.gov/sites/entrez?db=gene&amp;cmd=Retrieve&amp;dopt=full_report&amp;list_uids=84993","84993")</f>
        <v>84993</v>
      </c>
      <c r="F296" s="14" t="s">
        <v>1376</v>
      </c>
      <c r="G296" s="14" t="s">
        <v>1377</v>
      </c>
      <c r="H296" s="14" t="s">
        <v>1378</v>
      </c>
      <c r="I296" s="14" t="s">
        <v>8665</v>
      </c>
      <c r="J296" s="15" t="s">
        <v>8728</v>
      </c>
      <c r="K296" s="16">
        <v>95.854512</v>
      </c>
      <c r="L296" s="17">
        <v>143.45919599999999</v>
      </c>
      <c r="M296" s="18">
        <f t="shared" si="4"/>
        <v>1.4966347750015148</v>
      </c>
    </row>
    <row r="297" spans="1:13">
      <c r="A297" s="13" t="s">
        <v>1379</v>
      </c>
      <c r="B297" s="14" t="s">
        <v>1379</v>
      </c>
      <c r="C297" s="14" t="str">
        <f>HYPERLINK("http://uswest.ensembl.org/Homo_sapiens/Gene/Summary?g=","-")</f>
        <v>-</v>
      </c>
      <c r="D297" s="14" t="s">
        <v>1380</v>
      </c>
      <c r="E297" s="14" t="str">
        <f>HYPERLINK("http://www.ncbi.nlm.nih.gov/sites/entrez?db=gene&amp;cmd=Retrieve&amp;dopt=full_report&amp;list_uids=130502","130502")</f>
        <v>130502</v>
      </c>
      <c r="F297" s="14" t="s">
        <v>1397</v>
      </c>
      <c r="G297" s="14" t="s">
        <v>1342</v>
      </c>
      <c r="H297" s="14" t="s">
        <v>8728</v>
      </c>
      <c r="I297" s="14" t="s">
        <v>8383</v>
      </c>
      <c r="J297" s="15" t="s">
        <v>8728</v>
      </c>
      <c r="K297" s="16">
        <v>161.600551</v>
      </c>
      <c r="L297" s="17">
        <v>241.72323900000001</v>
      </c>
      <c r="M297" s="18">
        <f t="shared" si="4"/>
        <v>1.4958070223411553</v>
      </c>
    </row>
    <row r="298" spans="1:13">
      <c r="A298" s="13" t="s">
        <v>1343</v>
      </c>
      <c r="B298" s="14" t="s">
        <v>1343</v>
      </c>
      <c r="C298" s="14" t="str">
        <f>HYPERLINK("http://uswest.ensembl.org/Homo_sapiens/Gene/Summary?g=ENSG00000152229","ENSG00000152229")</f>
        <v>ENSG00000152229</v>
      </c>
      <c r="D298" s="14" t="s">
        <v>1344</v>
      </c>
      <c r="E298" s="14" t="str">
        <f>HYPERLINK("http://www.ncbi.nlm.nih.gov/sites/entrez?db=gene&amp;cmd=Retrieve&amp;dopt=full_report&amp;list_uids=","-")</f>
        <v>-</v>
      </c>
      <c r="F298" s="14" t="s">
        <v>1345</v>
      </c>
      <c r="G298" s="14" t="s">
        <v>1346</v>
      </c>
      <c r="H298" s="14" t="s">
        <v>8728</v>
      </c>
      <c r="I298" s="14" t="s">
        <v>8728</v>
      </c>
      <c r="J298" s="15" t="s">
        <v>8728</v>
      </c>
      <c r="K298" s="16">
        <v>261.75926299999998</v>
      </c>
      <c r="L298" s="17">
        <v>391.50041399999998</v>
      </c>
      <c r="M298" s="18">
        <f t="shared" si="4"/>
        <v>1.4956506582156752</v>
      </c>
    </row>
    <row r="299" spans="1:13">
      <c r="A299" s="13" t="s">
        <v>1347</v>
      </c>
      <c r="B299" s="14" t="s">
        <v>1347</v>
      </c>
      <c r="C299" s="14" t="str">
        <f>HYPERLINK("http://uswest.ensembl.org/Homo_sapiens/Gene/Summary?g=ENSG00000163220","ENSG00000163220")</f>
        <v>ENSG00000163220</v>
      </c>
      <c r="D299" s="14" t="s">
        <v>8728</v>
      </c>
      <c r="E299" s="14" t="str">
        <f>HYPERLINK("http://www.ncbi.nlm.nih.gov/sites/entrez?db=gene&amp;cmd=Retrieve&amp;dopt=full_report&amp;list_uids=6280","6280")</f>
        <v>6280</v>
      </c>
      <c r="F299" s="14" t="s">
        <v>1348</v>
      </c>
      <c r="G299" s="14" t="s">
        <v>1382</v>
      </c>
      <c r="H299" s="14" t="s">
        <v>1383</v>
      </c>
      <c r="I299" s="14" t="s">
        <v>1384</v>
      </c>
      <c r="J299" s="15" t="s">
        <v>8608</v>
      </c>
      <c r="K299" s="16">
        <v>32.433067000000001</v>
      </c>
      <c r="L299" s="17">
        <v>48.502746999999999</v>
      </c>
      <c r="M299" s="18">
        <f t="shared" si="4"/>
        <v>1.495472105675359</v>
      </c>
    </row>
    <row r="300" spans="1:13">
      <c r="A300" s="13" t="s">
        <v>1385</v>
      </c>
      <c r="B300" s="14" t="s">
        <v>1385</v>
      </c>
      <c r="C300" s="14" t="str">
        <f>HYPERLINK("http://uswest.ensembl.org/Homo_sapiens/Gene/Summary?g=ENSG00000105968","ENSG00000105968")</f>
        <v>ENSG00000105968</v>
      </c>
      <c r="D300" s="14" t="s">
        <v>1386</v>
      </c>
      <c r="E300" s="14" t="str">
        <f>HYPERLINK("http://www.ncbi.nlm.nih.gov/sites/entrez?db=gene&amp;cmd=Retrieve&amp;dopt=full_report&amp;list_uids=94239","94239")</f>
        <v>94239</v>
      </c>
      <c r="F300" s="14" t="s">
        <v>1387</v>
      </c>
      <c r="G300" s="14" t="s">
        <v>1388</v>
      </c>
      <c r="H300" s="14" t="s">
        <v>8681</v>
      </c>
      <c r="I300" s="14" t="s">
        <v>8682</v>
      </c>
      <c r="J300" s="15" t="s">
        <v>8048</v>
      </c>
      <c r="K300" s="16">
        <v>2471.6039070000002</v>
      </c>
      <c r="L300" s="17">
        <v>3696.1151639999998</v>
      </c>
      <c r="M300" s="18">
        <f t="shared" si="4"/>
        <v>1.4954318341753614</v>
      </c>
    </row>
    <row r="301" spans="1:13">
      <c r="A301" s="13" t="s">
        <v>1351</v>
      </c>
      <c r="B301" s="14" t="s">
        <v>1351</v>
      </c>
      <c r="C301" s="14" t="str">
        <f>HYPERLINK("http://uswest.ensembl.org/Homo_sapiens/Gene/Summary?g=","-")</f>
        <v>-</v>
      </c>
      <c r="D301" s="14" t="s">
        <v>1352</v>
      </c>
      <c r="E301" s="14" t="str">
        <f>HYPERLINK("http://www.ncbi.nlm.nih.gov/sites/entrez?db=gene&amp;cmd=Retrieve&amp;dopt=full_report&amp;list_uids=154467","154467")</f>
        <v>154467</v>
      </c>
      <c r="F301" s="14" t="s">
        <v>1353</v>
      </c>
      <c r="G301" s="14" t="s">
        <v>1389</v>
      </c>
      <c r="H301" s="14" t="s">
        <v>8728</v>
      </c>
      <c r="I301" s="14" t="s">
        <v>8728</v>
      </c>
      <c r="J301" s="15" t="s">
        <v>8698</v>
      </c>
      <c r="K301" s="16">
        <v>237.73031399999999</v>
      </c>
      <c r="L301" s="17">
        <v>355.09986199999997</v>
      </c>
      <c r="M301" s="18">
        <f t="shared" si="4"/>
        <v>1.4937087997957215</v>
      </c>
    </row>
    <row r="302" spans="1:13">
      <c r="A302" s="13" t="s">
        <v>1354</v>
      </c>
      <c r="B302" s="14" t="s">
        <v>1354</v>
      </c>
      <c r="C302" s="14" t="str">
        <f>HYPERLINK("http://uswest.ensembl.org/Homo_sapiens/Gene/Summary?g=","-")</f>
        <v>-</v>
      </c>
      <c r="D302" s="14" t="s">
        <v>1355</v>
      </c>
      <c r="E302" s="14" t="str">
        <f>HYPERLINK("http://www.ncbi.nlm.nih.gov/sites/entrez?db=gene&amp;cmd=Retrieve&amp;dopt=full_report&amp;list_uids=26156","26156")</f>
        <v>26156</v>
      </c>
      <c r="F302" s="14" t="s">
        <v>1356</v>
      </c>
      <c r="G302" s="14" t="s">
        <v>1361</v>
      </c>
      <c r="H302" s="14" t="s">
        <v>1362</v>
      </c>
      <c r="I302" s="14" t="s">
        <v>1415</v>
      </c>
      <c r="J302" s="15" t="s">
        <v>1416</v>
      </c>
      <c r="K302" s="16">
        <v>402.514432</v>
      </c>
      <c r="L302" s="17">
        <v>601.15784499999995</v>
      </c>
      <c r="M302" s="18">
        <f t="shared" si="4"/>
        <v>1.4935063123401249</v>
      </c>
    </row>
    <row r="303" spans="1:13">
      <c r="A303" s="13" t="s">
        <v>1417</v>
      </c>
      <c r="B303" s="14" t="s">
        <v>1417</v>
      </c>
      <c r="C303" s="14" t="str">
        <f>HYPERLINK("http://uswest.ensembl.org/Homo_sapiens/Gene/Summary?g=ENSG00000079150","ENSG00000079150")</f>
        <v>ENSG00000079150</v>
      </c>
      <c r="D303" s="14" t="s">
        <v>1418</v>
      </c>
      <c r="E303" s="14" t="str">
        <f>HYPERLINK("http://www.ncbi.nlm.nih.gov/sites/entrez?db=gene&amp;cmd=Retrieve&amp;dopt=full_report&amp;list_uids=51661","51661")</f>
        <v>51661</v>
      </c>
      <c r="F303" s="14" t="s">
        <v>1419</v>
      </c>
      <c r="G303" s="14" t="s">
        <v>1420</v>
      </c>
      <c r="H303" s="14" t="s">
        <v>8671</v>
      </c>
      <c r="I303" s="14" t="s">
        <v>8684</v>
      </c>
      <c r="J303" s="15" t="s">
        <v>8728</v>
      </c>
      <c r="K303" s="16">
        <v>57.685772</v>
      </c>
      <c r="L303" s="17">
        <v>86.150711999999999</v>
      </c>
      <c r="M303" s="18">
        <f t="shared" si="4"/>
        <v>1.4934481937764481</v>
      </c>
    </row>
    <row r="304" spans="1:13">
      <c r="A304" s="13" t="s">
        <v>1421</v>
      </c>
      <c r="B304" s="14" t="s">
        <v>1421</v>
      </c>
      <c r="C304" s="14" t="str">
        <f>HYPERLINK("http://uswest.ensembl.org/Homo_sapiens/Gene/Summary?g=ENSG00000179456","ENSG00000179456")</f>
        <v>ENSG00000179456</v>
      </c>
      <c r="D304" s="14" t="s">
        <v>1422</v>
      </c>
      <c r="E304" s="14" t="str">
        <f>HYPERLINK("http://www.ncbi.nlm.nih.gov/sites/entrez?db=gene&amp;cmd=Retrieve&amp;dopt=full_report&amp;list_uids=10472","10472")</f>
        <v>10472</v>
      </c>
      <c r="F304" s="14" t="s">
        <v>1423</v>
      </c>
      <c r="G304" s="14" t="s">
        <v>1337</v>
      </c>
      <c r="H304" s="14" t="s">
        <v>1338</v>
      </c>
      <c r="I304" s="14" t="s">
        <v>4137</v>
      </c>
      <c r="J304" s="15" t="s">
        <v>1392</v>
      </c>
      <c r="K304" s="16">
        <v>26.527635</v>
      </c>
      <c r="L304" s="17">
        <v>39.611773999999997</v>
      </c>
      <c r="M304" s="18">
        <f t="shared" si="4"/>
        <v>1.4932267426025727</v>
      </c>
    </row>
    <row r="305" spans="1:13">
      <c r="A305" s="13" t="s">
        <v>1393</v>
      </c>
      <c r="B305" s="14" t="s">
        <v>1393</v>
      </c>
      <c r="C305" s="14" t="str">
        <f>HYPERLINK("http://uswest.ensembl.org/Homo_sapiens/Gene/Summary?g=ENSG00000137309","ENSG00000137309")</f>
        <v>ENSG00000137309</v>
      </c>
      <c r="D305" s="14" t="s">
        <v>1394</v>
      </c>
      <c r="E305" s="14" t="str">
        <f>HYPERLINK("http://www.ncbi.nlm.nih.gov/sites/entrez?db=gene&amp;cmd=Retrieve&amp;dopt=full_report&amp;list_uids=100130009","100130009")</f>
        <v>100130009</v>
      </c>
      <c r="F305" s="14" t="s">
        <v>1395</v>
      </c>
      <c r="G305" s="14" t="s">
        <v>1396</v>
      </c>
      <c r="H305" s="19" t="s">
        <v>1349</v>
      </c>
      <c r="I305" s="19" t="s">
        <v>1350</v>
      </c>
      <c r="J305" s="15" t="s">
        <v>1321</v>
      </c>
      <c r="K305" s="16">
        <v>147.88583700000001</v>
      </c>
      <c r="L305" s="17">
        <v>220.747108</v>
      </c>
      <c r="M305" s="18">
        <f t="shared" si="4"/>
        <v>1.4926859290791989</v>
      </c>
    </row>
    <row r="306" spans="1:13">
      <c r="A306" s="13" t="s">
        <v>1322</v>
      </c>
      <c r="B306" s="14" t="s">
        <v>1322</v>
      </c>
      <c r="C306" s="14" t="str">
        <f>HYPERLINK("http://uswest.ensembl.org/Homo_sapiens/Gene/Summary?g=","-")</f>
        <v>-</v>
      </c>
      <c r="D306" s="14" t="s">
        <v>1323</v>
      </c>
      <c r="E306" s="14" t="str">
        <f>HYPERLINK("http://www.ncbi.nlm.nih.gov/sites/entrez?db=gene&amp;cmd=Retrieve&amp;dopt=full_report&amp;list_uids=64218","64218")</f>
        <v>64218</v>
      </c>
      <c r="F306" s="14" t="s">
        <v>1324</v>
      </c>
      <c r="G306" s="14" t="s">
        <v>1325</v>
      </c>
      <c r="H306" s="14" t="s">
        <v>1326</v>
      </c>
      <c r="I306" s="14" t="s">
        <v>1327</v>
      </c>
      <c r="J306" s="15" t="s">
        <v>7988</v>
      </c>
      <c r="K306" s="16">
        <v>107.244113</v>
      </c>
      <c r="L306" s="17">
        <v>160.06322499999999</v>
      </c>
      <c r="M306" s="18">
        <f t="shared" si="4"/>
        <v>1.4925129270265864</v>
      </c>
    </row>
    <row r="307" spans="1:13">
      <c r="A307" s="13" t="s">
        <v>1328</v>
      </c>
      <c r="B307" s="14" t="s">
        <v>1328</v>
      </c>
      <c r="C307" s="14" t="str">
        <f>HYPERLINK("http://uswest.ensembl.org/Homo_sapiens/Gene/Summary?g=","-")</f>
        <v>-</v>
      </c>
      <c r="D307" s="14" t="s">
        <v>1329</v>
      </c>
      <c r="E307" s="14" t="str">
        <f>HYPERLINK("http://www.ncbi.nlm.nih.gov/sites/entrez?db=gene&amp;cmd=Retrieve&amp;dopt=full_report&amp;list_uids=9410","9410")</f>
        <v>9410</v>
      </c>
      <c r="F307" s="14" t="s">
        <v>1330</v>
      </c>
      <c r="G307" s="14" t="s">
        <v>1331</v>
      </c>
      <c r="H307" s="14" t="s">
        <v>1548</v>
      </c>
      <c r="I307" s="14" t="s">
        <v>8665</v>
      </c>
      <c r="J307" s="15" t="s">
        <v>1332</v>
      </c>
      <c r="K307" s="16">
        <v>219.05857800000001</v>
      </c>
      <c r="L307" s="17">
        <v>326.76966099999999</v>
      </c>
      <c r="M307" s="18">
        <f t="shared" si="4"/>
        <v>1.4916999096013486</v>
      </c>
    </row>
    <row r="308" spans="1:13">
      <c r="A308" s="13" t="s">
        <v>1334</v>
      </c>
      <c r="B308" s="14" t="s">
        <v>1334</v>
      </c>
      <c r="C308" s="14" t="str">
        <f>HYPERLINK("http://uswest.ensembl.org/Homo_sapiens/Gene/Summary?g=","-")</f>
        <v>-</v>
      </c>
      <c r="D308" s="14" t="s">
        <v>1335</v>
      </c>
      <c r="E308" s="14" t="str">
        <f>HYPERLINK("http://www.ncbi.nlm.nih.gov/sites/entrez?db=gene&amp;cmd=Retrieve&amp;dopt=full_report&amp;list_uids=9016","9016")</f>
        <v>9016</v>
      </c>
      <c r="F308" s="14" t="s">
        <v>1336</v>
      </c>
      <c r="G308" s="14" t="s">
        <v>1312</v>
      </c>
      <c r="H308" s="14" t="s">
        <v>6445</v>
      </c>
      <c r="I308" s="14" t="s">
        <v>2950</v>
      </c>
      <c r="J308" s="15" t="s">
        <v>6503</v>
      </c>
      <c r="K308" s="16">
        <v>64.144948999999997</v>
      </c>
      <c r="L308" s="17">
        <v>95.663264999999996</v>
      </c>
      <c r="M308" s="18">
        <f t="shared" si="4"/>
        <v>1.4913608396508351</v>
      </c>
    </row>
    <row r="309" spans="1:13">
      <c r="A309" s="13" t="s">
        <v>1313</v>
      </c>
      <c r="B309" s="14" t="s">
        <v>1313</v>
      </c>
      <c r="C309" s="14" t="str">
        <f>HYPERLINK("http://uswest.ensembl.org/Homo_sapiens/Gene/Summary?g=ENSG00000112578","ENSG00000112578")</f>
        <v>ENSG00000112578</v>
      </c>
      <c r="D309" s="14" t="s">
        <v>1314</v>
      </c>
      <c r="E309" s="14" t="str">
        <f>HYPERLINK("http://www.ncbi.nlm.nih.gov/sites/entrez?db=gene&amp;cmd=Retrieve&amp;dopt=full_report&amp;list_uids=","-")</f>
        <v>-</v>
      </c>
      <c r="F309" s="14" t="s">
        <v>1315</v>
      </c>
      <c r="G309" s="14" t="s">
        <v>1316</v>
      </c>
      <c r="H309" s="14" t="s">
        <v>8728</v>
      </c>
      <c r="I309" s="14" t="s">
        <v>8728</v>
      </c>
      <c r="J309" s="15" t="s">
        <v>8728</v>
      </c>
      <c r="K309" s="16">
        <v>56.454250999999999</v>
      </c>
      <c r="L309" s="17">
        <v>84.190286999999998</v>
      </c>
      <c r="M309" s="18">
        <f t="shared" si="4"/>
        <v>1.4913011068023911</v>
      </c>
    </row>
    <row r="310" spans="1:13">
      <c r="A310" s="13" t="s">
        <v>1317</v>
      </c>
      <c r="B310" s="14" t="s">
        <v>1317</v>
      </c>
      <c r="C310" s="14" t="str">
        <f>HYPERLINK("http://uswest.ensembl.org/Homo_sapiens/Gene/Summary?g=","-")</f>
        <v>-</v>
      </c>
      <c r="D310" s="14" t="s">
        <v>1318</v>
      </c>
      <c r="E310" s="14" t="str">
        <f>HYPERLINK("http://www.ncbi.nlm.nih.gov/sites/entrez?db=gene&amp;cmd=Retrieve&amp;dopt=full_report&amp;list_uids=55159","55159")</f>
        <v>55159</v>
      </c>
      <c r="F310" s="14" t="s">
        <v>1319</v>
      </c>
      <c r="G310" s="14" t="s">
        <v>1363</v>
      </c>
      <c r="H310" s="14" t="s">
        <v>8728</v>
      </c>
      <c r="I310" s="14" t="s">
        <v>8609</v>
      </c>
      <c r="J310" s="15" t="s">
        <v>8728</v>
      </c>
      <c r="K310" s="16">
        <v>42.885536999999999</v>
      </c>
      <c r="L310" s="17">
        <v>63.951844000000001</v>
      </c>
      <c r="M310" s="18">
        <f t="shared" si="4"/>
        <v>1.4912217142110171</v>
      </c>
    </row>
    <row r="311" spans="1:13">
      <c r="A311" s="13" t="s">
        <v>1364</v>
      </c>
      <c r="B311" s="14" t="s">
        <v>1364</v>
      </c>
      <c r="C311" s="14" t="str">
        <f>HYPERLINK("http://uswest.ensembl.org/Homo_sapiens/Gene/Summary?g=ENSG00000140395","ENSG00000140395")</f>
        <v>ENSG00000140395</v>
      </c>
      <c r="D311" s="14" t="s">
        <v>1365</v>
      </c>
      <c r="E311" s="14" t="str">
        <f>HYPERLINK("http://www.ncbi.nlm.nih.gov/sites/entrez?db=gene&amp;cmd=Retrieve&amp;dopt=full_report&amp;list_uids=80349","80349")</f>
        <v>80349</v>
      </c>
      <c r="F311" s="14" t="s">
        <v>1366</v>
      </c>
      <c r="G311" s="14" t="s">
        <v>1367</v>
      </c>
      <c r="H311" s="14" t="s">
        <v>8728</v>
      </c>
      <c r="I311" s="14" t="s">
        <v>8728</v>
      </c>
      <c r="J311" s="15" t="s">
        <v>8728</v>
      </c>
      <c r="K311" s="16">
        <v>218.68662499999999</v>
      </c>
      <c r="L311" s="17">
        <v>325.78939000000003</v>
      </c>
      <c r="M311" s="18">
        <f t="shared" si="4"/>
        <v>1.489754528883511</v>
      </c>
    </row>
    <row r="312" spans="1:13">
      <c r="A312" s="13" t="s">
        <v>1298</v>
      </c>
      <c r="B312" s="14" t="s">
        <v>1298</v>
      </c>
      <c r="C312" s="14" t="str">
        <f>HYPERLINK("http://uswest.ensembl.org/Homo_sapiens/Gene/Summary?g=ENSG00000081307","ENSG00000081307")</f>
        <v>ENSG00000081307</v>
      </c>
      <c r="D312" s="14" t="s">
        <v>1299</v>
      </c>
      <c r="E312" s="14" t="str">
        <f>HYPERLINK("http://www.ncbi.nlm.nih.gov/sites/entrez?db=gene&amp;cmd=Retrieve&amp;dopt=full_report&amp;list_uids=79876","79876")</f>
        <v>79876</v>
      </c>
      <c r="F312" s="14" t="s">
        <v>1300</v>
      </c>
      <c r="G312" s="14" t="s">
        <v>1301</v>
      </c>
      <c r="H312" s="14" t="s">
        <v>8728</v>
      </c>
      <c r="I312" s="14" t="s">
        <v>1302</v>
      </c>
      <c r="J312" s="15" t="s">
        <v>8728</v>
      </c>
      <c r="K312" s="16">
        <v>157.76856900000001</v>
      </c>
      <c r="L312" s="17">
        <v>234.92681899999999</v>
      </c>
      <c r="M312" s="18">
        <f t="shared" si="4"/>
        <v>1.489059706182668</v>
      </c>
    </row>
    <row r="313" spans="1:13">
      <c r="A313" s="13" t="s">
        <v>1303</v>
      </c>
      <c r="B313" s="14" t="s">
        <v>1303</v>
      </c>
      <c r="C313" s="14" t="str">
        <f>HYPERLINK("http://uswest.ensembl.org/Homo_sapiens/Gene/Summary?g=ENSG00000115232","ENSG00000115232")</f>
        <v>ENSG00000115232</v>
      </c>
      <c r="D313" s="14" t="s">
        <v>1304</v>
      </c>
      <c r="E313" s="14" t="str">
        <f>HYPERLINK("http://www.ncbi.nlm.nih.gov/sites/entrez?db=gene&amp;cmd=Retrieve&amp;dopt=full_report&amp;list_uids=3676","3676")</f>
        <v>3676</v>
      </c>
      <c r="F313" s="14" t="s">
        <v>1305</v>
      </c>
      <c r="G313" s="14" t="s">
        <v>1306</v>
      </c>
      <c r="H313" s="19" t="s">
        <v>1307</v>
      </c>
      <c r="I313" s="14" t="s">
        <v>1333</v>
      </c>
      <c r="J313" s="15" t="s">
        <v>1308</v>
      </c>
      <c r="K313" s="16">
        <v>307.97346800000003</v>
      </c>
      <c r="L313" s="17">
        <v>458.58149700000001</v>
      </c>
      <c r="M313" s="18">
        <f t="shared" si="4"/>
        <v>1.4890292335182587</v>
      </c>
    </row>
    <row r="314" spans="1:13">
      <c r="A314" s="13" t="s">
        <v>1309</v>
      </c>
      <c r="B314" s="14" t="s">
        <v>1309</v>
      </c>
      <c r="C314" s="14" t="str">
        <f>HYPERLINK("http://uswest.ensembl.org/Homo_sapiens/Gene/Summary?g=ENSG00000147155","ENSG00000147155")</f>
        <v>ENSG00000147155</v>
      </c>
      <c r="D314" s="14" t="s">
        <v>1310</v>
      </c>
      <c r="E314" s="14" t="str">
        <f>HYPERLINK("http://www.ncbi.nlm.nih.gov/sites/entrez?db=gene&amp;cmd=Retrieve&amp;dopt=full_report&amp;list_uids=10682","10682")</f>
        <v>10682</v>
      </c>
      <c r="F314" s="14" t="s">
        <v>1311</v>
      </c>
      <c r="G314" s="14" t="s">
        <v>1280</v>
      </c>
      <c r="H314" s="14" t="s">
        <v>1285</v>
      </c>
      <c r="I314" s="14" t="s">
        <v>1286</v>
      </c>
      <c r="J314" s="15" t="s">
        <v>1287</v>
      </c>
      <c r="K314" s="16">
        <v>928.84464200000002</v>
      </c>
      <c r="L314" s="17">
        <v>1382.757973</v>
      </c>
      <c r="M314" s="18">
        <f t="shared" si="4"/>
        <v>1.4886859550835412</v>
      </c>
    </row>
    <row r="315" spans="1:13">
      <c r="A315" s="13" t="s">
        <v>1288</v>
      </c>
      <c r="B315" s="14" t="s">
        <v>1288</v>
      </c>
      <c r="C315" s="14" t="str">
        <f>HYPERLINK("http://uswest.ensembl.org/Homo_sapiens/Gene/Summary?g=ENSG00000108439","ENSG00000108439")</f>
        <v>ENSG00000108439</v>
      </c>
      <c r="D315" s="14" t="s">
        <v>1289</v>
      </c>
      <c r="E315" s="14" t="str">
        <f>HYPERLINK("http://www.ncbi.nlm.nih.gov/sites/entrez?db=gene&amp;cmd=Retrieve&amp;dopt=full_report&amp;list_uids=55163","55163")</f>
        <v>55163</v>
      </c>
      <c r="F315" s="14" t="s">
        <v>1290</v>
      </c>
      <c r="G315" s="14" t="s">
        <v>1339</v>
      </c>
      <c r="H315" s="14" t="s">
        <v>1340</v>
      </c>
      <c r="I315" s="14" t="s">
        <v>1341</v>
      </c>
      <c r="J315" s="15" t="s">
        <v>8728</v>
      </c>
      <c r="K315" s="16">
        <v>47.383111999999997</v>
      </c>
      <c r="L315" s="17">
        <v>70.509377000000001</v>
      </c>
      <c r="M315" s="18">
        <f t="shared" si="4"/>
        <v>1.4880697789541557</v>
      </c>
    </row>
    <row r="316" spans="1:13">
      <c r="A316" s="13" t="s">
        <v>1368</v>
      </c>
      <c r="B316" s="14" t="s">
        <v>1368</v>
      </c>
      <c r="C316" s="14" t="str">
        <f>HYPERLINK("http://uswest.ensembl.org/Homo_sapiens/Gene/Summary?g=ENSG00000129534","ENSG00000129534")</f>
        <v>ENSG00000129534</v>
      </c>
      <c r="D316" s="14" t="s">
        <v>1369</v>
      </c>
      <c r="E316" s="14" t="str">
        <f>HYPERLINK("http://www.ncbi.nlm.nih.gov/sites/entrez?db=gene&amp;cmd=Retrieve&amp;dopt=full_report&amp;list_uids=55320","55320")</f>
        <v>55320</v>
      </c>
      <c r="F316" s="14" t="s">
        <v>1370</v>
      </c>
      <c r="G316" s="14" t="s">
        <v>1293</v>
      </c>
      <c r="H316" s="14" t="s">
        <v>8728</v>
      </c>
      <c r="I316" s="14" t="s">
        <v>8682</v>
      </c>
      <c r="J316" s="15" t="s">
        <v>8726</v>
      </c>
      <c r="K316" s="16">
        <v>128.89303699999999</v>
      </c>
      <c r="L316" s="17">
        <v>191.70824400000001</v>
      </c>
      <c r="M316" s="18">
        <f t="shared" si="4"/>
        <v>1.4873436801710245</v>
      </c>
    </row>
    <row r="317" spans="1:13">
      <c r="A317" s="13" t="s">
        <v>1294</v>
      </c>
      <c r="B317" s="14" t="s">
        <v>1294</v>
      </c>
      <c r="C317" s="14" t="str">
        <f>HYPERLINK("http://uswest.ensembl.org/Homo_sapiens/Gene/Summary?g=ENSG00000071205","ENSG00000071205")</f>
        <v>ENSG00000071205</v>
      </c>
      <c r="D317" s="14" t="s">
        <v>1295</v>
      </c>
      <c r="E317" s="14" t="str">
        <f>HYPERLINK("http://www.ncbi.nlm.nih.gov/sites/entrez?db=gene&amp;cmd=Retrieve&amp;dopt=full_report&amp;list_uids=79658","79658")</f>
        <v>79658</v>
      </c>
      <c r="F317" s="14" t="s">
        <v>1296</v>
      </c>
      <c r="G317" s="14" t="s">
        <v>1278</v>
      </c>
      <c r="H317" s="14" t="s">
        <v>1279</v>
      </c>
      <c r="I317" s="14" t="s">
        <v>1297</v>
      </c>
      <c r="J317" s="15" t="s">
        <v>8707</v>
      </c>
      <c r="K317" s="16">
        <v>21.270989</v>
      </c>
      <c r="L317" s="17">
        <v>31.636108</v>
      </c>
      <c r="M317" s="18">
        <f t="shared" si="4"/>
        <v>1.4872890019359231</v>
      </c>
    </row>
    <row r="318" spans="1:13">
      <c r="A318" s="13" t="s">
        <v>1281</v>
      </c>
      <c r="B318" s="14" t="s">
        <v>1281</v>
      </c>
      <c r="C318" s="14" t="str">
        <f>HYPERLINK("http://uswest.ensembl.org/Homo_sapiens/Gene/Summary?g=ENSG00000118246","ENSG00000118246")</f>
        <v>ENSG00000118246</v>
      </c>
      <c r="D318" s="14" t="s">
        <v>1282</v>
      </c>
      <c r="E318" s="14" t="str">
        <f>HYPERLINK("http://www.ncbi.nlm.nih.gov/sites/entrez?db=gene&amp;cmd=Retrieve&amp;dopt=full_report&amp;list_uids=22868","22868")</f>
        <v>22868</v>
      </c>
      <c r="F318" s="14" t="s">
        <v>1283</v>
      </c>
      <c r="G318" s="14" t="s">
        <v>1284</v>
      </c>
      <c r="H318" s="14" t="s">
        <v>7813</v>
      </c>
      <c r="I318" s="14" t="s">
        <v>2026</v>
      </c>
      <c r="J318" s="15" t="s">
        <v>8728</v>
      </c>
      <c r="K318" s="16">
        <v>92.271653999999998</v>
      </c>
      <c r="L318" s="17">
        <v>137.086297</v>
      </c>
      <c r="M318" s="18">
        <f t="shared" si="4"/>
        <v>1.4856815832086419</v>
      </c>
    </row>
    <row r="319" spans="1:13">
      <c r="A319" s="13" t="s">
        <v>1261</v>
      </c>
      <c r="B319" s="14" t="s">
        <v>1261</v>
      </c>
      <c r="C319" s="14" t="str">
        <f>HYPERLINK("http://uswest.ensembl.org/Homo_sapiens/Gene/Summary?g=ENSG00000011052","ENSG00000011052")</f>
        <v>ENSG00000011052</v>
      </c>
      <c r="D319" s="14" t="s">
        <v>1262</v>
      </c>
      <c r="E319" s="14" t="str">
        <f>HYPERLINK("http://www.ncbi.nlm.nih.gov/sites/entrez?db=gene&amp;cmd=Retrieve&amp;dopt=full_report&amp;list_uids=4830","4830")</f>
        <v>4830</v>
      </c>
      <c r="F319" s="14" t="s">
        <v>1263</v>
      </c>
      <c r="G319" s="14" t="s">
        <v>1264</v>
      </c>
      <c r="H319" s="19" t="s">
        <v>1320</v>
      </c>
      <c r="I319" s="19" t="s">
        <v>1277</v>
      </c>
      <c r="J319" s="15" t="s">
        <v>8608</v>
      </c>
      <c r="K319" s="16">
        <v>544.39784699999996</v>
      </c>
      <c r="L319" s="17">
        <v>808.41978400000005</v>
      </c>
      <c r="M319" s="18">
        <f t="shared" si="4"/>
        <v>1.4849797596646266</v>
      </c>
    </row>
    <row r="320" spans="1:13">
      <c r="A320" s="13" t="s">
        <v>1246</v>
      </c>
      <c r="B320" s="14" t="s">
        <v>1246</v>
      </c>
      <c r="C320" s="14" t="str">
        <f>HYPERLINK("http://uswest.ensembl.org/Homo_sapiens/Gene/Summary?g=ENSG00000197465","ENSG00000197465")</f>
        <v>ENSG00000197465</v>
      </c>
      <c r="D320" s="14" t="s">
        <v>8728</v>
      </c>
      <c r="E320" s="14" t="str">
        <f>HYPERLINK("http://www.ncbi.nlm.nih.gov/sites/entrez?db=gene&amp;cmd=Retrieve&amp;dopt=full_report&amp;list_uids=","-")</f>
        <v>-</v>
      </c>
      <c r="F320" s="14" t="s">
        <v>1247</v>
      </c>
      <c r="G320" s="14" t="s">
        <v>1248</v>
      </c>
      <c r="H320" s="14" t="s">
        <v>8728</v>
      </c>
      <c r="I320" s="14" t="s">
        <v>8728</v>
      </c>
      <c r="J320" s="15" t="s">
        <v>8728</v>
      </c>
      <c r="K320" s="16">
        <v>28.792075000000001</v>
      </c>
      <c r="L320" s="17">
        <v>42.681789000000002</v>
      </c>
      <c r="M320" s="18">
        <f t="shared" si="4"/>
        <v>1.4824144838466835</v>
      </c>
    </row>
    <row r="321" spans="1:13">
      <c r="A321" s="13" t="s">
        <v>1249</v>
      </c>
      <c r="B321" s="14" t="s">
        <v>1249</v>
      </c>
      <c r="C321" s="14" t="str">
        <f>HYPERLINK("http://uswest.ensembl.org/Homo_sapiens/Gene/Summary?g=ENSG00000128590","ENSG00000128590")</f>
        <v>ENSG00000128590</v>
      </c>
      <c r="D321" s="14" t="s">
        <v>1250</v>
      </c>
      <c r="E321" s="14" t="str">
        <f>HYPERLINK("http://www.ncbi.nlm.nih.gov/sites/entrez?db=gene&amp;cmd=Retrieve&amp;dopt=full_report&amp;list_uids=4189","4189")</f>
        <v>4189</v>
      </c>
      <c r="F321" s="14" t="s">
        <v>1251</v>
      </c>
      <c r="G321" s="14" t="s">
        <v>1252</v>
      </c>
      <c r="H321" s="14" t="s">
        <v>8671</v>
      </c>
      <c r="I321" s="14" t="s">
        <v>1253</v>
      </c>
      <c r="J321" s="15" t="s">
        <v>1254</v>
      </c>
      <c r="K321" s="16">
        <v>124.442463</v>
      </c>
      <c r="L321" s="17">
        <v>184.46685099999999</v>
      </c>
      <c r="M321" s="18">
        <f t="shared" si="4"/>
        <v>1.4823465122190644</v>
      </c>
    </row>
    <row r="322" spans="1:13">
      <c r="A322" s="13" t="s">
        <v>1258</v>
      </c>
      <c r="B322" s="14" t="s">
        <v>1258</v>
      </c>
      <c r="C322" s="14" t="str">
        <f>HYPERLINK("http://uswest.ensembl.org/Homo_sapiens/Gene/Summary?g=ENSG00000067167","ENSG00000067167")</f>
        <v>ENSG00000067167</v>
      </c>
      <c r="D322" s="14" t="s">
        <v>1259</v>
      </c>
      <c r="E322" s="14" t="str">
        <f>HYPERLINK("http://www.ncbi.nlm.nih.gov/sites/entrez?db=gene&amp;cmd=Retrieve&amp;dopt=full_report&amp;list_uids=23471","23471")</f>
        <v>23471</v>
      </c>
      <c r="F322" s="14" t="s">
        <v>1260</v>
      </c>
      <c r="G322" s="14" t="s">
        <v>1217</v>
      </c>
      <c r="H322" s="14" t="s">
        <v>1218</v>
      </c>
      <c r="I322" s="14" t="s">
        <v>8295</v>
      </c>
      <c r="J322" s="15" t="s">
        <v>8579</v>
      </c>
      <c r="K322" s="16">
        <v>849.85260400000004</v>
      </c>
      <c r="L322" s="17">
        <v>1259.242131</v>
      </c>
      <c r="M322" s="18">
        <f t="shared" ref="M322:M385" si="5">L322/K322</f>
        <v>1.4817182709956136</v>
      </c>
    </row>
    <row r="323" spans="1:13">
      <c r="A323" s="13" t="s">
        <v>1219</v>
      </c>
      <c r="B323" s="14" t="s">
        <v>1219</v>
      </c>
      <c r="C323" s="14" t="str">
        <f>HYPERLINK("http://uswest.ensembl.org/Homo_sapiens/Gene/Summary?g=ENSG00000078596","ENSG00000078596")</f>
        <v>ENSG00000078596</v>
      </c>
      <c r="D323" s="14" t="s">
        <v>1220</v>
      </c>
      <c r="E323" s="14" t="str">
        <f>HYPERLINK("http://www.ncbi.nlm.nih.gov/sites/entrez?db=gene&amp;cmd=Retrieve&amp;dopt=full_report&amp;list_uids=9452","9452")</f>
        <v>9452</v>
      </c>
      <c r="F323" s="14" t="s">
        <v>1221</v>
      </c>
      <c r="G323" s="14" t="s">
        <v>1222</v>
      </c>
      <c r="H323" s="14" t="s">
        <v>8728</v>
      </c>
      <c r="I323" s="14" t="s">
        <v>8728</v>
      </c>
      <c r="J323" s="15" t="s">
        <v>8689</v>
      </c>
      <c r="K323" s="16">
        <v>785.84081000000003</v>
      </c>
      <c r="L323" s="17">
        <v>1164.124599</v>
      </c>
      <c r="M323" s="18">
        <f t="shared" si="5"/>
        <v>1.4813745789048547</v>
      </c>
    </row>
    <row r="324" spans="1:13">
      <c r="A324" s="13" t="s">
        <v>1223</v>
      </c>
      <c r="B324" s="14" t="s">
        <v>1223</v>
      </c>
      <c r="C324" s="14" t="str">
        <f>HYPERLINK("http://uswest.ensembl.org/Homo_sapiens/Gene/Summary?g=ENSG00000090520","ENSG00000090520")</f>
        <v>ENSG00000090520</v>
      </c>
      <c r="D324" s="14" t="s">
        <v>1224</v>
      </c>
      <c r="E324" s="14" t="str">
        <f>HYPERLINK("http://www.ncbi.nlm.nih.gov/sites/entrez?db=gene&amp;cmd=Retrieve&amp;dopt=full_report&amp;list_uids=51726","51726")</f>
        <v>51726</v>
      </c>
      <c r="F324" s="14" t="s">
        <v>1225</v>
      </c>
      <c r="G324" s="19" t="s">
        <v>1226</v>
      </c>
      <c r="H324" s="14" t="s">
        <v>1227</v>
      </c>
      <c r="I324" s="14" t="s">
        <v>8672</v>
      </c>
      <c r="J324" s="15" t="s">
        <v>1228</v>
      </c>
      <c r="K324" s="16">
        <v>591.30365400000005</v>
      </c>
      <c r="L324" s="17">
        <v>875.79699400000004</v>
      </c>
      <c r="M324" s="18">
        <f t="shared" si="5"/>
        <v>1.4811290071953453</v>
      </c>
    </row>
    <row r="325" spans="1:13">
      <c r="A325" s="13" t="s">
        <v>1229</v>
      </c>
      <c r="B325" s="14" t="s">
        <v>1229</v>
      </c>
      <c r="C325" s="14" t="str">
        <f>HYPERLINK("http://uswest.ensembl.org/Homo_sapiens/Gene/Summary?g=ENSG00000070061","ENSG00000070061")</f>
        <v>ENSG00000070061</v>
      </c>
      <c r="D325" s="14" t="s">
        <v>1230</v>
      </c>
      <c r="E325" s="14" t="str">
        <f>HYPERLINK("http://www.ncbi.nlm.nih.gov/sites/entrez?db=gene&amp;cmd=Retrieve&amp;dopt=full_report&amp;list_uids=8518","8518")</f>
        <v>8518</v>
      </c>
      <c r="F325" s="14" t="s">
        <v>1231</v>
      </c>
      <c r="G325" s="14" t="s">
        <v>1291</v>
      </c>
      <c r="H325" s="14" t="s">
        <v>1292</v>
      </c>
      <c r="I325" s="14" t="s">
        <v>1240</v>
      </c>
      <c r="J325" s="15" t="s">
        <v>1241</v>
      </c>
      <c r="K325" s="16">
        <v>101.485652</v>
      </c>
      <c r="L325" s="17">
        <v>150.289987</v>
      </c>
      <c r="M325" s="18">
        <f t="shared" si="5"/>
        <v>1.480898866373741</v>
      </c>
    </row>
    <row r="326" spans="1:13">
      <c r="A326" s="13" t="s">
        <v>1242</v>
      </c>
      <c r="B326" s="14" t="s">
        <v>1242</v>
      </c>
      <c r="C326" s="14" t="str">
        <f>HYPERLINK("http://uswest.ensembl.org/Homo_sapiens/Gene/Summary?g=ENSG00000173436","ENSG00000173436")</f>
        <v>ENSG00000173436</v>
      </c>
      <c r="D326" s="14" t="s">
        <v>1243</v>
      </c>
      <c r="E326" s="14" t="str">
        <f>HYPERLINK("http://www.ncbi.nlm.nih.gov/sites/entrez?db=gene&amp;cmd=Retrieve&amp;dopt=full_report&amp;list_uids=440574","440574")</f>
        <v>440574</v>
      </c>
      <c r="F326" s="14" t="s">
        <v>1244</v>
      </c>
      <c r="G326" s="14" t="s">
        <v>1245</v>
      </c>
      <c r="H326" s="14" t="s">
        <v>8728</v>
      </c>
      <c r="I326" s="14" t="s">
        <v>8728</v>
      </c>
      <c r="J326" s="15" t="s">
        <v>8698</v>
      </c>
      <c r="K326" s="16">
        <v>1066.6297039999999</v>
      </c>
      <c r="L326" s="17">
        <v>1579.2765300000001</v>
      </c>
      <c r="M326" s="18">
        <f t="shared" si="5"/>
        <v>1.4806230541653846</v>
      </c>
    </row>
    <row r="327" spans="1:13">
      <c r="A327" s="13" t="s">
        <v>1273</v>
      </c>
      <c r="B327" s="14" t="s">
        <v>1273</v>
      </c>
      <c r="C327" s="14" t="str">
        <f>HYPERLINK("http://uswest.ensembl.org/Homo_sapiens/Gene/Summary?g=ENSG00000130749","ENSG00000130749")</f>
        <v>ENSG00000130749</v>
      </c>
      <c r="D327" s="14" t="s">
        <v>1274</v>
      </c>
      <c r="E327" s="14" t="str">
        <f>HYPERLINK("http://www.ncbi.nlm.nih.gov/sites/entrez?db=gene&amp;cmd=Retrieve&amp;dopt=full_report&amp;list_uids=23211","23211")</f>
        <v>23211</v>
      </c>
      <c r="F327" s="14" t="s">
        <v>1275</v>
      </c>
      <c r="G327" s="14" t="s">
        <v>1276</v>
      </c>
      <c r="H327" s="14" t="s">
        <v>8628</v>
      </c>
      <c r="I327" s="14" t="s">
        <v>1210</v>
      </c>
      <c r="J327" s="15" t="s">
        <v>8493</v>
      </c>
      <c r="K327" s="16">
        <v>282.48494899999997</v>
      </c>
      <c r="L327" s="17">
        <v>418.21288700000002</v>
      </c>
      <c r="M327" s="18">
        <f t="shared" si="5"/>
        <v>1.4804784767488623</v>
      </c>
    </row>
    <row r="328" spans="1:13">
      <c r="A328" s="13" t="s">
        <v>1211</v>
      </c>
      <c r="B328" s="14" t="s">
        <v>1211</v>
      </c>
      <c r="C328" s="14" t="str">
        <f>HYPERLINK("http://uswest.ensembl.org/Homo_sapiens/Gene/Summary?g=ENSG00000123472","ENSG00000123472")</f>
        <v>ENSG00000123472</v>
      </c>
      <c r="D328" s="14" t="s">
        <v>1212</v>
      </c>
      <c r="E328" s="14" t="str">
        <f>HYPERLINK("http://www.ncbi.nlm.nih.gov/sites/entrez?db=gene&amp;cmd=Retrieve&amp;dopt=full_report&amp;list_uids=64756","64756")</f>
        <v>64756</v>
      </c>
      <c r="F328" s="14" t="s">
        <v>1213</v>
      </c>
      <c r="G328" s="14" t="s">
        <v>1214</v>
      </c>
      <c r="H328" s="14" t="s">
        <v>6520</v>
      </c>
      <c r="I328" s="14" t="s">
        <v>8728</v>
      </c>
      <c r="J328" s="15" t="s">
        <v>8639</v>
      </c>
      <c r="K328" s="16">
        <v>26.530847999999999</v>
      </c>
      <c r="L328" s="17">
        <v>39.271084999999999</v>
      </c>
      <c r="M328" s="18">
        <f t="shared" si="5"/>
        <v>1.4802046659043842</v>
      </c>
    </row>
    <row r="329" spans="1:13">
      <c r="A329" s="13" t="s">
        <v>1255</v>
      </c>
      <c r="B329" s="14" t="s">
        <v>1255</v>
      </c>
      <c r="C329" s="14" t="str">
        <f>HYPERLINK("http://uswest.ensembl.org/Homo_sapiens/Gene/Summary?g=ENSG00000102893","ENSG00000102893")</f>
        <v>ENSG00000102893</v>
      </c>
      <c r="D329" s="14" t="s">
        <v>1256</v>
      </c>
      <c r="E329" s="14" t="str">
        <f>HYPERLINK("http://www.ncbi.nlm.nih.gov/sites/entrez?db=gene&amp;cmd=Retrieve&amp;dopt=full_report&amp;list_uids=5257","5257")</f>
        <v>5257</v>
      </c>
      <c r="F329" s="14" t="s">
        <v>1257</v>
      </c>
      <c r="G329" s="14" t="s">
        <v>1215</v>
      </c>
      <c r="H329" s="14" t="s">
        <v>1216</v>
      </c>
      <c r="I329" s="14" t="s">
        <v>7939</v>
      </c>
      <c r="J329" s="15" t="s">
        <v>8660</v>
      </c>
      <c r="K329" s="16">
        <v>123.799279</v>
      </c>
      <c r="L329" s="17">
        <v>183.19209900000001</v>
      </c>
      <c r="M329" s="18">
        <f t="shared" si="5"/>
        <v>1.4797509361908321</v>
      </c>
    </row>
    <row r="330" spans="1:13">
      <c r="A330" s="13" t="s">
        <v>1193</v>
      </c>
      <c r="B330" s="14" t="s">
        <v>1193</v>
      </c>
      <c r="C330" s="14" t="str">
        <f>HYPERLINK("http://uswest.ensembl.org/Homo_sapiens/Gene/Summary?g=ENSG00000122861","ENSG00000122861")</f>
        <v>ENSG00000122861</v>
      </c>
      <c r="D330" s="14" t="s">
        <v>1194</v>
      </c>
      <c r="E330" s="14" t="str">
        <f>HYPERLINK("http://www.ncbi.nlm.nih.gov/sites/entrez?db=gene&amp;cmd=Retrieve&amp;dopt=full_report&amp;list_uids=","-")</f>
        <v>-</v>
      </c>
      <c r="F330" s="14" t="s">
        <v>1195</v>
      </c>
      <c r="G330" s="19" t="s">
        <v>1196</v>
      </c>
      <c r="H330" s="14" t="s">
        <v>8623</v>
      </c>
      <c r="I330" s="14" t="s">
        <v>1197</v>
      </c>
      <c r="J330" s="15" t="s">
        <v>8728</v>
      </c>
      <c r="K330" s="16">
        <v>21.700697000000002</v>
      </c>
      <c r="L330" s="17">
        <v>32.089568</v>
      </c>
      <c r="M330" s="18">
        <f t="shared" si="5"/>
        <v>1.4787344388062742</v>
      </c>
    </row>
    <row r="331" spans="1:13">
      <c r="A331" s="13" t="s">
        <v>1198</v>
      </c>
      <c r="B331" s="14" t="s">
        <v>1198</v>
      </c>
      <c r="C331" s="14" t="str">
        <f>HYPERLINK("http://uswest.ensembl.org/Homo_sapiens/Gene/Summary?g=","-")</f>
        <v>-</v>
      </c>
      <c r="D331" s="14" t="s">
        <v>1199</v>
      </c>
      <c r="E331" s="14" t="str">
        <f>HYPERLINK("http://www.ncbi.nlm.nih.gov/sites/entrez?db=gene&amp;cmd=Retrieve&amp;dopt=full_report&amp;list_uids=55527","55527")</f>
        <v>55527</v>
      </c>
      <c r="F331" s="14" t="s">
        <v>1200</v>
      </c>
      <c r="G331" s="14" t="s">
        <v>1201</v>
      </c>
      <c r="H331" s="14" t="s">
        <v>1265</v>
      </c>
      <c r="I331" s="14" t="s">
        <v>3591</v>
      </c>
      <c r="J331" s="15" t="s">
        <v>8619</v>
      </c>
      <c r="K331" s="16">
        <v>64.136204000000006</v>
      </c>
      <c r="L331" s="17">
        <v>94.755331999999996</v>
      </c>
      <c r="M331" s="18">
        <f t="shared" si="5"/>
        <v>1.4774078615566333</v>
      </c>
    </row>
    <row r="332" spans="1:13">
      <c r="A332" s="13" t="s">
        <v>1269</v>
      </c>
      <c r="B332" s="14" t="s">
        <v>1269</v>
      </c>
      <c r="C332" s="14" t="str">
        <f>HYPERLINK("http://uswest.ensembl.org/Homo_sapiens/Gene/Summary?g=ENSG00000133317","ENSG00000133317")</f>
        <v>ENSG00000133317</v>
      </c>
      <c r="D332" s="14" t="s">
        <v>1270</v>
      </c>
      <c r="E332" s="14" t="str">
        <f>HYPERLINK("http://www.ncbi.nlm.nih.gov/sites/entrez?db=gene&amp;cmd=Retrieve&amp;dopt=full_report&amp;list_uids=85329","85329")</f>
        <v>85329</v>
      </c>
      <c r="F332" s="14" t="s">
        <v>1271</v>
      </c>
      <c r="G332" s="14" t="s">
        <v>1272</v>
      </c>
      <c r="H332" s="14" t="s">
        <v>8728</v>
      </c>
      <c r="I332" s="14" t="s">
        <v>7932</v>
      </c>
      <c r="J332" s="15" t="s">
        <v>8728</v>
      </c>
      <c r="K332" s="16">
        <v>85.759198999999995</v>
      </c>
      <c r="L332" s="17">
        <v>126.610739</v>
      </c>
      <c r="M332" s="18">
        <f t="shared" si="5"/>
        <v>1.4763516972680679</v>
      </c>
    </row>
    <row r="333" spans="1:13">
      <c r="A333" s="13" t="s">
        <v>1237</v>
      </c>
      <c r="B333" s="14" t="s">
        <v>1237</v>
      </c>
      <c r="C333" s="14" t="str">
        <f>HYPERLINK("http://uswest.ensembl.org/Homo_sapiens/Gene/Summary?g=ENSG00000100219","ENSG00000100219")</f>
        <v>ENSG00000100219</v>
      </c>
      <c r="D333" s="14" t="s">
        <v>1238</v>
      </c>
      <c r="E333" s="14" t="str">
        <f>HYPERLINK("http://www.ncbi.nlm.nih.gov/sites/entrez?db=gene&amp;cmd=Retrieve&amp;dopt=full_report&amp;list_uids=7494","7494")</f>
        <v>7494</v>
      </c>
      <c r="F333" s="14" t="s">
        <v>1239</v>
      </c>
      <c r="G333" s="14" t="s">
        <v>1184</v>
      </c>
      <c r="H333" s="14" t="s">
        <v>1185</v>
      </c>
      <c r="I333" s="14" t="s">
        <v>5829</v>
      </c>
      <c r="J333" s="15" t="s">
        <v>8558</v>
      </c>
      <c r="K333" s="16">
        <v>1277.8073730000001</v>
      </c>
      <c r="L333" s="17">
        <v>1885.695541</v>
      </c>
      <c r="M333" s="18">
        <f t="shared" si="5"/>
        <v>1.4757275477076153</v>
      </c>
    </row>
    <row r="334" spans="1:13">
      <c r="A334" s="13" t="s">
        <v>1186</v>
      </c>
      <c r="B334" s="14" t="s">
        <v>1186</v>
      </c>
      <c r="C334" s="14" t="str">
        <f>HYPERLINK("http://uswest.ensembl.org/Homo_sapiens/Gene/Summary?g=ENSG00000149091","ENSG00000149091")</f>
        <v>ENSG00000149091</v>
      </c>
      <c r="D334" s="14" t="s">
        <v>1187</v>
      </c>
      <c r="E334" s="14" t="str">
        <f>HYPERLINK("http://www.ncbi.nlm.nih.gov/sites/entrez?db=gene&amp;cmd=Retrieve&amp;dopt=full_report&amp;list_uids=8525","8525")</f>
        <v>8525</v>
      </c>
      <c r="F334" s="14" t="s">
        <v>1188</v>
      </c>
      <c r="G334" s="14" t="s">
        <v>1189</v>
      </c>
      <c r="H334" s="14" t="s">
        <v>1566</v>
      </c>
      <c r="I334" s="14" t="s">
        <v>1190</v>
      </c>
      <c r="J334" s="15" t="s">
        <v>7699</v>
      </c>
      <c r="K334" s="16">
        <v>312.83381200000002</v>
      </c>
      <c r="L334" s="17">
        <v>461.23878200000001</v>
      </c>
      <c r="M334" s="18">
        <f t="shared" si="5"/>
        <v>1.4743891622559009</v>
      </c>
    </row>
    <row r="335" spans="1:13">
      <c r="A335" s="13" t="s">
        <v>1166</v>
      </c>
      <c r="B335" s="14" t="s">
        <v>1166</v>
      </c>
      <c r="C335" s="14" t="str">
        <f>HYPERLINK("http://uswest.ensembl.org/Homo_sapiens/Gene/Summary?g=ENSG00000217051","ENSG00000217051")</f>
        <v>ENSG00000217051</v>
      </c>
      <c r="D335" s="14" t="s">
        <v>8728</v>
      </c>
      <c r="E335" s="14" t="str">
        <f>HYPERLINK("http://www.ncbi.nlm.nih.gov/sites/entrez?db=gene&amp;cmd=Retrieve&amp;dopt=full_report&amp;list_uids=","-")</f>
        <v>-</v>
      </c>
      <c r="F335" s="14" t="s">
        <v>1167</v>
      </c>
      <c r="G335" s="14" t="s">
        <v>8728</v>
      </c>
      <c r="H335" s="14" t="s">
        <v>8728</v>
      </c>
      <c r="I335" s="14" t="s">
        <v>8728</v>
      </c>
      <c r="J335" s="15" t="s">
        <v>8728</v>
      </c>
      <c r="K335" s="16">
        <v>169.74740700000001</v>
      </c>
      <c r="L335" s="17">
        <v>250.085194</v>
      </c>
      <c r="M335" s="18">
        <f t="shared" si="5"/>
        <v>1.4732784342325771</v>
      </c>
    </row>
    <row r="336" spans="1:13">
      <c r="A336" s="13" t="s">
        <v>1168</v>
      </c>
      <c r="B336" s="14" t="s">
        <v>1168</v>
      </c>
      <c r="C336" s="14" t="str">
        <f>HYPERLINK("http://uswest.ensembl.org/Homo_sapiens/Gene/Summary?g=ENSG00000163319","ENSG00000163319")</f>
        <v>ENSG00000163319</v>
      </c>
      <c r="D336" s="14" t="s">
        <v>1169</v>
      </c>
      <c r="E336" s="14" t="str">
        <f>HYPERLINK("http://www.ncbi.nlm.nih.gov/sites/entrez?db=gene&amp;cmd=Retrieve&amp;dopt=full_report&amp;list_uids=51023","51023")</f>
        <v>51023</v>
      </c>
      <c r="F336" s="14" t="s">
        <v>1170</v>
      </c>
      <c r="G336" s="14" t="s">
        <v>1191</v>
      </c>
      <c r="H336" s="14" t="s">
        <v>7806</v>
      </c>
      <c r="I336" s="14" t="s">
        <v>7807</v>
      </c>
      <c r="J336" s="15" t="s">
        <v>1192</v>
      </c>
      <c r="K336" s="16">
        <v>608.80312400000003</v>
      </c>
      <c r="L336" s="17">
        <v>896.599153</v>
      </c>
      <c r="M336" s="18">
        <f t="shared" si="5"/>
        <v>1.4727242973214441</v>
      </c>
    </row>
    <row r="337" spans="1:13">
      <c r="A337" s="13" t="s">
        <v>1171</v>
      </c>
      <c r="B337" s="14" t="s">
        <v>1171</v>
      </c>
      <c r="C337" s="14" t="str">
        <f>HYPERLINK("http://uswest.ensembl.org/Homo_sapiens/Gene/Summary?g=","-")</f>
        <v>-</v>
      </c>
      <c r="D337" s="14" t="s">
        <v>1172</v>
      </c>
      <c r="E337" s="14" t="str">
        <f>HYPERLINK("http://www.ncbi.nlm.nih.gov/sites/entrez?db=gene&amp;cmd=Retrieve&amp;dopt=full_report&amp;list_uids=56655","56655")</f>
        <v>56655</v>
      </c>
      <c r="F337" s="14" t="s">
        <v>1173</v>
      </c>
      <c r="G337" s="14" t="s">
        <v>1174</v>
      </c>
      <c r="H337" s="14" t="s">
        <v>8728</v>
      </c>
      <c r="I337" s="14" t="s">
        <v>1175</v>
      </c>
      <c r="J337" s="15" t="s">
        <v>8622</v>
      </c>
      <c r="K337" s="16">
        <v>273.22792099999998</v>
      </c>
      <c r="L337" s="17">
        <v>402.10872499999999</v>
      </c>
      <c r="M337" s="18">
        <f t="shared" si="5"/>
        <v>1.4716970488532173</v>
      </c>
    </row>
    <row r="338" spans="1:13">
      <c r="A338" s="13" t="s">
        <v>1266</v>
      </c>
      <c r="B338" s="14" t="s">
        <v>1266</v>
      </c>
      <c r="C338" s="14" t="str">
        <f>HYPERLINK("http://uswest.ensembl.org/Homo_sapiens/Gene/Summary?g=ENSG00000137509","ENSG00000137509")</f>
        <v>ENSG00000137509</v>
      </c>
      <c r="D338" s="14" t="s">
        <v>1267</v>
      </c>
      <c r="E338" s="14" t="str">
        <f>HYPERLINK("http://www.ncbi.nlm.nih.gov/sites/entrez?db=gene&amp;cmd=Retrieve&amp;dopt=full_report&amp;list_uids=5547","5547")</f>
        <v>5547</v>
      </c>
      <c r="F338" s="14" t="s">
        <v>1268</v>
      </c>
      <c r="G338" s="14" t="s">
        <v>1232</v>
      </c>
      <c r="H338" s="14" t="s">
        <v>8623</v>
      </c>
      <c r="I338" s="14" t="s">
        <v>1233</v>
      </c>
      <c r="J338" s="15" t="s">
        <v>8728</v>
      </c>
      <c r="K338" s="16">
        <v>159.797347</v>
      </c>
      <c r="L338" s="17">
        <v>235.07675699999999</v>
      </c>
      <c r="M338" s="18">
        <f t="shared" si="5"/>
        <v>1.4710929900482015</v>
      </c>
    </row>
    <row r="339" spans="1:13">
      <c r="A339" s="13" t="s">
        <v>1234</v>
      </c>
      <c r="B339" s="14" t="s">
        <v>1234</v>
      </c>
      <c r="C339" s="14" t="str">
        <f>HYPERLINK("http://uswest.ensembl.org/Homo_sapiens/Gene/Summary?g=","-")</f>
        <v>-</v>
      </c>
      <c r="D339" s="14" t="s">
        <v>1235</v>
      </c>
      <c r="E339" s="14" t="str">
        <f>HYPERLINK("http://www.ncbi.nlm.nih.gov/sites/entrez?db=gene&amp;cmd=Retrieve&amp;dopt=full_report&amp;list_uids=64924","64924")</f>
        <v>64924</v>
      </c>
      <c r="F339" s="14" t="s">
        <v>1236</v>
      </c>
      <c r="G339" s="14" t="s">
        <v>1148</v>
      </c>
      <c r="H339" s="14" t="s">
        <v>8728</v>
      </c>
      <c r="I339" s="14" t="s">
        <v>8728</v>
      </c>
      <c r="J339" s="15" t="s">
        <v>8728</v>
      </c>
      <c r="K339" s="16">
        <v>46.892805000000003</v>
      </c>
      <c r="L339" s="17">
        <v>68.977656999999994</v>
      </c>
      <c r="M339" s="18">
        <f t="shared" si="5"/>
        <v>1.4709646181327816</v>
      </c>
    </row>
    <row r="340" spans="1:13">
      <c r="A340" s="13" t="s">
        <v>1149</v>
      </c>
      <c r="B340" s="14" t="s">
        <v>1149</v>
      </c>
      <c r="C340" s="14" t="str">
        <f>HYPERLINK("http://uswest.ensembl.org/Homo_sapiens/Gene/Summary?g=ENSG00000131368","ENSG00000131368")</f>
        <v>ENSG00000131368</v>
      </c>
      <c r="D340" s="14" t="s">
        <v>1150</v>
      </c>
      <c r="E340" s="14" t="str">
        <f>HYPERLINK("http://www.ncbi.nlm.nih.gov/sites/entrez?db=gene&amp;cmd=Retrieve&amp;dopt=full_report&amp;list_uids=64432","64432")</f>
        <v>64432</v>
      </c>
      <c r="F340" s="14" t="s">
        <v>1151</v>
      </c>
      <c r="G340" s="14" t="s">
        <v>1152</v>
      </c>
      <c r="H340" s="14" t="s">
        <v>7806</v>
      </c>
      <c r="I340" s="14" t="s">
        <v>1153</v>
      </c>
      <c r="J340" s="15" t="s">
        <v>2921</v>
      </c>
      <c r="K340" s="16">
        <v>22.511400999999999</v>
      </c>
      <c r="L340" s="17">
        <v>33.100414999999998</v>
      </c>
      <c r="M340" s="18">
        <f t="shared" si="5"/>
        <v>1.4703844953941339</v>
      </c>
    </row>
    <row r="341" spans="1:13">
      <c r="A341" s="13" t="s">
        <v>1154</v>
      </c>
      <c r="B341" s="14" t="s">
        <v>1154</v>
      </c>
      <c r="C341" s="14" t="str">
        <f>HYPERLINK("http://uswest.ensembl.org/Homo_sapiens/Gene/Summary?g=ENSG00000170638","ENSG00000170638")</f>
        <v>ENSG00000170638</v>
      </c>
      <c r="D341" s="14" t="s">
        <v>1155</v>
      </c>
      <c r="E341" s="14" t="str">
        <f>HYPERLINK("http://www.ncbi.nlm.nih.gov/sites/entrez?db=gene&amp;cmd=Retrieve&amp;dopt=full_report&amp;list_uids=80305","80305")</f>
        <v>80305</v>
      </c>
      <c r="F341" s="14" t="s">
        <v>1156</v>
      </c>
      <c r="G341" s="14" t="s">
        <v>1157</v>
      </c>
      <c r="H341" s="14" t="s">
        <v>8728</v>
      </c>
      <c r="I341" s="14" t="s">
        <v>8728</v>
      </c>
      <c r="J341" s="15" t="s">
        <v>8728</v>
      </c>
      <c r="K341" s="16">
        <v>45.308681999999997</v>
      </c>
      <c r="L341" s="17">
        <v>66.615228000000002</v>
      </c>
      <c r="M341" s="18">
        <f t="shared" si="5"/>
        <v>1.4702530521633801</v>
      </c>
    </row>
    <row r="342" spans="1:13">
      <c r="A342" s="13" t="s">
        <v>1158</v>
      </c>
      <c r="B342" s="14" t="s">
        <v>1158</v>
      </c>
      <c r="C342" s="14" t="str">
        <f>HYPERLINK("http://uswest.ensembl.org/Homo_sapiens/Gene/Summary?g=ENSG00000178057","ENSG00000178057")</f>
        <v>ENSG00000178057</v>
      </c>
      <c r="D342" s="14" t="s">
        <v>1159</v>
      </c>
      <c r="E342" s="14" t="str">
        <f>HYPERLINK("http://www.ncbi.nlm.nih.gov/sites/entrez?db=gene&amp;cmd=Retrieve&amp;dopt=full_report&amp;list_uids=25915","25915")</f>
        <v>25915</v>
      </c>
      <c r="F342" s="14" t="s">
        <v>1160</v>
      </c>
      <c r="G342" s="14" t="s">
        <v>1161</v>
      </c>
      <c r="H342" s="14" t="s">
        <v>8728</v>
      </c>
      <c r="I342" s="14" t="s">
        <v>8728</v>
      </c>
      <c r="J342" s="15" t="s">
        <v>8728</v>
      </c>
      <c r="K342" s="16">
        <v>345.590125</v>
      </c>
      <c r="L342" s="17">
        <v>507.90284000000003</v>
      </c>
      <c r="M342" s="18">
        <f t="shared" si="5"/>
        <v>1.4696682667075629</v>
      </c>
    </row>
    <row r="343" spans="1:13">
      <c r="A343" s="13" t="s">
        <v>1162</v>
      </c>
      <c r="B343" s="14" t="s">
        <v>1162</v>
      </c>
      <c r="C343" s="14" t="str">
        <f>HYPERLINK("http://uswest.ensembl.org/Homo_sapiens/Gene/Summary?g=","-")</f>
        <v>-</v>
      </c>
      <c r="D343" s="14" t="s">
        <v>1163</v>
      </c>
      <c r="E343" s="14" t="str">
        <f>HYPERLINK("http://www.ncbi.nlm.nih.gov/sites/entrez?db=gene&amp;cmd=Retrieve&amp;dopt=full_report&amp;list_uids=57190","57190")</f>
        <v>57190</v>
      </c>
      <c r="F343" s="14" t="s">
        <v>1164</v>
      </c>
      <c r="G343" s="14" t="s">
        <v>1165</v>
      </c>
      <c r="H343" s="14" t="s">
        <v>8728</v>
      </c>
      <c r="I343" s="14" t="s">
        <v>8684</v>
      </c>
      <c r="J343" s="15" t="s">
        <v>8728</v>
      </c>
      <c r="K343" s="16">
        <v>34.472901999999998</v>
      </c>
      <c r="L343" s="17">
        <v>50.663258999999996</v>
      </c>
      <c r="M343" s="18">
        <f t="shared" si="5"/>
        <v>1.469654600010176</v>
      </c>
    </row>
    <row r="344" spans="1:13">
      <c r="A344" s="13" t="s">
        <v>1137</v>
      </c>
      <c r="B344" s="14" t="s">
        <v>1137</v>
      </c>
      <c r="C344" s="14" t="str">
        <f>HYPERLINK("http://uswest.ensembl.org/Homo_sapiens/Gene/Summary?g=ENSG00000105501","ENSG00000105501")</f>
        <v>ENSG00000105501</v>
      </c>
      <c r="D344" s="14" t="s">
        <v>1138</v>
      </c>
      <c r="E344" s="14" t="str">
        <f>HYPERLINK("http://www.ncbi.nlm.nih.gov/sites/entrez?db=gene&amp;cmd=Retrieve&amp;dopt=full_report&amp;list_uids=8778","8778")</f>
        <v>8778</v>
      </c>
      <c r="F344" s="14" t="s">
        <v>1139</v>
      </c>
      <c r="G344" s="14" t="s">
        <v>1140</v>
      </c>
      <c r="H344" s="14" t="s">
        <v>8628</v>
      </c>
      <c r="I344" s="14" t="s">
        <v>6231</v>
      </c>
      <c r="J344" s="15" t="s">
        <v>6267</v>
      </c>
      <c r="K344" s="16">
        <v>104.991105</v>
      </c>
      <c r="L344" s="17">
        <v>154.26072400000001</v>
      </c>
      <c r="M344" s="18">
        <f t="shared" si="5"/>
        <v>1.4692742208970941</v>
      </c>
    </row>
    <row r="345" spans="1:13">
      <c r="A345" s="13" t="s">
        <v>1141</v>
      </c>
      <c r="B345" s="14" t="s">
        <v>1141</v>
      </c>
      <c r="C345" s="14" t="str">
        <f>HYPERLINK("http://uswest.ensembl.org/Homo_sapiens/Gene/Summary?g=ENSG00000135052","ENSG00000135052")</f>
        <v>ENSG00000135052</v>
      </c>
      <c r="D345" s="14" t="s">
        <v>1142</v>
      </c>
      <c r="E345" s="14" t="str">
        <f>HYPERLINK("http://www.ncbi.nlm.nih.gov/sites/entrez?db=gene&amp;cmd=Retrieve&amp;dopt=full_report&amp;list_uids=51280","51280")</f>
        <v>51280</v>
      </c>
      <c r="F345" s="14" t="s">
        <v>1143</v>
      </c>
      <c r="G345" s="14" t="s">
        <v>1202</v>
      </c>
      <c r="H345" s="14" t="s">
        <v>8728</v>
      </c>
      <c r="I345" s="14" t="s">
        <v>8728</v>
      </c>
      <c r="J345" s="15" t="s">
        <v>1203</v>
      </c>
      <c r="K345" s="16">
        <v>148.36418599999999</v>
      </c>
      <c r="L345" s="17">
        <v>217.86942999999999</v>
      </c>
      <c r="M345" s="18">
        <f t="shared" si="5"/>
        <v>1.4684772374918029</v>
      </c>
    </row>
    <row r="346" spans="1:13">
      <c r="A346" s="13" t="s">
        <v>1204</v>
      </c>
      <c r="B346" s="14" t="s">
        <v>1204</v>
      </c>
      <c r="C346" s="14" t="str">
        <f>HYPERLINK("http://uswest.ensembl.org/Homo_sapiens/Gene/Summary?g=ENSG00000116221","ENSG00000116221")</f>
        <v>ENSG00000116221</v>
      </c>
      <c r="D346" s="14" t="s">
        <v>1205</v>
      </c>
      <c r="E346" s="14" t="str">
        <f>HYPERLINK("http://www.ncbi.nlm.nih.gov/sites/entrez?db=gene&amp;cmd=Retrieve&amp;dopt=full_report&amp;list_uids=51253","51253")</f>
        <v>51253</v>
      </c>
      <c r="F346" s="14" t="s">
        <v>1206</v>
      </c>
      <c r="G346" s="14" t="s">
        <v>1176</v>
      </c>
      <c r="H346" s="14" t="s">
        <v>7806</v>
      </c>
      <c r="I346" s="14" t="s">
        <v>1113</v>
      </c>
      <c r="J346" s="15" t="s">
        <v>1207</v>
      </c>
      <c r="K346" s="16">
        <v>368.83944700000001</v>
      </c>
      <c r="L346" s="17">
        <v>541.31408499999998</v>
      </c>
      <c r="M346" s="18">
        <f t="shared" si="5"/>
        <v>1.4676144035103706</v>
      </c>
    </row>
    <row r="347" spans="1:13">
      <c r="A347" s="13" t="s">
        <v>1208</v>
      </c>
      <c r="B347" s="14" t="s">
        <v>1208</v>
      </c>
      <c r="C347" s="14" t="str">
        <f>HYPERLINK("http://uswest.ensembl.org/Homo_sapiens/Gene/Summary?g=","-")</f>
        <v>-</v>
      </c>
      <c r="D347" s="14" t="s">
        <v>1114</v>
      </c>
      <c r="E347" s="14" t="str">
        <f>HYPERLINK("http://www.ncbi.nlm.nih.gov/sites/entrez?db=gene&amp;cmd=Retrieve&amp;dopt=full_report&amp;list_uids=25801","25801")</f>
        <v>25801</v>
      </c>
      <c r="F347" s="14" t="s">
        <v>1115</v>
      </c>
      <c r="G347" s="14" t="s">
        <v>1116</v>
      </c>
      <c r="H347" s="14" t="s">
        <v>1117</v>
      </c>
      <c r="I347" s="14" t="s">
        <v>8684</v>
      </c>
      <c r="J347" s="15" t="s">
        <v>5453</v>
      </c>
      <c r="K347" s="16">
        <v>43.176943000000001</v>
      </c>
      <c r="L347" s="17">
        <v>63.317248999999997</v>
      </c>
      <c r="M347" s="18">
        <f t="shared" si="5"/>
        <v>1.4664597491304558</v>
      </c>
    </row>
    <row r="348" spans="1:13">
      <c r="A348" s="13" t="s">
        <v>1118</v>
      </c>
      <c r="B348" s="14" t="s">
        <v>1118</v>
      </c>
      <c r="C348" s="14" t="str">
        <f>HYPERLINK("http://uswest.ensembl.org/Homo_sapiens/Gene/Summary?g=ENSG00000183891","ENSG00000183891")</f>
        <v>ENSG00000183891</v>
      </c>
      <c r="D348" s="14" t="s">
        <v>1119</v>
      </c>
      <c r="E348" s="14" t="str">
        <f>HYPERLINK("http://www.ncbi.nlm.nih.gov/sites/entrez?db=gene&amp;cmd=Retrieve&amp;dopt=full_report&amp;list_uids=","-")</f>
        <v>-</v>
      </c>
      <c r="F348" s="14" t="s">
        <v>1397</v>
      </c>
      <c r="G348" s="14" t="s">
        <v>1342</v>
      </c>
      <c r="H348" s="14" t="s">
        <v>8728</v>
      </c>
      <c r="I348" s="14" t="s">
        <v>8728</v>
      </c>
      <c r="J348" s="15" t="s">
        <v>8728</v>
      </c>
      <c r="K348" s="16">
        <v>48.462282000000002</v>
      </c>
      <c r="L348" s="17">
        <v>71.055598000000003</v>
      </c>
      <c r="M348" s="18">
        <f t="shared" si="5"/>
        <v>1.4662041296363222</v>
      </c>
    </row>
    <row r="349" spans="1:13">
      <c r="A349" s="13" t="s">
        <v>1209</v>
      </c>
      <c r="B349" s="14" t="s">
        <v>1209</v>
      </c>
      <c r="C349" s="14" t="str">
        <f>HYPERLINK("http://uswest.ensembl.org/Homo_sapiens/Gene/Summary?g=ENSG00000118939","ENSG00000118939")</f>
        <v>ENSG00000118939</v>
      </c>
      <c r="D349" s="14" t="s">
        <v>1145</v>
      </c>
      <c r="E349" s="14" t="str">
        <f>HYPERLINK("http://www.ncbi.nlm.nih.gov/sites/entrez?db=gene&amp;cmd=Retrieve&amp;dopt=full_report&amp;list_uids=","-")</f>
        <v>-</v>
      </c>
      <c r="F349" s="14" t="s">
        <v>1146</v>
      </c>
      <c r="G349" s="14" t="s">
        <v>1147</v>
      </c>
      <c r="H349" s="14" t="s">
        <v>8600</v>
      </c>
      <c r="I349" s="14" t="s">
        <v>3418</v>
      </c>
      <c r="J349" s="15" t="s">
        <v>8707</v>
      </c>
      <c r="K349" s="16">
        <v>262.45086099999997</v>
      </c>
      <c r="L349" s="17">
        <v>384.769837</v>
      </c>
      <c r="M349" s="18">
        <f t="shared" si="5"/>
        <v>1.4660642968894662</v>
      </c>
    </row>
    <row r="350" spans="1:13">
      <c r="A350" s="13" t="s">
        <v>1120</v>
      </c>
      <c r="B350" s="14" t="s">
        <v>1120</v>
      </c>
      <c r="C350" s="14" t="str">
        <f>HYPERLINK("http://uswest.ensembl.org/Homo_sapiens/Gene/Summary?g=ENSG00000204099","ENSG00000204099")</f>
        <v>ENSG00000204099</v>
      </c>
      <c r="D350" s="14" t="s">
        <v>1121</v>
      </c>
      <c r="E350" s="14" t="str">
        <f>HYPERLINK("http://www.ncbi.nlm.nih.gov/sites/entrez?db=gene&amp;cmd=Retrieve&amp;dopt=full_report&amp;list_uids=129807","129807")</f>
        <v>129807</v>
      </c>
      <c r="F350" s="14" t="s">
        <v>1122</v>
      </c>
      <c r="G350" s="14" t="s">
        <v>1123</v>
      </c>
      <c r="H350" s="14" t="s">
        <v>8329</v>
      </c>
      <c r="I350" s="14" t="s">
        <v>1124</v>
      </c>
      <c r="J350" s="15" t="s">
        <v>1125</v>
      </c>
      <c r="K350" s="16">
        <v>175.16456199999999</v>
      </c>
      <c r="L350" s="17">
        <v>256.56689299999999</v>
      </c>
      <c r="M350" s="18">
        <f t="shared" si="5"/>
        <v>1.4647191764736067</v>
      </c>
    </row>
    <row r="351" spans="1:13">
      <c r="A351" s="13" t="s">
        <v>1126</v>
      </c>
      <c r="B351" s="14" t="s">
        <v>1126</v>
      </c>
      <c r="C351" s="14" t="str">
        <f>HYPERLINK("http://uswest.ensembl.org/Homo_sapiens/Gene/Summary?g=","-")</f>
        <v>-</v>
      </c>
      <c r="D351" s="14" t="s">
        <v>1127</v>
      </c>
      <c r="E351" s="14" t="str">
        <f>HYPERLINK("http://www.ncbi.nlm.nih.gov/sites/entrez?db=gene&amp;cmd=Retrieve&amp;dopt=full_report&amp;list_uids=10953","10953")</f>
        <v>10953</v>
      </c>
      <c r="F351" s="14" t="s">
        <v>1128</v>
      </c>
      <c r="G351" s="14" t="s">
        <v>1129</v>
      </c>
      <c r="H351" s="14" t="s">
        <v>1130</v>
      </c>
      <c r="I351" s="14" t="s">
        <v>1131</v>
      </c>
      <c r="J351" s="15" t="s">
        <v>1106</v>
      </c>
      <c r="K351" s="16">
        <v>35.049885000000003</v>
      </c>
      <c r="L351" s="17">
        <v>51.331766999999999</v>
      </c>
      <c r="M351" s="18">
        <f t="shared" si="5"/>
        <v>1.4645345341361318</v>
      </c>
    </row>
    <row r="352" spans="1:13">
      <c r="A352" s="13" t="s">
        <v>1132</v>
      </c>
      <c r="B352" s="14" t="s">
        <v>1132</v>
      </c>
      <c r="C352" s="14" t="str">
        <f>HYPERLINK("http://uswest.ensembl.org/Homo_sapiens/Gene/Summary?g=ENSG00000097046","ENSG00000097046")</f>
        <v>ENSG00000097046</v>
      </c>
      <c r="D352" s="14" t="s">
        <v>1133</v>
      </c>
      <c r="E352" s="14" t="str">
        <f>HYPERLINK("http://www.ncbi.nlm.nih.gov/sites/entrez?db=gene&amp;cmd=Retrieve&amp;dopt=full_report&amp;list_uids=","-")</f>
        <v>-</v>
      </c>
      <c r="F352" s="14" t="s">
        <v>1134</v>
      </c>
      <c r="G352" s="14" t="s">
        <v>1135</v>
      </c>
      <c r="H352" s="14" t="s">
        <v>1136</v>
      </c>
      <c r="I352" s="14" t="s">
        <v>1107</v>
      </c>
      <c r="J352" s="15" t="s">
        <v>8728</v>
      </c>
      <c r="K352" s="16">
        <v>119.53236099999999</v>
      </c>
      <c r="L352" s="17">
        <v>175.05534599999999</v>
      </c>
      <c r="M352" s="18">
        <f t="shared" si="5"/>
        <v>1.4645017009243211</v>
      </c>
    </row>
    <row r="353" spans="1:13">
      <c r="A353" s="13" t="s">
        <v>1108</v>
      </c>
      <c r="B353" s="14" t="s">
        <v>1108</v>
      </c>
      <c r="C353" s="14" t="str">
        <f>HYPERLINK("http://uswest.ensembl.org/Homo_sapiens/Gene/Summary?g=ENSG00000106603","ENSG00000106603")</f>
        <v>ENSG00000106603</v>
      </c>
      <c r="D353" s="14" t="s">
        <v>1109</v>
      </c>
      <c r="E353" s="14" t="str">
        <f>HYPERLINK("http://www.ncbi.nlm.nih.gov/sites/entrez?db=gene&amp;cmd=Retrieve&amp;dopt=full_report&amp;list_uids=55744","55744")</f>
        <v>55744</v>
      </c>
      <c r="F353" s="14" t="s">
        <v>1110</v>
      </c>
      <c r="G353" s="14" t="s">
        <v>1111</v>
      </c>
      <c r="H353" s="14" t="s">
        <v>8728</v>
      </c>
      <c r="I353" s="14" t="s">
        <v>8728</v>
      </c>
      <c r="J353" s="15" t="s">
        <v>8698</v>
      </c>
      <c r="K353" s="16">
        <v>263.96310899999997</v>
      </c>
      <c r="L353" s="17">
        <v>386.51966399999998</v>
      </c>
      <c r="M353" s="18">
        <f t="shared" si="5"/>
        <v>1.4642942548460438</v>
      </c>
    </row>
    <row r="354" spans="1:13">
      <c r="A354" s="13" t="s">
        <v>1177</v>
      </c>
      <c r="B354" s="14" t="s">
        <v>1177</v>
      </c>
      <c r="C354" s="14" t="str">
        <f>HYPERLINK("http://uswest.ensembl.org/Homo_sapiens/Gene/Summary?g=","-")</f>
        <v>-</v>
      </c>
      <c r="D354" s="14" t="s">
        <v>1178</v>
      </c>
      <c r="E354" s="14" t="str">
        <f>HYPERLINK("http://www.ncbi.nlm.nih.gov/sites/entrez?db=gene&amp;cmd=Retrieve&amp;dopt=full_report&amp;list_uids=126549","126549")</f>
        <v>126549</v>
      </c>
      <c r="F354" s="14" t="s">
        <v>1179</v>
      </c>
      <c r="G354" s="14" t="s">
        <v>1180</v>
      </c>
      <c r="H354" s="14" t="s">
        <v>1181</v>
      </c>
      <c r="I354" s="14" t="s">
        <v>1182</v>
      </c>
      <c r="J354" s="15" t="s">
        <v>8443</v>
      </c>
      <c r="K354" s="16">
        <v>43.730688000000001</v>
      </c>
      <c r="L354" s="17">
        <v>64.024720000000002</v>
      </c>
      <c r="M354" s="18">
        <f t="shared" si="5"/>
        <v>1.4640684363346856</v>
      </c>
    </row>
    <row r="355" spans="1:13">
      <c r="A355" s="13" t="s">
        <v>1183</v>
      </c>
      <c r="B355" s="14" t="s">
        <v>1183</v>
      </c>
      <c r="C355" s="14" t="str">
        <f>HYPERLINK("http://uswest.ensembl.org/Homo_sapiens/Gene/Summary?g=","-")</f>
        <v>-</v>
      </c>
      <c r="D355" s="14" t="s">
        <v>1112</v>
      </c>
      <c r="E355" s="14" t="str">
        <f>HYPERLINK("http://www.ncbi.nlm.nih.gov/sites/entrez?db=gene&amp;cmd=Retrieve&amp;dopt=full_report&amp;list_uids=4282","4282")</f>
        <v>4282</v>
      </c>
      <c r="F355" s="14" t="s">
        <v>1087</v>
      </c>
      <c r="G355" s="14" t="s">
        <v>1088</v>
      </c>
      <c r="H355" s="19" t="s">
        <v>1092</v>
      </c>
      <c r="I355" s="14" t="s">
        <v>1093</v>
      </c>
      <c r="J355" s="15" t="s">
        <v>1094</v>
      </c>
      <c r="K355" s="16">
        <v>1599.7443720000001</v>
      </c>
      <c r="L355" s="17">
        <v>2341.6838400000001</v>
      </c>
      <c r="M355" s="18">
        <f t="shared" si="5"/>
        <v>1.4637862654721687</v>
      </c>
    </row>
    <row r="356" spans="1:13">
      <c r="A356" s="13" t="s">
        <v>1095</v>
      </c>
      <c r="B356" s="14" t="s">
        <v>1095</v>
      </c>
      <c r="C356" s="14" t="str">
        <f>HYPERLINK("http://uswest.ensembl.org/Homo_sapiens/Gene/Summary?g=ENSG00000113140","ENSG00000113140")</f>
        <v>ENSG00000113140</v>
      </c>
      <c r="D356" s="14" t="s">
        <v>1096</v>
      </c>
      <c r="E356" s="14" t="str">
        <f>HYPERLINK("http://www.ncbi.nlm.nih.gov/sites/entrez?db=gene&amp;cmd=Retrieve&amp;dopt=full_report&amp;list_uids=6678","6678")</f>
        <v>6678</v>
      </c>
      <c r="F356" s="14" t="s">
        <v>1097</v>
      </c>
      <c r="G356" s="14" t="s">
        <v>1098</v>
      </c>
      <c r="H356" s="14" t="s">
        <v>1099</v>
      </c>
      <c r="I356" s="14" t="s">
        <v>1100</v>
      </c>
      <c r="J356" s="15" t="s">
        <v>1101</v>
      </c>
      <c r="K356" s="16">
        <v>22.791224</v>
      </c>
      <c r="L356" s="17">
        <v>33.357303999999999</v>
      </c>
      <c r="M356" s="18">
        <f t="shared" si="5"/>
        <v>1.4636030078946176</v>
      </c>
    </row>
    <row r="357" spans="1:13">
      <c r="A357" s="13" t="s">
        <v>1102</v>
      </c>
      <c r="B357" s="14" t="s">
        <v>1102</v>
      </c>
      <c r="C357" s="14" t="str">
        <f>HYPERLINK("http://uswest.ensembl.org/Homo_sapiens/Gene/Summary?g=ENSG00000051825","ENSG00000051825")</f>
        <v>ENSG00000051825</v>
      </c>
      <c r="D357" s="14" t="s">
        <v>1103</v>
      </c>
      <c r="E357" s="14" t="str">
        <f>HYPERLINK("http://www.ncbi.nlm.nih.gov/sites/entrez?db=gene&amp;cmd=Retrieve&amp;dopt=full_report&amp;list_uids=","-")</f>
        <v>-</v>
      </c>
      <c r="F357" s="14" t="s">
        <v>1104</v>
      </c>
      <c r="G357" s="14" t="s">
        <v>1105</v>
      </c>
      <c r="H357" s="14" t="s">
        <v>8728</v>
      </c>
      <c r="I357" s="14" t="s">
        <v>8728</v>
      </c>
      <c r="J357" s="15" t="s">
        <v>8728</v>
      </c>
      <c r="K357" s="16">
        <v>73.979564999999994</v>
      </c>
      <c r="L357" s="17">
        <v>108.276509</v>
      </c>
      <c r="M357" s="18">
        <f t="shared" si="5"/>
        <v>1.463600238795673</v>
      </c>
    </row>
    <row r="358" spans="1:13">
      <c r="A358" s="13" t="s">
        <v>1074</v>
      </c>
      <c r="B358" s="14" t="s">
        <v>1074</v>
      </c>
      <c r="C358" s="14" t="str">
        <f>HYPERLINK("http://uswest.ensembl.org/Homo_sapiens/Gene/Summary?g=ENSG00000113070","ENSG00000113070")</f>
        <v>ENSG00000113070</v>
      </c>
      <c r="D358" s="14" t="s">
        <v>1075</v>
      </c>
      <c r="E358" s="14" t="str">
        <f>HYPERLINK("http://www.ncbi.nlm.nih.gov/sites/entrez?db=gene&amp;cmd=Retrieve&amp;dopt=full_report&amp;list_uids=1839","1839")</f>
        <v>1839</v>
      </c>
      <c r="F358" s="14" t="s">
        <v>1076</v>
      </c>
      <c r="G358" s="14" t="s">
        <v>1077</v>
      </c>
      <c r="H358" s="19" t="s">
        <v>1079</v>
      </c>
      <c r="I358" s="14" t="s">
        <v>1080</v>
      </c>
      <c r="J358" s="15" t="s">
        <v>1081</v>
      </c>
      <c r="K358" s="16">
        <v>28.942409999999999</v>
      </c>
      <c r="L358" s="17">
        <v>42.353020999999998</v>
      </c>
      <c r="M358" s="18">
        <f t="shared" si="5"/>
        <v>1.463355021230091</v>
      </c>
    </row>
    <row r="359" spans="1:13">
      <c r="A359" s="13" t="s">
        <v>1082</v>
      </c>
      <c r="B359" s="14" t="s">
        <v>1082</v>
      </c>
      <c r="C359" s="14" t="str">
        <f>HYPERLINK("http://uswest.ensembl.org/Homo_sapiens/Gene/Summary?g=ENSG00000138018","ENSG00000138018")</f>
        <v>ENSG00000138018</v>
      </c>
      <c r="D359" s="14" t="s">
        <v>8728</v>
      </c>
      <c r="E359" s="14" t="str">
        <f>HYPERLINK("http://www.ncbi.nlm.nih.gov/sites/entrez?db=gene&amp;cmd=Retrieve&amp;dopt=full_report&amp;list_uids=85465","85465")</f>
        <v>85465</v>
      </c>
      <c r="F359" s="14" t="s">
        <v>1083</v>
      </c>
      <c r="G359" s="14" t="s">
        <v>1084</v>
      </c>
      <c r="H359" s="14" t="s">
        <v>1085</v>
      </c>
      <c r="I359" s="14" t="s">
        <v>1086</v>
      </c>
      <c r="J359" s="15" t="s">
        <v>8698</v>
      </c>
      <c r="K359" s="16">
        <v>39.731862</v>
      </c>
      <c r="L359" s="17">
        <v>58.128366999999997</v>
      </c>
      <c r="M359" s="18">
        <f t="shared" si="5"/>
        <v>1.4630164325044721</v>
      </c>
    </row>
    <row r="360" spans="1:13">
      <c r="A360" s="13" t="s">
        <v>1064</v>
      </c>
      <c r="B360" s="14" t="s">
        <v>1064</v>
      </c>
      <c r="C360" s="14" t="str">
        <f>HYPERLINK("http://uswest.ensembl.org/Homo_sapiens/Gene/Summary?g=ENSG00000166123","ENSG00000166123")</f>
        <v>ENSG00000166123</v>
      </c>
      <c r="D360" s="14" t="s">
        <v>1065</v>
      </c>
      <c r="E360" s="14" t="str">
        <f>HYPERLINK("http://www.ncbi.nlm.nih.gov/sites/entrez?db=gene&amp;cmd=Retrieve&amp;dopt=full_report&amp;list_uids=84706","84706")</f>
        <v>84706</v>
      </c>
      <c r="F360" s="14" t="s">
        <v>1066</v>
      </c>
      <c r="G360" s="14" t="s">
        <v>1067</v>
      </c>
      <c r="H360" s="14" t="s">
        <v>4296</v>
      </c>
      <c r="I360" s="14" t="s">
        <v>1068</v>
      </c>
      <c r="J360" s="15" t="s">
        <v>8728</v>
      </c>
      <c r="K360" s="16">
        <v>49.607501999999997</v>
      </c>
      <c r="L360" s="17">
        <v>72.553585999999996</v>
      </c>
      <c r="M360" s="18">
        <f t="shared" si="5"/>
        <v>1.4625527001944181</v>
      </c>
    </row>
    <row r="361" spans="1:13">
      <c r="A361" s="13" t="s">
        <v>1089</v>
      </c>
      <c r="B361" s="14" t="s">
        <v>1089</v>
      </c>
      <c r="C361" s="14" t="str">
        <f>HYPERLINK("http://uswest.ensembl.org/Homo_sapiens/Gene/Summary?g=","-")</f>
        <v>-</v>
      </c>
      <c r="D361" s="14" t="s">
        <v>1090</v>
      </c>
      <c r="E361" s="14" t="str">
        <f>HYPERLINK("http://www.ncbi.nlm.nih.gov/sites/entrez?db=gene&amp;cmd=Retrieve&amp;dopt=full_report&amp;list_uids=55741","55741")</f>
        <v>55741</v>
      </c>
      <c r="F361" s="14" t="s">
        <v>1091</v>
      </c>
      <c r="G361" s="14" t="s">
        <v>1144</v>
      </c>
      <c r="H361" s="14" t="s">
        <v>8728</v>
      </c>
      <c r="I361" s="14" t="s">
        <v>1073</v>
      </c>
      <c r="J361" s="15" t="s">
        <v>2271</v>
      </c>
      <c r="K361" s="16">
        <v>168.305553</v>
      </c>
      <c r="L361" s="17">
        <v>246.108473</v>
      </c>
      <c r="M361" s="18">
        <f t="shared" si="5"/>
        <v>1.4622718538585593</v>
      </c>
    </row>
    <row r="362" spans="1:13">
      <c r="A362" s="13" t="s">
        <v>1046</v>
      </c>
      <c r="B362" s="14" t="s">
        <v>1046</v>
      </c>
      <c r="C362" s="14" t="str">
        <f>HYPERLINK("http://uswest.ensembl.org/Homo_sapiens/Gene/Summary?g=ENSG00000169251","ENSG00000169251")</f>
        <v>ENSG00000169251</v>
      </c>
      <c r="D362" s="14" t="s">
        <v>1047</v>
      </c>
      <c r="E362" s="14" t="str">
        <f>HYPERLINK("http://www.ncbi.nlm.nih.gov/sites/entrez?db=gene&amp;cmd=Retrieve&amp;dopt=full_report&amp;list_uids=51068","51068")</f>
        <v>51068</v>
      </c>
      <c r="F362" s="14" t="s">
        <v>1048</v>
      </c>
      <c r="G362" s="14" t="s">
        <v>1049</v>
      </c>
      <c r="H362" s="14" t="s">
        <v>8454</v>
      </c>
      <c r="I362" s="14" t="s">
        <v>8728</v>
      </c>
      <c r="J362" s="15" t="s">
        <v>8608</v>
      </c>
      <c r="K362" s="16">
        <v>116.34020200000001</v>
      </c>
      <c r="L362" s="17">
        <v>170.06950800000001</v>
      </c>
      <c r="M362" s="18">
        <f t="shared" si="5"/>
        <v>1.4618292307933247</v>
      </c>
    </row>
    <row r="363" spans="1:13">
      <c r="A363" s="13" t="s">
        <v>1078</v>
      </c>
      <c r="B363" s="14" t="s">
        <v>1078</v>
      </c>
      <c r="C363" s="14" t="str">
        <f>HYPERLINK("http://uswest.ensembl.org/Homo_sapiens/Gene/Summary?g=ENSG00000049323","ENSG00000049323")</f>
        <v>ENSG00000049323</v>
      </c>
      <c r="D363" s="14" t="s">
        <v>1061</v>
      </c>
      <c r="E363" s="14" t="str">
        <f>HYPERLINK("http://www.ncbi.nlm.nih.gov/sites/entrez?db=gene&amp;cmd=Retrieve&amp;dopt=full_report&amp;list_uids=4052","4052")</f>
        <v>4052</v>
      </c>
      <c r="F363" s="14" t="s">
        <v>1062</v>
      </c>
      <c r="G363" s="14" t="s">
        <v>1063</v>
      </c>
      <c r="H363" s="14" t="s">
        <v>8728</v>
      </c>
      <c r="I363" s="14" t="s">
        <v>5681</v>
      </c>
      <c r="J363" s="15" t="s">
        <v>8728</v>
      </c>
      <c r="K363" s="16">
        <v>73.097577999999999</v>
      </c>
      <c r="L363" s="17">
        <v>106.766566</v>
      </c>
      <c r="M363" s="18">
        <f t="shared" si="5"/>
        <v>1.4606033321651231</v>
      </c>
    </row>
    <row r="364" spans="1:13">
      <c r="A364" s="13" t="s">
        <v>1035</v>
      </c>
      <c r="B364" s="14" t="s">
        <v>1035</v>
      </c>
      <c r="C364" s="14" t="str">
        <f>HYPERLINK("http://uswest.ensembl.org/Homo_sapiens/Gene/Summary?g=ENSG00000221869","ENSG00000221869")</f>
        <v>ENSG00000221869</v>
      </c>
      <c r="D364" s="14" t="s">
        <v>8728</v>
      </c>
      <c r="E364" s="14" t="str">
        <f>HYPERLINK("http://www.ncbi.nlm.nih.gov/sites/entrez?db=gene&amp;cmd=Retrieve&amp;dopt=full_report&amp;list_uids=1052","1052")</f>
        <v>1052</v>
      </c>
      <c r="F364" s="14" t="s">
        <v>1036</v>
      </c>
      <c r="G364" s="14" t="s">
        <v>1037</v>
      </c>
      <c r="H364" s="14" t="s">
        <v>6861</v>
      </c>
      <c r="I364" s="14" t="s">
        <v>7192</v>
      </c>
      <c r="J364" s="15" t="s">
        <v>8558</v>
      </c>
      <c r="K364" s="16">
        <v>155.930701</v>
      </c>
      <c r="L364" s="17">
        <v>227.608655</v>
      </c>
      <c r="M364" s="18">
        <f t="shared" si="5"/>
        <v>1.4596782643848949</v>
      </c>
    </row>
    <row r="365" spans="1:13">
      <c r="A365" s="13" t="s">
        <v>1038</v>
      </c>
      <c r="B365" s="14" t="s">
        <v>1038</v>
      </c>
      <c r="C365" s="14" t="str">
        <f>HYPERLINK("http://uswest.ensembl.org/Homo_sapiens/Gene/Summary?g=ENSG00000104375","ENSG00000104375")</f>
        <v>ENSG00000104375</v>
      </c>
      <c r="D365" s="14" t="s">
        <v>8728</v>
      </c>
      <c r="E365" s="14" t="str">
        <f>HYPERLINK("http://www.ncbi.nlm.nih.gov/sites/entrez?db=gene&amp;cmd=Retrieve&amp;dopt=full_report&amp;list_uids=6788","6788")</f>
        <v>6788</v>
      </c>
      <c r="F365" s="14" t="s">
        <v>1039</v>
      </c>
      <c r="G365" s="14" t="s">
        <v>1069</v>
      </c>
      <c r="H365" s="14" t="s">
        <v>1070</v>
      </c>
      <c r="I365" s="19" t="s">
        <v>1072</v>
      </c>
      <c r="J365" s="15" t="s">
        <v>8608</v>
      </c>
      <c r="K365" s="16">
        <v>30.831683000000002</v>
      </c>
      <c r="L365" s="17">
        <v>44.997210000000003</v>
      </c>
      <c r="M365" s="18">
        <f t="shared" si="5"/>
        <v>1.459447088892293</v>
      </c>
    </row>
    <row r="366" spans="1:13">
      <c r="A366" s="13" t="s">
        <v>1020</v>
      </c>
      <c r="B366" s="14" t="s">
        <v>1020</v>
      </c>
      <c r="C366" s="14" t="str">
        <f>HYPERLINK("http://uswest.ensembl.org/Homo_sapiens/Gene/Summary?g=ENSG00000128973","ENSG00000128973")</f>
        <v>ENSG00000128973</v>
      </c>
      <c r="D366" s="14" t="s">
        <v>1021</v>
      </c>
      <c r="E366" s="14" t="str">
        <f>HYPERLINK("http://www.ncbi.nlm.nih.gov/sites/entrez?db=gene&amp;cmd=Retrieve&amp;dopt=full_report&amp;list_uids=54982","54982")</f>
        <v>54982</v>
      </c>
      <c r="F366" s="14" t="s">
        <v>1022</v>
      </c>
      <c r="G366" s="14" t="s">
        <v>1071</v>
      </c>
      <c r="H366" s="19" t="s">
        <v>1024</v>
      </c>
      <c r="I366" s="14" t="s">
        <v>1025</v>
      </c>
      <c r="J366" s="15" t="s">
        <v>7127</v>
      </c>
      <c r="K366" s="16">
        <v>29.712766999999999</v>
      </c>
      <c r="L366" s="17">
        <v>43.329774999999998</v>
      </c>
      <c r="M366" s="18">
        <f t="shared" si="5"/>
        <v>1.4582881156776815</v>
      </c>
    </row>
    <row r="367" spans="1:13">
      <c r="A367" s="13" t="s">
        <v>1026</v>
      </c>
      <c r="B367" s="14" t="s">
        <v>1026</v>
      </c>
      <c r="C367" s="14" t="str">
        <f>HYPERLINK("http://uswest.ensembl.org/Homo_sapiens/Gene/Summary?g=ENSG00000181544","ENSG00000181544")</f>
        <v>ENSG00000181544</v>
      </c>
      <c r="D367" s="14" t="s">
        <v>1027</v>
      </c>
      <c r="E367" s="14" t="str">
        <f>HYPERLINK("http://www.ncbi.nlm.nih.gov/sites/entrez?db=gene&amp;cmd=Retrieve&amp;dopt=full_report&amp;list_uids=2187","2187")</f>
        <v>2187</v>
      </c>
      <c r="F367" s="14" t="s">
        <v>1028</v>
      </c>
      <c r="G367" s="14" t="s">
        <v>1029</v>
      </c>
      <c r="H367" s="14" t="s">
        <v>1030</v>
      </c>
      <c r="I367" s="14" t="s">
        <v>8728</v>
      </c>
      <c r="J367" s="15" t="s">
        <v>8558</v>
      </c>
      <c r="K367" s="16">
        <v>36.423147999999998</v>
      </c>
      <c r="L367" s="17">
        <v>53.075395</v>
      </c>
      <c r="M367" s="18">
        <f t="shared" si="5"/>
        <v>1.4571885713997046</v>
      </c>
    </row>
    <row r="368" spans="1:13">
      <c r="A368" s="13" t="s">
        <v>1050</v>
      </c>
      <c r="B368" s="14" t="s">
        <v>1050</v>
      </c>
      <c r="C368" s="14" t="str">
        <f>HYPERLINK("http://uswest.ensembl.org/Homo_sapiens/Gene/Summary?g=","-")</f>
        <v>-</v>
      </c>
      <c r="D368" s="14" t="s">
        <v>1051</v>
      </c>
      <c r="E368" s="14" t="str">
        <f>HYPERLINK("http://www.ncbi.nlm.nih.gov/sites/entrez?db=gene&amp;cmd=Retrieve&amp;dopt=full_report&amp;list_uids=116988","116988")</f>
        <v>116988</v>
      </c>
      <c r="F368" s="14" t="s">
        <v>1052</v>
      </c>
      <c r="G368" s="14" t="s">
        <v>1054</v>
      </c>
      <c r="H368" s="14" t="s">
        <v>1055</v>
      </c>
      <c r="I368" s="14" t="s">
        <v>1056</v>
      </c>
      <c r="J368" s="15" t="s">
        <v>8707</v>
      </c>
      <c r="K368" s="16">
        <v>97.164116000000007</v>
      </c>
      <c r="L368" s="17">
        <v>141.57405</v>
      </c>
      <c r="M368" s="18">
        <f t="shared" si="5"/>
        <v>1.457061061513697</v>
      </c>
    </row>
    <row r="369" spans="1:13">
      <c r="A369" s="13" t="s">
        <v>1057</v>
      </c>
      <c r="B369" s="14" t="s">
        <v>1057</v>
      </c>
      <c r="C369" s="14" t="str">
        <f>HYPERLINK("http://uswest.ensembl.org/Homo_sapiens/Gene/Summary?g=ENSG00000125656","ENSG00000125656")</f>
        <v>ENSG00000125656</v>
      </c>
      <c r="D369" s="14" t="s">
        <v>1058</v>
      </c>
      <c r="E369" s="14" t="str">
        <f>HYPERLINK("http://www.ncbi.nlm.nih.gov/sites/entrez?db=gene&amp;cmd=Retrieve&amp;dopt=full_report&amp;list_uids=8192","8192")</f>
        <v>8192</v>
      </c>
      <c r="F369" s="14" t="s">
        <v>1059</v>
      </c>
      <c r="G369" s="14" t="s">
        <v>1060</v>
      </c>
      <c r="H369" s="14" t="s">
        <v>8623</v>
      </c>
      <c r="I369" s="14" t="s">
        <v>1034</v>
      </c>
      <c r="J369" s="15" t="s">
        <v>8639</v>
      </c>
      <c r="K369" s="16">
        <v>301.118515</v>
      </c>
      <c r="L369" s="17">
        <v>438.64404200000001</v>
      </c>
      <c r="M369" s="18">
        <f t="shared" si="5"/>
        <v>1.4567156124557801</v>
      </c>
    </row>
    <row r="370" spans="1:13">
      <c r="A370" s="13" t="s">
        <v>1007</v>
      </c>
      <c r="B370" s="14" t="s">
        <v>1007</v>
      </c>
      <c r="C370" s="14" t="str">
        <f>HYPERLINK("http://uswest.ensembl.org/Homo_sapiens/Gene/Summary?g=ENSG00000171723","ENSG00000171723")</f>
        <v>ENSG00000171723</v>
      </c>
      <c r="D370" s="14" t="s">
        <v>1008</v>
      </c>
      <c r="E370" s="14" t="str">
        <f>HYPERLINK("http://www.ncbi.nlm.nih.gov/sites/entrez?db=gene&amp;cmd=Retrieve&amp;dopt=full_report&amp;list_uids=10243","10243")</f>
        <v>10243</v>
      </c>
      <c r="F370" s="14" t="s">
        <v>1009</v>
      </c>
      <c r="G370" s="14" t="s">
        <v>1010</v>
      </c>
      <c r="H370" s="14" t="s">
        <v>1011</v>
      </c>
      <c r="I370" s="14" t="s">
        <v>1012</v>
      </c>
      <c r="J370" s="15" t="s">
        <v>1040</v>
      </c>
      <c r="K370" s="16">
        <v>29.196231999999998</v>
      </c>
      <c r="L370" s="17">
        <v>42.520128</v>
      </c>
      <c r="M370" s="18">
        <f t="shared" si="5"/>
        <v>1.4563566969874744</v>
      </c>
    </row>
    <row r="371" spans="1:13">
      <c r="A371" s="13" t="s">
        <v>1041</v>
      </c>
      <c r="B371" s="14" t="s">
        <v>1041</v>
      </c>
      <c r="C371" s="14" t="str">
        <f>HYPERLINK("http://uswest.ensembl.org/Homo_sapiens/Gene/Summary?g=","-")</f>
        <v>-</v>
      </c>
      <c r="D371" s="14" t="s">
        <v>1042</v>
      </c>
      <c r="E371" s="14" t="str">
        <f>HYPERLINK("http://www.ncbi.nlm.nih.gov/sites/entrez?db=gene&amp;cmd=Retrieve&amp;dopt=full_report&amp;list_uids=883","883")</f>
        <v>883</v>
      </c>
      <c r="F371" s="14" t="s">
        <v>1043</v>
      </c>
      <c r="G371" s="14" t="s">
        <v>1044</v>
      </c>
      <c r="H371" s="14" t="s">
        <v>1045</v>
      </c>
      <c r="I371" s="14" t="s">
        <v>1016</v>
      </c>
      <c r="J371" s="15" t="s">
        <v>8702</v>
      </c>
      <c r="K371" s="16">
        <v>21.862463999999999</v>
      </c>
      <c r="L371" s="17">
        <v>31.831386999999999</v>
      </c>
      <c r="M371" s="18">
        <f t="shared" si="5"/>
        <v>1.4559835067081186</v>
      </c>
    </row>
    <row r="372" spans="1:13">
      <c r="A372" s="13" t="s">
        <v>1017</v>
      </c>
      <c r="B372" s="14" t="s">
        <v>1017</v>
      </c>
      <c r="C372" s="14" t="str">
        <f>HYPERLINK("http://uswest.ensembl.org/Homo_sapiens/Gene/Summary?g=ENSG00000109586","ENSG00000109586")</f>
        <v>ENSG00000109586</v>
      </c>
      <c r="D372" s="14" t="s">
        <v>1018</v>
      </c>
      <c r="E372" s="14" t="str">
        <f>HYPERLINK("http://www.ncbi.nlm.nih.gov/sites/entrez?db=gene&amp;cmd=Retrieve&amp;dopt=full_report&amp;list_uids=51809","51809")</f>
        <v>51809</v>
      </c>
      <c r="F372" s="14" t="s">
        <v>1019</v>
      </c>
      <c r="G372" s="14" t="s">
        <v>984</v>
      </c>
      <c r="H372" s="14" t="s">
        <v>985</v>
      </c>
      <c r="I372" s="14" t="s">
        <v>3643</v>
      </c>
      <c r="J372" s="15" t="s">
        <v>7955</v>
      </c>
      <c r="K372" s="16">
        <v>82.104684000000006</v>
      </c>
      <c r="L372" s="17">
        <v>119.51365800000001</v>
      </c>
      <c r="M372" s="18">
        <f t="shared" si="5"/>
        <v>1.455625333141773</v>
      </c>
    </row>
    <row r="373" spans="1:13">
      <c r="A373" s="13" t="s">
        <v>986</v>
      </c>
      <c r="B373" s="14" t="s">
        <v>986</v>
      </c>
      <c r="C373" s="14" t="str">
        <f>HYPERLINK("http://uswest.ensembl.org/Homo_sapiens/Gene/Summary?g=ENSG00000196943","ENSG00000196943")</f>
        <v>ENSG00000196943</v>
      </c>
      <c r="D373" s="14" t="s">
        <v>987</v>
      </c>
      <c r="E373" s="14" t="str">
        <f>HYPERLINK("http://www.ncbi.nlm.nih.gov/sites/entrez?db=gene&amp;cmd=Retrieve&amp;dopt=full_report&amp;list_uids=","-")</f>
        <v>-</v>
      </c>
      <c r="F373" s="14" t="s">
        <v>988</v>
      </c>
      <c r="G373" s="14" t="s">
        <v>989</v>
      </c>
      <c r="H373" s="14" t="s">
        <v>8728</v>
      </c>
      <c r="I373" s="14" t="s">
        <v>990</v>
      </c>
      <c r="J373" s="15" t="s">
        <v>8728</v>
      </c>
      <c r="K373" s="16">
        <v>36.746535999999999</v>
      </c>
      <c r="L373" s="17">
        <v>53.480080999999998</v>
      </c>
      <c r="M373" s="18">
        <f t="shared" si="5"/>
        <v>1.4553774810229732</v>
      </c>
    </row>
    <row r="374" spans="1:13">
      <c r="A374" s="13" t="s">
        <v>1031</v>
      </c>
      <c r="B374" s="14" t="s">
        <v>1031</v>
      </c>
      <c r="C374" s="14" t="str">
        <f>HYPERLINK("http://uswest.ensembl.org/Homo_sapiens/Gene/Summary?g=ENSG00000105383","ENSG00000105383")</f>
        <v>ENSG00000105383</v>
      </c>
      <c r="D374" s="14" t="s">
        <v>1032</v>
      </c>
      <c r="E374" s="14" t="str">
        <f>HYPERLINK("http://www.ncbi.nlm.nih.gov/sites/entrez?db=gene&amp;cmd=Retrieve&amp;dopt=full_report&amp;list_uids=945","945")</f>
        <v>945</v>
      </c>
      <c r="F374" s="14" t="s">
        <v>1033</v>
      </c>
      <c r="G374" s="14" t="s">
        <v>1000</v>
      </c>
      <c r="H374" s="14" t="s">
        <v>1001</v>
      </c>
      <c r="I374" s="14" t="s">
        <v>1002</v>
      </c>
      <c r="J374" s="15" t="s">
        <v>7318</v>
      </c>
      <c r="K374" s="16">
        <v>226.29363799999999</v>
      </c>
      <c r="L374" s="17">
        <v>329.21060599999998</v>
      </c>
      <c r="M374" s="18">
        <f t="shared" si="5"/>
        <v>1.4547939080814989</v>
      </c>
    </row>
    <row r="375" spans="1:13">
      <c r="A375" s="13" t="s">
        <v>1003</v>
      </c>
      <c r="B375" s="14" t="s">
        <v>1003</v>
      </c>
      <c r="C375" s="14" t="str">
        <f>HYPERLINK("http://uswest.ensembl.org/Homo_sapiens/Gene/Summary?g=ENSG00000182117","ENSG00000182117")</f>
        <v>ENSG00000182117</v>
      </c>
      <c r="D375" s="14" t="s">
        <v>1004</v>
      </c>
      <c r="E375" s="14" t="str">
        <f>HYPERLINK("http://www.ncbi.nlm.nih.gov/sites/entrez?db=gene&amp;cmd=Retrieve&amp;dopt=full_report&amp;list_uids=55505","55505")</f>
        <v>55505</v>
      </c>
      <c r="F375" s="14" t="s">
        <v>1005</v>
      </c>
      <c r="G375" s="14" t="s">
        <v>1006</v>
      </c>
      <c r="H375" s="14" t="s">
        <v>967</v>
      </c>
      <c r="I375" s="14" t="s">
        <v>8692</v>
      </c>
      <c r="J375" s="15" t="s">
        <v>968</v>
      </c>
      <c r="K375" s="16">
        <v>2444.705672</v>
      </c>
      <c r="L375" s="17">
        <v>3554.054298</v>
      </c>
      <c r="M375" s="18">
        <f t="shared" si="5"/>
        <v>1.4537759447714818</v>
      </c>
    </row>
    <row r="376" spans="1:13">
      <c r="A376" s="13" t="s">
        <v>969</v>
      </c>
      <c r="B376" s="14" t="s">
        <v>969</v>
      </c>
      <c r="C376" s="14" t="str">
        <f>HYPERLINK("http://uswest.ensembl.org/Homo_sapiens/Gene/Summary?g=ENSG00000114767","ENSG00000114767")</f>
        <v>ENSG00000114767</v>
      </c>
      <c r="D376" s="14" t="s">
        <v>970</v>
      </c>
      <c r="E376" s="14" t="str">
        <f>HYPERLINK("http://www.ncbi.nlm.nih.gov/sites/entrez?db=gene&amp;cmd=Retrieve&amp;dopt=full_report&amp;list_uids=9136","9136")</f>
        <v>9136</v>
      </c>
      <c r="F376" s="14" t="s">
        <v>971</v>
      </c>
      <c r="G376" s="14" t="s">
        <v>1023</v>
      </c>
      <c r="H376" s="14" t="s">
        <v>975</v>
      </c>
      <c r="I376" s="14" t="s">
        <v>4680</v>
      </c>
      <c r="J376" s="15" t="s">
        <v>976</v>
      </c>
      <c r="K376" s="16">
        <v>49.590694999999997</v>
      </c>
      <c r="L376" s="17">
        <v>72.079998000000003</v>
      </c>
      <c r="M376" s="18">
        <f t="shared" si="5"/>
        <v>1.4534984436092298</v>
      </c>
    </row>
    <row r="377" spans="1:13">
      <c r="A377" s="13" t="s">
        <v>977</v>
      </c>
      <c r="B377" s="14" t="s">
        <v>977</v>
      </c>
      <c r="C377" s="14" t="str">
        <f>HYPERLINK("http://uswest.ensembl.org/Homo_sapiens/Gene/Summary?g=ENSG00000122952","ENSG00000122952")</f>
        <v>ENSG00000122952</v>
      </c>
      <c r="D377" s="14" t="s">
        <v>978</v>
      </c>
      <c r="E377" s="14" t="str">
        <f>HYPERLINK("http://www.ncbi.nlm.nih.gov/sites/entrez?db=gene&amp;cmd=Retrieve&amp;dopt=full_report&amp;list_uids=11130","11130")</f>
        <v>11130</v>
      </c>
      <c r="F377" s="14" t="s">
        <v>979</v>
      </c>
      <c r="G377" s="14" t="s">
        <v>1013</v>
      </c>
      <c r="H377" s="19" t="s">
        <v>1014</v>
      </c>
      <c r="I377" s="14" t="s">
        <v>1015</v>
      </c>
      <c r="J377" s="15" t="s">
        <v>983</v>
      </c>
      <c r="K377" s="16">
        <v>430.47861699999999</v>
      </c>
      <c r="L377" s="17">
        <v>625.62860599999999</v>
      </c>
      <c r="M377" s="18">
        <f t="shared" si="5"/>
        <v>1.4533325960764272</v>
      </c>
    </row>
    <row r="378" spans="1:13">
      <c r="A378" s="13" t="s">
        <v>952</v>
      </c>
      <c r="B378" s="14" t="s">
        <v>952</v>
      </c>
      <c r="C378" s="14" t="str">
        <f>HYPERLINK("http://uswest.ensembl.org/Homo_sapiens/Gene/Summary?g=ENSG00000198018","ENSG00000198018")</f>
        <v>ENSG00000198018</v>
      </c>
      <c r="D378" s="14" t="s">
        <v>953</v>
      </c>
      <c r="E378" s="14" t="str">
        <f>HYPERLINK("http://www.ncbi.nlm.nih.gov/sites/entrez?db=gene&amp;cmd=Retrieve&amp;dopt=full_report&amp;list_uids=57089","57089")</f>
        <v>57089</v>
      </c>
      <c r="F378" s="14" t="s">
        <v>954</v>
      </c>
      <c r="G378" s="14" t="s">
        <v>955</v>
      </c>
      <c r="H378" s="14" t="s">
        <v>8728</v>
      </c>
      <c r="I378" s="14" t="s">
        <v>956</v>
      </c>
      <c r="J378" s="15" t="s">
        <v>957</v>
      </c>
      <c r="K378" s="16">
        <v>52.835971000000001</v>
      </c>
      <c r="L378" s="17">
        <v>76.769129000000007</v>
      </c>
      <c r="M378" s="18">
        <f t="shared" si="5"/>
        <v>1.4529709125625798</v>
      </c>
    </row>
    <row r="379" spans="1:13">
      <c r="A379" s="13" t="s">
        <v>958</v>
      </c>
      <c r="B379" s="14" t="s">
        <v>958</v>
      </c>
      <c r="C379" s="14" t="str">
        <f>HYPERLINK("http://uswest.ensembl.org/Homo_sapiens/Gene/Summary?g=ENSG00000111652","ENSG00000111652")</f>
        <v>ENSG00000111652</v>
      </c>
      <c r="D379" s="14" t="s">
        <v>959</v>
      </c>
      <c r="E379" s="14" t="str">
        <f>HYPERLINK("http://www.ncbi.nlm.nih.gov/sites/entrez?db=gene&amp;cmd=Retrieve&amp;dopt=full_report&amp;list_uids=50813","50813")</f>
        <v>50813</v>
      </c>
      <c r="F379" s="14" t="s">
        <v>960</v>
      </c>
      <c r="G379" s="14" t="s">
        <v>991</v>
      </c>
      <c r="H379" s="14" t="s">
        <v>8728</v>
      </c>
      <c r="I379" s="14" t="s">
        <v>8728</v>
      </c>
      <c r="J379" s="15" t="s">
        <v>992</v>
      </c>
      <c r="K379" s="16">
        <v>96.991442000000006</v>
      </c>
      <c r="L379" s="17">
        <v>140.915616</v>
      </c>
      <c r="M379" s="18">
        <f t="shared" si="5"/>
        <v>1.4528664910456739</v>
      </c>
    </row>
    <row r="380" spans="1:13">
      <c r="A380" s="13" t="s">
        <v>993</v>
      </c>
      <c r="B380" s="14" t="s">
        <v>993</v>
      </c>
      <c r="C380" s="14" t="str">
        <f>HYPERLINK("http://uswest.ensembl.org/Homo_sapiens/Gene/Summary?g=","-")</f>
        <v>-</v>
      </c>
      <c r="D380" s="14" t="s">
        <v>994</v>
      </c>
      <c r="E380" s="14" t="str">
        <f>HYPERLINK("http://www.ncbi.nlm.nih.gov/sites/entrez?db=gene&amp;cmd=Retrieve&amp;dopt=full_report&amp;list_uids=8764","8764")</f>
        <v>8764</v>
      </c>
      <c r="F380" s="14" t="s">
        <v>995</v>
      </c>
      <c r="G380" s="14" t="s">
        <v>1053</v>
      </c>
      <c r="H380" s="19" t="s">
        <v>964</v>
      </c>
      <c r="I380" s="14" t="s">
        <v>965</v>
      </c>
      <c r="J380" s="15" t="s">
        <v>966</v>
      </c>
      <c r="K380" s="16">
        <v>58.279561000000001</v>
      </c>
      <c r="L380" s="17">
        <v>84.672360999999995</v>
      </c>
      <c r="M380" s="18">
        <f t="shared" si="5"/>
        <v>1.452865456553456</v>
      </c>
    </row>
    <row r="381" spans="1:13">
      <c r="A381" s="13" t="s">
        <v>932</v>
      </c>
      <c r="B381" s="14" t="s">
        <v>932</v>
      </c>
      <c r="C381" s="14" t="str">
        <f>HYPERLINK("http://uswest.ensembl.org/Homo_sapiens/Gene/Summary?g=ENSG00000134255","ENSG00000134255")</f>
        <v>ENSG00000134255</v>
      </c>
      <c r="D381" s="14" t="s">
        <v>933</v>
      </c>
      <c r="E381" s="14" t="str">
        <f>HYPERLINK("http://www.ncbi.nlm.nih.gov/sites/entrez?db=gene&amp;cmd=Retrieve&amp;dopt=full_report&amp;list_uids=10390","10390")</f>
        <v>10390</v>
      </c>
      <c r="F381" s="14" t="s">
        <v>934</v>
      </c>
      <c r="G381" s="14" t="s">
        <v>980</v>
      </c>
      <c r="H381" s="14" t="s">
        <v>981</v>
      </c>
      <c r="I381" s="19" t="s">
        <v>982</v>
      </c>
      <c r="J381" s="15" t="s">
        <v>939</v>
      </c>
      <c r="K381" s="16">
        <v>141.57325700000001</v>
      </c>
      <c r="L381" s="17">
        <v>205.64543599999999</v>
      </c>
      <c r="M381" s="18">
        <f t="shared" si="5"/>
        <v>1.4525726140495585</v>
      </c>
    </row>
    <row r="382" spans="1:13">
      <c r="A382" s="13" t="s">
        <v>940</v>
      </c>
      <c r="B382" s="14" t="s">
        <v>940</v>
      </c>
      <c r="C382" s="14" t="str">
        <f>HYPERLINK("http://uswest.ensembl.org/Homo_sapiens/Gene/Summary?g=ENSG00000204482","ENSG00000204482")</f>
        <v>ENSG00000204482</v>
      </c>
      <c r="D382" s="14" t="s">
        <v>941</v>
      </c>
      <c r="E382" s="14" t="str">
        <f>HYPERLINK("http://www.ncbi.nlm.nih.gov/sites/entrez?db=gene&amp;cmd=Retrieve&amp;dopt=full_report&amp;list_uids=7940","7940")</f>
        <v>7940</v>
      </c>
      <c r="F382" s="14" t="s">
        <v>942</v>
      </c>
      <c r="G382" s="14" t="s">
        <v>943</v>
      </c>
      <c r="H382" s="14" t="s">
        <v>996</v>
      </c>
      <c r="I382" s="14" t="s">
        <v>8692</v>
      </c>
      <c r="J382" s="15" t="s">
        <v>8531</v>
      </c>
      <c r="K382" s="16">
        <v>728.52824799999996</v>
      </c>
      <c r="L382" s="17">
        <v>1058.1435449999999</v>
      </c>
      <c r="M382" s="18">
        <f t="shared" si="5"/>
        <v>1.4524399677087056</v>
      </c>
    </row>
    <row r="383" spans="1:13">
      <c r="A383" s="13" t="s">
        <v>997</v>
      </c>
      <c r="B383" s="14" t="s">
        <v>997</v>
      </c>
      <c r="C383" s="14" t="str">
        <f>HYPERLINK("http://uswest.ensembl.org/Homo_sapiens/Gene/Summary?g=ENSG00000130768","ENSG00000130768")</f>
        <v>ENSG00000130768</v>
      </c>
      <c r="D383" s="14" t="s">
        <v>998</v>
      </c>
      <c r="E383" s="14" t="str">
        <f>HYPERLINK("http://www.ncbi.nlm.nih.gov/sites/entrez?db=gene&amp;cmd=Retrieve&amp;dopt=full_report&amp;list_uids=","-")</f>
        <v>-</v>
      </c>
      <c r="F383" s="14" t="s">
        <v>999</v>
      </c>
      <c r="G383" s="14" t="s">
        <v>948</v>
      </c>
      <c r="H383" s="14" t="s">
        <v>8728</v>
      </c>
      <c r="I383" s="14" t="s">
        <v>6579</v>
      </c>
      <c r="J383" s="15" t="s">
        <v>8728</v>
      </c>
      <c r="K383" s="16">
        <v>33.855421999999997</v>
      </c>
      <c r="L383" s="17">
        <v>49.169505000000001</v>
      </c>
      <c r="M383" s="18">
        <f t="shared" si="5"/>
        <v>1.4523376787328188</v>
      </c>
    </row>
    <row r="384" spans="1:13">
      <c r="A384" s="13" t="s">
        <v>949</v>
      </c>
      <c r="B384" s="14" t="s">
        <v>949</v>
      </c>
      <c r="C384" s="14" t="str">
        <f>HYPERLINK("http://uswest.ensembl.org/Homo_sapiens/Gene/Summary?g=","-")</f>
        <v>-</v>
      </c>
      <c r="D384" s="14" t="s">
        <v>950</v>
      </c>
      <c r="E384" s="14" t="str">
        <f>HYPERLINK("http://www.ncbi.nlm.nih.gov/sites/entrez?db=gene&amp;cmd=Retrieve&amp;dopt=full_report&amp;list_uids=54536","54536")</f>
        <v>54536</v>
      </c>
      <c r="F384" s="14" t="s">
        <v>951</v>
      </c>
      <c r="G384" s="14" t="s">
        <v>913</v>
      </c>
      <c r="H384" s="14" t="s">
        <v>914</v>
      </c>
      <c r="I384" s="14" t="s">
        <v>8728</v>
      </c>
      <c r="J384" s="15" t="s">
        <v>915</v>
      </c>
      <c r="K384" s="16">
        <v>308.74389600000001</v>
      </c>
      <c r="L384" s="17">
        <v>448.31307399999997</v>
      </c>
      <c r="M384" s="18">
        <f t="shared" si="5"/>
        <v>1.4520548577906134</v>
      </c>
    </row>
    <row r="385" spans="1:13">
      <c r="A385" s="13" t="s">
        <v>916</v>
      </c>
      <c r="B385" s="14" t="s">
        <v>916</v>
      </c>
      <c r="C385" s="14" t="str">
        <f>HYPERLINK("http://uswest.ensembl.org/Homo_sapiens/Gene/Summary?g=ENSG00000126457","ENSG00000126457")</f>
        <v>ENSG00000126457</v>
      </c>
      <c r="D385" s="14" t="s">
        <v>917</v>
      </c>
      <c r="E385" s="14" t="str">
        <f>HYPERLINK("http://www.ncbi.nlm.nih.gov/sites/entrez?db=gene&amp;cmd=Retrieve&amp;dopt=full_report&amp;list_uids=3276","3276")</f>
        <v>3276</v>
      </c>
      <c r="F385" s="14" t="s">
        <v>918</v>
      </c>
      <c r="G385" s="14" t="s">
        <v>919</v>
      </c>
      <c r="H385" s="14" t="s">
        <v>8728</v>
      </c>
      <c r="I385" s="14" t="s">
        <v>8728</v>
      </c>
      <c r="J385" s="15" t="s">
        <v>8728</v>
      </c>
      <c r="K385" s="16">
        <v>98.996458000000004</v>
      </c>
      <c r="L385" s="17">
        <v>143.70416599999999</v>
      </c>
      <c r="M385" s="18">
        <f t="shared" si="5"/>
        <v>1.4516091676734533</v>
      </c>
    </row>
    <row r="386" spans="1:13">
      <c r="A386" s="13" t="s">
        <v>961</v>
      </c>
      <c r="B386" s="14" t="s">
        <v>961</v>
      </c>
      <c r="C386" s="14" t="str">
        <f>HYPERLINK("http://uswest.ensembl.org/Homo_sapiens/Gene/Summary?g=ENSG00000106299","ENSG00000106299")</f>
        <v>ENSG00000106299</v>
      </c>
      <c r="D386" s="14" t="s">
        <v>962</v>
      </c>
      <c r="E386" s="14" t="str">
        <f>HYPERLINK("http://www.ncbi.nlm.nih.gov/sites/entrez?db=gene&amp;cmd=Retrieve&amp;dopt=full_report&amp;list_uids=8976","8976")</f>
        <v>8976</v>
      </c>
      <c r="F386" s="14" t="s">
        <v>963</v>
      </c>
      <c r="G386" s="14" t="s">
        <v>925</v>
      </c>
      <c r="H386" s="19" t="s">
        <v>926</v>
      </c>
      <c r="I386" s="14" t="s">
        <v>927</v>
      </c>
      <c r="J386" s="15" t="s">
        <v>928</v>
      </c>
      <c r="K386" s="16">
        <v>45.476500999999999</v>
      </c>
      <c r="L386" s="17">
        <v>65.936386999999996</v>
      </c>
      <c r="M386" s="18">
        <f t="shared" ref="M386:M449" si="6">L386/K386</f>
        <v>1.4499001803151037</v>
      </c>
    </row>
    <row r="387" spans="1:13">
      <c r="A387" s="13" t="s">
        <v>929</v>
      </c>
      <c r="B387" s="14" t="s">
        <v>929</v>
      </c>
      <c r="C387" s="14" t="str">
        <f>HYPERLINK("http://uswest.ensembl.org/Homo_sapiens/Gene/Summary?g=","-")</f>
        <v>-</v>
      </c>
      <c r="D387" s="14" t="s">
        <v>930</v>
      </c>
      <c r="E387" s="14" t="str">
        <f>HYPERLINK("http://www.ncbi.nlm.nih.gov/sites/entrez?db=gene&amp;cmd=Retrieve&amp;dopt=full_report&amp;list_uids=8604","8604")</f>
        <v>8604</v>
      </c>
      <c r="F387" s="14" t="s">
        <v>931</v>
      </c>
      <c r="G387" s="14" t="s">
        <v>897</v>
      </c>
      <c r="H387" s="14" t="s">
        <v>8728</v>
      </c>
      <c r="I387" s="14" t="s">
        <v>8728</v>
      </c>
      <c r="J387" s="15" t="s">
        <v>8728</v>
      </c>
      <c r="K387" s="16">
        <v>28.139849000000002</v>
      </c>
      <c r="L387" s="17">
        <v>40.794877999999997</v>
      </c>
      <c r="M387" s="18">
        <f t="shared" si="6"/>
        <v>1.4497191509449818</v>
      </c>
    </row>
    <row r="388" spans="1:13">
      <c r="A388" s="13" t="s">
        <v>935</v>
      </c>
      <c r="B388" s="14" t="s">
        <v>935</v>
      </c>
      <c r="C388" s="14" t="str">
        <f>HYPERLINK("http://uswest.ensembl.org/Homo_sapiens/Gene/Summary?g=ENSG00000104131","ENSG00000104131")</f>
        <v>ENSG00000104131</v>
      </c>
      <c r="D388" s="14" t="s">
        <v>936</v>
      </c>
      <c r="E388" s="14" t="str">
        <f>HYPERLINK("http://www.ncbi.nlm.nih.gov/sites/entrez?db=gene&amp;cmd=Retrieve&amp;dopt=full_report&amp;list_uids=8669","8669")</f>
        <v>8669</v>
      </c>
      <c r="F388" s="14" t="s">
        <v>937</v>
      </c>
      <c r="G388" s="14" t="s">
        <v>938</v>
      </c>
      <c r="H388" s="14" t="s">
        <v>6527</v>
      </c>
      <c r="I388" s="14" t="s">
        <v>6528</v>
      </c>
      <c r="J388" s="15" t="s">
        <v>6529</v>
      </c>
      <c r="K388" s="16">
        <v>436.64976200000001</v>
      </c>
      <c r="L388" s="17">
        <v>632.69699300000002</v>
      </c>
      <c r="M388" s="18">
        <f t="shared" si="6"/>
        <v>1.44898050579952</v>
      </c>
    </row>
    <row r="389" spans="1:13">
      <c r="A389" s="13" t="s">
        <v>909</v>
      </c>
      <c r="B389" s="14" t="s">
        <v>909</v>
      </c>
      <c r="C389" s="14" t="str">
        <f>HYPERLINK("http://uswest.ensembl.org/Homo_sapiens/Gene/Summary?g=ENSG00000019991","ENSG00000019991")</f>
        <v>ENSG00000019991</v>
      </c>
      <c r="D389" s="14" t="s">
        <v>910</v>
      </c>
      <c r="E389" s="14" t="str">
        <f>HYPERLINK("http://www.ncbi.nlm.nih.gov/sites/entrez?db=gene&amp;cmd=Retrieve&amp;dopt=full_report&amp;list_uids=3082","3082")</f>
        <v>3082</v>
      </c>
      <c r="F389" s="14" t="s">
        <v>911</v>
      </c>
      <c r="G389" s="14" t="s">
        <v>912</v>
      </c>
      <c r="H389" s="14" t="s">
        <v>8728</v>
      </c>
      <c r="I389" s="14" t="s">
        <v>8728</v>
      </c>
      <c r="J389" s="15" t="s">
        <v>8728</v>
      </c>
      <c r="K389" s="16">
        <v>22.159624000000001</v>
      </c>
      <c r="L389" s="17">
        <v>32.086806000000003</v>
      </c>
      <c r="M389" s="18">
        <f t="shared" si="6"/>
        <v>1.4479851282675194</v>
      </c>
    </row>
    <row r="390" spans="1:13">
      <c r="A390" s="13" t="s">
        <v>874</v>
      </c>
      <c r="B390" s="14" t="s">
        <v>874</v>
      </c>
      <c r="C390" s="14" t="str">
        <f>HYPERLINK("http://uswest.ensembl.org/Homo_sapiens/Gene/Summary?g=ENSG00000212994","ENSG00000212994")</f>
        <v>ENSG00000212994</v>
      </c>
      <c r="D390" s="14" t="s">
        <v>8728</v>
      </c>
      <c r="E390" s="14" t="str">
        <f>HYPERLINK("http://www.ncbi.nlm.nih.gov/sites/entrez?db=gene&amp;cmd=Retrieve&amp;dopt=full_report&amp;list_uids=644166","644166")</f>
        <v>644166</v>
      </c>
      <c r="F390" s="14" t="s">
        <v>875</v>
      </c>
      <c r="G390" s="14" t="s">
        <v>876</v>
      </c>
      <c r="H390" s="14" t="s">
        <v>7806</v>
      </c>
      <c r="I390" s="14" t="s">
        <v>7807</v>
      </c>
      <c r="J390" s="15" t="s">
        <v>7521</v>
      </c>
      <c r="K390" s="16">
        <v>2294.9430590000002</v>
      </c>
      <c r="L390" s="17">
        <v>3322.4571879999999</v>
      </c>
      <c r="M390" s="18">
        <f t="shared" si="6"/>
        <v>1.4477296833010442</v>
      </c>
    </row>
    <row r="391" spans="1:13">
      <c r="A391" s="13" t="s">
        <v>877</v>
      </c>
      <c r="B391" s="14" t="s">
        <v>877</v>
      </c>
      <c r="C391" s="14" t="str">
        <f>HYPERLINK("http://uswest.ensembl.org/Homo_sapiens/Gene/Summary?g=ENSG00000152944","ENSG00000152944")</f>
        <v>ENSG00000152944</v>
      </c>
      <c r="D391" s="14" t="s">
        <v>920</v>
      </c>
      <c r="E391" s="14" t="str">
        <f>HYPERLINK("http://www.ncbi.nlm.nih.gov/sites/entrez?db=gene&amp;cmd=Retrieve&amp;dopt=full_report&amp;list_uids=9412","9412")</f>
        <v>9412</v>
      </c>
      <c r="F391" s="14" t="s">
        <v>972</v>
      </c>
      <c r="G391" s="14" t="s">
        <v>973</v>
      </c>
      <c r="H391" s="14" t="s">
        <v>974</v>
      </c>
      <c r="I391" s="14" t="s">
        <v>922</v>
      </c>
      <c r="J391" s="15" t="s">
        <v>884</v>
      </c>
      <c r="K391" s="16">
        <v>216.72494699999999</v>
      </c>
      <c r="L391" s="17">
        <v>313.64192100000002</v>
      </c>
      <c r="M391" s="18">
        <f t="shared" si="6"/>
        <v>1.4471888231676442</v>
      </c>
    </row>
    <row r="392" spans="1:13">
      <c r="A392" s="13" t="s">
        <v>885</v>
      </c>
      <c r="B392" s="14" t="s">
        <v>885</v>
      </c>
      <c r="C392" s="14" t="str">
        <f>HYPERLINK("http://uswest.ensembl.org/Homo_sapiens/Gene/Summary?g=","-")</f>
        <v>-</v>
      </c>
      <c r="D392" s="14" t="s">
        <v>923</v>
      </c>
      <c r="E392" s="14" t="str">
        <f>HYPERLINK("http://www.ncbi.nlm.nih.gov/sites/entrez?db=gene&amp;cmd=Retrieve&amp;dopt=full_report&amp;list_uids=161823","161823")</f>
        <v>161823</v>
      </c>
      <c r="F392" s="14" t="s">
        <v>924</v>
      </c>
      <c r="G392" s="14" t="s">
        <v>886</v>
      </c>
      <c r="H392" s="14" t="s">
        <v>887</v>
      </c>
      <c r="I392" s="14" t="s">
        <v>888</v>
      </c>
      <c r="J392" s="15" t="s">
        <v>8728</v>
      </c>
      <c r="K392" s="16">
        <v>25.182760999999999</v>
      </c>
      <c r="L392" s="17">
        <v>36.443930999999999</v>
      </c>
      <c r="M392" s="18">
        <f t="shared" si="6"/>
        <v>1.4471777340062117</v>
      </c>
    </row>
    <row r="393" spans="1:13">
      <c r="A393" s="13" t="s">
        <v>889</v>
      </c>
      <c r="B393" s="14" t="s">
        <v>889</v>
      </c>
      <c r="C393" s="14" t="str">
        <f>HYPERLINK("http://uswest.ensembl.org/Homo_sapiens/Gene/Summary?g=","-")</f>
        <v>-</v>
      </c>
      <c r="D393" s="14" t="s">
        <v>890</v>
      </c>
      <c r="E393" s="14" t="str">
        <f>HYPERLINK("http://www.ncbi.nlm.nih.gov/sites/entrez?db=gene&amp;cmd=Retrieve&amp;dopt=full_report&amp;list_uids=400668","400668")</f>
        <v>400668</v>
      </c>
      <c r="F393" s="14" t="s">
        <v>891</v>
      </c>
      <c r="G393" s="14" t="s">
        <v>892</v>
      </c>
      <c r="H393" s="14" t="s">
        <v>8623</v>
      </c>
      <c r="I393" s="14" t="s">
        <v>944</v>
      </c>
      <c r="J393" s="15" t="s">
        <v>8731</v>
      </c>
      <c r="K393" s="16">
        <v>1118.167964</v>
      </c>
      <c r="L393" s="17">
        <v>1618.0684670000001</v>
      </c>
      <c r="M393" s="18">
        <f t="shared" si="6"/>
        <v>1.4470710296615152</v>
      </c>
    </row>
    <row r="394" spans="1:13">
      <c r="A394" s="13" t="s">
        <v>945</v>
      </c>
      <c r="B394" s="14" t="s">
        <v>945</v>
      </c>
      <c r="C394" s="14" t="str">
        <f>HYPERLINK("http://uswest.ensembl.org/Homo_sapiens/Gene/Summary?g=ENSG00000147654","ENSG00000147654")</f>
        <v>ENSG00000147654</v>
      </c>
      <c r="D394" s="14" t="s">
        <v>946</v>
      </c>
      <c r="E394" s="14" t="str">
        <f>HYPERLINK("http://www.ncbi.nlm.nih.gov/sites/entrez?db=gene&amp;cmd=Retrieve&amp;dopt=full_report&amp;list_uids=9166","9166")</f>
        <v>9166</v>
      </c>
      <c r="F394" s="14" t="s">
        <v>947</v>
      </c>
      <c r="G394" s="14" t="s">
        <v>894</v>
      </c>
      <c r="H394" s="14" t="s">
        <v>895</v>
      </c>
      <c r="I394" s="14" t="s">
        <v>896</v>
      </c>
      <c r="J394" s="15" t="s">
        <v>859</v>
      </c>
      <c r="K394" s="16">
        <v>102.527012</v>
      </c>
      <c r="L394" s="17">
        <v>148.35062199999999</v>
      </c>
      <c r="M394" s="18">
        <f t="shared" si="6"/>
        <v>1.4469418264135112</v>
      </c>
    </row>
    <row r="395" spans="1:13">
      <c r="A395" s="13" t="s">
        <v>860</v>
      </c>
      <c r="B395" s="14" t="s">
        <v>860</v>
      </c>
      <c r="C395" s="14" t="str">
        <f>HYPERLINK("http://uswest.ensembl.org/Homo_sapiens/Gene/Summary?g=","-")</f>
        <v>-</v>
      </c>
      <c r="D395" s="14" t="s">
        <v>861</v>
      </c>
      <c r="E395" s="14" t="str">
        <f>HYPERLINK("http://www.ncbi.nlm.nih.gov/sites/entrez?db=gene&amp;cmd=Retrieve&amp;dopt=full_report&amp;list_uids=84191","84191")</f>
        <v>84191</v>
      </c>
      <c r="F395" s="14" t="s">
        <v>862</v>
      </c>
      <c r="G395" s="14" t="s">
        <v>898</v>
      </c>
      <c r="H395" s="14" t="s">
        <v>8076</v>
      </c>
      <c r="I395" s="14" t="s">
        <v>8648</v>
      </c>
      <c r="J395" s="15" t="s">
        <v>7768</v>
      </c>
      <c r="K395" s="16">
        <v>587.452764</v>
      </c>
      <c r="L395" s="17">
        <v>849.98873000000003</v>
      </c>
      <c r="M395" s="18">
        <f t="shared" si="6"/>
        <v>1.4469056613375642</v>
      </c>
    </row>
    <row r="396" spans="1:13">
      <c r="A396" s="13" t="s">
        <v>899</v>
      </c>
      <c r="B396" s="14" t="s">
        <v>899</v>
      </c>
      <c r="C396" s="14" t="str">
        <f>HYPERLINK("http://uswest.ensembl.org/Homo_sapiens/Gene/Summary?g=ENSG00000125454","ENSG00000125454")</f>
        <v>ENSG00000125454</v>
      </c>
      <c r="D396" s="14" t="s">
        <v>900</v>
      </c>
      <c r="E396" s="14" t="str">
        <f>HYPERLINK("http://www.ncbi.nlm.nih.gov/sites/entrez?db=gene&amp;cmd=Retrieve&amp;dopt=full_report&amp;list_uids=60386","60386")</f>
        <v>60386</v>
      </c>
      <c r="F396" s="14" t="s">
        <v>901</v>
      </c>
      <c r="G396" s="14" t="s">
        <v>902</v>
      </c>
      <c r="H396" s="14" t="s">
        <v>903</v>
      </c>
      <c r="I396" s="14" t="s">
        <v>904</v>
      </c>
      <c r="J396" s="15" t="s">
        <v>8296</v>
      </c>
      <c r="K396" s="16">
        <v>70.965317999999996</v>
      </c>
      <c r="L396" s="17">
        <v>102.64175400000001</v>
      </c>
      <c r="M396" s="18">
        <f t="shared" si="6"/>
        <v>1.4463650258003495</v>
      </c>
    </row>
    <row r="397" spans="1:13">
      <c r="A397" s="13" t="s">
        <v>905</v>
      </c>
      <c r="B397" s="14" t="s">
        <v>905</v>
      </c>
      <c r="C397" s="14" t="str">
        <f>HYPERLINK("http://uswest.ensembl.org/Homo_sapiens/Gene/Summary?g=ENSG00000169989","ENSG00000169989")</f>
        <v>ENSG00000169989</v>
      </c>
      <c r="D397" s="14" t="s">
        <v>906</v>
      </c>
      <c r="E397" s="14" t="str">
        <f>HYPERLINK("http://www.ncbi.nlm.nih.gov/sites/entrez?db=gene&amp;cmd=Retrieve&amp;dopt=full_report&amp;list_uids=201798","201798")</f>
        <v>201798</v>
      </c>
      <c r="F397" s="14" t="s">
        <v>864</v>
      </c>
      <c r="G397" s="14" t="s">
        <v>907</v>
      </c>
      <c r="H397" s="14" t="s">
        <v>8490</v>
      </c>
      <c r="I397" s="14" t="s">
        <v>8272</v>
      </c>
      <c r="J397" s="15" t="s">
        <v>8233</v>
      </c>
      <c r="K397" s="16">
        <v>43.006734999999999</v>
      </c>
      <c r="L397" s="17">
        <v>62.199613999999997</v>
      </c>
      <c r="M397" s="18">
        <f t="shared" si="6"/>
        <v>1.4462761239605844</v>
      </c>
    </row>
    <row r="398" spans="1:13">
      <c r="A398" s="13" t="s">
        <v>908</v>
      </c>
      <c r="B398" s="14" t="s">
        <v>908</v>
      </c>
      <c r="C398" s="14" t="str">
        <f>HYPERLINK("http://uswest.ensembl.org/Homo_sapiens/Gene/Summary?g=ENSG00000152782","ENSG00000152782")</f>
        <v>ENSG00000152782</v>
      </c>
      <c r="D398" s="14" t="s">
        <v>865</v>
      </c>
      <c r="E398" s="14" t="str">
        <f>HYPERLINK("http://www.ncbi.nlm.nih.gov/sites/entrez?db=gene&amp;cmd=Retrieve&amp;dopt=full_report&amp;list_uids=","-")</f>
        <v>-</v>
      </c>
      <c r="F398" s="14" t="s">
        <v>6409</v>
      </c>
      <c r="G398" s="14" t="s">
        <v>6402</v>
      </c>
      <c r="H398" s="14" t="s">
        <v>6403</v>
      </c>
      <c r="I398" s="14" t="s">
        <v>866</v>
      </c>
      <c r="J398" s="15" t="s">
        <v>8728</v>
      </c>
      <c r="K398" s="16">
        <v>30.096450000000001</v>
      </c>
      <c r="L398" s="17">
        <v>43.526803999999998</v>
      </c>
      <c r="M398" s="18">
        <f t="shared" si="6"/>
        <v>1.4462437928725813</v>
      </c>
    </row>
    <row r="399" spans="1:13">
      <c r="A399" s="13" t="s">
        <v>867</v>
      </c>
      <c r="B399" s="14" t="s">
        <v>867</v>
      </c>
      <c r="C399" s="14" t="str">
        <f>HYPERLINK("http://uswest.ensembl.org/Homo_sapiens/Gene/Summary?g=ENSG00000185909","ENSG00000185909")</f>
        <v>ENSG00000185909</v>
      </c>
      <c r="D399" s="14" t="s">
        <v>868</v>
      </c>
      <c r="E399" s="14" t="str">
        <f>HYPERLINK("http://www.ncbi.nlm.nih.gov/sites/entrez?db=gene&amp;cmd=Retrieve&amp;dopt=full_report&amp;list_uids=200942","200942")</f>
        <v>200942</v>
      </c>
      <c r="F399" s="14" t="s">
        <v>869</v>
      </c>
      <c r="G399" s="14" t="s">
        <v>870</v>
      </c>
      <c r="H399" s="14" t="s">
        <v>8728</v>
      </c>
      <c r="I399" s="14" t="s">
        <v>8728</v>
      </c>
      <c r="J399" s="15" t="s">
        <v>8728</v>
      </c>
      <c r="K399" s="16">
        <v>47.905248999999998</v>
      </c>
      <c r="L399" s="17">
        <v>69.26558</v>
      </c>
      <c r="M399" s="18">
        <f t="shared" si="6"/>
        <v>1.4458870676154925</v>
      </c>
    </row>
    <row r="400" spans="1:13">
      <c r="A400" s="13" t="s">
        <v>871</v>
      </c>
      <c r="B400" s="14" t="s">
        <v>871</v>
      </c>
      <c r="C400" s="14" t="str">
        <f>HYPERLINK("http://uswest.ensembl.org/Homo_sapiens/Gene/Summary?g=ENSG00000064601","ENSG00000064601")</f>
        <v>ENSG00000064601</v>
      </c>
      <c r="D400" s="14" t="s">
        <v>872</v>
      </c>
      <c r="E400" s="14" t="str">
        <f>HYPERLINK("http://www.ncbi.nlm.nih.gov/sites/entrez?db=gene&amp;cmd=Retrieve&amp;dopt=full_report&amp;list_uids=5476","5476")</f>
        <v>5476</v>
      </c>
      <c r="F400" s="14" t="s">
        <v>873</v>
      </c>
      <c r="G400" s="19" t="s">
        <v>844</v>
      </c>
      <c r="H400" s="14" t="s">
        <v>878</v>
      </c>
      <c r="I400" s="14" t="s">
        <v>879</v>
      </c>
      <c r="J400" s="15" t="s">
        <v>880</v>
      </c>
      <c r="K400" s="16">
        <v>378.34021899999999</v>
      </c>
      <c r="L400" s="17">
        <v>546.87339799999995</v>
      </c>
      <c r="M400" s="18">
        <f t="shared" si="6"/>
        <v>1.445454039873038</v>
      </c>
    </row>
    <row r="401" spans="1:13">
      <c r="A401" s="13" t="s">
        <v>881</v>
      </c>
      <c r="B401" s="14" t="s">
        <v>881</v>
      </c>
      <c r="C401" s="14" t="str">
        <f>HYPERLINK("http://uswest.ensembl.org/Homo_sapiens/Gene/Summary?g=","-")</f>
        <v>-</v>
      </c>
      <c r="D401" s="14" t="s">
        <v>882</v>
      </c>
      <c r="E401" s="14" t="str">
        <f>HYPERLINK("http://www.ncbi.nlm.nih.gov/sites/entrez?db=gene&amp;cmd=Retrieve&amp;dopt=full_report&amp;list_uids=8751","8751")</f>
        <v>8751</v>
      </c>
      <c r="F401" s="14" t="s">
        <v>883</v>
      </c>
      <c r="G401" s="19" t="s">
        <v>851</v>
      </c>
      <c r="H401" s="14" t="s">
        <v>921</v>
      </c>
      <c r="I401" s="14" t="s">
        <v>853</v>
      </c>
      <c r="J401" s="15" t="s">
        <v>8698</v>
      </c>
      <c r="K401" s="16">
        <v>36.942073000000001</v>
      </c>
      <c r="L401" s="17">
        <v>53.385491000000002</v>
      </c>
      <c r="M401" s="18">
        <f t="shared" si="6"/>
        <v>1.4451135701020352</v>
      </c>
    </row>
    <row r="402" spans="1:13">
      <c r="A402" s="13" t="s">
        <v>854</v>
      </c>
      <c r="B402" s="14" t="s">
        <v>854</v>
      </c>
      <c r="C402" s="14" t="str">
        <f>HYPERLINK("http://uswest.ensembl.org/Homo_sapiens/Gene/Summary?g=ENSG00000101236","ENSG00000101236")</f>
        <v>ENSG00000101236</v>
      </c>
      <c r="D402" s="14" t="s">
        <v>855</v>
      </c>
      <c r="E402" s="14" t="str">
        <f>HYPERLINK("http://www.ncbi.nlm.nih.gov/sites/entrez?db=gene&amp;cmd=Retrieve&amp;dopt=full_report&amp;list_uids=11237","11237")</f>
        <v>11237</v>
      </c>
      <c r="F402" s="14" t="s">
        <v>856</v>
      </c>
      <c r="G402" s="14" t="s">
        <v>857</v>
      </c>
      <c r="H402" s="14" t="s">
        <v>8728</v>
      </c>
      <c r="I402" s="14" t="s">
        <v>8609</v>
      </c>
      <c r="J402" s="15" t="s">
        <v>8728</v>
      </c>
      <c r="K402" s="16">
        <v>255.331321</v>
      </c>
      <c r="L402" s="17">
        <v>368.97529700000001</v>
      </c>
      <c r="M402" s="18">
        <f t="shared" si="6"/>
        <v>1.4450843537522762</v>
      </c>
    </row>
    <row r="403" spans="1:13">
      <c r="A403" s="13" t="s">
        <v>858</v>
      </c>
      <c r="B403" s="14" t="s">
        <v>858</v>
      </c>
      <c r="C403" s="14" t="str">
        <f>HYPERLINK("http://uswest.ensembl.org/Homo_sapiens/Gene/Summary?g=ENSG00000171490","ENSG00000171490")</f>
        <v>ENSG00000171490</v>
      </c>
      <c r="D403" s="14" t="s">
        <v>821</v>
      </c>
      <c r="E403" s="14" t="str">
        <f>HYPERLINK("http://www.ncbi.nlm.nih.gov/sites/entrez?db=gene&amp;cmd=Retrieve&amp;dopt=full_report&amp;list_uids=","-")</f>
        <v>-</v>
      </c>
      <c r="F403" s="14" t="s">
        <v>1356</v>
      </c>
      <c r="G403" s="14" t="s">
        <v>1361</v>
      </c>
      <c r="H403" s="14" t="s">
        <v>893</v>
      </c>
      <c r="I403" s="14" t="s">
        <v>822</v>
      </c>
      <c r="J403" s="15" t="s">
        <v>7938</v>
      </c>
      <c r="K403" s="16">
        <v>517.10522900000001</v>
      </c>
      <c r="L403" s="17">
        <v>747.192768</v>
      </c>
      <c r="M403" s="18">
        <f t="shared" si="6"/>
        <v>1.4449530310203071</v>
      </c>
    </row>
    <row r="404" spans="1:13">
      <c r="A404" s="13" t="s">
        <v>823</v>
      </c>
      <c r="B404" s="14" t="s">
        <v>823</v>
      </c>
      <c r="C404" s="14" t="str">
        <f>HYPERLINK("http://uswest.ensembl.org/Homo_sapiens/Gene/Summary?g=ENSG00000214439","ENSG00000214439")</f>
        <v>ENSG00000214439</v>
      </c>
      <c r="D404" s="14" t="s">
        <v>8728</v>
      </c>
      <c r="E404" s="14" t="str">
        <f>HYPERLINK("http://www.ncbi.nlm.nih.gov/sites/entrez?db=gene&amp;cmd=Retrieve&amp;dopt=full_report&amp;list_uids=641808","641808")</f>
        <v>641808</v>
      </c>
      <c r="F404" s="14" t="s">
        <v>824</v>
      </c>
      <c r="G404" s="14" t="s">
        <v>825</v>
      </c>
      <c r="H404" s="14" t="s">
        <v>8728</v>
      </c>
      <c r="I404" s="14" t="s">
        <v>8728</v>
      </c>
      <c r="J404" s="15" t="s">
        <v>8728</v>
      </c>
      <c r="K404" s="16">
        <v>25.526173</v>
      </c>
      <c r="L404" s="17">
        <v>36.882250999999997</v>
      </c>
      <c r="M404" s="18">
        <f t="shared" si="6"/>
        <v>1.4448797710491108</v>
      </c>
    </row>
    <row r="405" spans="1:13">
      <c r="A405" s="13" t="s">
        <v>863</v>
      </c>
      <c r="B405" s="14" t="s">
        <v>863</v>
      </c>
      <c r="C405" s="14" t="str">
        <f>HYPERLINK("http://uswest.ensembl.org/Homo_sapiens/Gene/Summary?g=ENSG00000118705","ENSG00000118705")</f>
        <v>ENSG00000118705</v>
      </c>
      <c r="D405" s="14" t="s">
        <v>826</v>
      </c>
      <c r="E405" s="14" t="str">
        <f>HYPERLINK("http://www.ncbi.nlm.nih.gov/sites/entrez?db=gene&amp;cmd=Retrieve&amp;dopt=full_report&amp;list_uids=","-")</f>
        <v>-</v>
      </c>
      <c r="F405" s="14" t="s">
        <v>2656</v>
      </c>
      <c r="G405" s="19" t="s">
        <v>2657</v>
      </c>
      <c r="H405" s="14" t="s">
        <v>827</v>
      </c>
      <c r="I405" s="14" t="s">
        <v>828</v>
      </c>
      <c r="J405" s="15" t="s">
        <v>829</v>
      </c>
      <c r="K405" s="16">
        <v>1884.1705260000001</v>
      </c>
      <c r="L405" s="17">
        <v>2721.717326</v>
      </c>
      <c r="M405" s="18">
        <f t="shared" si="6"/>
        <v>1.444517514971466</v>
      </c>
    </row>
    <row r="406" spans="1:13">
      <c r="A406" s="13" t="s">
        <v>830</v>
      </c>
      <c r="B406" s="14" t="s">
        <v>830</v>
      </c>
      <c r="C406" s="14" t="str">
        <f>HYPERLINK("http://uswest.ensembl.org/Homo_sapiens/Gene/Summary?g=ENSG00000166404","ENSG00000166404")</f>
        <v>ENSG00000166404</v>
      </c>
      <c r="D406" s="14" t="s">
        <v>831</v>
      </c>
      <c r="E406" s="14" t="str">
        <f>HYPERLINK("http://www.ncbi.nlm.nih.gov/sites/entrez?db=gene&amp;cmd=Retrieve&amp;dopt=full_report&amp;list_uids=5273","5273")</f>
        <v>5273</v>
      </c>
      <c r="F406" s="14" t="s">
        <v>832</v>
      </c>
      <c r="G406" s="14" t="s">
        <v>833</v>
      </c>
      <c r="H406" s="14" t="s">
        <v>8728</v>
      </c>
      <c r="I406" s="14" t="s">
        <v>5202</v>
      </c>
      <c r="J406" s="15" t="s">
        <v>8608</v>
      </c>
      <c r="K406" s="16">
        <v>121.727164</v>
      </c>
      <c r="L406" s="17">
        <v>175.82637199999999</v>
      </c>
      <c r="M406" s="18">
        <f t="shared" si="6"/>
        <v>1.444430036996508</v>
      </c>
    </row>
    <row r="407" spans="1:13">
      <c r="A407" s="13" t="s">
        <v>834</v>
      </c>
      <c r="B407" s="14" t="s">
        <v>834</v>
      </c>
      <c r="C407" s="14" t="str">
        <f>HYPERLINK("http://uswest.ensembl.org/Homo_sapiens/Gene/Summary?g=ENSG00000108784","ENSG00000108784")</f>
        <v>ENSG00000108784</v>
      </c>
      <c r="D407" s="14" t="s">
        <v>835</v>
      </c>
      <c r="E407" s="14" t="str">
        <f>HYPERLINK("http://www.ncbi.nlm.nih.gov/sites/entrez?db=gene&amp;cmd=Retrieve&amp;dopt=full_report&amp;list_uids=","-")</f>
        <v>-</v>
      </c>
      <c r="F407" s="14" t="s">
        <v>836</v>
      </c>
      <c r="G407" s="14" t="s">
        <v>837</v>
      </c>
      <c r="H407" s="14" t="s">
        <v>8728</v>
      </c>
      <c r="I407" s="14" t="s">
        <v>8728</v>
      </c>
      <c r="J407" s="15" t="s">
        <v>8728</v>
      </c>
      <c r="K407" s="16">
        <v>64.396305999999996</v>
      </c>
      <c r="L407" s="17">
        <v>93.009659999999997</v>
      </c>
      <c r="M407" s="18">
        <f t="shared" si="6"/>
        <v>1.4443322261373193</v>
      </c>
    </row>
    <row r="408" spans="1:13">
      <c r="A408" s="13" t="s">
        <v>838</v>
      </c>
      <c r="B408" s="14" t="s">
        <v>838</v>
      </c>
      <c r="C408" s="14" t="str">
        <f>HYPERLINK("http://uswest.ensembl.org/Homo_sapiens/Gene/Summary?g=","-")</f>
        <v>-</v>
      </c>
      <c r="D408" s="14" t="s">
        <v>839</v>
      </c>
      <c r="E408" s="14" t="str">
        <f>HYPERLINK("http://www.ncbi.nlm.nih.gov/sites/entrez?db=gene&amp;cmd=Retrieve&amp;dopt=full_report&amp;list_uids=89790","89790")</f>
        <v>89790</v>
      </c>
      <c r="F408" s="14" t="s">
        <v>2251</v>
      </c>
      <c r="G408" s="14" t="s">
        <v>2296</v>
      </c>
      <c r="H408" s="14" t="s">
        <v>8628</v>
      </c>
      <c r="I408" s="14" t="s">
        <v>6231</v>
      </c>
      <c r="J408" s="15" t="s">
        <v>8688</v>
      </c>
      <c r="K408" s="16">
        <v>46.534824</v>
      </c>
      <c r="L408" s="17">
        <v>67.209468999999999</v>
      </c>
      <c r="M408" s="18">
        <f t="shared" si="6"/>
        <v>1.4442832963115966</v>
      </c>
    </row>
    <row r="409" spans="1:13">
      <c r="A409" s="13" t="s">
        <v>840</v>
      </c>
      <c r="B409" s="14" t="s">
        <v>840</v>
      </c>
      <c r="C409" s="14" t="str">
        <f>HYPERLINK("http://uswest.ensembl.org/Homo_sapiens/Gene/Summary?g=ENSG00000167220","ENSG00000167220")</f>
        <v>ENSG00000167220</v>
      </c>
      <c r="D409" s="14" t="s">
        <v>841</v>
      </c>
      <c r="E409" s="14" t="str">
        <f>HYPERLINK("http://www.ncbi.nlm.nih.gov/sites/entrez?db=gene&amp;cmd=Retrieve&amp;dopt=full_report&amp;list_uids=84064","84064")</f>
        <v>84064</v>
      </c>
      <c r="F409" s="14" t="s">
        <v>842</v>
      </c>
      <c r="G409" s="14" t="s">
        <v>843</v>
      </c>
      <c r="H409" s="14" t="s">
        <v>8329</v>
      </c>
      <c r="I409" s="14" t="s">
        <v>8206</v>
      </c>
      <c r="J409" s="15" t="s">
        <v>8728</v>
      </c>
      <c r="K409" s="16">
        <v>185.15368599999999</v>
      </c>
      <c r="L409" s="17">
        <v>267.37834900000001</v>
      </c>
      <c r="M409" s="18">
        <f t="shared" si="6"/>
        <v>1.4440887177368968</v>
      </c>
    </row>
    <row r="410" spans="1:13">
      <c r="A410" s="13" t="s">
        <v>813</v>
      </c>
      <c r="B410" s="14" t="s">
        <v>813</v>
      </c>
      <c r="C410" s="14" t="str">
        <f>HYPERLINK("http://uswest.ensembl.org/Homo_sapiens/Gene/Summary?g=ENSG00000087448","ENSG00000087448")</f>
        <v>ENSG00000087448</v>
      </c>
      <c r="D410" s="14" t="s">
        <v>814</v>
      </c>
      <c r="E410" s="14" t="str">
        <f>HYPERLINK("http://www.ncbi.nlm.nih.gov/sites/entrez?db=gene&amp;cmd=Retrieve&amp;dopt=full_report&amp;list_uids=57542","57542")</f>
        <v>57542</v>
      </c>
      <c r="F410" s="14" t="s">
        <v>815</v>
      </c>
      <c r="G410" s="14" t="s">
        <v>845</v>
      </c>
      <c r="H410" s="14" t="s">
        <v>8728</v>
      </c>
      <c r="I410" s="14" t="s">
        <v>8665</v>
      </c>
      <c r="J410" s="15" t="s">
        <v>8728</v>
      </c>
      <c r="K410" s="16">
        <v>66.433296999999996</v>
      </c>
      <c r="L410" s="17">
        <v>95.931420000000003</v>
      </c>
      <c r="M410" s="18">
        <f t="shared" si="6"/>
        <v>1.4440261786194355</v>
      </c>
    </row>
    <row r="411" spans="1:13">
      <c r="A411" s="13" t="s">
        <v>846</v>
      </c>
      <c r="B411" s="14" t="s">
        <v>846</v>
      </c>
      <c r="C411" s="14" t="str">
        <f>HYPERLINK("http://uswest.ensembl.org/Homo_sapiens/Gene/Summary?g=ENSG00000146802","ENSG00000146802")</f>
        <v>ENSG00000146802</v>
      </c>
      <c r="D411" s="14" t="s">
        <v>847</v>
      </c>
      <c r="E411" s="14" t="str">
        <f>HYPERLINK("http://www.ncbi.nlm.nih.gov/sites/entrez?db=gene&amp;cmd=Retrieve&amp;dopt=full_report&amp;list_uids=64418","64418")</f>
        <v>64418</v>
      </c>
      <c r="F411" s="14" t="s">
        <v>848</v>
      </c>
      <c r="G411" s="14" t="s">
        <v>849</v>
      </c>
      <c r="H411" s="14" t="s">
        <v>8728</v>
      </c>
      <c r="I411" s="14" t="s">
        <v>8728</v>
      </c>
      <c r="J411" s="15" t="s">
        <v>850</v>
      </c>
      <c r="K411" s="16">
        <v>54.572893999999998</v>
      </c>
      <c r="L411" s="17">
        <v>78.797263999999998</v>
      </c>
      <c r="M411" s="18">
        <f t="shared" si="6"/>
        <v>1.4438901481017299</v>
      </c>
    </row>
    <row r="412" spans="1:13">
      <c r="A412" s="13" t="s">
        <v>806</v>
      </c>
      <c r="B412" s="14" t="s">
        <v>806</v>
      </c>
      <c r="C412" s="14" t="str">
        <f>HYPERLINK("http://uswest.ensembl.org/Homo_sapiens/Gene/Summary?g=ENSG00000090316","ENSG00000090316")</f>
        <v>ENSG00000090316</v>
      </c>
      <c r="D412" s="14" t="s">
        <v>807</v>
      </c>
      <c r="E412" s="14" t="str">
        <f>HYPERLINK("http://www.ncbi.nlm.nih.gov/sites/entrez?db=gene&amp;cmd=Retrieve&amp;dopt=full_report&amp;list_uids=","-")</f>
        <v>-</v>
      </c>
      <c r="F412" s="14" t="s">
        <v>808</v>
      </c>
      <c r="G412" s="14" t="s">
        <v>809</v>
      </c>
      <c r="H412" s="14" t="s">
        <v>8728</v>
      </c>
      <c r="I412" s="14" t="s">
        <v>8728</v>
      </c>
      <c r="J412" s="15" t="s">
        <v>8728</v>
      </c>
      <c r="K412" s="16">
        <v>407.14089200000001</v>
      </c>
      <c r="L412" s="17">
        <v>587.235007</v>
      </c>
      <c r="M412" s="18">
        <f t="shared" si="6"/>
        <v>1.4423385578277899</v>
      </c>
    </row>
    <row r="413" spans="1:13">
      <c r="A413" s="13" t="s">
        <v>810</v>
      </c>
      <c r="B413" s="14" t="s">
        <v>810</v>
      </c>
      <c r="C413" s="14" t="str">
        <f>HYPERLINK("http://uswest.ensembl.org/Homo_sapiens/Gene/Summary?g=","-")</f>
        <v>-</v>
      </c>
      <c r="D413" s="14" t="s">
        <v>811</v>
      </c>
      <c r="E413" s="14" t="str">
        <f>HYPERLINK("http://www.ncbi.nlm.nih.gov/sites/entrez?db=gene&amp;cmd=Retrieve&amp;dopt=full_report&amp;list_uids=5328","5328")</f>
        <v>5328</v>
      </c>
      <c r="F413" s="14" t="s">
        <v>1195</v>
      </c>
      <c r="G413" s="14" t="s">
        <v>812</v>
      </c>
      <c r="H413" s="14" t="s">
        <v>8623</v>
      </c>
      <c r="I413" s="14" t="s">
        <v>8611</v>
      </c>
      <c r="J413" s="15" t="s">
        <v>8728</v>
      </c>
      <c r="K413" s="16">
        <v>89.151971000000003</v>
      </c>
      <c r="L413" s="17">
        <v>128.562893</v>
      </c>
      <c r="M413" s="18">
        <f t="shared" si="6"/>
        <v>1.4420645057864172</v>
      </c>
    </row>
    <row r="414" spans="1:13">
      <c r="A414" s="13" t="s">
        <v>816</v>
      </c>
      <c r="B414" s="14" t="s">
        <v>816</v>
      </c>
      <c r="C414" s="14" t="str">
        <f>HYPERLINK("http://uswest.ensembl.org/Homo_sapiens/Gene/Summary?g=ENSG00000037241","ENSG00000037241")</f>
        <v>ENSG00000037241</v>
      </c>
      <c r="D414" s="14" t="s">
        <v>817</v>
      </c>
      <c r="E414" s="14" t="str">
        <f>HYPERLINK("http://www.ncbi.nlm.nih.gov/sites/entrez?db=gene&amp;cmd=Retrieve&amp;dopt=full_report&amp;list_uids=653147","653147")</f>
        <v>653147</v>
      </c>
      <c r="F414" s="14" t="s">
        <v>818</v>
      </c>
      <c r="G414" s="14" t="s">
        <v>787</v>
      </c>
      <c r="H414" s="14" t="s">
        <v>7772</v>
      </c>
      <c r="I414" s="14" t="s">
        <v>7807</v>
      </c>
      <c r="J414" s="15" t="s">
        <v>788</v>
      </c>
      <c r="K414" s="16">
        <v>402.68628200000001</v>
      </c>
      <c r="L414" s="17">
        <v>580.58150799999999</v>
      </c>
      <c r="M414" s="18">
        <f t="shared" si="6"/>
        <v>1.4417712595434278</v>
      </c>
    </row>
    <row r="415" spans="1:13">
      <c r="A415" s="13" t="s">
        <v>819</v>
      </c>
      <c r="B415" s="14" t="s">
        <v>819</v>
      </c>
      <c r="C415" s="14" t="str">
        <f>HYPERLINK("http://uswest.ensembl.org/Homo_sapiens/Gene/Summary?g=ENSG00000143382","ENSG00000143382")</f>
        <v>ENSG00000143382</v>
      </c>
      <c r="D415" s="14" t="s">
        <v>820</v>
      </c>
      <c r="E415" s="14" t="str">
        <f>HYPERLINK("http://www.ncbi.nlm.nih.gov/sites/entrez?db=gene&amp;cmd=Retrieve&amp;dopt=full_report&amp;list_uids=54507","54507")</f>
        <v>54507</v>
      </c>
      <c r="F415" s="14" t="s">
        <v>789</v>
      </c>
      <c r="G415" s="14" t="s">
        <v>790</v>
      </c>
      <c r="H415" s="14" t="s">
        <v>852</v>
      </c>
      <c r="I415" s="14" t="s">
        <v>791</v>
      </c>
      <c r="J415" s="15" t="s">
        <v>792</v>
      </c>
      <c r="K415" s="16">
        <v>26.496027000000002</v>
      </c>
      <c r="L415" s="17">
        <v>38.159486000000001</v>
      </c>
      <c r="M415" s="18">
        <f t="shared" si="6"/>
        <v>1.4401965245581914</v>
      </c>
    </row>
    <row r="416" spans="1:13">
      <c r="A416" s="13" t="s">
        <v>793</v>
      </c>
      <c r="B416" s="14" t="s">
        <v>793</v>
      </c>
      <c r="C416" s="14" t="str">
        <f>HYPERLINK("http://uswest.ensembl.org/Homo_sapiens/Gene/Summary?g=ENSG00000174165","ENSG00000174165")</f>
        <v>ENSG00000174165</v>
      </c>
      <c r="D416" s="14" t="s">
        <v>794</v>
      </c>
      <c r="E416" s="14" t="str">
        <f>HYPERLINK("http://www.ncbi.nlm.nih.gov/sites/entrez?db=gene&amp;cmd=Retrieve&amp;dopt=full_report&amp;list_uids=254359","254359")</f>
        <v>254359</v>
      </c>
      <c r="F416" s="14" t="s">
        <v>795</v>
      </c>
      <c r="G416" s="14" t="s">
        <v>796</v>
      </c>
      <c r="H416" s="14" t="s">
        <v>8728</v>
      </c>
      <c r="I416" s="14" t="s">
        <v>2430</v>
      </c>
      <c r="J416" s="15" t="s">
        <v>8698</v>
      </c>
      <c r="K416" s="16">
        <v>100.178287</v>
      </c>
      <c r="L416" s="17">
        <v>144.26653899999999</v>
      </c>
      <c r="M416" s="18">
        <f t="shared" si="6"/>
        <v>1.4400978826878923</v>
      </c>
    </row>
    <row r="417" spans="1:13">
      <c r="A417" s="13" t="s">
        <v>797</v>
      </c>
      <c r="B417" s="14" t="s">
        <v>797</v>
      </c>
      <c r="C417" s="14" t="str">
        <f>HYPERLINK("http://uswest.ensembl.org/Homo_sapiens/Gene/Summary?g=ENSG00000109065","ENSG00000109065")</f>
        <v>ENSG00000109065</v>
      </c>
      <c r="D417" s="14" t="s">
        <v>798</v>
      </c>
      <c r="E417" s="14" t="str">
        <f>HYPERLINK("http://www.ncbi.nlm.nih.gov/sites/entrez?db=gene&amp;cmd=Retrieve&amp;dopt=full_report&amp;list_uids=26151","26151")</f>
        <v>26151</v>
      </c>
      <c r="F417" s="14" t="s">
        <v>799</v>
      </c>
      <c r="G417" s="14" t="s">
        <v>800</v>
      </c>
      <c r="H417" s="14" t="s">
        <v>8329</v>
      </c>
      <c r="I417" s="14" t="s">
        <v>4337</v>
      </c>
      <c r="J417" s="15" t="s">
        <v>8235</v>
      </c>
      <c r="K417" s="16">
        <v>45.634757</v>
      </c>
      <c r="L417" s="17">
        <v>65.703958</v>
      </c>
      <c r="M417" s="18">
        <f t="shared" si="6"/>
        <v>1.4397788510191913</v>
      </c>
    </row>
    <row r="418" spans="1:13">
      <c r="A418" s="13" t="s">
        <v>801</v>
      </c>
      <c r="B418" s="14" t="s">
        <v>801</v>
      </c>
      <c r="C418" s="14" t="str">
        <f>HYPERLINK("http://uswest.ensembl.org/Homo_sapiens/Gene/Summary?g=ENSG00000147669","ENSG00000147669")</f>
        <v>ENSG00000147669</v>
      </c>
      <c r="D418" s="14" t="s">
        <v>802</v>
      </c>
      <c r="E418" s="14" t="str">
        <f>HYPERLINK("http://www.ncbi.nlm.nih.gov/sites/entrez?db=gene&amp;cmd=Retrieve&amp;dopt=full_report&amp;list_uids=5440","5440")</f>
        <v>5440</v>
      </c>
      <c r="F418" s="14" t="s">
        <v>803</v>
      </c>
      <c r="G418" s="19" t="s">
        <v>804</v>
      </c>
      <c r="H418" s="19" t="s">
        <v>805</v>
      </c>
      <c r="I418" s="14" t="s">
        <v>779</v>
      </c>
      <c r="J418" s="15" t="s">
        <v>7975</v>
      </c>
      <c r="K418" s="16">
        <v>488.34297400000003</v>
      </c>
      <c r="L418" s="17">
        <v>702.92274999999995</v>
      </c>
      <c r="M418" s="18">
        <f t="shared" si="6"/>
        <v>1.4394038358786747</v>
      </c>
    </row>
    <row r="419" spans="1:13">
      <c r="A419" s="13" t="s">
        <v>780</v>
      </c>
      <c r="B419" s="14" t="s">
        <v>780</v>
      </c>
      <c r="C419" s="14" t="str">
        <f>HYPERLINK("http://uswest.ensembl.org/Homo_sapiens/Gene/Summary?g=ENSG00000101752","ENSG00000101752")</f>
        <v>ENSG00000101752</v>
      </c>
      <c r="D419" s="14" t="s">
        <v>781</v>
      </c>
      <c r="E419" s="14" t="str">
        <f>HYPERLINK("http://www.ncbi.nlm.nih.gov/sites/entrez?db=gene&amp;cmd=Retrieve&amp;dopt=full_report&amp;list_uids=57534","57534")</f>
        <v>57534</v>
      </c>
      <c r="F419" s="14" t="s">
        <v>782</v>
      </c>
      <c r="G419" s="14" t="s">
        <v>783</v>
      </c>
      <c r="H419" s="19" t="s">
        <v>784</v>
      </c>
      <c r="I419" s="14" t="s">
        <v>4021</v>
      </c>
      <c r="J419" s="15" t="s">
        <v>785</v>
      </c>
      <c r="K419" s="16">
        <v>39.997489999999999</v>
      </c>
      <c r="L419" s="17">
        <v>57.542171000000003</v>
      </c>
      <c r="M419" s="18">
        <f t="shared" si="6"/>
        <v>1.4386445499455092</v>
      </c>
    </row>
    <row r="420" spans="1:13">
      <c r="A420" s="13" t="s">
        <v>786</v>
      </c>
      <c r="B420" s="14" t="s">
        <v>786</v>
      </c>
      <c r="C420" s="14" t="str">
        <f>HYPERLINK("http://uswest.ensembl.org/Homo_sapiens/Gene/Summary?g=","-")</f>
        <v>-</v>
      </c>
      <c r="D420" s="14" t="s">
        <v>752</v>
      </c>
      <c r="E420" s="14" t="str">
        <f>HYPERLINK("http://www.ncbi.nlm.nih.gov/sites/entrez?db=gene&amp;cmd=Retrieve&amp;dopt=full_report&amp;list_uids=25911","25911")</f>
        <v>25911</v>
      </c>
      <c r="F420" s="14" t="s">
        <v>753</v>
      </c>
      <c r="G420" s="14" t="s">
        <v>754</v>
      </c>
      <c r="H420" s="14" t="s">
        <v>8728</v>
      </c>
      <c r="I420" s="14" t="s">
        <v>8665</v>
      </c>
      <c r="J420" s="15" t="s">
        <v>8728</v>
      </c>
      <c r="K420" s="16">
        <v>26.695080000000001</v>
      </c>
      <c r="L420" s="17">
        <v>38.392912000000003</v>
      </c>
      <c r="M420" s="18">
        <f t="shared" si="6"/>
        <v>1.4382017959863767</v>
      </c>
    </row>
    <row r="421" spans="1:13">
      <c r="A421" s="13" t="s">
        <v>755</v>
      </c>
      <c r="B421" s="14" t="s">
        <v>755</v>
      </c>
      <c r="C421" s="14" t="str">
        <f>HYPERLINK("http://uswest.ensembl.org/Homo_sapiens/Gene/Summary?g=","-")</f>
        <v>-</v>
      </c>
      <c r="D421" s="14" t="s">
        <v>756</v>
      </c>
      <c r="E421" s="14" t="str">
        <f>HYPERLINK("http://www.ncbi.nlm.nih.gov/sites/entrez?db=gene&amp;cmd=Retrieve&amp;dopt=full_report&amp;list_uids=27346","27346")</f>
        <v>27346</v>
      </c>
      <c r="F421" s="14" t="s">
        <v>757</v>
      </c>
      <c r="G421" s="14" t="s">
        <v>758</v>
      </c>
      <c r="H421" s="14" t="s">
        <v>3749</v>
      </c>
      <c r="I421" s="14" t="s">
        <v>8648</v>
      </c>
      <c r="J421" s="15" t="s">
        <v>8216</v>
      </c>
      <c r="K421" s="16">
        <v>168.88171199999999</v>
      </c>
      <c r="L421" s="17">
        <v>242.81969799999999</v>
      </c>
      <c r="M421" s="18">
        <f t="shared" si="6"/>
        <v>1.4378093111704127</v>
      </c>
    </row>
    <row r="422" spans="1:13">
      <c r="A422" s="13" t="s">
        <v>768</v>
      </c>
      <c r="B422" s="14" t="s">
        <v>768</v>
      </c>
      <c r="C422" s="14" t="str">
        <f>HYPERLINK("http://uswest.ensembl.org/Homo_sapiens/Gene/Summary?g=ENSG00000173020","ENSG00000173020")</f>
        <v>ENSG00000173020</v>
      </c>
      <c r="D422" s="14" t="s">
        <v>769</v>
      </c>
      <c r="E422" s="14" t="str">
        <f>HYPERLINK("http://www.ncbi.nlm.nih.gov/sites/entrez?db=gene&amp;cmd=Retrieve&amp;dopt=full_report&amp;list_uids=156","156")</f>
        <v>156</v>
      </c>
      <c r="F422" s="14" t="s">
        <v>770</v>
      </c>
      <c r="G422" s="14" t="s">
        <v>771</v>
      </c>
      <c r="H422" s="19" t="s">
        <v>772</v>
      </c>
      <c r="I422" s="19" t="s">
        <v>773</v>
      </c>
      <c r="J422" s="15" t="s">
        <v>732</v>
      </c>
      <c r="K422" s="16">
        <v>80.633236999999994</v>
      </c>
      <c r="L422" s="17">
        <v>115.898292</v>
      </c>
      <c r="M422" s="18">
        <f t="shared" si="6"/>
        <v>1.4373513492953285</v>
      </c>
    </row>
    <row r="423" spans="1:13">
      <c r="A423" s="13" t="s">
        <v>733</v>
      </c>
      <c r="B423" s="14" t="s">
        <v>733</v>
      </c>
      <c r="C423" s="14" t="str">
        <f>HYPERLINK("http://uswest.ensembl.org/Homo_sapiens/Gene/Summary?g=ENSG00000066044","ENSG00000066044")</f>
        <v>ENSG00000066044</v>
      </c>
      <c r="D423" s="14" t="s">
        <v>734</v>
      </c>
      <c r="E423" s="14" t="str">
        <f>HYPERLINK("http://www.ncbi.nlm.nih.gov/sites/entrez?db=gene&amp;cmd=Retrieve&amp;dopt=full_report&amp;list_uids=1994","1994")</f>
        <v>1994</v>
      </c>
      <c r="F423" s="14" t="s">
        <v>735</v>
      </c>
      <c r="G423" s="14" t="s">
        <v>736</v>
      </c>
      <c r="H423" s="14" t="s">
        <v>737</v>
      </c>
      <c r="I423" s="14" t="s">
        <v>774</v>
      </c>
      <c r="J423" s="15" t="s">
        <v>8558</v>
      </c>
      <c r="K423" s="16">
        <v>489.08573899999999</v>
      </c>
      <c r="L423" s="17">
        <v>702.96151699999996</v>
      </c>
      <c r="M423" s="18">
        <f t="shared" si="6"/>
        <v>1.437297105487674</v>
      </c>
    </row>
    <row r="424" spans="1:13">
      <c r="A424" s="13" t="s">
        <v>775</v>
      </c>
      <c r="B424" s="14" t="s">
        <v>775</v>
      </c>
      <c r="C424" s="14" t="str">
        <f>HYPERLINK("http://uswest.ensembl.org/Homo_sapiens/Gene/Summary?g=ENSG00000111666","ENSG00000111666")</f>
        <v>ENSG00000111666</v>
      </c>
      <c r="D424" s="14" t="s">
        <v>776</v>
      </c>
      <c r="E424" s="14" t="str">
        <f>HYPERLINK("http://www.ncbi.nlm.nih.gov/sites/entrez?db=gene&amp;cmd=Retrieve&amp;dopt=full_report&amp;list_uids=56994","56994")</f>
        <v>56994</v>
      </c>
      <c r="F424" s="14" t="s">
        <v>777</v>
      </c>
      <c r="G424" s="14" t="s">
        <v>778</v>
      </c>
      <c r="H424" s="19" t="s">
        <v>741</v>
      </c>
      <c r="I424" s="19" t="s">
        <v>742</v>
      </c>
      <c r="J424" s="15" t="s">
        <v>743</v>
      </c>
      <c r="K424" s="16">
        <v>519.93627500000002</v>
      </c>
      <c r="L424" s="17">
        <v>747.220956</v>
      </c>
      <c r="M424" s="18">
        <f t="shared" si="6"/>
        <v>1.4371394956045334</v>
      </c>
    </row>
    <row r="425" spans="1:13">
      <c r="A425" s="13" t="s">
        <v>744</v>
      </c>
      <c r="B425" s="14" t="s">
        <v>744</v>
      </c>
      <c r="C425" s="14" t="str">
        <f>HYPERLINK("http://uswest.ensembl.org/Homo_sapiens/Gene/Summary?g=ENSG00000152377","ENSG00000152377")</f>
        <v>ENSG00000152377</v>
      </c>
      <c r="D425" s="14" t="s">
        <v>745</v>
      </c>
      <c r="E425" s="14" t="str">
        <f>HYPERLINK("http://www.ncbi.nlm.nih.gov/sites/entrez?db=gene&amp;cmd=Retrieve&amp;dopt=full_report&amp;list_uids=6695","6695")</f>
        <v>6695</v>
      </c>
      <c r="F425" s="14" t="s">
        <v>746</v>
      </c>
      <c r="G425" s="14" t="s">
        <v>747</v>
      </c>
      <c r="H425" s="14" t="s">
        <v>748</v>
      </c>
      <c r="I425" s="14" t="s">
        <v>8684</v>
      </c>
      <c r="J425" s="15" t="s">
        <v>8320</v>
      </c>
      <c r="K425" s="16">
        <v>32.586241000000001</v>
      </c>
      <c r="L425" s="17">
        <v>46.830899000000002</v>
      </c>
      <c r="M425" s="18">
        <f t="shared" si="6"/>
        <v>1.4371371954193797</v>
      </c>
    </row>
    <row r="426" spans="1:13">
      <c r="A426" s="13" t="s">
        <v>749</v>
      </c>
      <c r="B426" s="14" t="s">
        <v>749</v>
      </c>
      <c r="C426" s="14" t="str">
        <f>HYPERLINK("http://uswest.ensembl.org/Homo_sapiens/Gene/Summary?g=","-")</f>
        <v>-</v>
      </c>
      <c r="D426" s="14" t="s">
        <v>750</v>
      </c>
      <c r="E426" s="14" t="str">
        <f>HYPERLINK("http://www.ncbi.nlm.nih.gov/sites/entrez?db=gene&amp;cmd=Retrieve&amp;dopt=full_report&amp;list_uids=9936","9936")</f>
        <v>9936</v>
      </c>
      <c r="F426" s="14" t="s">
        <v>751</v>
      </c>
      <c r="G426" s="14" t="s">
        <v>695</v>
      </c>
      <c r="H426" s="14" t="s">
        <v>8728</v>
      </c>
      <c r="I426" s="14" t="s">
        <v>696</v>
      </c>
      <c r="J426" s="15" t="s">
        <v>8698</v>
      </c>
      <c r="K426" s="16">
        <v>49.702770000000001</v>
      </c>
      <c r="L426" s="17">
        <v>71.416297999999998</v>
      </c>
      <c r="M426" s="18">
        <f t="shared" si="6"/>
        <v>1.4368675629145016</v>
      </c>
    </row>
    <row r="427" spans="1:13">
      <c r="A427" s="13" t="s">
        <v>697</v>
      </c>
      <c r="B427" s="14" t="s">
        <v>697</v>
      </c>
      <c r="C427" s="14" t="str">
        <f>HYPERLINK("http://uswest.ensembl.org/Homo_sapiens/Gene/Summary?g=","-")</f>
        <v>-</v>
      </c>
      <c r="D427" s="14" t="s">
        <v>698</v>
      </c>
      <c r="E427" s="14" t="str">
        <f>HYPERLINK("http://www.ncbi.nlm.nih.gov/sites/entrez?db=gene&amp;cmd=Retrieve&amp;dopt=full_report&amp;list_uids=80199","80199")</f>
        <v>80199</v>
      </c>
      <c r="F427" s="14" t="s">
        <v>699</v>
      </c>
      <c r="G427" s="14" t="s">
        <v>700</v>
      </c>
      <c r="H427" s="14" t="s">
        <v>8728</v>
      </c>
      <c r="I427" s="14" t="s">
        <v>8728</v>
      </c>
      <c r="J427" s="15" t="s">
        <v>2816</v>
      </c>
      <c r="K427" s="16">
        <v>62.215474999999998</v>
      </c>
      <c r="L427" s="17">
        <v>89.370354000000006</v>
      </c>
      <c r="M427" s="18">
        <f t="shared" si="6"/>
        <v>1.4364650273906936</v>
      </c>
    </row>
    <row r="428" spans="1:13">
      <c r="A428" s="13" t="s">
        <v>701</v>
      </c>
      <c r="B428" s="14" t="s">
        <v>701</v>
      </c>
      <c r="C428" s="14" t="str">
        <f>HYPERLINK("http://uswest.ensembl.org/Homo_sapiens/Gene/Summary?g=ENSG00000130305","ENSG00000130305")</f>
        <v>ENSG00000130305</v>
      </c>
      <c r="D428" s="14" t="s">
        <v>702</v>
      </c>
      <c r="E428" s="14" t="str">
        <f>HYPERLINK("http://www.ncbi.nlm.nih.gov/sites/entrez?db=gene&amp;cmd=Retrieve&amp;dopt=full_report&amp;list_uids=55695","55695")</f>
        <v>55695</v>
      </c>
      <c r="F428" s="14" t="s">
        <v>703</v>
      </c>
      <c r="G428" s="14" t="s">
        <v>759</v>
      </c>
      <c r="H428" s="14" t="s">
        <v>8728</v>
      </c>
      <c r="I428" s="14" t="s">
        <v>8728</v>
      </c>
      <c r="J428" s="15" t="s">
        <v>8728</v>
      </c>
      <c r="K428" s="16">
        <v>71.530793000000003</v>
      </c>
      <c r="L428" s="17">
        <v>102.74401400000001</v>
      </c>
      <c r="M428" s="18">
        <f t="shared" si="6"/>
        <v>1.4363606174476495</v>
      </c>
    </row>
    <row r="429" spans="1:13">
      <c r="A429" s="13" t="s">
        <v>760</v>
      </c>
      <c r="B429" s="14" t="s">
        <v>760</v>
      </c>
      <c r="C429" s="14" t="str">
        <f>HYPERLINK("http://uswest.ensembl.org/Homo_sapiens/Gene/Summary?g=ENSG00000180225","ENSG00000180225")</f>
        <v>ENSG00000180225</v>
      </c>
      <c r="D429" s="14" t="s">
        <v>8728</v>
      </c>
      <c r="E429" s="14" t="str">
        <f>HYPERLINK("http://www.ncbi.nlm.nih.gov/sites/entrez?db=gene&amp;cmd=Retrieve&amp;dopt=full_report&amp;list_uids=","-")</f>
        <v>-</v>
      </c>
      <c r="F429" s="14" t="s">
        <v>761</v>
      </c>
      <c r="G429" s="14" t="s">
        <v>8728</v>
      </c>
      <c r="H429" s="14" t="s">
        <v>8728</v>
      </c>
      <c r="I429" s="14" t="s">
        <v>8728</v>
      </c>
      <c r="J429" s="15" t="s">
        <v>8728</v>
      </c>
      <c r="K429" s="16">
        <v>102.721735</v>
      </c>
      <c r="L429" s="17">
        <v>147.540516</v>
      </c>
      <c r="M429" s="18">
        <f t="shared" si="6"/>
        <v>1.4363125389188569</v>
      </c>
    </row>
    <row r="430" spans="1:13">
      <c r="A430" s="13" t="s">
        <v>762</v>
      </c>
      <c r="B430" s="14" t="s">
        <v>762</v>
      </c>
      <c r="C430" s="14" t="str">
        <f>HYPERLINK("http://uswest.ensembl.org/Homo_sapiens/Gene/Summary?g=ENSG00000211584","ENSG00000211584")</f>
        <v>ENSG00000211584</v>
      </c>
      <c r="D430" s="14" t="s">
        <v>763</v>
      </c>
      <c r="E430" s="14" t="str">
        <f>HYPERLINK("http://www.ncbi.nlm.nih.gov/sites/entrez?db=gene&amp;cmd=Retrieve&amp;dopt=full_report&amp;list_uids=","-")</f>
        <v>-</v>
      </c>
      <c r="F430" s="14" t="s">
        <v>764</v>
      </c>
      <c r="G430" s="14" t="s">
        <v>8728</v>
      </c>
      <c r="H430" s="14" t="s">
        <v>8728</v>
      </c>
      <c r="I430" s="14" t="s">
        <v>8728</v>
      </c>
      <c r="J430" s="15" t="s">
        <v>8728</v>
      </c>
      <c r="K430" s="16">
        <v>152.238754</v>
      </c>
      <c r="L430" s="17">
        <v>218.625775</v>
      </c>
      <c r="M430" s="18">
        <f t="shared" si="6"/>
        <v>1.4360717573923392</v>
      </c>
    </row>
    <row r="431" spans="1:13">
      <c r="A431" s="13" t="s">
        <v>765</v>
      </c>
      <c r="B431" s="14" t="s">
        <v>765</v>
      </c>
      <c r="C431" s="14" t="str">
        <f>HYPERLINK("http://uswest.ensembl.org/Homo_sapiens/Gene/Summary?g=ENSG00000072401","ENSG00000072401")</f>
        <v>ENSG00000072401</v>
      </c>
      <c r="D431" s="14" t="s">
        <v>766</v>
      </c>
      <c r="E431" s="14" t="str">
        <f>HYPERLINK("http://www.ncbi.nlm.nih.gov/sites/entrez?db=gene&amp;cmd=Retrieve&amp;dopt=full_report&amp;list_uids=","-")</f>
        <v>-</v>
      </c>
      <c r="F431" s="14" t="s">
        <v>767</v>
      </c>
      <c r="G431" s="19" t="s">
        <v>715</v>
      </c>
      <c r="H431" s="14" t="s">
        <v>716</v>
      </c>
      <c r="I431" s="14" t="s">
        <v>717</v>
      </c>
      <c r="J431" s="15" t="s">
        <v>8728</v>
      </c>
      <c r="K431" s="16">
        <v>202.26998800000001</v>
      </c>
      <c r="L431" s="17">
        <v>290.43073500000003</v>
      </c>
      <c r="M431" s="18">
        <f t="shared" si="6"/>
        <v>1.4358567866232335</v>
      </c>
    </row>
    <row r="432" spans="1:13">
      <c r="A432" s="13" t="s">
        <v>718</v>
      </c>
      <c r="B432" s="14" t="s">
        <v>718</v>
      </c>
      <c r="C432" s="14" t="str">
        <f>HYPERLINK("http://uswest.ensembl.org/Homo_sapiens/Gene/Summary?g=ENSG00000104419","ENSG00000104419")</f>
        <v>ENSG00000104419</v>
      </c>
      <c r="D432" s="14" t="s">
        <v>719</v>
      </c>
      <c r="E432" s="14" t="str">
        <f>HYPERLINK("http://www.ncbi.nlm.nih.gov/sites/entrez?db=gene&amp;cmd=Retrieve&amp;dopt=full_report&amp;list_uids=10397","10397")</f>
        <v>10397</v>
      </c>
      <c r="F432" s="14" t="s">
        <v>720</v>
      </c>
      <c r="G432" s="14" t="s">
        <v>721</v>
      </c>
      <c r="H432" s="14" t="s">
        <v>722</v>
      </c>
      <c r="I432" s="14" t="s">
        <v>723</v>
      </c>
      <c r="J432" s="15" t="s">
        <v>724</v>
      </c>
      <c r="K432" s="16">
        <v>120.666376</v>
      </c>
      <c r="L432" s="17">
        <v>173.258411</v>
      </c>
      <c r="M432" s="18">
        <f t="shared" si="6"/>
        <v>1.4358466438073851</v>
      </c>
    </row>
    <row r="433" spans="1:13">
      <c r="A433" s="13" t="s">
        <v>725</v>
      </c>
      <c r="B433" s="14" t="s">
        <v>725</v>
      </c>
      <c r="C433" s="14" t="str">
        <f>HYPERLINK("http://uswest.ensembl.org/Homo_sapiens/Gene/Summary?g=ENSG00000142188","ENSG00000142188")</f>
        <v>ENSG00000142188</v>
      </c>
      <c r="D433" s="14" t="s">
        <v>726</v>
      </c>
      <c r="E433" s="14" t="str">
        <f>HYPERLINK("http://www.ncbi.nlm.nih.gov/sites/entrez?db=gene&amp;cmd=Retrieve&amp;dopt=full_report&amp;list_uids=757","757")</f>
        <v>757</v>
      </c>
      <c r="F433" s="14" t="s">
        <v>727</v>
      </c>
      <c r="G433" s="14" t="s">
        <v>728</v>
      </c>
      <c r="H433" s="14" t="s">
        <v>8076</v>
      </c>
      <c r="I433" s="14" t="s">
        <v>8648</v>
      </c>
      <c r="J433" s="15" t="s">
        <v>729</v>
      </c>
      <c r="K433" s="16">
        <v>215.336286</v>
      </c>
      <c r="L433" s="17">
        <v>309.10113999999999</v>
      </c>
      <c r="M433" s="18">
        <f t="shared" si="6"/>
        <v>1.4354345277414136</v>
      </c>
    </row>
    <row r="434" spans="1:13">
      <c r="A434" s="13" t="s">
        <v>730</v>
      </c>
      <c r="B434" s="14" t="s">
        <v>730</v>
      </c>
      <c r="C434" s="14" t="str">
        <f>HYPERLINK("http://uswest.ensembl.org/Homo_sapiens/Gene/Summary?g=","-")</f>
        <v>-</v>
      </c>
      <c r="D434" s="14" t="s">
        <v>731</v>
      </c>
      <c r="E434" s="14" t="str">
        <f>HYPERLINK("http://www.ncbi.nlm.nih.gov/sites/entrez?db=gene&amp;cmd=Retrieve&amp;dopt=full_report&amp;list_uids=10293","10293")</f>
        <v>10293</v>
      </c>
      <c r="F434" s="14" t="s">
        <v>682</v>
      </c>
      <c r="G434" s="14" t="s">
        <v>683</v>
      </c>
      <c r="H434" s="14" t="s">
        <v>684</v>
      </c>
      <c r="I434" s="14" t="s">
        <v>685</v>
      </c>
      <c r="J434" s="15" t="s">
        <v>7498</v>
      </c>
      <c r="K434" s="16">
        <v>37.126778999999999</v>
      </c>
      <c r="L434" s="17">
        <v>53.290443000000003</v>
      </c>
      <c r="M434" s="18">
        <f t="shared" si="6"/>
        <v>1.4353640265965437</v>
      </c>
    </row>
    <row r="435" spans="1:13">
      <c r="A435" s="13" t="s">
        <v>738</v>
      </c>
      <c r="B435" s="14" t="s">
        <v>738</v>
      </c>
      <c r="C435" s="14" t="str">
        <f>HYPERLINK("http://uswest.ensembl.org/Homo_sapiens/Gene/Summary?g=ENSG00000183048","ENSG00000183048")</f>
        <v>ENSG00000183048</v>
      </c>
      <c r="D435" s="14" t="s">
        <v>739</v>
      </c>
      <c r="E435" s="14" t="str">
        <f>HYPERLINK("http://www.ncbi.nlm.nih.gov/sites/entrez?db=gene&amp;cmd=Retrieve&amp;dopt=full_report&amp;list_uids=1468","1468")</f>
        <v>1468</v>
      </c>
      <c r="F435" s="14" t="s">
        <v>740</v>
      </c>
      <c r="G435" s="14" t="s">
        <v>686</v>
      </c>
      <c r="H435" s="14" t="s">
        <v>687</v>
      </c>
      <c r="I435" s="14" t="s">
        <v>688</v>
      </c>
      <c r="J435" s="15" t="s">
        <v>8296</v>
      </c>
      <c r="K435" s="16">
        <v>32.447412999999997</v>
      </c>
      <c r="L435" s="17">
        <v>46.562089999999998</v>
      </c>
      <c r="M435" s="18">
        <f t="shared" si="6"/>
        <v>1.4350016132256831</v>
      </c>
    </row>
    <row r="436" spans="1:13">
      <c r="A436" s="13" t="s">
        <v>689</v>
      </c>
      <c r="B436" s="14" t="s">
        <v>689</v>
      </c>
      <c r="C436" s="14" t="str">
        <f>HYPERLINK("http://uswest.ensembl.org/Homo_sapiens/Gene/Summary?g=","-")</f>
        <v>-</v>
      </c>
      <c r="D436" s="14" t="s">
        <v>690</v>
      </c>
      <c r="E436" s="14" t="str">
        <f>HYPERLINK("http://www.ncbi.nlm.nih.gov/sites/entrez?db=gene&amp;cmd=Retrieve&amp;dopt=full_report&amp;list_uids=537","537")</f>
        <v>537</v>
      </c>
      <c r="F436" s="14" t="s">
        <v>691</v>
      </c>
      <c r="G436" s="14" t="s">
        <v>692</v>
      </c>
      <c r="H436" s="14" t="s">
        <v>693</v>
      </c>
      <c r="I436" s="14" t="s">
        <v>694</v>
      </c>
      <c r="J436" s="15" t="s">
        <v>662</v>
      </c>
      <c r="K436" s="16">
        <v>544.57157099999995</v>
      </c>
      <c r="L436" s="17">
        <v>781.32190200000002</v>
      </c>
      <c r="M436" s="18">
        <f t="shared" si="6"/>
        <v>1.4347460345115961</v>
      </c>
    </row>
    <row r="437" spans="1:13">
      <c r="A437" s="13" t="s">
        <v>663</v>
      </c>
      <c r="B437" s="14" t="s">
        <v>663</v>
      </c>
      <c r="C437" s="14" t="str">
        <f>HYPERLINK("http://uswest.ensembl.org/Homo_sapiens/Gene/Summary?g=ENSG00000100028","ENSG00000100028")</f>
        <v>ENSG00000100028</v>
      </c>
      <c r="D437" s="14" t="s">
        <v>664</v>
      </c>
      <c r="E437" s="14" t="str">
        <f>HYPERLINK("http://www.ncbi.nlm.nih.gov/sites/entrez?db=gene&amp;cmd=Retrieve&amp;dopt=full_report&amp;list_uids=6634","6634")</f>
        <v>6634</v>
      </c>
      <c r="F437" s="14" t="s">
        <v>665</v>
      </c>
      <c r="G437" s="14" t="s">
        <v>666</v>
      </c>
      <c r="H437" s="14" t="s">
        <v>2590</v>
      </c>
      <c r="I437" s="14" t="s">
        <v>8665</v>
      </c>
      <c r="J437" s="15" t="s">
        <v>667</v>
      </c>
      <c r="K437" s="16">
        <v>1167.2420540000001</v>
      </c>
      <c r="L437" s="17">
        <v>1674.427989</v>
      </c>
      <c r="M437" s="18">
        <f t="shared" si="6"/>
        <v>1.4345165026070934</v>
      </c>
    </row>
    <row r="438" spans="1:13">
      <c r="A438" s="13" t="s">
        <v>668</v>
      </c>
      <c r="B438" s="14" t="s">
        <v>668</v>
      </c>
      <c r="C438" s="14" t="str">
        <f>HYPERLINK("http://uswest.ensembl.org/Homo_sapiens/Gene/Summary?g=ENSG00000107164","ENSG00000107164")</f>
        <v>ENSG00000107164</v>
      </c>
      <c r="D438" s="14" t="s">
        <v>704</v>
      </c>
      <c r="E438" s="14" t="str">
        <f>HYPERLINK("http://www.ncbi.nlm.nih.gov/sites/entrez?db=gene&amp;cmd=Retrieve&amp;dopt=full_report&amp;list_uids=8939","8939")</f>
        <v>8939</v>
      </c>
      <c r="F438" s="14" t="s">
        <v>705</v>
      </c>
      <c r="G438" s="14" t="s">
        <v>706</v>
      </c>
      <c r="H438" s="14" t="s">
        <v>8581</v>
      </c>
      <c r="I438" s="14" t="s">
        <v>707</v>
      </c>
      <c r="J438" s="15" t="s">
        <v>8558</v>
      </c>
      <c r="K438" s="16">
        <v>31.094548</v>
      </c>
      <c r="L438" s="17">
        <v>44.605539999999998</v>
      </c>
      <c r="M438" s="18">
        <f t="shared" si="6"/>
        <v>1.4345132143422699</v>
      </c>
    </row>
    <row r="439" spans="1:13">
      <c r="A439" s="13" t="s">
        <v>708</v>
      </c>
      <c r="B439" s="14" t="s">
        <v>708</v>
      </c>
      <c r="C439" s="14" t="str">
        <f>HYPERLINK("http://uswest.ensembl.org/Homo_sapiens/Gene/Summary?g=","-")</f>
        <v>-</v>
      </c>
      <c r="D439" s="14" t="s">
        <v>709</v>
      </c>
      <c r="E439" s="14" t="str">
        <f>HYPERLINK("http://www.ncbi.nlm.nih.gov/sites/entrez?db=gene&amp;cmd=Retrieve&amp;dopt=full_report&amp;list_uids=51014","51014")</f>
        <v>51014</v>
      </c>
      <c r="F439" s="14" t="s">
        <v>710</v>
      </c>
      <c r="G439" s="14" t="s">
        <v>711</v>
      </c>
      <c r="H439" s="14" t="s">
        <v>8734</v>
      </c>
      <c r="I439" s="14" t="s">
        <v>8728</v>
      </c>
      <c r="J439" s="15" t="s">
        <v>8092</v>
      </c>
      <c r="K439" s="16">
        <v>151.18835200000001</v>
      </c>
      <c r="L439" s="17">
        <v>216.868199</v>
      </c>
      <c r="M439" s="18">
        <f t="shared" si="6"/>
        <v>1.4344239892237201</v>
      </c>
    </row>
    <row r="440" spans="1:13">
      <c r="A440" s="13" t="s">
        <v>712</v>
      </c>
      <c r="B440" s="14" t="s">
        <v>712</v>
      </c>
      <c r="C440" s="14" t="str">
        <f>HYPERLINK("http://uswest.ensembl.org/Homo_sapiens/Gene/Summary?g=ENSG00000051825","ENSG00000051825")</f>
        <v>ENSG00000051825</v>
      </c>
      <c r="D440" s="14" t="s">
        <v>713</v>
      </c>
      <c r="E440" s="14" t="str">
        <f>HYPERLINK("http://www.ncbi.nlm.nih.gov/sites/entrez?db=gene&amp;cmd=Retrieve&amp;dopt=full_report&amp;list_uids=10198","10198")</f>
        <v>10198</v>
      </c>
      <c r="F440" s="14" t="s">
        <v>1104</v>
      </c>
      <c r="G440" s="14" t="s">
        <v>1105</v>
      </c>
      <c r="H440" s="14" t="s">
        <v>714</v>
      </c>
      <c r="I440" s="14" t="s">
        <v>8728</v>
      </c>
      <c r="J440" s="15" t="s">
        <v>669</v>
      </c>
      <c r="K440" s="16">
        <v>74.240337999999994</v>
      </c>
      <c r="L440" s="17">
        <v>106.45527800000001</v>
      </c>
      <c r="M440" s="18">
        <f t="shared" si="6"/>
        <v>1.4339277119131653</v>
      </c>
    </row>
    <row r="441" spans="1:13">
      <c r="A441" s="13" t="s">
        <v>670</v>
      </c>
      <c r="B441" s="14" t="s">
        <v>670</v>
      </c>
      <c r="C441" s="14" t="str">
        <f>HYPERLINK("http://uswest.ensembl.org/Homo_sapiens/Gene/Summary?g=ENSG00000172007","ENSG00000172007")</f>
        <v>ENSG00000172007</v>
      </c>
      <c r="D441" s="14" t="s">
        <v>671</v>
      </c>
      <c r="E441" s="14" t="str">
        <f>HYPERLINK("http://www.ncbi.nlm.nih.gov/sites/entrez?db=gene&amp;cmd=Retrieve&amp;dopt=full_report&amp;list_uids=83452","83452")</f>
        <v>83452</v>
      </c>
      <c r="F441" s="14" t="s">
        <v>672</v>
      </c>
      <c r="G441" s="14" t="s">
        <v>673</v>
      </c>
      <c r="H441" s="14" t="s">
        <v>8131</v>
      </c>
      <c r="I441" s="14" t="s">
        <v>8467</v>
      </c>
      <c r="J441" s="15" t="s">
        <v>1646</v>
      </c>
      <c r="K441" s="16">
        <v>56.453876999999999</v>
      </c>
      <c r="L441" s="17">
        <v>80.940411999999995</v>
      </c>
      <c r="M441" s="18">
        <f t="shared" si="6"/>
        <v>1.4337440810309625</v>
      </c>
    </row>
    <row r="442" spans="1:13">
      <c r="A442" s="13" t="s">
        <v>674</v>
      </c>
      <c r="B442" s="14" t="s">
        <v>674</v>
      </c>
      <c r="C442" s="14" t="str">
        <f>HYPERLINK("http://uswest.ensembl.org/Homo_sapiens/Gene/Summary?g=ENSG00000173486","ENSG00000173486")</f>
        <v>ENSG00000173486</v>
      </c>
      <c r="D442" s="14" t="s">
        <v>675</v>
      </c>
      <c r="E442" s="14" t="str">
        <f>HYPERLINK("http://www.ncbi.nlm.nih.gov/sites/entrez?db=gene&amp;cmd=Retrieve&amp;dopt=full_report&amp;list_uids=2286","2286")</f>
        <v>2286</v>
      </c>
      <c r="F442" s="14" t="s">
        <v>676</v>
      </c>
      <c r="G442" s="14" t="s">
        <v>677</v>
      </c>
      <c r="H442" s="14" t="s">
        <v>8671</v>
      </c>
      <c r="I442" s="14" t="s">
        <v>678</v>
      </c>
      <c r="J442" s="15" t="s">
        <v>679</v>
      </c>
      <c r="K442" s="16">
        <v>271.85338000000002</v>
      </c>
      <c r="L442" s="17">
        <v>389.64890200000002</v>
      </c>
      <c r="M442" s="18">
        <f t="shared" si="6"/>
        <v>1.4333053427549807</v>
      </c>
    </row>
    <row r="443" spans="1:13">
      <c r="A443" s="13" t="s">
        <v>680</v>
      </c>
      <c r="B443" s="14" t="s">
        <v>680</v>
      </c>
      <c r="C443" s="14" t="str">
        <f>HYPERLINK("http://uswest.ensembl.org/Homo_sapiens/Gene/Summary?g=ENSG00000049860","ENSG00000049860")</f>
        <v>ENSG00000049860</v>
      </c>
      <c r="D443" s="14" t="s">
        <v>681</v>
      </c>
      <c r="E443" s="14" t="str">
        <f>HYPERLINK("http://www.ncbi.nlm.nih.gov/sites/entrez?db=gene&amp;cmd=Retrieve&amp;dopt=full_report&amp;list_uids=3074","3074")</f>
        <v>3074</v>
      </c>
      <c r="F443" s="14" t="s">
        <v>648</v>
      </c>
      <c r="G443" s="19" t="s">
        <v>650</v>
      </c>
      <c r="H443" s="19" t="s">
        <v>655</v>
      </c>
      <c r="I443" s="14" t="s">
        <v>656</v>
      </c>
      <c r="J443" s="15" t="s">
        <v>657</v>
      </c>
      <c r="K443" s="16">
        <v>485.98879799999997</v>
      </c>
      <c r="L443" s="17">
        <v>696.33578299999999</v>
      </c>
      <c r="M443" s="18">
        <f t="shared" si="6"/>
        <v>1.4328227026335698</v>
      </c>
    </row>
    <row r="444" spans="1:13">
      <c r="A444" s="13" t="s">
        <v>658</v>
      </c>
      <c r="B444" s="14" t="s">
        <v>658</v>
      </c>
      <c r="C444" s="14" t="str">
        <f>HYPERLINK("http://uswest.ensembl.org/Homo_sapiens/Gene/Summary?g=ENSG00000116030","ENSG00000116030")</f>
        <v>ENSG00000116030</v>
      </c>
      <c r="D444" s="14" t="s">
        <v>659</v>
      </c>
      <c r="E444" s="14" t="str">
        <f>HYPERLINK("http://www.ncbi.nlm.nih.gov/sites/entrez?db=gene&amp;cmd=Retrieve&amp;dopt=full_report&amp;list_uids=7341","7341")</f>
        <v>7341</v>
      </c>
      <c r="F444" s="14" t="s">
        <v>660</v>
      </c>
      <c r="G444" s="14" t="s">
        <v>661</v>
      </c>
      <c r="H444" s="19" t="s">
        <v>634</v>
      </c>
      <c r="I444" s="14" t="s">
        <v>8665</v>
      </c>
      <c r="J444" s="15" t="s">
        <v>635</v>
      </c>
      <c r="K444" s="16">
        <v>49.102024999999998</v>
      </c>
      <c r="L444" s="17">
        <v>70.348485999999994</v>
      </c>
      <c r="M444" s="18">
        <f t="shared" si="6"/>
        <v>1.43270030105683</v>
      </c>
    </row>
    <row r="445" spans="1:13">
      <c r="A445" s="13" t="s">
        <v>636</v>
      </c>
      <c r="B445" s="14" t="s">
        <v>636</v>
      </c>
      <c r="C445" s="14" t="str">
        <f>HYPERLINK("http://uswest.ensembl.org/Homo_sapiens/Gene/Summary?g=ENSG00000067225","ENSG00000067225")</f>
        <v>ENSG00000067225</v>
      </c>
      <c r="D445" s="14" t="s">
        <v>637</v>
      </c>
      <c r="E445" s="14" t="str">
        <f>HYPERLINK("http://www.ncbi.nlm.nih.gov/sites/entrez?db=gene&amp;cmd=Retrieve&amp;dopt=full_report&amp;list_uids=652797","652797")</f>
        <v>652797</v>
      </c>
      <c r="F445" s="14" t="s">
        <v>2399</v>
      </c>
      <c r="G445" s="14" t="s">
        <v>2466</v>
      </c>
      <c r="H445" s="14" t="s">
        <v>2467</v>
      </c>
      <c r="I445" s="14" t="s">
        <v>638</v>
      </c>
      <c r="J445" s="15" t="s">
        <v>8728</v>
      </c>
      <c r="K445" s="16">
        <v>562.67416000000003</v>
      </c>
      <c r="L445" s="17">
        <v>805.89549299999999</v>
      </c>
      <c r="M445" s="18">
        <f t="shared" si="6"/>
        <v>1.4322596456179895</v>
      </c>
    </row>
    <row r="446" spans="1:13">
      <c r="A446" s="13" t="s">
        <v>645</v>
      </c>
      <c r="B446" s="14" t="s">
        <v>645</v>
      </c>
      <c r="C446" s="14" t="str">
        <f>HYPERLINK("http://uswest.ensembl.org/Homo_sapiens/Gene/Summary?g=ENSG00000114902","ENSG00000114902")</f>
        <v>ENSG00000114902</v>
      </c>
      <c r="D446" s="14" t="s">
        <v>646</v>
      </c>
      <c r="E446" s="14" t="str">
        <f>HYPERLINK("http://www.ncbi.nlm.nih.gov/sites/entrez?db=gene&amp;cmd=Retrieve&amp;dopt=full_report&amp;list_uids=28972","28972")</f>
        <v>28972</v>
      </c>
      <c r="F446" s="14" t="s">
        <v>647</v>
      </c>
      <c r="G446" s="14" t="s">
        <v>619</v>
      </c>
      <c r="H446" s="14" t="s">
        <v>620</v>
      </c>
      <c r="I446" s="14" t="s">
        <v>621</v>
      </c>
      <c r="J446" s="15" t="s">
        <v>623</v>
      </c>
      <c r="K446" s="16">
        <v>1458.2887209999999</v>
      </c>
      <c r="L446" s="17">
        <v>2087.3486779999998</v>
      </c>
      <c r="M446" s="18">
        <f t="shared" si="6"/>
        <v>1.4313685952179835</v>
      </c>
    </row>
    <row r="447" spans="1:13">
      <c r="A447" s="13" t="s">
        <v>624</v>
      </c>
      <c r="B447" s="14" t="s">
        <v>624</v>
      </c>
      <c r="C447" s="14" t="str">
        <f>HYPERLINK("http://uswest.ensembl.org/Homo_sapiens/Gene/Summary?g=ENSG00000182310","ENSG00000182310")</f>
        <v>ENSG00000182310</v>
      </c>
      <c r="D447" s="14" t="s">
        <v>8728</v>
      </c>
      <c r="E447" s="14" t="str">
        <f>HYPERLINK("http://www.ncbi.nlm.nih.gov/sites/entrez?db=gene&amp;cmd=Retrieve&amp;dopt=full_report&amp;list_uids=","-")</f>
        <v>-</v>
      </c>
      <c r="F447" s="14" t="s">
        <v>625</v>
      </c>
      <c r="G447" s="14" t="s">
        <v>626</v>
      </c>
      <c r="H447" s="14" t="s">
        <v>8728</v>
      </c>
      <c r="I447" s="14" t="s">
        <v>8728</v>
      </c>
      <c r="J447" s="15" t="s">
        <v>8698</v>
      </c>
      <c r="K447" s="16">
        <v>38.021016000000003</v>
      </c>
      <c r="L447" s="17">
        <v>54.418410000000002</v>
      </c>
      <c r="M447" s="18">
        <f t="shared" si="6"/>
        <v>1.4312718523881633</v>
      </c>
    </row>
    <row r="448" spans="1:13">
      <c r="A448" s="13" t="s">
        <v>651</v>
      </c>
      <c r="B448" s="14" t="s">
        <v>651</v>
      </c>
      <c r="C448" s="14" t="str">
        <f>HYPERLINK("http://uswest.ensembl.org/Homo_sapiens/Gene/Summary?g=ENSG00000198042","ENSG00000198042")</f>
        <v>ENSG00000198042</v>
      </c>
      <c r="D448" s="14" t="s">
        <v>652</v>
      </c>
      <c r="E448" s="14" t="str">
        <f>HYPERLINK("http://www.ncbi.nlm.nih.gov/sites/entrez?db=gene&amp;cmd=Retrieve&amp;dopt=full_report&amp;list_uids=84549","84549")</f>
        <v>84549</v>
      </c>
      <c r="F448" s="14" t="s">
        <v>653</v>
      </c>
      <c r="G448" s="14" t="s">
        <v>654</v>
      </c>
      <c r="H448" s="14" t="s">
        <v>6064</v>
      </c>
      <c r="I448" s="14" t="s">
        <v>8728</v>
      </c>
      <c r="J448" s="15" t="s">
        <v>8558</v>
      </c>
      <c r="K448" s="16">
        <v>79.730857</v>
      </c>
      <c r="L448" s="17">
        <v>114.07124</v>
      </c>
      <c r="M448" s="18">
        <f t="shared" si="6"/>
        <v>1.4307037989068649</v>
      </c>
    </row>
    <row r="449" spans="1:13">
      <c r="A449" s="13" t="s">
        <v>631</v>
      </c>
      <c r="B449" s="14" t="s">
        <v>631</v>
      </c>
      <c r="C449" s="14" t="str">
        <f>HYPERLINK("http://uswest.ensembl.org/Homo_sapiens/Gene/Summary?g=ENSG00000087076","ENSG00000087076")</f>
        <v>ENSG00000087076</v>
      </c>
      <c r="D449" s="14" t="s">
        <v>632</v>
      </c>
      <c r="E449" s="14" t="str">
        <f>HYPERLINK("http://www.ncbi.nlm.nih.gov/sites/entrez?db=gene&amp;cmd=Retrieve&amp;dopt=full_report&amp;list_uids=51171","51171")</f>
        <v>51171</v>
      </c>
      <c r="F449" s="14" t="s">
        <v>633</v>
      </c>
      <c r="G449" s="14" t="s">
        <v>596</v>
      </c>
      <c r="H449" s="14" t="s">
        <v>649</v>
      </c>
      <c r="I449" s="19" t="s">
        <v>605</v>
      </c>
      <c r="J449" s="15" t="s">
        <v>8702</v>
      </c>
      <c r="K449" s="16">
        <v>23.555903000000001</v>
      </c>
      <c r="L449" s="17">
        <v>33.679679</v>
      </c>
      <c r="M449" s="18">
        <f t="shared" si="6"/>
        <v>1.4297766041913145</v>
      </c>
    </row>
    <row r="450" spans="1:13">
      <c r="A450" s="13" t="s">
        <v>606</v>
      </c>
      <c r="B450" s="14" t="s">
        <v>606</v>
      </c>
      <c r="C450" s="14" t="str">
        <f>HYPERLINK("http://uswest.ensembl.org/Homo_sapiens/Gene/Summary?g=","-")</f>
        <v>-</v>
      </c>
      <c r="D450" s="14" t="s">
        <v>607</v>
      </c>
      <c r="E450" s="14" t="str">
        <f>HYPERLINK("http://www.ncbi.nlm.nih.gov/sites/entrez?db=gene&amp;cmd=Retrieve&amp;dopt=full_report&amp;list_uids=23042","23042")</f>
        <v>23042</v>
      </c>
      <c r="F450" s="14" t="s">
        <v>608</v>
      </c>
      <c r="G450" s="14" t="s">
        <v>609</v>
      </c>
      <c r="H450" s="14" t="s">
        <v>610</v>
      </c>
      <c r="I450" s="14" t="s">
        <v>639</v>
      </c>
      <c r="J450" s="15" t="s">
        <v>8728</v>
      </c>
      <c r="K450" s="16">
        <v>76.400993</v>
      </c>
      <c r="L450" s="17">
        <v>109.215197</v>
      </c>
      <c r="M450" s="18">
        <f t="shared" ref="M450:M513" si="7">L450/K450</f>
        <v>1.4294997055862875</v>
      </c>
    </row>
    <row r="451" spans="1:13">
      <c r="A451" s="13" t="s">
        <v>640</v>
      </c>
      <c r="B451" s="14" t="s">
        <v>640</v>
      </c>
      <c r="C451" s="14" t="str">
        <f>HYPERLINK("http://uswest.ensembl.org/Homo_sapiens/Gene/Summary?g=ENSG00000100504","ENSG00000100504")</f>
        <v>ENSG00000100504</v>
      </c>
      <c r="D451" s="14" t="s">
        <v>641</v>
      </c>
      <c r="E451" s="14" t="str">
        <f>HYPERLINK("http://www.ncbi.nlm.nih.gov/sites/entrez?db=gene&amp;cmd=Retrieve&amp;dopt=full_report&amp;list_uids=5836","5836")</f>
        <v>5836</v>
      </c>
      <c r="F451" s="14" t="s">
        <v>642</v>
      </c>
      <c r="G451" s="14" t="s">
        <v>643</v>
      </c>
      <c r="H451" s="14" t="s">
        <v>644</v>
      </c>
      <c r="I451" s="19" t="s">
        <v>617</v>
      </c>
      <c r="J451" s="15" t="s">
        <v>618</v>
      </c>
      <c r="K451" s="16">
        <v>497.72561400000001</v>
      </c>
      <c r="L451" s="17">
        <v>711.36016700000005</v>
      </c>
      <c r="M451" s="18">
        <f t="shared" si="7"/>
        <v>1.4292215369088881</v>
      </c>
    </row>
    <row r="452" spans="1:13">
      <c r="A452" s="13" t="s">
        <v>580</v>
      </c>
      <c r="B452" s="14" t="s">
        <v>580</v>
      </c>
      <c r="C452" s="14" t="str">
        <f>HYPERLINK("http://uswest.ensembl.org/Homo_sapiens/Gene/Summary?g=","-")</f>
        <v>-</v>
      </c>
      <c r="D452" s="14" t="s">
        <v>581</v>
      </c>
      <c r="E452" s="14" t="str">
        <f>HYPERLINK("http://www.ncbi.nlm.nih.gov/sites/entrez?db=gene&amp;cmd=Retrieve&amp;dopt=full_report&amp;list_uids=79017","79017")</f>
        <v>79017</v>
      </c>
      <c r="F452" s="14" t="s">
        <v>582</v>
      </c>
      <c r="G452" s="14" t="s">
        <v>583</v>
      </c>
      <c r="H452" s="14" t="s">
        <v>584</v>
      </c>
      <c r="I452" s="14" t="s">
        <v>585</v>
      </c>
      <c r="J452" s="15" t="s">
        <v>8096</v>
      </c>
      <c r="K452" s="16">
        <v>164.217895</v>
      </c>
      <c r="L452" s="17">
        <v>234.68425300000001</v>
      </c>
      <c r="M452" s="18">
        <f t="shared" si="7"/>
        <v>1.4291027966227432</v>
      </c>
    </row>
    <row r="453" spans="1:13">
      <c r="A453" s="13" t="s">
        <v>627</v>
      </c>
      <c r="B453" s="14" t="s">
        <v>627</v>
      </c>
      <c r="C453" s="14" t="str">
        <f>HYPERLINK("http://uswest.ensembl.org/Homo_sapiens/Gene/Summary?g=ENSG00000129317","ENSG00000129317")</f>
        <v>ENSG00000129317</v>
      </c>
      <c r="D453" s="14" t="s">
        <v>628</v>
      </c>
      <c r="E453" s="14" t="str">
        <f>HYPERLINK("http://www.ncbi.nlm.nih.gov/sites/entrez?db=gene&amp;cmd=Retrieve&amp;dopt=full_report&amp;list_uids=83448","83448")</f>
        <v>83448</v>
      </c>
      <c r="F453" s="14" t="s">
        <v>629</v>
      </c>
      <c r="G453" s="14" t="s">
        <v>630</v>
      </c>
      <c r="H453" s="14" t="s">
        <v>590</v>
      </c>
      <c r="I453" s="14" t="s">
        <v>591</v>
      </c>
      <c r="J453" s="15" t="s">
        <v>8728</v>
      </c>
      <c r="K453" s="16">
        <v>25.783429999999999</v>
      </c>
      <c r="L453" s="17">
        <v>36.844642999999998</v>
      </c>
      <c r="M453" s="18">
        <f t="shared" si="7"/>
        <v>1.4290047134923476</v>
      </c>
    </row>
    <row r="454" spans="1:13">
      <c r="A454" s="13" t="s">
        <v>592</v>
      </c>
      <c r="B454" s="14" t="s">
        <v>592</v>
      </c>
      <c r="C454" s="14" t="str">
        <f>HYPERLINK("http://uswest.ensembl.org/Homo_sapiens/Gene/Summary?g=ENSG00000103495","ENSG00000103495")</f>
        <v>ENSG00000103495</v>
      </c>
      <c r="D454" s="14" t="s">
        <v>593</v>
      </c>
      <c r="E454" s="14" t="str">
        <f>HYPERLINK("http://www.ncbi.nlm.nih.gov/sites/entrez?db=gene&amp;cmd=Retrieve&amp;dopt=full_report&amp;list_uids=4150","4150")</f>
        <v>4150</v>
      </c>
      <c r="F454" s="14" t="s">
        <v>594</v>
      </c>
      <c r="G454" s="14" t="s">
        <v>595</v>
      </c>
      <c r="H454" s="19" t="s">
        <v>564</v>
      </c>
      <c r="I454" s="19" t="s">
        <v>565</v>
      </c>
      <c r="J454" s="15" t="s">
        <v>611</v>
      </c>
      <c r="K454" s="16">
        <v>38.364275999999997</v>
      </c>
      <c r="L454" s="17">
        <v>54.814773000000002</v>
      </c>
      <c r="M454" s="18">
        <f t="shared" si="7"/>
        <v>1.4287972748397495</v>
      </c>
    </row>
    <row r="455" spans="1:13">
      <c r="A455" s="13" t="s">
        <v>612</v>
      </c>
      <c r="B455" s="14" t="s">
        <v>612</v>
      </c>
      <c r="C455" s="14" t="str">
        <f>HYPERLINK("http://uswest.ensembl.org/Homo_sapiens/Gene/Summary?g=ENSG00000101444","ENSG00000101444")</f>
        <v>ENSG00000101444</v>
      </c>
      <c r="D455" s="14" t="s">
        <v>613</v>
      </c>
      <c r="E455" s="14" t="str">
        <f>HYPERLINK("http://www.ncbi.nlm.nih.gov/sites/entrez?db=gene&amp;cmd=Retrieve&amp;dopt=full_report&amp;list_uids=191","191")</f>
        <v>191</v>
      </c>
      <c r="F455" s="14" t="s">
        <v>614</v>
      </c>
      <c r="G455" s="14" t="s">
        <v>615</v>
      </c>
      <c r="H455" s="14" t="s">
        <v>616</v>
      </c>
      <c r="I455" s="14" t="s">
        <v>566</v>
      </c>
      <c r="J455" s="15" t="s">
        <v>567</v>
      </c>
      <c r="K455" s="16">
        <v>481.26316000000003</v>
      </c>
      <c r="L455" s="17">
        <v>687.21491800000001</v>
      </c>
      <c r="M455" s="18">
        <f t="shared" si="7"/>
        <v>1.4279400027211724</v>
      </c>
    </row>
    <row r="456" spans="1:13">
      <c r="A456" s="13" t="s">
        <v>568</v>
      </c>
      <c r="B456" s="14" t="s">
        <v>568</v>
      </c>
      <c r="C456" s="14" t="str">
        <f>HYPERLINK("http://uswest.ensembl.org/Homo_sapiens/Gene/Summary?g=ENSG00000130726","ENSG00000130726")</f>
        <v>ENSG00000130726</v>
      </c>
      <c r="D456" s="14" t="s">
        <v>569</v>
      </c>
      <c r="E456" s="14" t="str">
        <f>HYPERLINK("http://www.ncbi.nlm.nih.gov/sites/entrez?db=gene&amp;cmd=Retrieve&amp;dopt=full_report&amp;list_uids=10155","10155")</f>
        <v>10155</v>
      </c>
      <c r="F456" s="14" t="s">
        <v>570</v>
      </c>
      <c r="G456" s="14" t="s">
        <v>622</v>
      </c>
      <c r="H456" s="19" t="s">
        <v>579</v>
      </c>
      <c r="I456" s="14" t="s">
        <v>549</v>
      </c>
      <c r="J456" s="15" t="s">
        <v>8622</v>
      </c>
      <c r="K456" s="16">
        <v>121.07830300000001</v>
      </c>
      <c r="L456" s="17">
        <v>172.86880199999999</v>
      </c>
      <c r="M456" s="18">
        <f t="shared" si="7"/>
        <v>1.4277438460629894</v>
      </c>
    </row>
    <row r="457" spans="1:13">
      <c r="A457" s="13" t="s">
        <v>550</v>
      </c>
      <c r="B457" s="14" t="s">
        <v>550</v>
      </c>
      <c r="C457" s="14" t="str">
        <f>HYPERLINK("http://uswest.ensembl.org/Homo_sapiens/Gene/Summary?g=ENSG00000067533","ENSG00000067533")</f>
        <v>ENSG00000067533</v>
      </c>
      <c r="D457" s="14" t="s">
        <v>597</v>
      </c>
      <c r="E457" s="14" t="str">
        <f>HYPERLINK("http://www.ncbi.nlm.nih.gov/sites/entrez?db=gene&amp;cmd=Retrieve&amp;dopt=full_report&amp;list_uids=","-")</f>
        <v>-</v>
      </c>
      <c r="F457" s="14" t="s">
        <v>598</v>
      </c>
      <c r="G457" s="14" t="s">
        <v>586</v>
      </c>
      <c r="H457" s="14" t="s">
        <v>8728</v>
      </c>
      <c r="I457" s="14" t="s">
        <v>8728</v>
      </c>
      <c r="J457" s="15" t="s">
        <v>8728</v>
      </c>
      <c r="K457" s="16">
        <v>104.408142</v>
      </c>
      <c r="L457" s="17">
        <v>149.05663899999999</v>
      </c>
      <c r="M457" s="18">
        <f t="shared" si="7"/>
        <v>1.4276342452296489</v>
      </c>
    </row>
    <row r="458" spans="1:13">
      <c r="A458" s="13" t="s">
        <v>587</v>
      </c>
      <c r="B458" s="14" t="s">
        <v>587</v>
      </c>
      <c r="C458" s="14" t="str">
        <f>HYPERLINK("http://uswest.ensembl.org/Homo_sapiens/Gene/Summary?g=ENSG00000126602","ENSG00000126602")</f>
        <v>ENSG00000126602</v>
      </c>
      <c r="D458" s="14" t="s">
        <v>588</v>
      </c>
      <c r="E458" s="14" t="str">
        <f>HYPERLINK("http://www.ncbi.nlm.nih.gov/sites/entrez?db=gene&amp;cmd=Retrieve&amp;dopt=full_report&amp;list_uids=10131","10131")</f>
        <v>10131</v>
      </c>
      <c r="F458" s="14" t="s">
        <v>589</v>
      </c>
      <c r="G458" s="14" t="s">
        <v>599</v>
      </c>
      <c r="H458" s="14" t="s">
        <v>600</v>
      </c>
      <c r="I458" s="14" t="s">
        <v>601</v>
      </c>
      <c r="J458" s="15" t="s">
        <v>8169</v>
      </c>
      <c r="K458" s="16">
        <v>284.18421699999999</v>
      </c>
      <c r="L458" s="17">
        <v>405.65847400000001</v>
      </c>
      <c r="M458" s="18">
        <f t="shared" si="7"/>
        <v>1.4274489916517779</v>
      </c>
    </row>
    <row r="459" spans="1:13">
      <c r="A459" s="13" t="s">
        <v>602</v>
      </c>
      <c r="B459" s="14" t="s">
        <v>602</v>
      </c>
      <c r="C459" s="14" t="str">
        <f>HYPERLINK("http://uswest.ensembl.org/Homo_sapiens/Gene/Summary?g=ENSG00000174307","ENSG00000174307")</f>
        <v>ENSG00000174307</v>
      </c>
      <c r="D459" s="14" t="s">
        <v>603</v>
      </c>
      <c r="E459" s="14" t="str">
        <f>HYPERLINK("http://www.ncbi.nlm.nih.gov/sites/entrez?db=gene&amp;cmd=Retrieve&amp;dopt=full_report&amp;list_uids=23612","23612")</f>
        <v>23612</v>
      </c>
      <c r="F459" s="14" t="s">
        <v>604</v>
      </c>
      <c r="G459" s="14" t="s">
        <v>558</v>
      </c>
      <c r="H459" s="14" t="s">
        <v>2609</v>
      </c>
      <c r="I459" s="14" t="s">
        <v>8665</v>
      </c>
      <c r="J459" s="15" t="s">
        <v>8728</v>
      </c>
      <c r="K459" s="16">
        <v>50.585802999999999</v>
      </c>
      <c r="L459" s="17">
        <v>72.202759999999998</v>
      </c>
      <c r="M459" s="18">
        <f t="shared" si="7"/>
        <v>1.4273324869430264</v>
      </c>
    </row>
    <row r="460" spans="1:13">
      <c r="A460" s="13" t="s">
        <v>559</v>
      </c>
      <c r="B460" s="14" t="s">
        <v>559</v>
      </c>
      <c r="C460" s="14" t="str">
        <f>HYPERLINK("http://uswest.ensembl.org/Homo_sapiens/Gene/Summary?g=ENSG00000088451","ENSG00000088451")</f>
        <v>ENSG00000088451</v>
      </c>
      <c r="D460" s="14" t="s">
        <v>560</v>
      </c>
      <c r="E460" s="14" t="str">
        <f>HYPERLINK("http://www.ncbi.nlm.nih.gov/sites/entrez?db=gene&amp;cmd=Retrieve&amp;dopt=full_report&amp;list_uids=23483","23483")</f>
        <v>23483</v>
      </c>
      <c r="F460" s="14" t="s">
        <v>561</v>
      </c>
      <c r="G460" s="14" t="s">
        <v>562</v>
      </c>
      <c r="H460" s="14" t="s">
        <v>563</v>
      </c>
      <c r="I460" s="19" t="s">
        <v>546</v>
      </c>
      <c r="J460" s="15" t="s">
        <v>8728</v>
      </c>
      <c r="K460" s="16">
        <v>207.49264199999999</v>
      </c>
      <c r="L460" s="17">
        <v>296.15507300000002</v>
      </c>
      <c r="M460" s="18">
        <f t="shared" si="7"/>
        <v>1.4273039763983535</v>
      </c>
    </row>
    <row r="461" spans="1:13">
      <c r="A461" s="13" t="s">
        <v>547</v>
      </c>
      <c r="B461" s="14" t="s">
        <v>547</v>
      </c>
      <c r="C461" s="14" t="str">
        <f>HYPERLINK("http://uswest.ensembl.org/Homo_sapiens/Gene/Summary?g=ENSG00000218877","ENSG00000218877")</f>
        <v>ENSG00000218877</v>
      </c>
      <c r="D461" s="14" t="s">
        <v>8728</v>
      </c>
      <c r="E461" s="14" t="str">
        <f>HYPERLINK("http://www.ncbi.nlm.nih.gov/sites/entrez?db=gene&amp;cmd=Retrieve&amp;dopt=full_report&amp;list_uids=","-")</f>
        <v>-</v>
      </c>
      <c r="F461" s="14" t="s">
        <v>548</v>
      </c>
      <c r="G461" s="14" t="s">
        <v>8728</v>
      </c>
      <c r="H461" s="14" t="s">
        <v>8728</v>
      </c>
      <c r="I461" s="14" t="s">
        <v>8728</v>
      </c>
      <c r="J461" s="15" t="s">
        <v>8728</v>
      </c>
      <c r="K461" s="16">
        <v>3375.3407120000002</v>
      </c>
      <c r="L461" s="17">
        <v>4815.6101269999999</v>
      </c>
      <c r="M461" s="18">
        <f t="shared" si="7"/>
        <v>1.4267034168964214</v>
      </c>
    </row>
    <row r="462" spans="1:13">
      <c r="A462" s="13" t="s">
        <v>537</v>
      </c>
      <c r="B462" s="14" t="s">
        <v>537</v>
      </c>
      <c r="C462" s="14" t="str">
        <f>HYPERLINK("http://uswest.ensembl.org/Homo_sapiens/Gene/Summary?g=","-")</f>
        <v>-</v>
      </c>
      <c r="D462" s="14" t="s">
        <v>538</v>
      </c>
      <c r="E462" s="14" t="str">
        <f>HYPERLINK("http://www.ncbi.nlm.nih.gov/sites/entrez?db=gene&amp;cmd=Retrieve&amp;dopt=full_report&amp;list_uids=29925","29925")</f>
        <v>29925</v>
      </c>
      <c r="F462" s="14" t="s">
        <v>539</v>
      </c>
      <c r="G462" s="14" t="s">
        <v>540</v>
      </c>
      <c r="H462" s="14" t="s">
        <v>4296</v>
      </c>
      <c r="I462" s="14" t="s">
        <v>541</v>
      </c>
      <c r="J462" s="15" t="s">
        <v>8728</v>
      </c>
      <c r="K462" s="16">
        <v>37.658110000000001</v>
      </c>
      <c r="L462" s="17">
        <v>53.675719000000001</v>
      </c>
      <c r="M462" s="18">
        <f t="shared" si="7"/>
        <v>1.4253428809889821</v>
      </c>
    </row>
    <row r="463" spans="1:13">
      <c r="A463" s="13" t="s">
        <v>542</v>
      </c>
      <c r="B463" s="14" t="s">
        <v>542</v>
      </c>
      <c r="C463" s="14" t="str">
        <f>HYPERLINK("http://uswest.ensembl.org/Homo_sapiens/Gene/Summary?g=ENSG00000135297","ENSG00000135297")</f>
        <v>ENSG00000135297</v>
      </c>
      <c r="D463" s="14" t="s">
        <v>543</v>
      </c>
      <c r="E463" s="14" t="str">
        <f>HYPERLINK("http://www.ncbi.nlm.nih.gov/sites/entrez?db=gene&amp;cmd=Retrieve&amp;dopt=full_report&amp;list_uids=25821","25821")</f>
        <v>25821</v>
      </c>
      <c r="F463" s="14" t="s">
        <v>544</v>
      </c>
      <c r="G463" s="14" t="s">
        <v>545</v>
      </c>
      <c r="H463" s="14" t="s">
        <v>4640</v>
      </c>
      <c r="I463" s="14" t="s">
        <v>553</v>
      </c>
      <c r="J463" s="15" t="s">
        <v>8639</v>
      </c>
      <c r="K463" s="16">
        <v>120.086333</v>
      </c>
      <c r="L463" s="17">
        <v>171.15988400000001</v>
      </c>
      <c r="M463" s="18">
        <f t="shared" si="7"/>
        <v>1.4253069414651875</v>
      </c>
    </row>
    <row r="464" spans="1:13">
      <c r="A464" s="13" t="s">
        <v>557</v>
      </c>
      <c r="B464" s="14" t="s">
        <v>557</v>
      </c>
      <c r="C464" s="14" t="str">
        <f>HYPERLINK("http://uswest.ensembl.org/Homo_sapiens/Gene/Summary?g=","-")</f>
        <v>-</v>
      </c>
      <c r="D464" s="14" t="s">
        <v>508</v>
      </c>
      <c r="E464" s="14" t="str">
        <f>HYPERLINK("http://www.ncbi.nlm.nih.gov/sites/entrez?db=gene&amp;cmd=Retrieve&amp;dopt=full_report&amp;list_uids=2597","2597")</f>
        <v>2597</v>
      </c>
      <c r="F464" s="14" t="s">
        <v>509</v>
      </c>
      <c r="G464" s="14" t="s">
        <v>510</v>
      </c>
      <c r="H464" s="14" t="s">
        <v>515</v>
      </c>
      <c r="I464" s="19" t="s">
        <v>516</v>
      </c>
      <c r="J464" s="15" t="s">
        <v>517</v>
      </c>
      <c r="K464" s="16">
        <v>7649.4760960000003</v>
      </c>
      <c r="L464" s="17">
        <v>10895.868594</v>
      </c>
      <c r="M464" s="18">
        <f t="shared" si="7"/>
        <v>1.424394096701286</v>
      </c>
    </row>
    <row r="465" spans="1:13">
      <c r="A465" s="13" t="s">
        <v>518</v>
      </c>
      <c r="B465" s="14" t="s">
        <v>518</v>
      </c>
      <c r="C465" s="14" t="str">
        <f>HYPERLINK("http://uswest.ensembl.org/Homo_sapiens/Gene/Summary?g=ENSG00000165732","ENSG00000165732")</f>
        <v>ENSG00000165732</v>
      </c>
      <c r="D465" s="14" t="s">
        <v>519</v>
      </c>
      <c r="E465" s="14" t="str">
        <f>HYPERLINK("http://www.ncbi.nlm.nih.gov/sites/entrez?db=gene&amp;cmd=Retrieve&amp;dopt=full_report&amp;list_uids=9188","9188")</f>
        <v>9188</v>
      </c>
      <c r="F465" s="14" t="s">
        <v>520</v>
      </c>
      <c r="G465" s="14" t="s">
        <v>521</v>
      </c>
      <c r="H465" s="14" t="s">
        <v>8728</v>
      </c>
      <c r="I465" s="19" t="s">
        <v>522</v>
      </c>
      <c r="J465" s="15" t="s">
        <v>6617</v>
      </c>
      <c r="K465" s="16">
        <v>319.36090200000001</v>
      </c>
      <c r="L465" s="17">
        <v>454.87819400000001</v>
      </c>
      <c r="M465" s="18">
        <f t="shared" si="7"/>
        <v>1.4243390194332555</v>
      </c>
    </row>
    <row r="466" spans="1:13">
      <c r="A466" s="13" t="s">
        <v>523</v>
      </c>
      <c r="B466" s="14" t="s">
        <v>523</v>
      </c>
      <c r="C466" s="14" t="str">
        <f>HYPERLINK("http://uswest.ensembl.org/Homo_sapiens/Gene/Summary?g=ENSG00000025156","ENSG00000025156")</f>
        <v>ENSG00000025156</v>
      </c>
      <c r="D466" s="14" t="s">
        <v>524</v>
      </c>
      <c r="E466" s="14" t="str">
        <f>HYPERLINK("http://www.ncbi.nlm.nih.gov/sites/entrez?db=gene&amp;cmd=Retrieve&amp;dopt=full_report&amp;list_uids=3298","3298")</f>
        <v>3298</v>
      </c>
      <c r="F466" s="14" t="s">
        <v>525</v>
      </c>
      <c r="G466" s="14" t="s">
        <v>526</v>
      </c>
      <c r="H466" s="14" t="s">
        <v>571</v>
      </c>
      <c r="I466" s="14" t="s">
        <v>493</v>
      </c>
      <c r="J466" s="15" t="s">
        <v>8608</v>
      </c>
      <c r="K466" s="16">
        <v>59.491886999999998</v>
      </c>
      <c r="L466" s="17">
        <v>84.734346000000002</v>
      </c>
      <c r="M466" s="18">
        <f t="shared" si="7"/>
        <v>1.4243008630739853</v>
      </c>
    </row>
    <row r="467" spans="1:13">
      <c r="A467" s="13" t="s">
        <v>494</v>
      </c>
      <c r="B467" s="14" t="s">
        <v>494</v>
      </c>
      <c r="C467" s="14" t="str">
        <f>HYPERLINK("http://uswest.ensembl.org/Homo_sapiens/Gene/Summary?g=ENSG00000077147","ENSG00000077147")</f>
        <v>ENSG00000077147</v>
      </c>
      <c r="D467" s="14" t="s">
        <v>495</v>
      </c>
      <c r="E467" s="14" t="str">
        <f>HYPERLINK("http://www.ncbi.nlm.nih.gov/sites/entrez?db=gene&amp;cmd=Retrieve&amp;dopt=full_report&amp;list_uids=56889","56889")</f>
        <v>56889</v>
      </c>
      <c r="F467" s="14" t="s">
        <v>496</v>
      </c>
      <c r="G467" s="14" t="s">
        <v>572</v>
      </c>
      <c r="H467" s="14" t="s">
        <v>8728</v>
      </c>
      <c r="I467" s="14" t="s">
        <v>8383</v>
      </c>
      <c r="J467" s="15" t="s">
        <v>8698</v>
      </c>
      <c r="K467" s="16">
        <v>389.85893399999998</v>
      </c>
      <c r="L467" s="17">
        <v>555.26605900000004</v>
      </c>
      <c r="M467" s="18">
        <f t="shared" si="7"/>
        <v>1.4242742966100659</v>
      </c>
    </row>
    <row r="468" spans="1:13">
      <c r="A468" s="13" t="s">
        <v>573</v>
      </c>
      <c r="B468" s="14" t="s">
        <v>573</v>
      </c>
      <c r="C468" s="14" t="str">
        <f>HYPERLINK("http://uswest.ensembl.org/Homo_sapiens/Gene/Summary?g=","-")</f>
        <v>-</v>
      </c>
      <c r="D468" s="14" t="s">
        <v>574</v>
      </c>
      <c r="E468" s="14" t="str">
        <f>HYPERLINK("http://www.ncbi.nlm.nih.gov/sites/entrez?db=gene&amp;cmd=Retrieve&amp;dopt=full_report&amp;list_uids=126328","126328")</f>
        <v>126328</v>
      </c>
      <c r="F468" s="14" t="s">
        <v>575</v>
      </c>
      <c r="G468" s="14" t="s">
        <v>497</v>
      </c>
      <c r="H468" s="14" t="s">
        <v>8387</v>
      </c>
      <c r="I468" s="14" t="s">
        <v>8728</v>
      </c>
      <c r="J468" s="15" t="s">
        <v>498</v>
      </c>
      <c r="K468" s="16">
        <v>801.82078799999999</v>
      </c>
      <c r="L468" s="17">
        <v>1141.917502</v>
      </c>
      <c r="M468" s="18">
        <f t="shared" si="7"/>
        <v>1.4241555208967718</v>
      </c>
    </row>
    <row r="469" spans="1:13">
      <c r="A469" s="13" t="s">
        <v>499</v>
      </c>
      <c r="B469" s="14" t="s">
        <v>499</v>
      </c>
      <c r="C469" s="14" t="str">
        <f>HYPERLINK("http://uswest.ensembl.org/Homo_sapiens/Gene/Summary?g=ENSG00000145996","ENSG00000145996")</f>
        <v>ENSG00000145996</v>
      </c>
      <c r="D469" s="14" t="s">
        <v>576</v>
      </c>
      <c r="E469" s="14" t="str">
        <f>HYPERLINK("http://www.ncbi.nlm.nih.gov/sites/entrez?db=gene&amp;cmd=Retrieve&amp;dopt=full_report&amp;list_uids=54901","54901")</f>
        <v>54901</v>
      </c>
      <c r="F469" s="14" t="s">
        <v>577</v>
      </c>
      <c r="G469" s="14" t="s">
        <v>578</v>
      </c>
      <c r="H469" s="14" t="s">
        <v>8329</v>
      </c>
      <c r="I469" s="14" t="s">
        <v>536</v>
      </c>
      <c r="J469" s="15" t="s">
        <v>4844</v>
      </c>
      <c r="K469" s="16">
        <v>40.814098999999999</v>
      </c>
      <c r="L469" s="17">
        <v>58.124491999999996</v>
      </c>
      <c r="M469" s="18">
        <f t="shared" si="7"/>
        <v>1.42412777506126</v>
      </c>
    </row>
    <row r="470" spans="1:13">
      <c r="A470" s="13" t="s">
        <v>500</v>
      </c>
      <c r="B470" s="14" t="s">
        <v>500</v>
      </c>
      <c r="C470" s="14" t="str">
        <f>HYPERLINK("http://uswest.ensembl.org/Homo_sapiens/Gene/Summary?g=","-")</f>
        <v>-</v>
      </c>
      <c r="D470" s="14" t="s">
        <v>501</v>
      </c>
      <c r="E470" s="14" t="str">
        <f>HYPERLINK("http://www.ncbi.nlm.nih.gov/sites/entrez?db=gene&amp;cmd=Retrieve&amp;dopt=full_report&amp;list_uids=9373","9373")</f>
        <v>9373</v>
      </c>
      <c r="F470" s="14" t="s">
        <v>502</v>
      </c>
      <c r="G470" s="14" t="s">
        <v>551</v>
      </c>
      <c r="H470" s="14" t="s">
        <v>552</v>
      </c>
      <c r="I470" s="14" t="s">
        <v>529</v>
      </c>
      <c r="J470" s="15" t="s">
        <v>8728</v>
      </c>
      <c r="K470" s="16">
        <v>86.186745000000002</v>
      </c>
      <c r="L470" s="17">
        <v>122.59976399999999</v>
      </c>
      <c r="M470" s="18">
        <f t="shared" si="7"/>
        <v>1.4224897807661723</v>
      </c>
    </row>
    <row r="471" spans="1:13">
      <c r="A471" s="13" t="s">
        <v>530</v>
      </c>
      <c r="B471" s="14" t="s">
        <v>530</v>
      </c>
      <c r="C471" s="14" t="str">
        <f>HYPERLINK("http://uswest.ensembl.org/Homo_sapiens/Gene/Summary?g=ENSG00000179029","ENSG00000179029")</f>
        <v>ENSG00000179029</v>
      </c>
      <c r="D471" s="14" t="s">
        <v>531</v>
      </c>
      <c r="E471" s="14" t="str">
        <f>HYPERLINK("http://www.ncbi.nlm.nih.gov/sites/entrez?db=gene&amp;cmd=Retrieve&amp;dopt=full_report&amp;list_uids=84314","84314")</f>
        <v>84314</v>
      </c>
      <c r="F471" s="14" t="s">
        <v>532</v>
      </c>
      <c r="G471" s="14" t="s">
        <v>533</v>
      </c>
      <c r="H471" s="14" t="s">
        <v>8728</v>
      </c>
      <c r="I471" s="14" t="s">
        <v>8728</v>
      </c>
      <c r="J471" s="15" t="s">
        <v>8698</v>
      </c>
      <c r="K471" s="16">
        <v>248.76372799999999</v>
      </c>
      <c r="L471" s="17">
        <v>353.79177199999998</v>
      </c>
      <c r="M471" s="18">
        <f t="shared" si="7"/>
        <v>1.422199992114606</v>
      </c>
    </row>
    <row r="472" spans="1:13">
      <c r="A472" s="13" t="s">
        <v>534</v>
      </c>
      <c r="B472" s="14" t="s">
        <v>534</v>
      </c>
      <c r="C472" s="14" t="str">
        <f>HYPERLINK("http://uswest.ensembl.org/Homo_sapiens/Gene/Summary?g=ENSG00000124160","ENSG00000124160")</f>
        <v>ENSG00000124160</v>
      </c>
      <c r="D472" s="14" t="s">
        <v>535</v>
      </c>
      <c r="E472" s="14" t="str">
        <f>HYPERLINK("http://www.ncbi.nlm.nih.gov/sites/entrez?db=gene&amp;cmd=Retrieve&amp;dopt=full_report&amp;list_uids=57727","57727")</f>
        <v>57727</v>
      </c>
      <c r="F472" s="14" t="s">
        <v>554</v>
      </c>
      <c r="G472" s="14" t="s">
        <v>555</v>
      </c>
      <c r="H472" s="14" t="s">
        <v>556</v>
      </c>
      <c r="I472" s="14" t="s">
        <v>511</v>
      </c>
      <c r="J472" s="15" t="s">
        <v>8558</v>
      </c>
      <c r="K472" s="16">
        <v>58.831068000000002</v>
      </c>
      <c r="L472" s="17">
        <v>83.661236000000002</v>
      </c>
      <c r="M472" s="18">
        <f t="shared" si="7"/>
        <v>1.4220587666367028</v>
      </c>
    </row>
    <row r="473" spans="1:13">
      <c r="A473" s="13" t="s">
        <v>512</v>
      </c>
      <c r="B473" s="14" t="s">
        <v>512</v>
      </c>
      <c r="C473" s="14" t="str">
        <f>HYPERLINK("http://uswest.ensembl.org/Homo_sapiens/Gene/Summary?g=","-")</f>
        <v>-</v>
      </c>
      <c r="D473" s="14" t="s">
        <v>513</v>
      </c>
      <c r="E473" s="14" t="str">
        <f>HYPERLINK("http://www.ncbi.nlm.nih.gov/sites/entrez?db=gene&amp;cmd=Retrieve&amp;dopt=full_report&amp;list_uids=9914","9914")</f>
        <v>9914</v>
      </c>
      <c r="F473" s="14" t="s">
        <v>514</v>
      </c>
      <c r="G473" s="14" t="s">
        <v>485</v>
      </c>
      <c r="H473" s="14" t="s">
        <v>486</v>
      </c>
      <c r="I473" s="14" t="s">
        <v>487</v>
      </c>
      <c r="J473" s="15" t="s">
        <v>8698</v>
      </c>
      <c r="K473" s="16">
        <v>48.127690000000001</v>
      </c>
      <c r="L473" s="17">
        <v>68.415398999999994</v>
      </c>
      <c r="M473" s="18">
        <f t="shared" si="7"/>
        <v>1.4215392220154341</v>
      </c>
    </row>
    <row r="474" spans="1:13">
      <c r="A474" s="13" t="s">
        <v>488</v>
      </c>
      <c r="B474" s="14" t="s">
        <v>488</v>
      </c>
      <c r="C474" s="14" t="str">
        <f>HYPERLINK("http://uswest.ensembl.org/Homo_sapiens/Gene/Summary?g=ENSG00000150990","ENSG00000150990")</f>
        <v>ENSG00000150990</v>
      </c>
      <c r="D474" s="14" t="s">
        <v>489</v>
      </c>
      <c r="E474" s="14" t="str">
        <f>HYPERLINK("http://www.ncbi.nlm.nih.gov/sites/entrez?db=gene&amp;cmd=Retrieve&amp;dopt=full_report&amp;list_uids=57647","57647")</f>
        <v>57647</v>
      </c>
      <c r="F474" s="14" t="s">
        <v>490</v>
      </c>
      <c r="G474" s="14" t="s">
        <v>491</v>
      </c>
      <c r="H474" s="14" t="s">
        <v>8728</v>
      </c>
      <c r="I474" s="14" t="s">
        <v>492</v>
      </c>
      <c r="J474" s="15" t="s">
        <v>8728</v>
      </c>
      <c r="K474" s="16">
        <v>29.106642000000001</v>
      </c>
      <c r="L474" s="17">
        <v>41.371099999999998</v>
      </c>
      <c r="M474" s="18">
        <f t="shared" si="7"/>
        <v>1.4213628628132369</v>
      </c>
    </row>
    <row r="475" spans="1:13">
      <c r="A475" s="13" t="s">
        <v>474</v>
      </c>
      <c r="B475" s="14" t="s">
        <v>474</v>
      </c>
      <c r="C475" s="14" t="str">
        <f>HYPERLINK("http://uswest.ensembl.org/Homo_sapiens/Gene/Summary?g=ENSG00000134215","ENSG00000134215")</f>
        <v>ENSG00000134215</v>
      </c>
      <c r="D475" s="14" t="s">
        <v>475</v>
      </c>
      <c r="E475" s="14" t="str">
        <f>HYPERLINK("http://www.ncbi.nlm.nih.gov/sites/entrez?db=gene&amp;cmd=Retrieve&amp;dopt=full_report&amp;list_uids=10451","10451")</f>
        <v>10451</v>
      </c>
      <c r="F475" s="14" t="s">
        <v>476</v>
      </c>
      <c r="G475" s="14" t="s">
        <v>527</v>
      </c>
      <c r="H475" s="14" t="s">
        <v>8253</v>
      </c>
      <c r="I475" s="14" t="s">
        <v>528</v>
      </c>
      <c r="J475" s="15" t="s">
        <v>8707</v>
      </c>
      <c r="K475" s="16">
        <v>27.292086999999999</v>
      </c>
      <c r="L475" s="17">
        <v>38.778188</v>
      </c>
      <c r="M475" s="18">
        <f t="shared" si="7"/>
        <v>1.420858287605488</v>
      </c>
    </row>
    <row r="476" spans="1:13">
      <c r="A476" s="13" t="s">
        <v>467</v>
      </c>
      <c r="B476" s="14" t="s">
        <v>467</v>
      </c>
      <c r="C476" s="14" t="str">
        <f>HYPERLINK("http://uswest.ensembl.org/Homo_sapiens/Gene/Summary?g=ENSG00000008952","ENSG00000008952")</f>
        <v>ENSG00000008952</v>
      </c>
      <c r="D476" s="14" t="s">
        <v>468</v>
      </c>
      <c r="E476" s="14" t="str">
        <f>HYPERLINK("http://www.ncbi.nlm.nih.gov/sites/entrez?db=gene&amp;cmd=Retrieve&amp;dopt=full_report&amp;list_uids=7095","7095")</f>
        <v>7095</v>
      </c>
      <c r="F476" s="14" t="s">
        <v>469</v>
      </c>
      <c r="G476" s="14" t="s">
        <v>470</v>
      </c>
      <c r="H476" s="14" t="s">
        <v>471</v>
      </c>
      <c r="I476" s="14" t="s">
        <v>472</v>
      </c>
      <c r="J476" s="15" t="s">
        <v>473</v>
      </c>
      <c r="K476" s="16">
        <v>34.242019999999997</v>
      </c>
      <c r="L476" s="17">
        <v>48.604548000000001</v>
      </c>
      <c r="M476" s="18">
        <f t="shared" si="7"/>
        <v>1.4194416100452019</v>
      </c>
    </row>
    <row r="477" spans="1:13">
      <c r="A477" s="13" t="s">
        <v>448</v>
      </c>
      <c r="B477" s="14" t="s">
        <v>448</v>
      </c>
      <c r="C477" s="14" t="str">
        <f>HYPERLINK("http://uswest.ensembl.org/Homo_sapiens/Gene/Summary?g=ENSG00000127337","ENSG00000127337")</f>
        <v>ENSG00000127337</v>
      </c>
      <c r="D477" s="14" t="s">
        <v>449</v>
      </c>
      <c r="E477" s="14" t="str">
        <f>HYPERLINK("http://www.ncbi.nlm.nih.gov/sites/entrez?db=gene&amp;cmd=Retrieve&amp;dopt=full_report&amp;list_uids=8089","8089")</f>
        <v>8089</v>
      </c>
      <c r="F477" s="14" t="s">
        <v>450</v>
      </c>
      <c r="G477" s="14" t="s">
        <v>451</v>
      </c>
      <c r="H477" s="14" t="s">
        <v>457</v>
      </c>
      <c r="I477" s="14" t="s">
        <v>503</v>
      </c>
      <c r="J477" s="15" t="s">
        <v>504</v>
      </c>
      <c r="K477" s="16">
        <v>228.76782399999999</v>
      </c>
      <c r="L477" s="17">
        <v>324.68887699999999</v>
      </c>
      <c r="M477" s="18">
        <f t="shared" si="7"/>
        <v>1.4192943366021613</v>
      </c>
    </row>
    <row r="478" spans="1:13">
      <c r="A478" s="13" t="s">
        <v>505</v>
      </c>
      <c r="B478" s="14" t="s">
        <v>505</v>
      </c>
      <c r="C478" s="14" t="str">
        <f>HYPERLINK("http://uswest.ensembl.org/Homo_sapiens/Gene/Summary?g=","-")</f>
        <v>-</v>
      </c>
      <c r="D478" s="14" t="s">
        <v>506</v>
      </c>
      <c r="E478" s="14" t="str">
        <f>HYPERLINK("http://www.ncbi.nlm.nih.gov/sites/entrez?db=gene&amp;cmd=Retrieve&amp;dopt=full_report&amp;list_uids=79586","79586")</f>
        <v>79586</v>
      </c>
      <c r="F478" s="14" t="s">
        <v>507</v>
      </c>
      <c r="G478" s="19" t="s">
        <v>460</v>
      </c>
      <c r="H478" s="14" t="s">
        <v>8728</v>
      </c>
      <c r="I478" s="19" t="s">
        <v>461</v>
      </c>
      <c r="J478" s="15" t="s">
        <v>462</v>
      </c>
      <c r="K478" s="16">
        <v>50.637282999999996</v>
      </c>
      <c r="L478" s="17">
        <v>71.852214000000004</v>
      </c>
      <c r="M478" s="18">
        <f t="shared" si="7"/>
        <v>1.4189587146687948</v>
      </c>
    </row>
    <row r="479" spans="1:13">
      <c r="A479" s="13" t="s">
        <v>463</v>
      </c>
      <c r="B479" s="14" t="s">
        <v>463</v>
      </c>
      <c r="C479" s="14" t="str">
        <f>HYPERLINK("http://uswest.ensembl.org/Homo_sapiens/Gene/Summary?g=ENSG00000104218","ENSG00000104218")</f>
        <v>ENSG00000104218</v>
      </c>
      <c r="D479" s="14" t="s">
        <v>464</v>
      </c>
      <c r="E479" s="14" t="str">
        <f>HYPERLINK("http://www.ncbi.nlm.nih.gov/sites/entrez?db=gene&amp;cmd=Retrieve&amp;dopt=full_report&amp;list_uids=79848","79848")</f>
        <v>79848</v>
      </c>
      <c r="F479" s="14" t="s">
        <v>465</v>
      </c>
      <c r="G479" s="14" t="s">
        <v>466</v>
      </c>
      <c r="H479" s="14" t="s">
        <v>8728</v>
      </c>
      <c r="I479" s="14" t="s">
        <v>8728</v>
      </c>
      <c r="J479" s="15" t="s">
        <v>8728</v>
      </c>
      <c r="K479" s="16">
        <v>23.062757000000001</v>
      </c>
      <c r="L479" s="17">
        <v>32.723526</v>
      </c>
      <c r="M479" s="18">
        <f t="shared" si="7"/>
        <v>1.4188904648303755</v>
      </c>
    </row>
    <row r="480" spans="1:13">
      <c r="A480" s="13" t="s">
        <v>430</v>
      </c>
      <c r="B480" s="14" t="s">
        <v>430</v>
      </c>
      <c r="C480" s="14" t="str">
        <f>HYPERLINK("http://uswest.ensembl.org/Homo_sapiens/Gene/Summary?g=","-")</f>
        <v>-</v>
      </c>
      <c r="D480" s="14" t="s">
        <v>477</v>
      </c>
      <c r="E480" s="14" t="str">
        <f>HYPERLINK("http://www.ncbi.nlm.nih.gov/sites/entrez?db=gene&amp;cmd=Retrieve&amp;dopt=full_report&amp;list_uids=201725","201725")</f>
        <v>201725</v>
      </c>
      <c r="F480" s="14" t="s">
        <v>478</v>
      </c>
      <c r="G480" s="14" t="s">
        <v>479</v>
      </c>
      <c r="H480" s="14" t="s">
        <v>8728</v>
      </c>
      <c r="I480" s="14" t="s">
        <v>8728</v>
      </c>
      <c r="J480" s="15" t="s">
        <v>8728</v>
      </c>
      <c r="K480" s="16">
        <v>132.236268</v>
      </c>
      <c r="L480" s="17">
        <v>187.60530900000001</v>
      </c>
      <c r="M480" s="18">
        <f t="shared" si="7"/>
        <v>1.418712973660146</v>
      </c>
    </row>
    <row r="481" spans="1:13">
      <c r="A481" s="13" t="s">
        <v>481</v>
      </c>
      <c r="B481" s="14" t="s">
        <v>481</v>
      </c>
      <c r="C481" s="14" t="str">
        <f>HYPERLINK("http://uswest.ensembl.org/Homo_sapiens/Gene/Summary?g=ENSG00000002746","ENSG00000002746")</f>
        <v>ENSG00000002746</v>
      </c>
      <c r="D481" s="14" t="s">
        <v>482</v>
      </c>
      <c r="E481" s="14" t="str">
        <f>HYPERLINK("http://www.ncbi.nlm.nih.gov/sites/entrez?db=gene&amp;cmd=Retrieve&amp;dopt=full_report&amp;list_uids=23072","23072")</f>
        <v>23072</v>
      </c>
      <c r="F481" s="14" t="s">
        <v>483</v>
      </c>
      <c r="G481" s="14" t="s">
        <v>431</v>
      </c>
      <c r="H481" s="14" t="s">
        <v>1378</v>
      </c>
      <c r="I481" s="14" t="s">
        <v>432</v>
      </c>
      <c r="J481" s="15" t="s">
        <v>8610</v>
      </c>
      <c r="K481" s="16">
        <v>264.36786699999999</v>
      </c>
      <c r="L481" s="17">
        <v>374.95356700000002</v>
      </c>
      <c r="M481" s="18">
        <f t="shared" si="7"/>
        <v>1.4183023498842997</v>
      </c>
    </row>
    <row r="482" spans="1:13">
      <c r="A482" s="13" t="s">
        <v>433</v>
      </c>
      <c r="B482" s="14" t="s">
        <v>433</v>
      </c>
      <c r="C482" s="14" t="str">
        <f>HYPERLINK("http://uswest.ensembl.org/Homo_sapiens/Gene/Summary?g=ENSG00000186792","ENSG00000186792")</f>
        <v>ENSG00000186792</v>
      </c>
      <c r="D482" s="14" t="s">
        <v>434</v>
      </c>
      <c r="E482" s="14" t="str">
        <f>HYPERLINK("http://www.ncbi.nlm.nih.gov/sites/entrez?db=gene&amp;cmd=Retrieve&amp;dopt=full_report&amp;list_uids=","-")</f>
        <v>-</v>
      </c>
      <c r="F482" s="14" t="s">
        <v>2673</v>
      </c>
      <c r="G482" s="14" t="s">
        <v>2674</v>
      </c>
      <c r="H482" s="14" t="s">
        <v>2675</v>
      </c>
      <c r="I482" s="14" t="s">
        <v>435</v>
      </c>
      <c r="J482" s="15" t="s">
        <v>8728</v>
      </c>
      <c r="K482" s="16">
        <v>324.25464199999999</v>
      </c>
      <c r="L482" s="17">
        <v>459.720551</v>
      </c>
      <c r="M482" s="18">
        <f t="shared" si="7"/>
        <v>1.4177763135924513</v>
      </c>
    </row>
    <row r="483" spans="1:13">
      <c r="A483" s="13" t="s">
        <v>436</v>
      </c>
      <c r="B483" s="14" t="s">
        <v>436</v>
      </c>
      <c r="C483" s="14" t="str">
        <f>HYPERLINK("http://uswest.ensembl.org/Homo_sapiens/Gene/Summary?g=ENSG00000164087","ENSG00000164087")</f>
        <v>ENSG00000164087</v>
      </c>
      <c r="D483" s="14" t="s">
        <v>437</v>
      </c>
      <c r="E483" s="14" t="str">
        <f>HYPERLINK("http://www.ncbi.nlm.nih.gov/sites/entrez?db=gene&amp;cmd=Retrieve&amp;dopt=full_report&amp;list_uids=","-")</f>
        <v>-</v>
      </c>
      <c r="F483" s="14" t="s">
        <v>438</v>
      </c>
      <c r="G483" s="14" t="s">
        <v>439</v>
      </c>
      <c r="H483" s="14" t="s">
        <v>8728</v>
      </c>
      <c r="I483" s="14" t="s">
        <v>8728</v>
      </c>
      <c r="J483" s="15" t="s">
        <v>8728</v>
      </c>
      <c r="K483" s="16">
        <v>20.887756</v>
      </c>
      <c r="L483" s="17">
        <v>29.611668999999999</v>
      </c>
      <c r="M483" s="18">
        <f t="shared" si="7"/>
        <v>1.41765678419453</v>
      </c>
    </row>
    <row r="484" spans="1:13">
      <c r="A484" s="13" t="s">
        <v>440</v>
      </c>
      <c r="B484" s="14" t="s">
        <v>440</v>
      </c>
      <c r="C484" s="14" t="str">
        <f>HYPERLINK("http://uswest.ensembl.org/Homo_sapiens/Gene/Summary?g=","-")</f>
        <v>-</v>
      </c>
      <c r="D484" s="14" t="s">
        <v>441</v>
      </c>
      <c r="E484" s="14" t="str">
        <f>HYPERLINK("http://www.ncbi.nlm.nih.gov/sites/entrez?db=gene&amp;cmd=Retrieve&amp;dopt=full_report&amp;list_uids=51259","51259")</f>
        <v>51259</v>
      </c>
      <c r="F484" s="14" t="s">
        <v>442</v>
      </c>
      <c r="G484" s="14" t="s">
        <v>443</v>
      </c>
      <c r="H484" s="14" t="s">
        <v>8728</v>
      </c>
      <c r="I484" s="14" t="s">
        <v>8728</v>
      </c>
      <c r="J484" s="15" t="s">
        <v>7988</v>
      </c>
      <c r="K484" s="16">
        <v>143.432716</v>
      </c>
      <c r="L484" s="17">
        <v>203.33400599999999</v>
      </c>
      <c r="M484" s="18">
        <f t="shared" si="7"/>
        <v>1.4176264081898859</v>
      </c>
    </row>
    <row r="485" spans="1:13">
      <c r="A485" s="13" t="s">
        <v>444</v>
      </c>
      <c r="B485" s="14" t="s">
        <v>444</v>
      </c>
      <c r="C485" s="14" t="str">
        <f>HYPERLINK("http://uswest.ensembl.org/Homo_sapiens/Gene/Summary?g=ENSG00000110330","ENSG00000110330")</f>
        <v>ENSG00000110330</v>
      </c>
      <c r="D485" s="14" t="s">
        <v>445</v>
      </c>
      <c r="E485" s="14" t="str">
        <f>HYPERLINK("http://www.ncbi.nlm.nih.gov/sites/entrez?db=gene&amp;cmd=Retrieve&amp;dopt=full_report&amp;list_uids=329","329")</f>
        <v>329</v>
      </c>
      <c r="F485" s="14" t="s">
        <v>446</v>
      </c>
      <c r="G485" s="14" t="s">
        <v>447</v>
      </c>
      <c r="H485" s="19" t="s">
        <v>415</v>
      </c>
      <c r="I485" s="14" t="s">
        <v>8609</v>
      </c>
      <c r="J485" s="15" t="s">
        <v>416</v>
      </c>
      <c r="K485" s="16">
        <v>398.05234000000002</v>
      </c>
      <c r="L485" s="17">
        <v>564.09674600000005</v>
      </c>
      <c r="M485" s="18">
        <f t="shared" si="7"/>
        <v>1.4171421426639523</v>
      </c>
    </row>
    <row r="486" spans="1:13">
      <c r="A486" s="13" t="s">
        <v>417</v>
      </c>
      <c r="B486" s="14" t="s">
        <v>417</v>
      </c>
      <c r="C486" s="14" t="str">
        <f>HYPERLINK("http://uswest.ensembl.org/Homo_sapiens/Gene/Summary?g=ENSG00000100321","ENSG00000100321")</f>
        <v>ENSG00000100321</v>
      </c>
      <c r="D486" s="14" t="s">
        <v>452</v>
      </c>
      <c r="E486" s="14" t="str">
        <f>HYPERLINK("http://www.ncbi.nlm.nih.gov/sites/entrez?db=gene&amp;cmd=Retrieve&amp;dopt=full_report&amp;list_uids=9145","9145")</f>
        <v>9145</v>
      </c>
      <c r="F486" s="14" t="s">
        <v>453</v>
      </c>
      <c r="G486" s="14" t="s">
        <v>454</v>
      </c>
      <c r="H486" s="14" t="s">
        <v>8728</v>
      </c>
      <c r="I486" s="14" t="s">
        <v>8728</v>
      </c>
      <c r="J486" s="15" t="s">
        <v>418</v>
      </c>
      <c r="K486" s="16">
        <v>100.346484</v>
      </c>
      <c r="L486" s="17">
        <v>142.20155</v>
      </c>
      <c r="M486" s="18">
        <f t="shared" si="7"/>
        <v>1.4171054563306871</v>
      </c>
    </row>
    <row r="487" spans="1:13">
      <c r="A487" s="13" t="s">
        <v>419</v>
      </c>
      <c r="B487" s="14" t="s">
        <v>419</v>
      </c>
      <c r="C487" s="14" t="str">
        <f>HYPERLINK("http://uswest.ensembl.org/Homo_sapiens/Gene/Summary?g=ENSG00000216975","ENSG00000216975")</f>
        <v>ENSG00000216975</v>
      </c>
      <c r="D487" s="14" t="s">
        <v>8728</v>
      </c>
      <c r="E487" s="14" t="str">
        <f>HYPERLINK("http://www.ncbi.nlm.nih.gov/sites/entrez?db=gene&amp;cmd=Retrieve&amp;dopt=full_report&amp;list_uids=","-")</f>
        <v>-</v>
      </c>
      <c r="F487" s="14" t="s">
        <v>420</v>
      </c>
      <c r="G487" s="14" t="s">
        <v>8728</v>
      </c>
      <c r="H487" s="14" t="s">
        <v>8728</v>
      </c>
      <c r="I487" s="14" t="s">
        <v>8728</v>
      </c>
      <c r="J487" s="15" t="s">
        <v>8728</v>
      </c>
      <c r="K487" s="16">
        <v>648.55866800000001</v>
      </c>
      <c r="L487" s="17">
        <v>919.02165200000002</v>
      </c>
      <c r="M487" s="18">
        <f t="shared" si="7"/>
        <v>1.417021616308118</v>
      </c>
    </row>
    <row r="488" spans="1:13">
      <c r="A488" s="13" t="s">
        <v>421</v>
      </c>
      <c r="B488" s="14" t="s">
        <v>421</v>
      </c>
      <c r="C488" s="14" t="str">
        <f>HYPERLINK("http://uswest.ensembl.org/Homo_sapiens/Gene/Summary?g=","-")</f>
        <v>-</v>
      </c>
      <c r="D488" s="14" t="s">
        <v>422</v>
      </c>
      <c r="E488" s="14" t="str">
        <f>HYPERLINK("http://www.ncbi.nlm.nih.gov/sites/entrez?db=gene&amp;cmd=Retrieve&amp;dopt=full_report&amp;list_uids=4688","4688")</f>
        <v>4688</v>
      </c>
      <c r="F488" s="14" t="s">
        <v>455</v>
      </c>
      <c r="G488" s="14" t="s">
        <v>456</v>
      </c>
      <c r="H488" s="14" t="s">
        <v>423</v>
      </c>
      <c r="I488" s="14" t="s">
        <v>424</v>
      </c>
      <c r="J488" s="15" t="s">
        <v>425</v>
      </c>
      <c r="K488" s="16">
        <v>127.300393</v>
      </c>
      <c r="L488" s="17">
        <v>180.37132299999999</v>
      </c>
      <c r="M488" s="18">
        <f t="shared" si="7"/>
        <v>1.4168952565605983</v>
      </c>
    </row>
    <row r="489" spans="1:13">
      <c r="A489" s="13" t="s">
        <v>426</v>
      </c>
      <c r="B489" s="14" t="s">
        <v>426</v>
      </c>
      <c r="C489" s="14" t="str">
        <f>HYPERLINK("http://uswest.ensembl.org/Homo_sapiens/Gene/Summary?g=ENSG00000154832","ENSG00000154832")</f>
        <v>ENSG00000154832</v>
      </c>
      <c r="D489" s="14" t="s">
        <v>427</v>
      </c>
      <c r="E489" s="14" t="str">
        <f>HYPERLINK("http://www.ncbi.nlm.nih.gov/sites/entrez?db=gene&amp;cmd=Retrieve&amp;dopt=full_report&amp;list_uids=30827","30827")</f>
        <v>30827</v>
      </c>
      <c r="F489" s="14" t="s">
        <v>428</v>
      </c>
      <c r="G489" s="14" t="s">
        <v>429</v>
      </c>
      <c r="H489" s="14" t="s">
        <v>8581</v>
      </c>
      <c r="I489" s="14" t="s">
        <v>402</v>
      </c>
      <c r="J489" s="15" t="s">
        <v>403</v>
      </c>
      <c r="K489" s="16">
        <v>104.632897</v>
      </c>
      <c r="L489" s="17">
        <v>148.14214799999999</v>
      </c>
      <c r="M489" s="18">
        <f t="shared" si="7"/>
        <v>1.4158276435756145</v>
      </c>
    </row>
    <row r="490" spans="1:13">
      <c r="A490" s="13" t="s">
        <v>480</v>
      </c>
      <c r="B490" s="14" t="s">
        <v>480</v>
      </c>
      <c r="C490" s="14" t="str">
        <f>HYPERLINK("http://uswest.ensembl.org/Homo_sapiens/Gene/Summary?g=ENSG00000111669","ENSG00000111669")</f>
        <v>ENSG00000111669</v>
      </c>
      <c r="D490" s="14" t="s">
        <v>458</v>
      </c>
      <c r="E490" s="14" t="str">
        <f>HYPERLINK("http://www.ncbi.nlm.nih.gov/sites/entrez?db=gene&amp;cmd=Retrieve&amp;dopt=full_report&amp;list_uids=729708","729708")</f>
        <v>729708</v>
      </c>
      <c r="F490" s="14" t="s">
        <v>459</v>
      </c>
      <c r="G490" s="14" t="s">
        <v>484</v>
      </c>
      <c r="H490" s="19" t="s">
        <v>404</v>
      </c>
      <c r="I490" s="14" t="s">
        <v>405</v>
      </c>
      <c r="J490" s="15" t="s">
        <v>8096</v>
      </c>
      <c r="K490" s="16">
        <v>1685.6581040000001</v>
      </c>
      <c r="L490" s="17">
        <v>2385.6823709999999</v>
      </c>
      <c r="M490" s="18">
        <f t="shared" si="7"/>
        <v>1.4152824735566898</v>
      </c>
    </row>
    <row r="491" spans="1:13">
      <c r="A491" s="13" t="s">
        <v>406</v>
      </c>
      <c r="B491" s="14" t="s">
        <v>406</v>
      </c>
      <c r="C491" s="14" t="str">
        <f>HYPERLINK("http://uswest.ensembl.org/Homo_sapiens/Gene/Summary?g=","-")</f>
        <v>-</v>
      </c>
      <c r="D491" s="14" t="s">
        <v>407</v>
      </c>
      <c r="E491" s="14" t="str">
        <f>HYPERLINK("http://www.ncbi.nlm.nih.gov/sites/entrez?db=gene&amp;cmd=Retrieve&amp;dopt=full_report&amp;list_uids=125476","125476")</f>
        <v>125476</v>
      </c>
      <c r="F491" s="14" t="s">
        <v>408</v>
      </c>
      <c r="G491" s="14" t="s">
        <v>409</v>
      </c>
      <c r="H491" s="14" t="s">
        <v>8728</v>
      </c>
      <c r="I491" s="14" t="s">
        <v>8728</v>
      </c>
      <c r="J491" s="15" t="s">
        <v>8728</v>
      </c>
      <c r="K491" s="16">
        <v>217.72865200000001</v>
      </c>
      <c r="L491" s="17">
        <v>308.14332200000001</v>
      </c>
      <c r="M491" s="18">
        <f t="shared" si="7"/>
        <v>1.4152630770891834</v>
      </c>
    </row>
    <row r="492" spans="1:13">
      <c r="A492" s="13" t="s">
        <v>410</v>
      </c>
      <c r="B492" s="14" t="s">
        <v>410</v>
      </c>
      <c r="C492" s="14" t="str">
        <f>HYPERLINK("http://uswest.ensembl.org/Homo_sapiens/Gene/Summary?g=ENSG00000001036","ENSG00000001036")</f>
        <v>ENSG00000001036</v>
      </c>
      <c r="D492" s="14" t="s">
        <v>411</v>
      </c>
      <c r="E492" s="14" t="str">
        <f>HYPERLINK("http://www.ncbi.nlm.nih.gov/sites/entrez?db=gene&amp;cmd=Retrieve&amp;dopt=full_report&amp;list_uids=2519","2519")</f>
        <v>2519</v>
      </c>
      <c r="F492" s="14" t="s">
        <v>412</v>
      </c>
      <c r="G492" s="14" t="s">
        <v>413</v>
      </c>
      <c r="H492" s="14" t="s">
        <v>414</v>
      </c>
      <c r="I492" s="14" t="s">
        <v>387</v>
      </c>
      <c r="J492" s="15" t="s">
        <v>8731</v>
      </c>
      <c r="K492" s="16">
        <v>375.32949400000001</v>
      </c>
      <c r="L492" s="17">
        <v>530.99948600000005</v>
      </c>
      <c r="M492" s="18">
        <f t="shared" si="7"/>
        <v>1.4147555534231477</v>
      </c>
    </row>
    <row r="493" spans="1:13">
      <c r="A493" s="13" t="s">
        <v>388</v>
      </c>
      <c r="B493" s="14" t="s">
        <v>388</v>
      </c>
      <c r="C493" s="14" t="str">
        <f>HYPERLINK("http://uswest.ensembl.org/Homo_sapiens/Gene/Summary?g=ENSG00000171812","ENSG00000171812")</f>
        <v>ENSG00000171812</v>
      </c>
      <c r="D493" s="14" t="s">
        <v>389</v>
      </c>
      <c r="E493" s="14" t="str">
        <f>HYPERLINK("http://www.ncbi.nlm.nih.gov/sites/entrez?db=gene&amp;cmd=Retrieve&amp;dopt=full_report&amp;list_uids=1296","1296")</f>
        <v>1296</v>
      </c>
      <c r="F493" s="14" t="s">
        <v>390</v>
      </c>
      <c r="G493" s="14" t="s">
        <v>391</v>
      </c>
      <c r="H493" s="14" t="s">
        <v>392</v>
      </c>
      <c r="I493" s="14" t="s">
        <v>393</v>
      </c>
      <c r="J493" s="15" t="s">
        <v>394</v>
      </c>
      <c r="K493" s="16">
        <v>44.916780000000003</v>
      </c>
      <c r="L493" s="17">
        <v>63.523972999999998</v>
      </c>
      <c r="M493" s="18">
        <f t="shared" si="7"/>
        <v>1.4142592812752828</v>
      </c>
    </row>
    <row r="494" spans="1:13">
      <c r="A494" s="13" t="s">
        <v>395</v>
      </c>
      <c r="B494" s="14" t="s">
        <v>395</v>
      </c>
      <c r="C494" s="14" t="str">
        <f>HYPERLINK("http://uswest.ensembl.org/Homo_sapiens/Gene/Summary?g=","-")</f>
        <v>-</v>
      </c>
      <c r="D494" s="14" t="s">
        <v>396</v>
      </c>
      <c r="E494" s="14" t="str">
        <f>HYPERLINK("http://www.ncbi.nlm.nih.gov/sites/entrez?db=gene&amp;cmd=Retrieve&amp;dopt=full_report&amp;list_uids=2288","2288")</f>
        <v>2288</v>
      </c>
      <c r="F494" s="14" t="s">
        <v>397</v>
      </c>
      <c r="G494" s="14" t="s">
        <v>398</v>
      </c>
      <c r="H494" s="19" t="s">
        <v>399</v>
      </c>
      <c r="I494" s="19" t="s">
        <v>400</v>
      </c>
      <c r="J494" s="15" t="s">
        <v>401</v>
      </c>
      <c r="K494" s="16">
        <v>238.508511</v>
      </c>
      <c r="L494" s="17">
        <v>337.27774099999999</v>
      </c>
      <c r="M494" s="18">
        <f t="shared" si="7"/>
        <v>1.414111972716982</v>
      </c>
    </row>
    <row r="495" spans="1:13">
      <c r="A495" s="13" t="s">
        <v>372</v>
      </c>
      <c r="B495" s="14" t="s">
        <v>372</v>
      </c>
      <c r="C495" s="14" t="str">
        <f>HYPERLINK("http://uswest.ensembl.org/Homo_sapiens/Gene/Summary?g=ENSG00000172269","ENSG00000172269")</f>
        <v>ENSG00000172269</v>
      </c>
      <c r="D495" s="14" t="s">
        <v>373</v>
      </c>
      <c r="E495" s="14" t="str">
        <f>HYPERLINK("http://www.ncbi.nlm.nih.gov/sites/entrez?db=gene&amp;cmd=Retrieve&amp;dopt=full_report&amp;list_uids=1798","1798")</f>
        <v>1798</v>
      </c>
      <c r="F495" s="14" t="s">
        <v>374</v>
      </c>
      <c r="G495" s="14" t="s">
        <v>375</v>
      </c>
      <c r="H495" s="14" t="s">
        <v>376</v>
      </c>
      <c r="I495" s="14" t="s">
        <v>377</v>
      </c>
      <c r="J495" s="15" t="s">
        <v>6439</v>
      </c>
      <c r="K495" s="16">
        <v>137.303282</v>
      </c>
      <c r="L495" s="17">
        <v>194.122784</v>
      </c>
      <c r="M495" s="18">
        <f t="shared" si="7"/>
        <v>1.4138247911655892</v>
      </c>
    </row>
    <row r="496" spans="1:13">
      <c r="A496" s="13" t="s">
        <v>378</v>
      </c>
      <c r="B496" s="14" t="s">
        <v>378</v>
      </c>
      <c r="C496" s="14" t="str">
        <f>HYPERLINK("http://uswest.ensembl.org/Homo_sapiens/Gene/Summary?g=ENSG00000197555","ENSG00000197555")</f>
        <v>ENSG00000197555</v>
      </c>
      <c r="D496" s="14" t="s">
        <v>379</v>
      </c>
      <c r="E496" s="14" t="str">
        <f>HYPERLINK("http://www.ncbi.nlm.nih.gov/sites/entrez?db=gene&amp;cmd=Retrieve&amp;dopt=full_report&amp;list_uids=","-")</f>
        <v>-</v>
      </c>
      <c r="F496" s="14" t="s">
        <v>4617</v>
      </c>
      <c r="G496" s="14" t="s">
        <v>4618</v>
      </c>
      <c r="H496" s="14" t="s">
        <v>4400</v>
      </c>
      <c r="I496" s="14" t="s">
        <v>8331</v>
      </c>
      <c r="J496" s="15" t="s">
        <v>8707</v>
      </c>
      <c r="K496" s="16">
        <v>27.332433999999999</v>
      </c>
      <c r="L496" s="17">
        <v>38.642409999999998</v>
      </c>
      <c r="M496" s="18">
        <f t="shared" si="7"/>
        <v>1.4137932245624374</v>
      </c>
    </row>
    <row r="497" spans="1:13">
      <c r="A497" s="13" t="s">
        <v>380</v>
      </c>
      <c r="B497" s="14" t="s">
        <v>380</v>
      </c>
      <c r="C497" s="14" t="str">
        <f>HYPERLINK("http://uswest.ensembl.org/Homo_sapiens/Gene/Summary?g=","-")</f>
        <v>-</v>
      </c>
      <c r="D497" s="14" t="s">
        <v>381</v>
      </c>
      <c r="E497" s="14" t="str">
        <f>HYPERLINK("http://www.ncbi.nlm.nih.gov/sites/entrez?db=gene&amp;cmd=Retrieve&amp;dopt=full_report&amp;list_uids=54973","54973")</f>
        <v>54973</v>
      </c>
      <c r="F497" s="14" t="s">
        <v>2954</v>
      </c>
      <c r="G497" s="14" t="s">
        <v>3018</v>
      </c>
      <c r="H497" s="14" t="s">
        <v>8728</v>
      </c>
      <c r="I497" s="14" t="s">
        <v>6579</v>
      </c>
      <c r="J497" s="15" t="s">
        <v>8608</v>
      </c>
      <c r="K497" s="16">
        <v>55.847676999999997</v>
      </c>
      <c r="L497" s="17">
        <v>78.94941</v>
      </c>
      <c r="M497" s="18">
        <f t="shared" si="7"/>
        <v>1.4136561132166698</v>
      </c>
    </row>
    <row r="498" spans="1:13">
      <c r="A498" s="13" t="s">
        <v>382</v>
      </c>
      <c r="B498" s="14" t="s">
        <v>382</v>
      </c>
      <c r="C498" s="14" t="str">
        <f>HYPERLINK("http://uswest.ensembl.org/Homo_sapiens/Gene/Summary?g=ENSG00000137672","ENSG00000137672")</f>
        <v>ENSG00000137672</v>
      </c>
      <c r="D498" s="14" t="s">
        <v>383</v>
      </c>
      <c r="E498" s="14" t="str">
        <f>HYPERLINK("http://www.ncbi.nlm.nih.gov/sites/entrez?db=gene&amp;cmd=Retrieve&amp;dopt=full_report&amp;list_uids=","-")</f>
        <v>-</v>
      </c>
      <c r="F498" s="14" t="s">
        <v>384</v>
      </c>
      <c r="G498" s="14" t="s">
        <v>385</v>
      </c>
      <c r="H498" s="14" t="s">
        <v>8209</v>
      </c>
      <c r="I498" s="14" t="s">
        <v>386</v>
      </c>
      <c r="J498" s="15" t="s">
        <v>8698</v>
      </c>
      <c r="K498" s="16">
        <v>24.026109999999999</v>
      </c>
      <c r="L498" s="17">
        <v>33.963268999999997</v>
      </c>
      <c r="M498" s="18">
        <f t="shared" si="7"/>
        <v>1.4135983311489042</v>
      </c>
    </row>
    <row r="499" spans="1:13">
      <c r="A499" s="13" t="s">
        <v>356</v>
      </c>
      <c r="B499" s="14" t="s">
        <v>356</v>
      </c>
      <c r="C499" s="14" t="str">
        <f>HYPERLINK("http://uswest.ensembl.org/Homo_sapiens/Gene/Summary?g=ENSG00000171497","ENSG00000171497")</f>
        <v>ENSG00000171497</v>
      </c>
      <c r="D499" s="14" t="s">
        <v>357</v>
      </c>
      <c r="E499" s="14" t="str">
        <f>HYPERLINK("http://www.ncbi.nlm.nih.gov/sites/entrez?db=gene&amp;cmd=Retrieve&amp;dopt=full_report&amp;list_uids=5481","5481")</f>
        <v>5481</v>
      </c>
      <c r="F499" s="14" t="s">
        <v>358</v>
      </c>
      <c r="G499" s="14" t="s">
        <v>359</v>
      </c>
      <c r="H499" s="14" t="s">
        <v>8671</v>
      </c>
      <c r="I499" s="14" t="s">
        <v>360</v>
      </c>
      <c r="J499" s="15" t="s">
        <v>8619</v>
      </c>
      <c r="K499" s="16">
        <v>168.606526</v>
      </c>
      <c r="L499" s="17">
        <v>238.326795</v>
      </c>
      <c r="M499" s="18">
        <f t="shared" si="7"/>
        <v>1.4135087214832953</v>
      </c>
    </row>
    <row r="500" spans="1:13">
      <c r="A500" s="13" t="s">
        <v>361</v>
      </c>
      <c r="B500" s="14" t="s">
        <v>361</v>
      </c>
      <c r="C500" s="14" t="str">
        <f>HYPERLINK("http://uswest.ensembl.org/Homo_sapiens/Gene/Summary?g=ENSG00000162704","ENSG00000162704")</f>
        <v>ENSG00000162704</v>
      </c>
      <c r="D500" s="14" t="s">
        <v>362</v>
      </c>
      <c r="E500" s="14" t="str">
        <f>HYPERLINK("http://www.ncbi.nlm.nih.gov/sites/entrez?db=gene&amp;cmd=Retrieve&amp;dopt=full_report&amp;list_uids=10092","10092")</f>
        <v>10092</v>
      </c>
      <c r="F500" s="14" t="s">
        <v>363</v>
      </c>
      <c r="G500" s="14" t="s">
        <v>364</v>
      </c>
      <c r="H500" s="14" t="s">
        <v>365</v>
      </c>
      <c r="I500" s="14" t="s">
        <v>366</v>
      </c>
      <c r="J500" s="15" t="s">
        <v>367</v>
      </c>
      <c r="K500" s="16">
        <v>4721.9028159999998</v>
      </c>
      <c r="L500" s="17">
        <v>6672.2919830000001</v>
      </c>
      <c r="M500" s="18">
        <f t="shared" si="7"/>
        <v>1.4130515266835175</v>
      </c>
    </row>
    <row r="501" spans="1:13">
      <c r="A501" s="13" t="s">
        <v>368</v>
      </c>
      <c r="B501" s="14" t="s">
        <v>368</v>
      </c>
      <c r="C501" s="14" t="str">
        <f>HYPERLINK("http://uswest.ensembl.org/Homo_sapiens/Gene/Summary?g=","-")</f>
        <v>-</v>
      </c>
      <c r="D501" s="14" t="s">
        <v>369</v>
      </c>
      <c r="E501" s="14" t="str">
        <f>HYPERLINK("http://www.ncbi.nlm.nih.gov/sites/entrez?db=gene&amp;cmd=Retrieve&amp;dopt=full_report&amp;list_uids=142","142")</f>
        <v>142</v>
      </c>
      <c r="F501" s="14" t="s">
        <v>370</v>
      </c>
      <c r="G501" s="14" t="s">
        <v>371</v>
      </c>
      <c r="H501" s="19" t="s">
        <v>336</v>
      </c>
      <c r="I501" s="19" t="s">
        <v>337</v>
      </c>
      <c r="J501" s="15" t="s">
        <v>338</v>
      </c>
      <c r="K501" s="16">
        <v>196.63593800000001</v>
      </c>
      <c r="L501" s="17">
        <v>277.83430199999998</v>
      </c>
      <c r="M501" s="18">
        <f t="shared" si="7"/>
        <v>1.4129375577316898</v>
      </c>
    </row>
    <row r="502" spans="1:13">
      <c r="A502" s="13" t="s">
        <v>339</v>
      </c>
      <c r="B502" s="14" t="s">
        <v>339</v>
      </c>
      <c r="C502" s="14" t="str">
        <f>HYPERLINK("http://uswest.ensembl.org/Homo_sapiens/Gene/Summary?g=ENSG00000108021","ENSG00000108021")</f>
        <v>ENSG00000108021</v>
      </c>
      <c r="D502" s="14" t="s">
        <v>340</v>
      </c>
      <c r="E502" s="14" t="str">
        <f>HYPERLINK("http://www.ncbi.nlm.nih.gov/sites/entrez?db=gene&amp;cmd=Retrieve&amp;dopt=full_report&amp;list_uids=54906","54906")</f>
        <v>54906</v>
      </c>
      <c r="F502" s="14" t="s">
        <v>341</v>
      </c>
      <c r="G502" s="14" t="s">
        <v>342</v>
      </c>
      <c r="H502" s="14" t="s">
        <v>8728</v>
      </c>
      <c r="I502" s="14" t="s">
        <v>8728</v>
      </c>
      <c r="J502" s="15" t="s">
        <v>8728</v>
      </c>
      <c r="K502" s="16">
        <v>82.464906999999997</v>
      </c>
      <c r="L502" s="17">
        <v>116.49251700000001</v>
      </c>
      <c r="M502" s="18">
        <f t="shared" si="7"/>
        <v>1.4126313996813216</v>
      </c>
    </row>
    <row r="503" spans="1:13">
      <c r="A503" s="13" t="s">
        <v>343</v>
      </c>
      <c r="B503" s="14" t="s">
        <v>343</v>
      </c>
      <c r="C503" s="14" t="str">
        <f>HYPERLINK("http://uswest.ensembl.org/Homo_sapiens/Gene/Summary?g=","-")</f>
        <v>-</v>
      </c>
      <c r="D503" s="14" t="s">
        <v>344</v>
      </c>
      <c r="E503" s="14" t="str">
        <f>HYPERLINK("http://www.ncbi.nlm.nih.gov/sites/entrez?db=gene&amp;cmd=Retrieve&amp;dopt=full_report&amp;list_uids=126133","126133")</f>
        <v>126133</v>
      </c>
      <c r="F503" s="14" t="s">
        <v>345</v>
      </c>
      <c r="G503" s="14" t="s">
        <v>346</v>
      </c>
      <c r="H503" s="14" t="s">
        <v>8329</v>
      </c>
      <c r="I503" s="14" t="s">
        <v>3536</v>
      </c>
      <c r="J503" s="15" t="s">
        <v>8728</v>
      </c>
      <c r="K503" s="16">
        <v>112.99367700000001</v>
      </c>
      <c r="L503" s="17">
        <v>159.618168</v>
      </c>
      <c r="M503" s="18">
        <f t="shared" si="7"/>
        <v>1.4126292040217436</v>
      </c>
    </row>
    <row r="504" spans="1:13">
      <c r="A504" s="13" t="s">
        <v>347</v>
      </c>
      <c r="B504" s="14" t="s">
        <v>347</v>
      </c>
      <c r="C504" s="14" t="str">
        <f>HYPERLINK("http://uswest.ensembl.org/Homo_sapiens/Gene/Summary?g=ENSG00000144785","ENSG00000144785")</f>
        <v>ENSG00000144785</v>
      </c>
      <c r="D504" s="14" t="s">
        <v>348</v>
      </c>
      <c r="E504" s="14" t="str">
        <f>HYPERLINK("http://www.ncbi.nlm.nih.gov/sites/entrez?db=gene&amp;cmd=Retrieve&amp;dopt=full_report&amp;list_uids=10330","10330")</f>
        <v>10330</v>
      </c>
      <c r="F504" s="14" t="s">
        <v>349</v>
      </c>
      <c r="G504" s="14" t="s">
        <v>350</v>
      </c>
      <c r="H504" s="14" t="s">
        <v>8728</v>
      </c>
      <c r="I504" s="14" t="s">
        <v>8665</v>
      </c>
      <c r="J504" s="15" t="s">
        <v>351</v>
      </c>
      <c r="K504" s="16">
        <v>393.031138</v>
      </c>
      <c r="L504" s="17">
        <v>555.14716699999997</v>
      </c>
      <c r="M504" s="18">
        <f t="shared" si="7"/>
        <v>1.4124762985064048</v>
      </c>
    </row>
    <row r="505" spans="1:13">
      <c r="A505" s="13" t="s">
        <v>352</v>
      </c>
      <c r="B505" s="14" t="s">
        <v>352</v>
      </c>
      <c r="C505" s="14" t="str">
        <f>HYPERLINK("http://uswest.ensembl.org/Homo_sapiens/Gene/Summary?g=ENSG00000140443","ENSG00000140443")</f>
        <v>ENSG00000140443</v>
      </c>
      <c r="D505" s="14" t="s">
        <v>353</v>
      </c>
      <c r="E505" s="14" t="str">
        <f>HYPERLINK("http://www.ncbi.nlm.nih.gov/sites/entrez?db=gene&amp;cmd=Retrieve&amp;dopt=full_report&amp;list_uids=3480","3480")</f>
        <v>3480</v>
      </c>
      <c r="F505" s="14" t="s">
        <v>354</v>
      </c>
      <c r="G505" s="19" t="s">
        <v>355</v>
      </c>
      <c r="H505" s="19" t="s">
        <v>325</v>
      </c>
      <c r="I505" s="19" t="s">
        <v>326</v>
      </c>
      <c r="J505" s="15" t="s">
        <v>327</v>
      </c>
      <c r="K505" s="16">
        <v>77.433840000000004</v>
      </c>
      <c r="L505" s="17">
        <v>109.365577</v>
      </c>
      <c r="M505" s="18">
        <f t="shared" si="7"/>
        <v>1.41237444765751</v>
      </c>
    </row>
    <row r="506" spans="1:13">
      <c r="A506" s="13" t="s">
        <v>328</v>
      </c>
      <c r="B506" s="14" t="s">
        <v>328</v>
      </c>
      <c r="C506" s="14" t="str">
        <f>HYPERLINK("http://uswest.ensembl.org/Homo_sapiens/Gene/Summary?g=ENSG00000042088","ENSG00000042088")</f>
        <v>ENSG00000042088</v>
      </c>
      <c r="D506" s="14" t="s">
        <v>329</v>
      </c>
      <c r="E506" s="14" t="str">
        <f>HYPERLINK("http://www.ncbi.nlm.nih.gov/sites/entrez?db=gene&amp;cmd=Retrieve&amp;dopt=full_report&amp;list_uids=55775","55775")</f>
        <v>55775</v>
      </c>
      <c r="F506" s="14" t="s">
        <v>330</v>
      </c>
      <c r="G506" s="14" t="s">
        <v>331</v>
      </c>
      <c r="H506" s="14" t="s">
        <v>332</v>
      </c>
      <c r="I506" s="14" t="s">
        <v>323</v>
      </c>
      <c r="J506" s="15" t="s">
        <v>8608</v>
      </c>
      <c r="K506" s="16">
        <v>142.72789900000001</v>
      </c>
      <c r="L506" s="17">
        <v>201.562207</v>
      </c>
      <c r="M506" s="18">
        <f t="shared" si="7"/>
        <v>1.4122130880662651</v>
      </c>
    </row>
    <row r="507" spans="1:13">
      <c r="A507" s="13" t="s">
        <v>304</v>
      </c>
      <c r="B507" s="14" t="s">
        <v>304</v>
      </c>
      <c r="C507" s="14" t="str">
        <f>HYPERLINK("http://uswest.ensembl.org/Homo_sapiens/Gene/Summary?g=ENSG00000118197","ENSG00000118197")</f>
        <v>ENSG00000118197</v>
      </c>
      <c r="D507" s="14" t="s">
        <v>305</v>
      </c>
      <c r="E507" s="14" t="str">
        <f>HYPERLINK("http://www.ncbi.nlm.nih.gov/sites/entrez?db=gene&amp;cmd=Retrieve&amp;dopt=full_report&amp;list_uids=83479","83479")</f>
        <v>83479</v>
      </c>
      <c r="F507" s="14" t="s">
        <v>306</v>
      </c>
      <c r="G507" s="14" t="s">
        <v>307</v>
      </c>
      <c r="H507" s="14" t="s">
        <v>8728</v>
      </c>
      <c r="I507" s="19" t="s">
        <v>308</v>
      </c>
      <c r="J507" s="15" t="s">
        <v>8707</v>
      </c>
      <c r="K507" s="16">
        <v>93.817818000000003</v>
      </c>
      <c r="L507" s="17">
        <v>132.40799000000001</v>
      </c>
      <c r="M507" s="18">
        <f t="shared" si="7"/>
        <v>1.4113309478163307</v>
      </c>
    </row>
    <row r="508" spans="1:13">
      <c r="A508" s="13" t="s">
        <v>309</v>
      </c>
      <c r="B508" s="14" t="s">
        <v>309</v>
      </c>
      <c r="C508" s="14" t="str">
        <f>HYPERLINK("http://uswest.ensembl.org/Homo_sapiens/Gene/Summary?g=ENSG00000103479","ENSG00000103479")</f>
        <v>ENSG00000103479</v>
      </c>
      <c r="D508" s="14" t="s">
        <v>310</v>
      </c>
      <c r="E508" s="14" t="str">
        <f>HYPERLINK("http://www.ncbi.nlm.nih.gov/sites/entrez?db=gene&amp;cmd=Retrieve&amp;dopt=full_report&amp;list_uids=","-")</f>
        <v>-</v>
      </c>
      <c r="F508" s="14" t="s">
        <v>311</v>
      </c>
      <c r="G508" s="14" t="s">
        <v>300</v>
      </c>
      <c r="H508" s="14" t="s">
        <v>8728</v>
      </c>
      <c r="I508" s="14" t="s">
        <v>8665</v>
      </c>
      <c r="J508" s="15" t="s">
        <v>8728</v>
      </c>
      <c r="K508" s="16">
        <v>219.711703</v>
      </c>
      <c r="L508" s="17">
        <v>310.07696199999998</v>
      </c>
      <c r="M508" s="18">
        <f t="shared" si="7"/>
        <v>1.4112901487091016</v>
      </c>
    </row>
    <row r="509" spans="1:13">
      <c r="A509" s="13" t="s">
        <v>301</v>
      </c>
      <c r="B509" s="14" t="s">
        <v>301</v>
      </c>
      <c r="C509" s="14" t="str">
        <f>HYPERLINK("http://uswest.ensembl.org/Homo_sapiens/Gene/Summary?g=ENSG00000110958","ENSG00000110958")</f>
        <v>ENSG00000110958</v>
      </c>
      <c r="D509" s="14" t="s">
        <v>302</v>
      </c>
      <c r="E509" s="14" t="str">
        <f>HYPERLINK("http://www.ncbi.nlm.nih.gov/sites/entrez?db=gene&amp;cmd=Retrieve&amp;dopt=full_report&amp;list_uids=10728","10728")</f>
        <v>10728</v>
      </c>
      <c r="F509" s="14" t="s">
        <v>303</v>
      </c>
      <c r="G509" s="14" t="s">
        <v>324</v>
      </c>
      <c r="H509" s="14" t="s">
        <v>312</v>
      </c>
      <c r="I509" s="14" t="s">
        <v>313</v>
      </c>
      <c r="J509" s="15" t="s">
        <v>314</v>
      </c>
      <c r="K509" s="16">
        <v>343.47974399999998</v>
      </c>
      <c r="L509" s="17">
        <v>484.74124499999999</v>
      </c>
      <c r="M509" s="18">
        <f t="shared" si="7"/>
        <v>1.4112658853035596</v>
      </c>
    </row>
    <row r="510" spans="1:13">
      <c r="A510" s="13" t="s">
        <v>315</v>
      </c>
      <c r="B510" s="14" t="s">
        <v>315</v>
      </c>
      <c r="C510" s="14" t="str">
        <f>HYPERLINK("http://uswest.ensembl.org/Homo_sapiens/Gene/Summary?g=ENSG00000166796","ENSG00000166796")</f>
        <v>ENSG00000166796</v>
      </c>
      <c r="D510" s="14" t="s">
        <v>316</v>
      </c>
      <c r="E510" s="14" t="str">
        <f>HYPERLINK("http://www.ncbi.nlm.nih.gov/sites/entrez?db=gene&amp;cmd=Retrieve&amp;dopt=full_report&amp;list_uids=3948","3948")</f>
        <v>3948</v>
      </c>
      <c r="F510" s="14" t="s">
        <v>317</v>
      </c>
      <c r="G510" s="14" t="s">
        <v>284</v>
      </c>
      <c r="H510" s="19" t="s">
        <v>285</v>
      </c>
      <c r="I510" s="14" t="s">
        <v>286</v>
      </c>
      <c r="J510" s="15" t="s">
        <v>8619</v>
      </c>
      <c r="K510" s="16">
        <v>43.474027</v>
      </c>
      <c r="L510" s="17">
        <v>61.348762000000001</v>
      </c>
      <c r="M510" s="18">
        <f t="shared" si="7"/>
        <v>1.4111589432467344</v>
      </c>
    </row>
    <row r="511" spans="1:13">
      <c r="A511" s="13" t="s">
        <v>318</v>
      </c>
      <c r="B511" s="14" t="s">
        <v>318</v>
      </c>
      <c r="C511" s="14" t="str">
        <f>HYPERLINK("http://uswest.ensembl.org/Homo_sapiens/Gene/Summary?g=ENSG00000143252","ENSG00000143252")</f>
        <v>ENSG00000143252</v>
      </c>
      <c r="D511" s="14" t="s">
        <v>319</v>
      </c>
      <c r="E511" s="14" t="str">
        <f>HYPERLINK("http://www.ncbi.nlm.nih.gov/sites/entrez?db=gene&amp;cmd=Retrieve&amp;dopt=full_report&amp;list_uids=6391","6391")</f>
        <v>6391</v>
      </c>
      <c r="F511" s="14" t="s">
        <v>320</v>
      </c>
      <c r="G511" s="19" t="s">
        <v>321</v>
      </c>
      <c r="H511" s="14" t="s">
        <v>6472</v>
      </c>
      <c r="I511" s="14" t="s">
        <v>322</v>
      </c>
      <c r="J511" s="15" t="s">
        <v>8691</v>
      </c>
      <c r="K511" s="16">
        <v>573.02702799999997</v>
      </c>
      <c r="L511" s="17">
        <v>808.51211699999999</v>
      </c>
      <c r="M511" s="18">
        <f t="shared" si="7"/>
        <v>1.41094935752315</v>
      </c>
    </row>
    <row r="512" spans="1:13">
      <c r="A512" s="13" t="s">
        <v>287</v>
      </c>
      <c r="B512" s="14" t="s">
        <v>287</v>
      </c>
      <c r="C512" s="14" t="str">
        <f>HYPERLINK("http://uswest.ensembl.org/Homo_sapiens/Gene/Summary?g=","-")</f>
        <v>-</v>
      </c>
      <c r="D512" s="14" t="s">
        <v>288</v>
      </c>
      <c r="E512" s="14" t="str">
        <f>HYPERLINK("http://www.ncbi.nlm.nih.gov/sites/entrez?db=gene&amp;cmd=Retrieve&amp;dopt=full_report&amp;list_uids=197258","197258")</f>
        <v>197258</v>
      </c>
      <c r="F512" s="14" t="s">
        <v>289</v>
      </c>
      <c r="G512" s="14" t="s">
        <v>290</v>
      </c>
      <c r="H512" s="14" t="s">
        <v>8728</v>
      </c>
      <c r="I512" s="14" t="s">
        <v>8728</v>
      </c>
      <c r="J512" s="15" t="s">
        <v>8728</v>
      </c>
      <c r="K512" s="16">
        <v>23.881978</v>
      </c>
      <c r="L512" s="17">
        <v>33.680790999999999</v>
      </c>
      <c r="M512" s="18">
        <f t="shared" si="7"/>
        <v>1.4103015671482488</v>
      </c>
    </row>
    <row r="513" spans="1:13">
      <c r="A513" s="13" t="s">
        <v>291</v>
      </c>
      <c r="B513" s="14" t="s">
        <v>291</v>
      </c>
      <c r="C513" s="14" t="str">
        <f>HYPERLINK("http://uswest.ensembl.org/Homo_sapiens/Gene/Summary?g=ENSG00000047188","ENSG00000047188")</f>
        <v>ENSG00000047188</v>
      </c>
      <c r="D513" s="14" t="s">
        <v>292</v>
      </c>
      <c r="E513" s="14" t="str">
        <f>HYPERLINK("http://www.ncbi.nlm.nih.gov/sites/entrez?db=gene&amp;cmd=Retrieve&amp;dopt=full_report&amp;list_uids=64848","64848")</f>
        <v>64848</v>
      </c>
      <c r="F513" s="14" t="s">
        <v>293</v>
      </c>
      <c r="G513" s="14" t="s">
        <v>299</v>
      </c>
      <c r="H513" s="14" t="s">
        <v>8728</v>
      </c>
      <c r="I513" s="14" t="s">
        <v>6422</v>
      </c>
      <c r="J513" s="15" t="s">
        <v>8728</v>
      </c>
      <c r="K513" s="16">
        <v>30.084492999999998</v>
      </c>
      <c r="L513" s="17">
        <v>42.425078999999997</v>
      </c>
      <c r="M513" s="18">
        <f t="shared" si="7"/>
        <v>1.4101975725500842</v>
      </c>
    </row>
    <row r="514" spans="1:13">
      <c r="A514" s="13" t="s">
        <v>250</v>
      </c>
      <c r="B514" s="14" t="s">
        <v>250</v>
      </c>
      <c r="C514" s="14" t="str">
        <f>HYPERLINK("http://uswest.ensembl.org/Homo_sapiens/Gene/Summary?g=ENSG00000100216","ENSG00000100216")</f>
        <v>ENSG00000100216</v>
      </c>
      <c r="D514" s="14" t="s">
        <v>251</v>
      </c>
      <c r="E514" s="14" t="str">
        <f>HYPERLINK("http://www.ncbi.nlm.nih.gov/sites/entrez?db=gene&amp;cmd=Retrieve&amp;dopt=full_report&amp;list_uids=56993","56993")</f>
        <v>56993</v>
      </c>
      <c r="F514" s="14" t="s">
        <v>252</v>
      </c>
      <c r="G514" s="14" t="s">
        <v>294</v>
      </c>
      <c r="H514" s="14" t="s">
        <v>295</v>
      </c>
      <c r="I514" s="14" t="s">
        <v>296</v>
      </c>
      <c r="J514" s="15" t="s">
        <v>254</v>
      </c>
      <c r="K514" s="16">
        <v>537.06691799999999</v>
      </c>
      <c r="L514" s="17">
        <v>757.34472600000004</v>
      </c>
      <c r="M514" s="18">
        <f t="shared" ref="M514:M573" si="8">L514/K514</f>
        <v>1.4101496491727685</v>
      </c>
    </row>
    <row r="515" spans="1:13">
      <c r="A515" s="13" t="s">
        <v>255</v>
      </c>
      <c r="B515" s="14" t="s">
        <v>255</v>
      </c>
      <c r="C515" s="14" t="str">
        <f>HYPERLINK("http://uswest.ensembl.org/Homo_sapiens/Gene/Summary?g=ENSG00000145194","ENSG00000145194")</f>
        <v>ENSG00000145194</v>
      </c>
      <c r="D515" s="14" t="s">
        <v>256</v>
      </c>
      <c r="E515" s="14" t="str">
        <f>HYPERLINK("http://www.ncbi.nlm.nih.gov/sites/entrez?db=gene&amp;cmd=Retrieve&amp;dopt=full_report&amp;list_uids=9718","9718")</f>
        <v>9718</v>
      </c>
      <c r="F515" s="14" t="s">
        <v>257</v>
      </c>
      <c r="G515" s="14" t="s">
        <v>258</v>
      </c>
      <c r="H515" s="14" t="s">
        <v>259</v>
      </c>
      <c r="I515" s="14" t="s">
        <v>297</v>
      </c>
      <c r="J515" s="15" t="s">
        <v>333</v>
      </c>
      <c r="K515" s="16">
        <v>63.865721999999998</v>
      </c>
      <c r="L515" s="17">
        <v>90.052252999999993</v>
      </c>
      <c r="M515" s="18">
        <f t="shared" si="8"/>
        <v>1.4100248173816934</v>
      </c>
    </row>
    <row r="516" spans="1:13">
      <c r="A516" s="13" t="s">
        <v>334</v>
      </c>
      <c r="B516" s="14" t="s">
        <v>334</v>
      </c>
      <c r="C516" s="14" t="str">
        <f>HYPERLINK("http://uswest.ensembl.org/Homo_sapiens/Gene/Summary?g=ENSG00000216342","ENSG00000216342")</f>
        <v>ENSG00000216342</v>
      </c>
      <c r="D516" s="14" t="s">
        <v>8728</v>
      </c>
      <c r="E516" s="14" t="str">
        <f>HYPERLINK("http://www.ncbi.nlm.nih.gov/sites/entrez?db=gene&amp;cmd=Retrieve&amp;dopt=full_report&amp;list_uids=","-")</f>
        <v>-</v>
      </c>
      <c r="F516" s="14" t="s">
        <v>335</v>
      </c>
      <c r="G516" s="14" t="s">
        <v>8728</v>
      </c>
      <c r="H516" s="14" t="s">
        <v>8728</v>
      </c>
      <c r="I516" s="14" t="s">
        <v>8728</v>
      </c>
      <c r="J516" s="15" t="s">
        <v>8728</v>
      </c>
      <c r="K516" s="16">
        <v>28.777728</v>
      </c>
      <c r="L516" s="17">
        <v>40.572913</v>
      </c>
      <c r="M516" s="18">
        <f t="shared" si="8"/>
        <v>1.4098720024040814</v>
      </c>
    </row>
    <row r="517" spans="1:13">
      <c r="A517" s="13" t="s">
        <v>262</v>
      </c>
      <c r="B517" s="14" t="s">
        <v>262</v>
      </c>
      <c r="C517" s="14" t="str">
        <f>HYPERLINK("http://uswest.ensembl.org/Homo_sapiens/Gene/Summary?g=ENSG00000168297","ENSG00000168297")</f>
        <v>ENSG00000168297</v>
      </c>
      <c r="D517" s="14" t="s">
        <v>263</v>
      </c>
      <c r="E517" s="14" t="str">
        <f>HYPERLINK("http://www.ncbi.nlm.nih.gov/sites/entrez?db=gene&amp;cmd=Retrieve&amp;dopt=full_report&amp;list_uids=","-")</f>
        <v>-</v>
      </c>
      <c r="F517" s="14" t="s">
        <v>264</v>
      </c>
      <c r="G517" s="14" t="s">
        <v>265</v>
      </c>
      <c r="H517" s="14" t="s">
        <v>266</v>
      </c>
      <c r="I517" s="14" t="s">
        <v>281</v>
      </c>
      <c r="J517" s="15" t="s">
        <v>8728</v>
      </c>
      <c r="K517" s="16">
        <v>165.325526</v>
      </c>
      <c r="L517" s="17">
        <v>233.03688199999999</v>
      </c>
      <c r="M517" s="18">
        <f t="shared" si="8"/>
        <v>1.4095638322662889</v>
      </c>
    </row>
    <row r="518" spans="1:13">
      <c r="A518" s="13" t="s">
        <v>282</v>
      </c>
      <c r="B518" s="14" t="s">
        <v>282</v>
      </c>
      <c r="C518" s="14" t="str">
        <f>HYPERLINK("http://uswest.ensembl.org/Homo_sapiens/Gene/Summary?g=ENSG00000059573","ENSG00000059573")</f>
        <v>ENSG00000059573</v>
      </c>
      <c r="D518" s="14" t="s">
        <v>283</v>
      </c>
      <c r="E518" s="14" t="str">
        <f>HYPERLINK("http://www.ncbi.nlm.nih.gov/sites/entrez?db=gene&amp;cmd=Retrieve&amp;dopt=full_report&amp;list_uids=5832","5832")</f>
        <v>5832</v>
      </c>
      <c r="F518" s="14" t="s">
        <v>233</v>
      </c>
      <c r="G518" s="19" t="s">
        <v>234</v>
      </c>
      <c r="H518" s="14" t="s">
        <v>235</v>
      </c>
      <c r="I518" s="14" t="s">
        <v>236</v>
      </c>
      <c r="J518" s="15" t="s">
        <v>8619</v>
      </c>
      <c r="K518" s="16">
        <v>151.39315300000001</v>
      </c>
      <c r="L518" s="17">
        <v>213.37816100000001</v>
      </c>
      <c r="M518" s="18">
        <f t="shared" si="8"/>
        <v>1.4094307224052596</v>
      </c>
    </row>
    <row r="519" spans="1:13">
      <c r="A519" s="13" t="s">
        <v>237</v>
      </c>
      <c r="B519" s="14" t="s">
        <v>237</v>
      </c>
      <c r="C519" s="14" t="str">
        <f>HYPERLINK("http://uswest.ensembl.org/Homo_sapiens/Gene/Summary?g=ENSG00000134899","ENSG00000134899")</f>
        <v>ENSG00000134899</v>
      </c>
      <c r="D519" s="14" t="s">
        <v>238</v>
      </c>
      <c r="E519" s="14" t="str">
        <f>HYPERLINK("http://www.ncbi.nlm.nih.gov/sites/entrez?db=gene&amp;cmd=Retrieve&amp;dopt=full_report&amp;list_uids=2073","2073")</f>
        <v>2073</v>
      </c>
      <c r="F519" s="14" t="s">
        <v>239</v>
      </c>
      <c r="G519" s="14" t="s">
        <v>298</v>
      </c>
      <c r="H519" s="19" t="s">
        <v>253</v>
      </c>
      <c r="I519" s="19" t="s">
        <v>224</v>
      </c>
      <c r="J519" s="15" t="s">
        <v>225</v>
      </c>
      <c r="K519" s="16">
        <v>175.549352</v>
      </c>
      <c r="L519" s="17">
        <v>247.39020500000001</v>
      </c>
      <c r="M519" s="18">
        <f t="shared" si="8"/>
        <v>1.4092345097349035</v>
      </c>
    </row>
    <row r="520" spans="1:13">
      <c r="A520" s="13" t="s">
        <v>226</v>
      </c>
      <c r="B520" s="14" t="s">
        <v>226</v>
      </c>
      <c r="C520" s="14" t="str">
        <f>HYPERLINK("http://uswest.ensembl.org/Homo_sapiens/Gene/Summary?g=ENSG00000175606","ENSG00000175606")</f>
        <v>ENSG00000175606</v>
      </c>
      <c r="D520" s="14" t="s">
        <v>227</v>
      </c>
      <c r="E520" s="14" t="str">
        <f>HYPERLINK("http://www.ncbi.nlm.nih.gov/sites/entrez?db=gene&amp;cmd=Retrieve&amp;dopt=full_report&amp;list_uids=54968","54968")</f>
        <v>54968</v>
      </c>
      <c r="F520" s="14" t="s">
        <v>228</v>
      </c>
      <c r="G520" s="14" t="s">
        <v>229</v>
      </c>
      <c r="H520" s="14" t="s">
        <v>8728</v>
      </c>
      <c r="I520" s="14" t="s">
        <v>8728</v>
      </c>
      <c r="J520" s="15" t="s">
        <v>8698</v>
      </c>
      <c r="K520" s="16">
        <v>368.56418600000001</v>
      </c>
      <c r="L520" s="17">
        <v>519.34577999999999</v>
      </c>
      <c r="M520" s="18">
        <f t="shared" si="8"/>
        <v>1.4091053871414407</v>
      </c>
    </row>
    <row r="521" spans="1:13">
      <c r="A521" s="13" t="s">
        <v>230</v>
      </c>
      <c r="B521" s="14" t="s">
        <v>230</v>
      </c>
      <c r="C521" s="14" t="str">
        <f>HYPERLINK("http://uswest.ensembl.org/Homo_sapiens/Gene/Summary?g=","-")</f>
        <v>-</v>
      </c>
      <c r="D521" s="14" t="s">
        <v>231</v>
      </c>
      <c r="E521" s="14" t="str">
        <f>HYPERLINK("http://www.ncbi.nlm.nih.gov/sites/entrez?db=gene&amp;cmd=Retrieve&amp;dopt=full_report&amp;list_uids=83640","83640")</f>
        <v>83640</v>
      </c>
      <c r="F521" s="14" t="s">
        <v>260</v>
      </c>
      <c r="G521" s="14" t="s">
        <v>261</v>
      </c>
      <c r="H521" s="14" t="s">
        <v>8728</v>
      </c>
      <c r="I521" s="14" t="s">
        <v>8728</v>
      </c>
      <c r="J521" s="15" t="s">
        <v>8728</v>
      </c>
      <c r="K521" s="16">
        <v>331.62703900000002</v>
      </c>
      <c r="L521" s="17">
        <v>467.13521500000002</v>
      </c>
      <c r="M521" s="18">
        <f t="shared" si="8"/>
        <v>1.4086161864503455</v>
      </c>
    </row>
    <row r="522" spans="1:13">
      <c r="A522" s="13" t="s">
        <v>272</v>
      </c>
      <c r="B522" s="14" t="s">
        <v>272</v>
      </c>
      <c r="C522" s="14" t="str">
        <f>HYPERLINK("http://uswest.ensembl.org/Homo_sapiens/Gene/Summary?g=ENSG00000189015","ENSG00000189015")</f>
        <v>ENSG00000189015</v>
      </c>
      <c r="D522" s="14" t="s">
        <v>8728</v>
      </c>
      <c r="E522" s="14" t="str">
        <f>HYPERLINK("http://www.ncbi.nlm.nih.gov/sites/entrez?db=gene&amp;cmd=Retrieve&amp;dopt=full_report&amp;list_uids=","-")</f>
        <v>-</v>
      </c>
      <c r="F522" s="14" t="s">
        <v>273</v>
      </c>
      <c r="G522" s="14" t="s">
        <v>8728</v>
      </c>
      <c r="H522" s="14" t="s">
        <v>8728</v>
      </c>
      <c r="I522" s="14" t="s">
        <v>8728</v>
      </c>
      <c r="J522" s="15" t="s">
        <v>8728</v>
      </c>
      <c r="K522" s="16">
        <v>1238.2553519999999</v>
      </c>
      <c r="L522" s="17">
        <v>1742.96856</v>
      </c>
      <c r="M522" s="18">
        <f t="shared" si="8"/>
        <v>1.4076002636974674</v>
      </c>
    </row>
    <row r="523" spans="1:13">
      <c r="A523" s="13" t="s">
        <v>274</v>
      </c>
      <c r="B523" s="14" t="s">
        <v>274</v>
      </c>
      <c r="C523" s="14" t="str">
        <f>HYPERLINK("http://uswest.ensembl.org/Homo_sapiens/Gene/Summary?g=","-")</f>
        <v>-</v>
      </c>
      <c r="D523" s="14" t="s">
        <v>8728</v>
      </c>
      <c r="E523" s="14" t="str">
        <f>HYPERLINK("http://www.ncbi.nlm.nih.gov/sites/entrez?db=gene&amp;cmd=Retrieve&amp;dopt=full_report&amp;list_uids=643043","643043")</f>
        <v>643043</v>
      </c>
      <c r="F523" s="14" t="s">
        <v>275</v>
      </c>
      <c r="G523" s="14" t="s">
        <v>8728</v>
      </c>
      <c r="H523" s="14" t="s">
        <v>8728</v>
      </c>
      <c r="I523" s="14" t="s">
        <v>8728</v>
      </c>
      <c r="J523" s="15" t="s">
        <v>8728</v>
      </c>
      <c r="K523" s="16">
        <v>29.037754</v>
      </c>
      <c r="L523" s="17">
        <v>40.849930000000001</v>
      </c>
      <c r="M523" s="18">
        <f t="shared" si="8"/>
        <v>1.4067868334444875</v>
      </c>
    </row>
    <row r="524" spans="1:13">
      <c r="A524" s="13" t="s">
        <v>276</v>
      </c>
      <c r="B524" s="14" t="s">
        <v>276</v>
      </c>
      <c r="C524" s="14" t="str">
        <f>HYPERLINK("http://uswest.ensembl.org/Homo_sapiens/Gene/Summary?g=ENSG00000132716","ENSG00000132716")</f>
        <v>ENSG00000132716</v>
      </c>
      <c r="D524" s="14" t="s">
        <v>277</v>
      </c>
      <c r="E524" s="14" t="str">
        <f>HYPERLINK("http://www.ncbi.nlm.nih.gov/sites/entrez?db=gene&amp;cmd=Retrieve&amp;dopt=full_report&amp;list_uids=50717","50717")</f>
        <v>50717</v>
      </c>
      <c r="F524" s="14" t="s">
        <v>278</v>
      </c>
      <c r="G524" s="14" t="s">
        <v>279</v>
      </c>
      <c r="H524" s="14" t="s">
        <v>8728</v>
      </c>
      <c r="I524" s="14" t="s">
        <v>8728</v>
      </c>
      <c r="J524" s="15" t="s">
        <v>8728</v>
      </c>
      <c r="K524" s="16">
        <v>27.436446</v>
      </c>
      <c r="L524" s="17">
        <v>38.595582</v>
      </c>
      <c r="M524" s="18">
        <f t="shared" si="8"/>
        <v>1.4067267312974865</v>
      </c>
    </row>
    <row r="525" spans="1:13">
      <c r="A525" s="13" t="s">
        <v>280</v>
      </c>
      <c r="B525" s="14" t="s">
        <v>280</v>
      </c>
      <c r="C525" s="14" t="str">
        <f>HYPERLINK("http://uswest.ensembl.org/Homo_sapiens/Gene/Summary?g=ENSG00000081177","ENSG00000081177")</f>
        <v>ENSG00000081177</v>
      </c>
      <c r="D525" s="14" t="s">
        <v>4507</v>
      </c>
      <c r="E525" s="14" t="str">
        <f>HYPERLINK("http://www.ncbi.nlm.nih.gov/sites/entrez?db=gene&amp;cmd=Retrieve&amp;dopt=full_report&amp;list_uids=55218","55218")</f>
        <v>55218</v>
      </c>
      <c r="F525" s="14" t="s">
        <v>4508</v>
      </c>
      <c r="G525" s="14" t="s">
        <v>4509</v>
      </c>
      <c r="H525" s="14" t="s">
        <v>4511</v>
      </c>
      <c r="I525" s="14" t="s">
        <v>4529</v>
      </c>
      <c r="J525" s="15" t="s">
        <v>8707</v>
      </c>
      <c r="K525" s="16">
        <v>27.329671000000001</v>
      </c>
      <c r="L525" s="17">
        <v>38.430878</v>
      </c>
      <c r="M525" s="18">
        <f t="shared" si="8"/>
        <v>1.4061961448419924</v>
      </c>
    </row>
    <row r="526" spans="1:13">
      <c r="A526" s="13" t="s">
        <v>210</v>
      </c>
      <c r="B526" s="14" t="s">
        <v>210</v>
      </c>
      <c r="C526" s="14" t="str">
        <f>HYPERLINK("http://uswest.ensembl.org/Homo_sapiens/Gene/Summary?g=","-")</f>
        <v>-</v>
      </c>
      <c r="D526" s="14" t="s">
        <v>211</v>
      </c>
      <c r="E526" s="14" t="str">
        <f>HYPERLINK("http://www.ncbi.nlm.nih.gov/sites/entrez?db=gene&amp;cmd=Retrieve&amp;dopt=full_report&amp;list_uids=64225","64225")</f>
        <v>64225</v>
      </c>
      <c r="F526" s="14" t="s">
        <v>212</v>
      </c>
      <c r="G526" s="14" t="s">
        <v>213</v>
      </c>
      <c r="H526" s="14" t="s">
        <v>8728</v>
      </c>
      <c r="I526" s="14" t="s">
        <v>8599</v>
      </c>
      <c r="J526" s="15" t="s">
        <v>7988</v>
      </c>
      <c r="K526" s="16">
        <v>66.066128000000006</v>
      </c>
      <c r="L526" s="17">
        <v>92.854112999999998</v>
      </c>
      <c r="M526" s="18">
        <f t="shared" si="8"/>
        <v>1.405472301933602</v>
      </c>
    </row>
    <row r="527" spans="1:13">
      <c r="A527" s="13" t="s">
        <v>214</v>
      </c>
      <c r="B527" s="14" t="s">
        <v>214</v>
      </c>
      <c r="C527" s="14" t="str">
        <f>HYPERLINK("http://uswest.ensembl.org/Homo_sapiens/Gene/Summary?g=ENSG00000160957","ENSG00000160957")</f>
        <v>ENSG00000160957</v>
      </c>
      <c r="D527" s="14" t="s">
        <v>8728</v>
      </c>
      <c r="E527" s="14" t="str">
        <f>HYPERLINK("http://www.ncbi.nlm.nih.gov/sites/entrez?db=gene&amp;cmd=Retrieve&amp;dopt=full_report&amp;list_uids=9401","9401")</f>
        <v>9401</v>
      </c>
      <c r="F527" s="14" t="s">
        <v>215</v>
      </c>
      <c r="G527" s="14" t="s">
        <v>216</v>
      </c>
      <c r="H527" s="19" t="s">
        <v>232</v>
      </c>
      <c r="I527" s="14" t="s">
        <v>184</v>
      </c>
      <c r="J527" s="15" t="s">
        <v>8608</v>
      </c>
      <c r="K527" s="16">
        <v>44.827342000000002</v>
      </c>
      <c r="L527" s="17">
        <v>62.997621000000002</v>
      </c>
      <c r="M527" s="18">
        <f t="shared" si="8"/>
        <v>1.4053392012401718</v>
      </c>
    </row>
    <row r="528" spans="1:13">
      <c r="A528" s="13" t="s">
        <v>185</v>
      </c>
      <c r="B528" s="14" t="s">
        <v>185</v>
      </c>
      <c r="C528" s="14" t="str">
        <f>HYPERLINK("http://uswest.ensembl.org/Homo_sapiens/Gene/Summary?g=ENSG00000178449","ENSG00000178449")</f>
        <v>ENSG00000178449</v>
      </c>
      <c r="D528" s="14" t="s">
        <v>186</v>
      </c>
      <c r="E528" s="14" t="str">
        <f>HYPERLINK("http://www.ncbi.nlm.nih.gov/sites/entrez?db=gene&amp;cmd=Retrieve&amp;dopt=full_report&amp;list_uids=84987","84987")</f>
        <v>84987</v>
      </c>
      <c r="F528" s="14" t="s">
        <v>187</v>
      </c>
      <c r="G528" s="14" t="s">
        <v>217</v>
      </c>
      <c r="H528" s="14" t="s">
        <v>8728</v>
      </c>
      <c r="I528" s="14" t="s">
        <v>8728</v>
      </c>
      <c r="J528" s="15" t="s">
        <v>8698</v>
      </c>
      <c r="K528" s="16">
        <v>546.15278799999999</v>
      </c>
      <c r="L528" s="17">
        <v>767.456637</v>
      </c>
      <c r="M528" s="18">
        <f t="shared" si="8"/>
        <v>1.4052050156338303</v>
      </c>
    </row>
    <row r="529" spans="1:13">
      <c r="A529" s="13" t="s">
        <v>197</v>
      </c>
      <c r="B529" s="14" t="s">
        <v>197</v>
      </c>
      <c r="C529" s="14" t="str">
        <f>HYPERLINK("http://uswest.ensembl.org/Homo_sapiens/Gene/Summary?g=ENSG00000067836","ENSG00000067836")</f>
        <v>ENSG00000067836</v>
      </c>
      <c r="D529" s="14" t="s">
        <v>240</v>
      </c>
      <c r="E529" s="14" t="str">
        <f>HYPERLINK("http://www.ncbi.nlm.nih.gov/sites/entrez?db=gene&amp;cmd=Retrieve&amp;dopt=full_report&amp;list_uids=79641","79641")</f>
        <v>79641</v>
      </c>
      <c r="F529" s="14" t="s">
        <v>241</v>
      </c>
      <c r="G529" s="14" t="s">
        <v>242</v>
      </c>
      <c r="H529" s="14" t="s">
        <v>8728</v>
      </c>
      <c r="I529" s="14" t="s">
        <v>8728</v>
      </c>
      <c r="J529" s="15" t="s">
        <v>8707</v>
      </c>
      <c r="K529" s="16">
        <v>164.256888</v>
      </c>
      <c r="L529" s="17">
        <v>230.74832499999999</v>
      </c>
      <c r="M529" s="18">
        <f t="shared" si="8"/>
        <v>1.4048015143206658</v>
      </c>
    </row>
    <row r="530" spans="1:13">
      <c r="A530" s="13" t="s">
        <v>243</v>
      </c>
      <c r="B530" s="14" t="s">
        <v>243</v>
      </c>
      <c r="C530" s="14" t="str">
        <f>HYPERLINK("http://uswest.ensembl.org/Homo_sapiens/Gene/Summary?g=","-")</f>
        <v>-</v>
      </c>
      <c r="D530" s="14" t="s">
        <v>244</v>
      </c>
      <c r="E530" s="14" t="str">
        <f>HYPERLINK("http://www.ncbi.nlm.nih.gov/sites/entrez?db=gene&amp;cmd=Retrieve&amp;dopt=full_report&amp;list_uids=158787","158787")</f>
        <v>158787</v>
      </c>
      <c r="F530" s="14" t="s">
        <v>245</v>
      </c>
      <c r="G530" s="14" t="s">
        <v>246</v>
      </c>
      <c r="H530" s="14" t="s">
        <v>8728</v>
      </c>
      <c r="I530" s="14" t="s">
        <v>8728</v>
      </c>
      <c r="J530" s="15" t="s">
        <v>8728</v>
      </c>
      <c r="K530" s="16">
        <v>25.589832999999999</v>
      </c>
      <c r="L530" s="17">
        <v>35.947338000000002</v>
      </c>
      <c r="M530" s="18">
        <f t="shared" si="8"/>
        <v>1.404750785204421</v>
      </c>
    </row>
    <row r="531" spans="1:13">
      <c r="A531" s="13" t="s">
        <v>247</v>
      </c>
      <c r="B531" s="14" t="s">
        <v>247</v>
      </c>
      <c r="C531" s="14" t="str">
        <f>HYPERLINK("http://uswest.ensembl.org/Homo_sapiens/Gene/Summary?g=","-")</f>
        <v>-</v>
      </c>
      <c r="D531" s="14" t="s">
        <v>248</v>
      </c>
      <c r="E531" s="14" t="str">
        <f>HYPERLINK("http://www.ncbi.nlm.nih.gov/sites/entrez?db=gene&amp;cmd=Retrieve&amp;dopt=full_report&amp;list_uids=7803","7803")</f>
        <v>7803</v>
      </c>
      <c r="F531" s="14" t="s">
        <v>249</v>
      </c>
      <c r="G531" s="14" t="s">
        <v>219</v>
      </c>
      <c r="H531" s="14" t="s">
        <v>202</v>
      </c>
      <c r="I531" s="14" t="s">
        <v>203</v>
      </c>
      <c r="J531" s="15" t="s">
        <v>204</v>
      </c>
      <c r="K531" s="16">
        <v>841.19064300000002</v>
      </c>
      <c r="L531" s="17">
        <v>1181.647559</v>
      </c>
      <c r="M531" s="18">
        <f t="shared" si="8"/>
        <v>1.4047321719911237</v>
      </c>
    </row>
    <row r="532" spans="1:13">
      <c r="A532" s="13" t="s">
        <v>206</v>
      </c>
      <c r="B532" s="14" t="s">
        <v>206</v>
      </c>
      <c r="C532" s="14" t="str">
        <f>HYPERLINK("http://uswest.ensembl.org/Homo_sapiens/Gene/Summary?g=ENSG00000118707","ENSG00000118707")</f>
        <v>ENSG00000118707</v>
      </c>
      <c r="D532" s="14" t="s">
        <v>207</v>
      </c>
      <c r="E532" s="14" t="str">
        <f>HYPERLINK("http://www.ncbi.nlm.nih.gov/sites/entrez?db=gene&amp;cmd=Retrieve&amp;dopt=full_report&amp;list_uids=60436","60436")</f>
        <v>60436</v>
      </c>
      <c r="F532" s="14" t="s">
        <v>208</v>
      </c>
      <c r="G532" s="14" t="s">
        <v>209</v>
      </c>
      <c r="H532" s="14" t="s">
        <v>8163</v>
      </c>
      <c r="I532" s="14" t="s">
        <v>8557</v>
      </c>
      <c r="J532" s="15" t="s">
        <v>8558</v>
      </c>
      <c r="K532" s="16">
        <v>37.554098000000003</v>
      </c>
      <c r="L532" s="17">
        <v>52.735460000000003</v>
      </c>
      <c r="M532" s="18">
        <f t="shared" si="8"/>
        <v>1.4042531390315911</v>
      </c>
    </row>
    <row r="533" spans="1:13">
      <c r="A533" s="13" t="s">
        <v>183</v>
      </c>
      <c r="B533" s="14" t="s">
        <v>183</v>
      </c>
      <c r="C533" s="14" t="str">
        <f>HYPERLINK("http://uswest.ensembl.org/Homo_sapiens/Gene/Summary?g=ENSG00000167881","ENSG00000167881")</f>
        <v>ENSG00000167881</v>
      </c>
      <c r="D533" s="14" t="s">
        <v>148</v>
      </c>
      <c r="E533" s="14" t="str">
        <f>HYPERLINK("http://www.ncbi.nlm.nih.gov/sites/entrez?db=gene&amp;cmd=Retrieve&amp;dopt=full_report&amp;list_uids=","-")</f>
        <v>-</v>
      </c>
      <c r="F533" s="14" t="s">
        <v>149</v>
      </c>
      <c r="G533" s="14" t="s">
        <v>150</v>
      </c>
      <c r="H533" s="14" t="s">
        <v>8728</v>
      </c>
      <c r="I533" s="14" t="s">
        <v>8728</v>
      </c>
      <c r="J533" s="15" t="s">
        <v>8728</v>
      </c>
      <c r="K533" s="16">
        <v>166.903369</v>
      </c>
      <c r="L533" s="17">
        <v>234.25621899999999</v>
      </c>
      <c r="M533" s="18">
        <f t="shared" si="8"/>
        <v>1.4035439811883006</v>
      </c>
    </row>
    <row r="534" spans="1:13">
      <c r="A534" s="13" t="s">
        <v>151</v>
      </c>
      <c r="B534" s="14" t="s">
        <v>151</v>
      </c>
      <c r="C534" s="14" t="str">
        <f>HYPERLINK("http://uswest.ensembl.org/Homo_sapiens/Gene/Summary?g=ENSG00000108515","ENSG00000108515")</f>
        <v>ENSG00000108515</v>
      </c>
      <c r="D534" s="14" t="s">
        <v>152</v>
      </c>
      <c r="E534" s="14" t="str">
        <f>HYPERLINK("http://www.ncbi.nlm.nih.gov/sites/entrez?db=gene&amp;cmd=Retrieve&amp;dopt=full_report&amp;list_uids=2027","2027")</f>
        <v>2027</v>
      </c>
      <c r="F534" s="14" t="s">
        <v>153</v>
      </c>
      <c r="G534" s="14" t="s">
        <v>188</v>
      </c>
      <c r="H534" s="14" t="s">
        <v>2467</v>
      </c>
      <c r="I534" s="14" t="s">
        <v>189</v>
      </c>
      <c r="J534" s="15" t="s">
        <v>190</v>
      </c>
      <c r="K534" s="16">
        <v>48.909326999999998</v>
      </c>
      <c r="L534" s="17">
        <v>68.642904000000001</v>
      </c>
      <c r="M534" s="18">
        <f t="shared" si="8"/>
        <v>1.4034726750584812</v>
      </c>
    </row>
    <row r="535" spans="1:13">
      <c r="A535" s="13" t="s">
        <v>191</v>
      </c>
      <c r="B535" s="14" t="s">
        <v>191</v>
      </c>
      <c r="C535" s="14" t="str">
        <f>HYPERLINK("http://uswest.ensembl.org/Homo_sapiens/Gene/Summary?g=ENSG00000139726","ENSG00000139726")</f>
        <v>ENSG00000139726</v>
      </c>
      <c r="D535" s="14" t="s">
        <v>8728</v>
      </c>
      <c r="E535" s="14" t="str">
        <f>HYPERLINK("http://www.ncbi.nlm.nih.gov/sites/entrez?db=gene&amp;cmd=Retrieve&amp;dopt=full_report&amp;list_uids=8562","8562")</f>
        <v>8562</v>
      </c>
      <c r="F535" s="14" t="s">
        <v>192</v>
      </c>
      <c r="G535" s="14" t="s">
        <v>218</v>
      </c>
      <c r="H535" s="14" t="s">
        <v>267</v>
      </c>
      <c r="I535" s="14" t="s">
        <v>268</v>
      </c>
      <c r="J535" s="15" t="s">
        <v>7768</v>
      </c>
      <c r="K535" s="16">
        <v>320.55528900000002</v>
      </c>
      <c r="L535" s="17">
        <v>449.79909500000002</v>
      </c>
      <c r="M535" s="18">
        <f t="shared" si="8"/>
        <v>1.4031872517317909</v>
      </c>
    </row>
    <row r="536" spans="1:13">
      <c r="A536" s="13" t="s">
        <v>269</v>
      </c>
      <c r="B536" s="14" t="s">
        <v>269</v>
      </c>
      <c r="C536" s="14" t="str">
        <f>HYPERLINK("http://uswest.ensembl.org/Homo_sapiens/Gene/Summary?g=ENSG00000166295","ENSG00000166295")</f>
        <v>ENSG00000166295</v>
      </c>
      <c r="D536" s="14" t="s">
        <v>270</v>
      </c>
      <c r="E536" s="14" t="str">
        <f>HYPERLINK("http://www.ncbi.nlm.nih.gov/sites/entrez?db=gene&amp;cmd=Retrieve&amp;dopt=full_report&amp;list_uids=119504","119504")</f>
        <v>119504</v>
      </c>
      <c r="F536" s="14" t="s">
        <v>271</v>
      </c>
      <c r="G536" s="14" t="s">
        <v>193</v>
      </c>
      <c r="H536" s="14" t="s">
        <v>8728</v>
      </c>
      <c r="I536" s="14" t="s">
        <v>8728</v>
      </c>
      <c r="J536" s="15" t="s">
        <v>8728</v>
      </c>
      <c r="K536" s="16">
        <v>563.71029599999997</v>
      </c>
      <c r="L536" s="17">
        <v>790.95710099999997</v>
      </c>
      <c r="M536" s="18">
        <f t="shared" si="8"/>
        <v>1.4031269370322093</v>
      </c>
    </row>
    <row r="537" spans="1:13">
      <c r="A537" s="13" t="s">
        <v>194</v>
      </c>
      <c r="B537" s="14" t="s">
        <v>194</v>
      </c>
      <c r="C537" s="14" t="str">
        <f>HYPERLINK("http://uswest.ensembl.org/Homo_sapiens/Gene/Summary?g=ENSG00000182512","ENSG00000182512")</f>
        <v>ENSG00000182512</v>
      </c>
      <c r="D537" s="14" t="s">
        <v>195</v>
      </c>
      <c r="E537" s="14" t="str">
        <f>HYPERLINK("http://www.ncbi.nlm.nih.gov/sites/entrez?db=gene&amp;cmd=Retrieve&amp;dopt=full_report&amp;list_uids=51218","51218")</f>
        <v>51218</v>
      </c>
      <c r="F537" s="14" t="s">
        <v>196</v>
      </c>
      <c r="G537" s="14" t="s">
        <v>156</v>
      </c>
      <c r="H537" s="14" t="s">
        <v>2191</v>
      </c>
      <c r="I537" s="14" t="s">
        <v>157</v>
      </c>
      <c r="J537" s="15" t="s">
        <v>158</v>
      </c>
      <c r="K537" s="16">
        <v>364.852124</v>
      </c>
      <c r="L537" s="17">
        <v>511.88331799999997</v>
      </c>
      <c r="M537" s="18">
        <f t="shared" si="8"/>
        <v>1.4029884556736196</v>
      </c>
    </row>
    <row r="538" spans="1:13">
      <c r="A538" s="13" t="s">
        <v>159</v>
      </c>
      <c r="B538" s="14" t="s">
        <v>159</v>
      </c>
      <c r="C538" s="14" t="str">
        <f>HYPERLINK("http://uswest.ensembl.org/Homo_sapiens/Gene/Summary?g=ENSG00000110700","ENSG00000110700")</f>
        <v>ENSG00000110700</v>
      </c>
      <c r="D538" s="14" t="s">
        <v>160</v>
      </c>
      <c r="E538" s="14" t="str">
        <f>HYPERLINK("http://www.ncbi.nlm.nih.gov/sites/entrez?db=gene&amp;cmd=Retrieve&amp;dopt=full_report&amp;list_uids=6207","6207")</f>
        <v>6207</v>
      </c>
      <c r="F538" s="14" t="s">
        <v>161</v>
      </c>
      <c r="G538" s="14" t="s">
        <v>162</v>
      </c>
      <c r="H538" s="14" t="s">
        <v>163</v>
      </c>
      <c r="I538" s="14" t="s">
        <v>127</v>
      </c>
      <c r="J538" s="15" t="s">
        <v>128</v>
      </c>
      <c r="K538" s="16">
        <v>5822.7145010000004</v>
      </c>
      <c r="L538" s="17">
        <v>8169.1880350000001</v>
      </c>
      <c r="M538" s="18">
        <f t="shared" si="8"/>
        <v>1.4029861903064307</v>
      </c>
    </row>
    <row r="539" spans="1:13">
      <c r="A539" s="13" t="s">
        <v>220</v>
      </c>
      <c r="B539" s="14" t="s">
        <v>220</v>
      </c>
      <c r="C539" s="14" t="str">
        <f>HYPERLINK("http://uswest.ensembl.org/Homo_sapiens/Gene/Summary?g=ENSG00000140006","ENSG00000140006")</f>
        <v>ENSG00000140006</v>
      </c>
      <c r="D539" s="14" t="s">
        <v>221</v>
      </c>
      <c r="E539" s="14" t="str">
        <f>HYPERLINK("http://www.ncbi.nlm.nih.gov/sites/entrez?db=gene&amp;cmd=Retrieve&amp;dopt=full_report&amp;list_uids=112840","112840")</f>
        <v>112840</v>
      </c>
      <c r="F539" s="14" t="s">
        <v>222</v>
      </c>
      <c r="G539" s="14" t="s">
        <v>223</v>
      </c>
      <c r="H539" s="14" t="s">
        <v>8728</v>
      </c>
      <c r="I539" s="14" t="s">
        <v>8728</v>
      </c>
      <c r="J539" s="15" t="s">
        <v>8560</v>
      </c>
      <c r="K539" s="16">
        <v>52.824165999999998</v>
      </c>
      <c r="L539" s="17">
        <v>74.096050000000005</v>
      </c>
      <c r="M539" s="18">
        <f t="shared" si="8"/>
        <v>1.4026922829221764</v>
      </c>
    </row>
    <row r="540" spans="1:13">
      <c r="A540" s="13" t="s">
        <v>173</v>
      </c>
      <c r="B540" s="14" t="s">
        <v>173</v>
      </c>
      <c r="C540" s="14" t="str">
        <f>HYPERLINK("http://uswest.ensembl.org/Homo_sapiens/Gene/Summary?g=ENSG00000115233","ENSG00000115233")</f>
        <v>ENSG00000115233</v>
      </c>
      <c r="D540" s="14" t="s">
        <v>8728</v>
      </c>
      <c r="E540" s="14" t="str">
        <f>HYPERLINK("http://www.ncbi.nlm.nih.gov/sites/entrez?db=gene&amp;cmd=Retrieve&amp;dopt=full_report&amp;list_uids=10213","10213")</f>
        <v>10213</v>
      </c>
      <c r="F540" s="14" t="s">
        <v>174</v>
      </c>
      <c r="G540" s="14" t="s">
        <v>175</v>
      </c>
      <c r="H540" s="19" t="s">
        <v>205</v>
      </c>
      <c r="I540" s="14" t="s">
        <v>8665</v>
      </c>
      <c r="J540" s="15" t="s">
        <v>6481</v>
      </c>
      <c r="K540" s="16">
        <v>720.71323099999995</v>
      </c>
      <c r="L540" s="17">
        <v>1010.929916</v>
      </c>
      <c r="M540" s="18">
        <f t="shared" si="8"/>
        <v>1.4026798350813128</v>
      </c>
    </row>
    <row r="541" spans="1:13">
      <c r="A541" s="13" t="s">
        <v>182</v>
      </c>
      <c r="B541" s="14" t="s">
        <v>182</v>
      </c>
      <c r="C541" s="14" t="str">
        <f>HYPERLINK("http://uswest.ensembl.org/Homo_sapiens/Gene/Summary?g=ENSG00000100568","ENSG00000100568")</f>
        <v>ENSG00000100568</v>
      </c>
      <c r="D541" s="14" t="s">
        <v>140</v>
      </c>
      <c r="E541" s="14" t="str">
        <f>HYPERLINK("http://www.ncbi.nlm.nih.gov/sites/entrez?db=gene&amp;cmd=Retrieve&amp;dopt=full_report&amp;list_uids=10490","10490")</f>
        <v>10490</v>
      </c>
      <c r="F541" s="14" t="s">
        <v>141</v>
      </c>
      <c r="G541" s="14" t="s">
        <v>142</v>
      </c>
      <c r="H541" s="14" t="s">
        <v>143</v>
      </c>
      <c r="I541" s="14" t="s">
        <v>8665</v>
      </c>
      <c r="J541" s="15" t="s">
        <v>144</v>
      </c>
      <c r="K541" s="16">
        <v>500.83617400000003</v>
      </c>
      <c r="L541" s="17">
        <v>702.42242399999998</v>
      </c>
      <c r="M541" s="18">
        <f t="shared" si="8"/>
        <v>1.4024993809652415</v>
      </c>
    </row>
    <row r="542" spans="1:13">
      <c r="A542" s="13" t="s">
        <v>145</v>
      </c>
      <c r="B542" s="14" t="s">
        <v>145</v>
      </c>
      <c r="C542" s="14" t="str">
        <f>HYPERLINK("http://uswest.ensembl.org/Homo_sapiens/Gene/Summary?g=","-")</f>
        <v>-</v>
      </c>
      <c r="D542" s="14" t="s">
        <v>146</v>
      </c>
      <c r="E542" s="14" t="str">
        <f>HYPERLINK("http://www.ncbi.nlm.nih.gov/sites/entrez?db=gene&amp;cmd=Retrieve&amp;dopt=full_report&amp;list_uids=55365","55365")</f>
        <v>55365</v>
      </c>
      <c r="F542" s="14" t="s">
        <v>147</v>
      </c>
      <c r="G542" s="14" t="s">
        <v>114</v>
      </c>
      <c r="H542" s="14" t="s">
        <v>8623</v>
      </c>
      <c r="I542" s="14" t="s">
        <v>3167</v>
      </c>
      <c r="J542" s="15" t="s">
        <v>8698</v>
      </c>
      <c r="K542" s="16">
        <v>24.704260000000001</v>
      </c>
      <c r="L542" s="17">
        <v>34.647275999999998</v>
      </c>
      <c r="M542" s="18">
        <f t="shared" si="8"/>
        <v>1.4024818391645812</v>
      </c>
    </row>
    <row r="543" spans="1:13">
      <c r="A543" s="13" t="s">
        <v>115</v>
      </c>
      <c r="B543" s="14" t="s">
        <v>115</v>
      </c>
      <c r="C543" s="14" t="str">
        <f>HYPERLINK("http://uswest.ensembl.org/Homo_sapiens/Gene/Summary?g=ENSG00000067113","ENSG00000067113")</f>
        <v>ENSG00000067113</v>
      </c>
      <c r="D543" s="14" t="s">
        <v>116</v>
      </c>
      <c r="E543" s="14" t="str">
        <f>HYPERLINK("http://www.ncbi.nlm.nih.gov/sites/entrez?db=gene&amp;cmd=Retrieve&amp;dopt=full_report&amp;list_uids=8611","8611")</f>
        <v>8611</v>
      </c>
      <c r="F543" s="14" t="s">
        <v>117</v>
      </c>
      <c r="G543" s="14" t="s">
        <v>118</v>
      </c>
      <c r="H543" s="14" t="s">
        <v>8728</v>
      </c>
      <c r="I543" s="14" t="s">
        <v>7575</v>
      </c>
      <c r="J543" s="15" t="s">
        <v>8691</v>
      </c>
      <c r="K543" s="16">
        <v>3595.3676799999998</v>
      </c>
      <c r="L543" s="17">
        <v>5041.5082350000002</v>
      </c>
      <c r="M543" s="18">
        <f t="shared" si="8"/>
        <v>1.4022232727530111</v>
      </c>
    </row>
    <row r="544" spans="1:13">
      <c r="A544" s="13" t="s">
        <v>120</v>
      </c>
      <c r="B544" s="14" t="s">
        <v>120</v>
      </c>
      <c r="C544" s="14" t="str">
        <f>HYPERLINK("http://uswest.ensembl.org/Homo_sapiens/Gene/Summary?g=ENSG00000151332","ENSG00000151332")</f>
        <v>ENSG00000151332</v>
      </c>
      <c r="D544" s="14" t="s">
        <v>121</v>
      </c>
      <c r="E544" s="14" t="str">
        <f>HYPERLINK("http://www.ncbi.nlm.nih.gov/sites/entrez?db=gene&amp;cmd=Retrieve&amp;dopt=full_report&amp;list_uids=51562","51562")</f>
        <v>51562</v>
      </c>
      <c r="F544" s="14" t="s">
        <v>122</v>
      </c>
      <c r="G544" s="14" t="s">
        <v>123</v>
      </c>
      <c r="H544" s="14" t="s">
        <v>124</v>
      </c>
      <c r="I544" s="14" t="s">
        <v>125</v>
      </c>
      <c r="J544" s="15" t="s">
        <v>8726</v>
      </c>
      <c r="K544" s="16">
        <v>117.88330500000001</v>
      </c>
      <c r="L544" s="17">
        <v>165.25135299999999</v>
      </c>
      <c r="M544" s="18">
        <f t="shared" si="8"/>
        <v>1.4018215132329381</v>
      </c>
    </row>
    <row r="545" spans="1:13">
      <c r="A545" s="13" t="s">
        <v>126</v>
      </c>
      <c r="B545" s="14" t="s">
        <v>126</v>
      </c>
      <c r="C545" s="14" t="str">
        <f>HYPERLINK("http://uswest.ensembl.org/Homo_sapiens/Gene/Summary?g=","-")</f>
        <v>-</v>
      </c>
      <c r="D545" s="14" t="s">
        <v>95</v>
      </c>
      <c r="E545" s="14" t="str">
        <f>HYPERLINK("http://www.ncbi.nlm.nih.gov/sites/entrez?db=gene&amp;cmd=Retrieve&amp;dopt=full_report&amp;list_uids=7417","7417")</f>
        <v>7417</v>
      </c>
      <c r="F545" s="14" t="s">
        <v>96</v>
      </c>
      <c r="G545" s="14" t="s">
        <v>97</v>
      </c>
      <c r="H545" s="14" t="s">
        <v>7450</v>
      </c>
      <c r="I545" s="14" t="s">
        <v>98</v>
      </c>
      <c r="J545" s="15" t="s">
        <v>99</v>
      </c>
      <c r="K545" s="16">
        <v>207.69938300000001</v>
      </c>
      <c r="L545" s="17">
        <v>291.10975500000001</v>
      </c>
      <c r="M545" s="18">
        <f t="shared" si="8"/>
        <v>1.4015918140690866</v>
      </c>
    </row>
    <row r="546" spans="1:13">
      <c r="A546" s="13" t="s">
        <v>129</v>
      </c>
      <c r="B546" s="14" t="s">
        <v>129</v>
      </c>
      <c r="C546" s="14" t="str">
        <f>HYPERLINK("http://uswest.ensembl.org/Homo_sapiens/Gene/Summary?g=ENSG00000176890","ENSG00000176890")</f>
        <v>ENSG00000176890</v>
      </c>
      <c r="D546" s="14" t="s">
        <v>130</v>
      </c>
      <c r="E546" s="14" t="str">
        <f>HYPERLINK("http://www.ncbi.nlm.nih.gov/sites/entrez?db=gene&amp;cmd=Retrieve&amp;dopt=full_report&amp;list_uids=","-")</f>
        <v>-</v>
      </c>
      <c r="F546" s="14" t="s">
        <v>131</v>
      </c>
      <c r="G546" s="14" t="s">
        <v>132</v>
      </c>
      <c r="H546" s="14" t="s">
        <v>198</v>
      </c>
      <c r="I546" s="14" t="s">
        <v>176</v>
      </c>
      <c r="J546" s="15" t="s">
        <v>8728</v>
      </c>
      <c r="K546" s="16">
        <v>926.119866</v>
      </c>
      <c r="L546" s="17">
        <v>1297.925424</v>
      </c>
      <c r="M546" s="18">
        <f t="shared" si="8"/>
        <v>1.4014659134846805</v>
      </c>
    </row>
    <row r="547" spans="1:13">
      <c r="A547" s="13" t="s">
        <v>177</v>
      </c>
      <c r="B547" s="14" t="s">
        <v>177</v>
      </c>
      <c r="C547" s="14" t="str">
        <f>HYPERLINK("http://uswest.ensembl.org/Homo_sapiens/Gene/Summary?g=","-")</f>
        <v>-</v>
      </c>
      <c r="D547" s="14" t="s">
        <v>178</v>
      </c>
      <c r="E547" s="14" t="str">
        <f>HYPERLINK("http://www.ncbi.nlm.nih.gov/sites/entrez?db=gene&amp;cmd=Retrieve&amp;dopt=full_report&amp;list_uids=4247","4247")</f>
        <v>4247</v>
      </c>
      <c r="F547" s="14" t="s">
        <v>179</v>
      </c>
      <c r="G547" s="19" t="s">
        <v>180</v>
      </c>
      <c r="H547" s="14" t="s">
        <v>181</v>
      </c>
      <c r="I547" s="14" t="s">
        <v>7932</v>
      </c>
      <c r="J547" s="15" t="s">
        <v>139</v>
      </c>
      <c r="K547" s="16">
        <v>298.462538</v>
      </c>
      <c r="L547" s="17">
        <v>418.28180400000002</v>
      </c>
      <c r="M547" s="18">
        <f t="shared" si="8"/>
        <v>1.4014549591480054</v>
      </c>
    </row>
    <row r="548" spans="1:13">
      <c r="A548" s="13" t="s">
        <v>170</v>
      </c>
      <c r="B548" s="14" t="s">
        <v>170</v>
      </c>
      <c r="C548" s="14" t="str">
        <f>HYPERLINK("http://uswest.ensembl.org/Homo_sapiens/Gene/Summary?g=ENSG00000143543","ENSG00000143543")</f>
        <v>ENSG00000143543</v>
      </c>
      <c r="D548" s="14" t="s">
        <v>171</v>
      </c>
      <c r="E548" s="14" t="str">
        <f>HYPERLINK("http://www.ncbi.nlm.nih.gov/sites/entrez?db=gene&amp;cmd=Retrieve&amp;dopt=full_report&amp;list_uids=10899","10899")</f>
        <v>10899</v>
      </c>
      <c r="F548" s="14" t="s">
        <v>172</v>
      </c>
      <c r="G548" s="14" t="s">
        <v>113</v>
      </c>
      <c r="H548" s="14" t="s">
        <v>8728</v>
      </c>
      <c r="I548" s="14" t="s">
        <v>8728</v>
      </c>
      <c r="J548" s="15" t="s">
        <v>69</v>
      </c>
      <c r="K548" s="16">
        <v>1139.647659</v>
      </c>
      <c r="L548" s="17">
        <v>1596.890271</v>
      </c>
      <c r="M548" s="18">
        <f t="shared" si="8"/>
        <v>1.4012140141640039</v>
      </c>
    </row>
    <row r="549" spans="1:13">
      <c r="A549" s="13" t="s">
        <v>70</v>
      </c>
      <c r="B549" s="14" t="s">
        <v>70</v>
      </c>
      <c r="C549" s="14" t="str">
        <f>HYPERLINK("http://uswest.ensembl.org/Homo_sapiens/Gene/Summary?g=","-")</f>
        <v>-</v>
      </c>
      <c r="D549" s="14" t="s">
        <v>71</v>
      </c>
      <c r="E549" s="14" t="str">
        <f>HYPERLINK("http://www.ncbi.nlm.nih.gov/sites/entrez?db=gene&amp;cmd=Retrieve&amp;dopt=full_report&amp;list_uids=4861","4861")</f>
        <v>4861</v>
      </c>
      <c r="F549" s="14" t="s">
        <v>72</v>
      </c>
      <c r="G549" s="14" t="s">
        <v>73</v>
      </c>
      <c r="H549" s="19" t="s">
        <v>119</v>
      </c>
      <c r="I549" s="14" t="s">
        <v>5840</v>
      </c>
      <c r="J549" s="15" t="s">
        <v>7831</v>
      </c>
      <c r="K549" s="16">
        <v>27.943863</v>
      </c>
      <c r="L549" s="17">
        <v>39.154896999999998</v>
      </c>
      <c r="M549" s="18">
        <f t="shared" si="8"/>
        <v>1.4011984312977772</v>
      </c>
    </row>
    <row r="550" spans="1:13">
      <c r="A550" s="13" t="s">
        <v>154</v>
      </c>
      <c r="B550" s="14" t="s">
        <v>154</v>
      </c>
      <c r="C550" s="14" t="str">
        <f>HYPERLINK("http://uswest.ensembl.org/Homo_sapiens/Gene/Summary?g=ENSG00000119523","ENSG00000119523")</f>
        <v>ENSG00000119523</v>
      </c>
      <c r="D550" s="14" t="s">
        <v>155</v>
      </c>
      <c r="E550" s="14" t="str">
        <f>HYPERLINK("http://www.ncbi.nlm.nih.gov/sites/entrez?db=gene&amp;cmd=Retrieve&amp;dopt=full_report&amp;list_uids=","-")</f>
        <v>-</v>
      </c>
      <c r="F550" s="14" t="s">
        <v>2622</v>
      </c>
      <c r="G550" s="14" t="s">
        <v>2637</v>
      </c>
      <c r="H550" s="14" t="s">
        <v>4296</v>
      </c>
      <c r="I550" s="14" t="s">
        <v>8728</v>
      </c>
      <c r="J550" s="15" t="s">
        <v>8728</v>
      </c>
      <c r="K550" s="16">
        <v>105.088762</v>
      </c>
      <c r="L550" s="17">
        <v>147.23264499999999</v>
      </c>
      <c r="M550" s="18">
        <f t="shared" si="8"/>
        <v>1.4010313015201377</v>
      </c>
    </row>
    <row r="551" spans="1:13">
      <c r="A551" s="13" t="s">
        <v>93</v>
      </c>
      <c r="B551" s="14" t="s">
        <v>93</v>
      </c>
      <c r="C551" s="14" t="str">
        <f>HYPERLINK("http://uswest.ensembl.org/Homo_sapiens/Gene/Summary?g=ENSG00000118640","ENSG00000118640")</f>
        <v>ENSG00000118640</v>
      </c>
      <c r="D551" s="14" t="s">
        <v>94</v>
      </c>
      <c r="E551" s="14" t="str">
        <f>HYPERLINK("http://www.ncbi.nlm.nih.gov/sites/entrez?db=gene&amp;cmd=Retrieve&amp;dopt=full_report&amp;list_uids=","-")</f>
        <v>-</v>
      </c>
      <c r="F551" s="14" t="s">
        <v>2148</v>
      </c>
      <c r="G551" s="14" t="s">
        <v>2149</v>
      </c>
      <c r="H551" s="14" t="s">
        <v>8053</v>
      </c>
      <c r="I551" s="14" t="s">
        <v>8728</v>
      </c>
      <c r="J551" s="15" t="s">
        <v>8669</v>
      </c>
      <c r="K551" s="16">
        <v>663.57790499999999</v>
      </c>
      <c r="L551" s="17">
        <v>929.06071999999995</v>
      </c>
      <c r="M551" s="18">
        <f t="shared" si="8"/>
        <v>1.4000778401444816</v>
      </c>
    </row>
    <row r="552" spans="1:13">
      <c r="A552" s="13" t="s">
        <v>42</v>
      </c>
      <c r="B552" s="14" t="s">
        <v>42</v>
      </c>
      <c r="C552" s="14" t="str">
        <f>HYPERLINK("http://uswest.ensembl.org/Homo_sapiens/Gene/Summary?g=","-")</f>
        <v>-</v>
      </c>
      <c r="D552" s="14" t="s">
        <v>43</v>
      </c>
      <c r="E552" s="14" t="str">
        <f>HYPERLINK("http://www.ncbi.nlm.nih.gov/sites/entrez?db=gene&amp;cmd=Retrieve&amp;dopt=full_report&amp;list_uids=64777","64777")</f>
        <v>64777</v>
      </c>
      <c r="F552" s="14" t="s">
        <v>44</v>
      </c>
      <c r="G552" s="14" t="s">
        <v>100</v>
      </c>
      <c r="H552" s="14" t="s">
        <v>8728</v>
      </c>
      <c r="I552" s="14" t="s">
        <v>8728</v>
      </c>
      <c r="J552" s="15" t="s">
        <v>8728</v>
      </c>
      <c r="K552" s="16">
        <v>59.601348999999999</v>
      </c>
      <c r="L552" s="17">
        <v>83.442608000000007</v>
      </c>
      <c r="M552" s="18">
        <f t="shared" si="8"/>
        <v>1.4000120701965992</v>
      </c>
    </row>
    <row r="553" spans="1:13">
      <c r="A553" s="13" t="s">
        <v>101</v>
      </c>
      <c r="B553" s="14" t="s">
        <v>101</v>
      </c>
      <c r="C553" s="14" t="str">
        <f>HYPERLINK("http://uswest.ensembl.org/Homo_sapiens/Gene/Summary?g=ENSG00000124383","ENSG00000124383")</f>
        <v>ENSG00000124383</v>
      </c>
      <c r="D553" s="14" t="s">
        <v>102</v>
      </c>
      <c r="E553" s="14" t="str">
        <f>HYPERLINK("http://www.ncbi.nlm.nih.gov/sites/entrez?db=gene&amp;cmd=Retrieve&amp;dopt=full_report&amp;list_uids=10199","10199")</f>
        <v>10199</v>
      </c>
      <c r="F553" s="14" t="s">
        <v>103</v>
      </c>
      <c r="G553" s="14" t="s">
        <v>199</v>
      </c>
      <c r="H553" s="14" t="s">
        <v>200</v>
      </c>
      <c r="I553" s="14" t="s">
        <v>201</v>
      </c>
      <c r="J553" s="15" t="s">
        <v>138</v>
      </c>
      <c r="K553" s="16">
        <v>283.86225899999999</v>
      </c>
      <c r="L553" s="17">
        <v>397.35435100000001</v>
      </c>
      <c r="M553" s="18">
        <f t="shared" si="8"/>
        <v>1.3998139534287297</v>
      </c>
    </row>
    <row r="554" spans="1:13">
      <c r="A554" s="13" t="s">
        <v>62</v>
      </c>
      <c r="B554" s="14" t="s">
        <v>62</v>
      </c>
      <c r="C554" s="14" t="str">
        <f>HYPERLINK("http://uswest.ensembl.org/Homo_sapiens/Gene/Summary?g=ENSG00000101084","ENSG00000101084")</f>
        <v>ENSG00000101084</v>
      </c>
      <c r="D554" s="14" t="s">
        <v>63</v>
      </c>
      <c r="E554" s="14" t="str">
        <f>HYPERLINK("http://www.ncbi.nlm.nih.gov/sites/entrez?db=gene&amp;cmd=Retrieve&amp;dopt=full_report&amp;list_uids=","-")</f>
        <v>-</v>
      </c>
      <c r="F554" s="14" t="s">
        <v>64</v>
      </c>
      <c r="G554" s="14" t="s">
        <v>65</v>
      </c>
      <c r="H554" s="14" t="s">
        <v>8728</v>
      </c>
      <c r="I554" s="14" t="s">
        <v>8728</v>
      </c>
      <c r="J554" s="15" t="s">
        <v>8728</v>
      </c>
      <c r="K554" s="16">
        <v>1524.096763</v>
      </c>
      <c r="L554" s="17">
        <v>2133.1230660000001</v>
      </c>
      <c r="M554" s="18">
        <f t="shared" si="8"/>
        <v>1.3995981867983274</v>
      </c>
    </row>
    <row r="555" spans="1:13">
      <c r="A555" s="13" t="s">
        <v>66</v>
      </c>
      <c r="B555" s="14" t="s">
        <v>66</v>
      </c>
      <c r="C555" s="14" t="str">
        <f>HYPERLINK("http://uswest.ensembl.org/Homo_sapiens/Gene/Summary?g=","-")</f>
        <v>-</v>
      </c>
      <c r="D555" s="14" t="s">
        <v>67</v>
      </c>
      <c r="E555" s="14" t="str">
        <f>HYPERLINK("http://www.ncbi.nlm.nih.gov/sites/entrez?db=gene&amp;cmd=Retrieve&amp;dopt=full_report&amp;list_uids=56904","56904")</f>
        <v>56904</v>
      </c>
      <c r="F555" s="14" t="s">
        <v>68</v>
      </c>
      <c r="G555" s="14" t="s">
        <v>167</v>
      </c>
      <c r="H555" s="14" t="s">
        <v>8728</v>
      </c>
      <c r="I555" s="14" t="s">
        <v>8665</v>
      </c>
      <c r="J555" s="15" t="s">
        <v>8619</v>
      </c>
      <c r="K555" s="16">
        <v>22.237257</v>
      </c>
      <c r="L555" s="17">
        <v>31.122150000000001</v>
      </c>
      <c r="M555" s="18">
        <f t="shared" si="8"/>
        <v>1.3995498635465697</v>
      </c>
    </row>
    <row r="556" spans="1:13">
      <c r="A556" s="13" t="s">
        <v>168</v>
      </c>
      <c r="B556" s="14" t="s">
        <v>168</v>
      </c>
      <c r="C556" s="14" t="str">
        <f>HYPERLINK("http://uswest.ensembl.org/Homo_sapiens/Gene/Summary?g=","-")</f>
        <v>-</v>
      </c>
      <c r="D556" s="14" t="s">
        <v>169</v>
      </c>
      <c r="E556" s="14" t="str">
        <f>HYPERLINK("http://www.ncbi.nlm.nih.gov/sites/entrez?db=gene&amp;cmd=Retrieve&amp;dopt=full_report&amp;list_uids=6209","6209")</f>
        <v>6209</v>
      </c>
      <c r="F556" s="14" t="s">
        <v>59</v>
      </c>
      <c r="G556" s="14" t="s">
        <v>60</v>
      </c>
      <c r="H556" s="14" t="s">
        <v>61</v>
      </c>
      <c r="I556" s="14" t="s">
        <v>29</v>
      </c>
      <c r="J556" s="15" t="s">
        <v>30</v>
      </c>
      <c r="K556" s="16">
        <v>7977.9644330000001</v>
      </c>
      <c r="L556" s="17">
        <v>11162.751779</v>
      </c>
      <c r="M556" s="18">
        <f t="shared" si="8"/>
        <v>1.3991979874999776</v>
      </c>
    </row>
    <row r="557" spans="1:13">
      <c r="A557" s="13" t="s">
        <v>88</v>
      </c>
      <c r="B557" s="14" t="s">
        <v>88</v>
      </c>
      <c r="C557" s="14" t="str">
        <f>HYPERLINK("http://uswest.ensembl.org/Homo_sapiens/Gene/Summary?g=ENSG00000108861","ENSG00000108861")</f>
        <v>ENSG00000108861</v>
      </c>
      <c r="D557" s="14" t="s">
        <v>89</v>
      </c>
      <c r="E557" s="14" t="str">
        <f>HYPERLINK("http://www.ncbi.nlm.nih.gov/sites/entrez?db=gene&amp;cmd=Retrieve&amp;dopt=full_report&amp;list_uids=1845","1845")</f>
        <v>1845</v>
      </c>
      <c r="F557" s="14" t="s">
        <v>90</v>
      </c>
      <c r="G557" s="14" t="s">
        <v>91</v>
      </c>
      <c r="H557" s="14" t="s">
        <v>8559</v>
      </c>
      <c r="I557" s="14" t="s">
        <v>8207</v>
      </c>
      <c r="J557" s="15" t="s">
        <v>92</v>
      </c>
      <c r="K557" s="16">
        <v>109.49458</v>
      </c>
      <c r="L557" s="17">
        <v>153.15604099999999</v>
      </c>
      <c r="M557" s="18">
        <f t="shared" si="8"/>
        <v>1.3987545410923534</v>
      </c>
    </row>
    <row r="558" spans="1:13">
      <c r="A558" s="13" t="s">
        <v>134</v>
      </c>
      <c r="B558" s="14" t="s">
        <v>134</v>
      </c>
      <c r="C558" s="14" t="str">
        <f>HYPERLINK("http://uswest.ensembl.org/Homo_sapiens/Gene/Summary?g=","-")</f>
        <v>-</v>
      </c>
      <c r="D558" s="14" t="s">
        <v>135</v>
      </c>
      <c r="E558" s="14" t="str">
        <f>HYPERLINK("http://www.ncbi.nlm.nih.gov/sites/entrez?db=gene&amp;cmd=Retrieve&amp;dopt=full_report&amp;list_uids=79080","79080")</f>
        <v>79080</v>
      </c>
      <c r="F558" s="14" t="s">
        <v>136</v>
      </c>
      <c r="G558" s="14" t="s">
        <v>137</v>
      </c>
      <c r="H558" s="14" t="s">
        <v>7840</v>
      </c>
      <c r="I558" s="14" t="s">
        <v>8728</v>
      </c>
      <c r="J558" s="15" t="s">
        <v>8558</v>
      </c>
      <c r="K558" s="16">
        <v>72.771356999999995</v>
      </c>
      <c r="L558" s="17">
        <v>101.76034300000001</v>
      </c>
      <c r="M558" s="18">
        <f t="shared" si="8"/>
        <v>1.3983570898643545</v>
      </c>
    </row>
    <row r="559" spans="1:13">
      <c r="A559" s="13" t="s">
        <v>81</v>
      </c>
      <c r="B559" s="14" t="s">
        <v>81</v>
      </c>
      <c r="C559" s="14" t="str">
        <f>HYPERLINK("http://uswest.ensembl.org/Homo_sapiens/Gene/Summary?g=","-")</f>
        <v>-</v>
      </c>
      <c r="D559" s="14" t="s">
        <v>82</v>
      </c>
      <c r="E559" s="14" t="str">
        <f>HYPERLINK("http://www.ncbi.nlm.nih.gov/sites/entrez?db=gene&amp;cmd=Retrieve&amp;dopt=full_report&amp;list_uids=10105","10105")</f>
        <v>10105</v>
      </c>
      <c r="F559" s="14" t="s">
        <v>6306</v>
      </c>
      <c r="G559" s="14" t="s">
        <v>6307</v>
      </c>
      <c r="H559" s="14" t="s">
        <v>8671</v>
      </c>
      <c r="I559" s="14" t="s">
        <v>83</v>
      </c>
      <c r="J559" s="15" t="s">
        <v>84</v>
      </c>
      <c r="K559" s="16">
        <v>699.84974799999998</v>
      </c>
      <c r="L559" s="17">
        <v>978.59246499999995</v>
      </c>
      <c r="M559" s="18">
        <f t="shared" si="8"/>
        <v>1.3982893725354317</v>
      </c>
    </row>
    <row r="560" spans="1:13">
      <c r="A560" s="13" t="s">
        <v>85</v>
      </c>
      <c r="B560" s="14" t="s">
        <v>85</v>
      </c>
      <c r="C560" s="14" t="str">
        <f>HYPERLINK("http://uswest.ensembl.org/Homo_sapiens/Gene/Summary?g=ENSG00000138684","ENSG00000138684")</f>
        <v>ENSG00000138684</v>
      </c>
      <c r="D560" s="14" t="s">
        <v>86</v>
      </c>
      <c r="E560" s="14" t="str">
        <f>HYPERLINK("http://www.ncbi.nlm.nih.gov/sites/entrez?db=gene&amp;cmd=Retrieve&amp;dopt=full_report&amp;list_uids=59067","59067")</f>
        <v>59067</v>
      </c>
      <c r="F560" s="14" t="s">
        <v>87</v>
      </c>
      <c r="G560" s="14" t="s">
        <v>41</v>
      </c>
      <c r="H560" s="19" t="s">
        <v>10</v>
      </c>
      <c r="I560" s="14" t="s">
        <v>11</v>
      </c>
      <c r="J560" s="15" t="s">
        <v>8627</v>
      </c>
      <c r="K560" s="16">
        <v>32.106991999999998</v>
      </c>
      <c r="L560" s="17">
        <v>44.888950999999999</v>
      </c>
      <c r="M560" s="18">
        <f t="shared" si="8"/>
        <v>1.3981051541670426</v>
      </c>
    </row>
    <row r="561" spans="1:13">
      <c r="A561" s="13" t="s">
        <v>12</v>
      </c>
      <c r="B561" s="14" t="s">
        <v>12</v>
      </c>
      <c r="C561" s="14" t="str">
        <f>HYPERLINK("http://uswest.ensembl.org/Homo_sapiens/Gene/Summary?g=ENSG00000184991","ENSG00000184991")</f>
        <v>ENSG00000184991</v>
      </c>
      <c r="D561" s="14" t="s">
        <v>8728</v>
      </c>
      <c r="E561" s="14" t="str">
        <f>HYPERLINK("http://www.ncbi.nlm.nih.gov/sites/entrez?db=gene&amp;cmd=Retrieve&amp;dopt=full_report&amp;list_uids=","-")</f>
        <v>-</v>
      </c>
      <c r="F561" s="14" t="s">
        <v>13</v>
      </c>
      <c r="G561" s="14" t="s">
        <v>14</v>
      </c>
      <c r="H561" s="14" t="s">
        <v>8728</v>
      </c>
      <c r="I561" s="14" t="s">
        <v>8728</v>
      </c>
      <c r="J561" s="15" t="s">
        <v>8728</v>
      </c>
      <c r="K561" s="16">
        <v>105.495981</v>
      </c>
      <c r="L561" s="17">
        <v>147.44195199999999</v>
      </c>
      <c r="M561" s="18">
        <f t="shared" si="8"/>
        <v>1.3976072889449693</v>
      </c>
    </row>
    <row r="562" spans="1:13">
      <c r="A562" s="13" t="s">
        <v>15</v>
      </c>
      <c r="B562" s="14" t="s">
        <v>15</v>
      </c>
      <c r="C562" s="14" t="str">
        <f>HYPERLINK("http://uswest.ensembl.org/Homo_sapiens/Gene/Summary?g=","-")</f>
        <v>-</v>
      </c>
      <c r="D562" s="14" t="s">
        <v>16</v>
      </c>
      <c r="E562" s="14" t="str">
        <f>HYPERLINK("http://www.ncbi.nlm.nih.gov/sites/entrez?db=gene&amp;cmd=Retrieve&amp;dopt=full_report&amp;list_uids=10166","10166")</f>
        <v>10166</v>
      </c>
      <c r="F562" s="14" t="s">
        <v>17</v>
      </c>
      <c r="G562" s="14" t="s">
        <v>104</v>
      </c>
      <c r="H562" s="14" t="s">
        <v>105</v>
      </c>
      <c r="I562" s="14" t="s">
        <v>106</v>
      </c>
      <c r="J562" s="15" t="s">
        <v>2951</v>
      </c>
      <c r="K562" s="16">
        <v>19.542881999999999</v>
      </c>
      <c r="L562" s="17">
        <v>27.313254000000001</v>
      </c>
      <c r="M562" s="18">
        <f t="shared" si="8"/>
        <v>1.3976062486587189</v>
      </c>
    </row>
    <row r="563" spans="1:13">
      <c r="A563" s="13" t="s">
        <v>107</v>
      </c>
      <c r="B563" s="14" t="s">
        <v>107</v>
      </c>
      <c r="C563" s="14" t="str">
        <f>HYPERLINK("http://uswest.ensembl.org/Homo_sapiens/Gene/Summary?g=","-")</f>
        <v>-</v>
      </c>
      <c r="D563" s="14" t="s">
        <v>164</v>
      </c>
      <c r="E563" s="14" t="str">
        <f>HYPERLINK("http://www.ncbi.nlm.nih.gov/sites/entrez?db=gene&amp;cmd=Retrieve&amp;dopt=full_report&amp;list_uids=9581","9581")</f>
        <v>9581</v>
      </c>
      <c r="F563" s="14" t="s">
        <v>165</v>
      </c>
      <c r="G563" s="14" t="s">
        <v>166</v>
      </c>
      <c r="H563" s="14" t="s">
        <v>8623</v>
      </c>
      <c r="I563" s="14" t="s">
        <v>49</v>
      </c>
      <c r="J563" s="15" t="s">
        <v>8728</v>
      </c>
      <c r="K563" s="16">
        <v>36.354259999999996</v>
      </c>
      <c r="L563" s="17">
        <v>50.799332</v>
      </c>
      <c r="M563" s="18">
        <f t="shared" si="8"/>
        <v>1.3973419346178413</v>
      </c>
    </row>
    <row r="564" spans="1:13">
      <c r="A564" s="13" t="s">
        <v>50</v>
      </c>
      <c r="B564" s="14" t="s">
        <v>50</v>
      </c>
      <c r="C564" s="14" t="str">
        <f>HYPERLINK("http://uswest.ensembl.org/Homo_sapiens/Gene/Summary?g=ENSG00000213931","ENSG00000213931")</f>
        <v>ENSG00000213931</v>
      </c>
      <c r="D564" s="14" t="s">
        <v>51</v>
      </c>
      <c r="E564" s="14" t="str">
        <f>HYPERLINK("http://www.ncbi.nlm.nih.gov/sites/entrez?db=gene&amp;cmd=Retrieve&amp;dopt=full_report&amp;list_uids=","-")</f>
        <v>-</v>
      </c>
      <c r="F564" s="14" t="s">
        <v>52</v>
      </c>
      <c r="G564" s="14" t="s">
        <v>53</v>
      </c>
      <c r="H564" s="14" t="s">
        <v>54</v>
      </c>
      <c r="I564" s="14" t="s">
        <v>8322</v>
      </c>
      <c r="J564" s="15" t="s">
        <v>55</v>
      </c>
      <c r="K564" s="16">
        <v>541.535572</v>
      </c>
      <c r="L564" s="17">
        <v>756.59743600000002</v>
      </c>
      <c r="M564" s="18">
        <f t="shared" si="8"/>
        <v>1.3971334019771466</v>
      </c>
    </row>
    <row r="565" spans="1:13">
      <c r="A565" s="13" t="s">
        <v>56</v>
      </c>
      <c r="B565" s="14" t="s">
        <v>56</v>
      </c>
      <c r="C565" s="14" t="str">
        <f>HYPERLINK("http://uswest.ensembl.org/Homo_sapiens/Gene/Summary?g=ENSG00000166197","ENSG00000166197")</f>
        <v>ENSG00000166197</v>
      </c>
      <c r="D565" s="14" t="s">
        <v>57</v>
      </c>
      <c r="E565" s="14" t="str">
        <f>HYPERLINK("http://www.ncbi.nlm.nih.gov/sites/entrez?db=gene&amp;cmd=Retrieve&amp;dopt=full_report&amp;list_uids=9221","9221")</f>
        <v>9221</v>
      </c>
      <c r="F565" s="14" t="s">
        <v>58</v>
      </c>
      <c r="G565" s="14" t="s">
        <v>46</v>
      </c>
      <c r="H565" s="14" t="s">
        <v>47</v>
      </c>
      <c r="I565" s="14" t="s">
        <v>0</v>
      </c>
      <c r="J565" s="15" t="s">
        <v>1</v>
      </c>
      <c r="K565" s="16">
        <v>138.581728</v>
      </c>
      <c r="L565" s="17">
        <v>193.595778</v>
      </c>
      <c r="M565" s="18">
        <f t="shared" si="8"/>
        <v>1.3969791024686891</v>
      </c>
    </row>
    <row r="566" spans="1:13">
      <c r="A566" s="13" t="s">
        <v>2</v>
      </c>
      <c r="B566" s="14" t="s">
        <v>2</v>
      </c>
      <c r="C566" s="14" t="str">
        <f>HYPERLINK("http://uswest.ensembl.org/Homo_sapiens/Gene/Summary?g=ENSG00000144867","ENSG00000144867")</f>
        <v>ENSG00000144867</v>
      </c>
      <c r="D566" s="14" t="s">
        <v>3</v>
      </c>
      <c r="E566" s="14" t="str">
        <f>HYPERLINK("http://www.ncbi.nlm.nih.gov/sites/entrez?db=gene&amp;cmd=Retrieve&amp;dopt=full_report&amp;list_uids=58477","58477")</f>
        <v>58477</v>
      </c>
      <c r="F566" s="14" t="s">
        <v>4</v>
      </c>
      <c r="G566" s="14" t="s">
        <v>5</v>
      </c>
      <c r="H566" s="14" t="s">
        <v>6</v>
      </c>
      <c r="I566" s="14" t="s">
        <v>31</v>
      </c>
      <c r="J566" s="15" t="s">
        <v>32</v>
      </c>
      <c r="K566" s="16">
        <v>318.26851099999999</v>
      </c>
      <c r="L566" s="17">
        <v>444.52466399999997</v>
      </c>
      <c r="M566" s="18">
        <f t="shared" si="8"/>
        <v>1.396696966983328</v>
      </c>
    </row>
    <row r="567" spans="1:13">
      <c r="A567" s="13" t="s">
        <v>33</v>
      </c>
      <c r="B567" s="14" t="s">
        <v>33</v>
      </c>
      <c r="C567" s="14" t="str">
        <f>HYPERLINK("http://uswest.ensembl.org/Homo_sapiens/Gene/Summary?g=ENSG00000026103","ENSG00000026103")</f>
        <v>ENSG00000026103</v>
      </c>
      <c r="D567" s="14" t="s">
        <v>74</v>
      </c>
      <c r="E567" s="14" t="str">
        <f>HYPERLINK("http://www.ncbi.nlm.nih.gov/sites/entrez?db=gene&amp;cmd=Retrieve&amp;dopt=full_report&amp;list_uids=355","355")</f>
        <v>355</v>
      </c>
      <c r="F567" s="14" t="s">
        <v>75</v>
      </c>
      <c r="G567" s="14" t="s">
        <v>133</v>
      </c>
      <c r="H567" s="14" t="s">
        <v>7085</v>
      </c>
      <c r="I567" s="14" t="s">
        <v>4314</v>
      </c>
      <c r="J567" s="15" t="s">
        <v>8691</v>
      </c>
      <c r="K567" s="16">
        <v>125.587379</v>
      </c>
      <c r="L567" s="17">
        <v>175.402671</v>
      </c>
      <c r="M567" s="18">
        <f t="shared" si="8"/>
        <v>1.3966584253661349</v>
      </c>
    </row>
    <row r="568" spans="1:13">
      <c r="A568" s="13" t="s">
        <v>22</v>
      </c>
      <c r="B568" s="14" t="s">
        <v>22</v>
      </c>
      <c r="C568" s="14" t="str">
        <f>HYPERLINK("http://uswest.ensembl.org/Homo_sapiens/Gene/Summary?g=ENSG00000135093","ENSG00000135093")</f>
        <v>ENSG00000135093</v>
      </c>
      <c r="D568" s="14" t="s">
        <v>23</v>
      </c>
      <c r="E568" s="14" t="str">
        <f>HYPERLINK("http://www.ncbi.nlm.nih.gov/sites/entrez?db=gene&amp;cmd=Retrieve&amp;dopt=full_report&amp;list_uids=84749","84749")</f>
        <v>84749</v>
      </c>
      <c r="F568" s="14" t="s">
        <v>24</v>
      </c>
      <c r="G568" s="14" t="s">
        <v>76</v>
      </c>
      <c r="H568" s="14" t="s">
        <v>8600</v>
      </c>
      <c r="I568" s="14" t="s">
        <v>77</v>
      </c>
      <c r="J568" s="15" t="s">
        <v>8728</v>
      </c>
      <c r="K568" s="16">
        <v>22.600764000000002</v>
      </c>
      <c r="L568" s="17">
        <v>31.563870000000001</v>
      </c>
      <c r="M568" s="18">
        <f t="shared" si="8"/>
        <v>1.396584203967618</v>
      </c>
    </row>
    <row r="569" spans="1:13">
      <c r="A569" s="13" t="s">
        <v>78</v>
      </c>
      <c r="B569" s="14" t="s">
        <v>78</v>
      </c>
      <c r="C569" s="14" t="str">
        <f>HYPERLINK("http://uswest.ensembl.org/Homo_sapiens/Gene/Summary?g=ENSG00000105364","ENSG00000105364")</f>
        <v>ENSG00000105364</v>
      </c>
      <c r="D569" s="14" t="s">
        <v>79</v>
      </c>
      <c r="E569" s="14" t="str">
        <f>HYPERLINK("http://www.ncbi.nlm.nih.gov/sites/entrez?db=gene&amp;cmd=Retrieve&amp;dopt=full_report&amp;list_uids=51073","51073")</f>
        <v>51073</v>
      </c>
      <c r="F569" s="14" t="s">
        <v>80</v>
      </c>
      <c r="G569" s="14" t="s">
        <v>25</v>
      </c>
      <c r="H569" s="14" t="s">
        <v>7806</v>
      </c>
      <c r="I569" s="14" t="s">
        <v>7807</v>
      </c>
      <c r="J569" s="15" t="s">
        <v>7808</v>
      </c>
      <c r="K569" s="16">
        <v>79.668985000000006</v>
      </c>
      <c r="L569" s="17">
        <v>111.206298</v>
      </c>
      <c r="M569" s="18">
        <f t="shared" si="8"/>
        <v>1.3958543340297356</v>
      </c>
    </row>
    <row r="570" spans="1:13">
      <c r="A570" s="13" t="s">
        <v>26</v>
      </c>
      <c r="B570" s="14" t="s">
        <v>26</v>
      </c>
      <c r="C570" s="14" t="str">
        <f>HYPERLINK("http://uswest.ensembl.org/Homo_sapiens/Gene/Summary?g=ENSG00000170791","ENSG00000170791")</f>
        <v>ENSG00000170791</v>
      </c>
      <c r="D570" s="14" t="s">
        <v>27</v>
      </c>
      <c r="E570" s="14" t="str">
        <f>HYPERLINK("http://www.ncbi.nlm.nih.gov/sites/entrez?db=gene&amp;cmd=Retrieve&amp;dopt=full_report&amp;list_uids=79145","79145")</f>
        <v>79145</v>
      </c>
      <c r="F570" s="14" t="s">
        <v>28</v>
      </c>
      <c r="G570" s="14" t="s">
        <v>18</v>
      </c>
      <c r="H570" s="14" t="s">
        <v>8728</v>
      </c>
      <c r="I570" s="14" t="s">
        <v>8728</v>
      </c>
      <c r="J570" s="15" t="s">
        <v>8728</v>
      </c>
      <c r="K570" s="16">
        <v>212.48306400000001</v>
      </c>
      <c r="L570" s="17">
        <v>296.57611200000002</v>
      </c>
      <c r="M570" s="18">
        <f t="shared" si="8"/>
        <v>1.3957635324761695</v>
      </c>
    </row>
    <row r="571" spans="1:13">
      <c r="A571" s="13" t="s">
        <v>19</v>
      </c>
      <c r="B571" s="14" t="s">
        <v>19</v>
      </c>
      <c r="C571" s="14" t="str">
        <f>HYPERLINK("http://uswest.ensembl.org/Homo_sapiens/Gene/Summary?g=ENSG00000169413","ENSG00000169413")</f>
        <v>ENSG00000169413</v>
      </c>
      <c r="D571" s="14" t="s">
        <v>20</v>
      </c>
      <c r="E571" s="14" t="str">
        <f>HYPERLINK("http://www.ncbi.nlm.nih.gov/sites/entrez?db=gene&amp;cmd=Retrieve&amp;dopt=full_report&amp;list_uids=6039","6039")</f>
        <v>6039</v>
      </c>
      <c r="F571" s="14" t="s">
        <v>21</v>
      </c>
      <c r="G571" s="14" t="s">
        <v>45</v>
      </c>
      <c r="H571" s="14" t="s">
        <v>108</v>
      </c>
      <c r="I571" s="14" t="s">
        <v>2608</v>
      </c>
      <c r="J571" s="15" t="s">
        <v>8731</v>
      </c>
      <c r="K571" s="16">
        <v>60.614015999999999</v>
      </c>
      <c r="L571" s="17">
        <v>84.595511000000002</v>
      </c>
      <c r="M571" s="18">
        <f t="shared" si="8"/>
        <v>1.3956427338521837</v>
      </c>
    </row>
    <row r="572" spans="1:13">
      <c r="A572" s="13" t="s">
        <v>109</v>
      </c>
      <c r="B572" s="14" t="s">
        <v>109</v>
      </c>
      <c r="C572" s="14" t="str">
        <f>HYPERLINK("http://uswest.ensembl.org/Homo_sapiens/Gene/Summary?g=","-")</f>
        <v>-</v>
      </c>
      <c r="D572" s="14" t="s">
        <v>110</v>
      </c>
      <c r="E572" s="14" t="str">
        <f>HYPERLINK("http://www.ncbi.nlm.nih.gov/sites/entrez?db=gene&amp;cmd=Retrieve&amp;dopt=full_report&amp;list_uids=9939","9939")</f>
        <v>9939</v>
      </c>
      <c r="F572" s="14" t="s">
        <v>111</v>
      </c>
      <c r="G572" s="14" t="s">
        <v>112</v>
      </c>
      <c r="H572" s="14" t="s">
        <v>48</v>
      </c>
      <c r="I572" s="14" t="s">
        <v>7</v>
      </c>
      <c r="J572" s="15" t="s">
        <v>34</v>
      </c>
      <c r="K572" s="16">
        <v>58.585763</v>
      </c>
      <c r="L572" s="17">
        <v>81.762257000000005</v>
      </c>
      <c r="M572" s="18">
        <f t="shared" si="8"/>
        <v>1.3955994223374715</v>
      </c>
    </row>
    <row r="573" spans="1:13">
      <c r="A573" s="13" t="s">
        <v>35</v>
      </c>
      <c r="B573" s="14" t="s">
        <v>35</v>
      </c>
      <c r="C573" s="14" t="str">
        <f>HYPERLINK("http://uswest.ensembl.org/Homo_sapiens/Gene/Summary?g=","-")</f>
        <v>-</v>
      </c>
      <c r="D573" s="14" t="s">
        <v>36</v>
      </c>
      <c r="E573" s="14" t="str">
        <f>HYPERLINK("http://www.ncbi.nlm.nih.gov/sites/entrez?db=gene&amp;cmd=Retrieve&amp;dopt=full_report&amp;list_uids=401505","401505")</f>
        <v>401505</v>
      </c>
      <c r="F573" s="14" t="s">
        <v>37</v>
      </c>
      <c r="G573" s="14" t="s">
        <v>38</v>
      </c>
      <c r="H573" s="14" t="s">
        <v>39</v>
      </c>
      <c r="I573" s="14" t="s">
        <v>2715</v>
      </c>
      <c r="J573" s="15" t="s">
        <v>40</v>
      </c>
      <c r="K573" s="16">
        <v>419.61996399999998</v>
      </c>
      <c r="L573" s="17">
        <v>585.39819299999999</v>
      </c>
      <c r="M573" s="18">
        <f t="shared" si="8"/>
        <v>1.3950675449750527</v>
      </c>
    </row>
  </sheetData>
  <sortState ref="A3:P574">
    <sortCondition descending="1" ref="M4:M574"/>
  </sortState>
  <phoneticPr fontId="1"/>
  <conditionalFormatting sqref="K2:M573">
    <cfRule type="cellIs" dxfId="0" priority="0" stopIfTrue="1" operator="greaterThan">
      <formula>100</formula>
    </cfRule>
  </conditionalFormatting>
  <pageMargins left="0.78700000000000003" right="0.78700000000000003" top="0.98399999999999999" bottom="0.98399999999999999" header="0.51200000000000001" footer="0.5120000000000000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downregulated</vt:lpstr>
      <vt:lpstr>upregulated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Fujiwara Tohru</dc:creator>
  <cp:lastModifiedBy>Fujiwara Tohru</cp:lastModifiedBy>
  <dcterms:created xsi:type="dcterms:W3CDTF">2011-11-18T07:53:27Z</dcterms:created>
  <dcterms:modified xsi:type="dcterms:W3CDTF">2012-02-20T21:04:39Z</dcterms:modified>
</cp:coreProperties>
</file>