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sborne\Desktop\"/>
    </mc:Choice>
  </mc:AlternateContent>
  <bookViews>
    <workbookView xWindow="0" yWindow="0" windowWidth="15330" windowHeight="6645"/>
  </bookViews>
  <sheets>
    <sheet name="RCProgress 6-19-13" sheetId="1" r:id="rId1"/>
  </sheets>
  <definedNames>
    <definedName name="_xlnm._FilterDatabase" localSheetId="0" hidden="1">'RCProgress 6-19-13'!$F$1:$F$127</definedName>
  </definedNames>
  <calcPr calcId="152511"/>
</workbook>
</file>

<file path=xl/calcChain.xml><?xml version="1.0" encoding="utf-8"?>
<calcChain xmlns="http://schemas.openxmlformats.org/spreadsheetml/2006/main">
  <c r="C119" i="1" l="1"/>
  <c r="C46" i="1"/>
  <c r="C99" i="1"/>
  <c r="C73" i="1"/>
  <c r="C58" i="1"/>
  <c r="C57" i="1"/>
  <c r="C44" i="1"/>
  <c r="C111" i="1"/>
  <c r="C43" i="1"/>
  <c r="C93" i="1"/>
  <c r="C49" i="1"/>
  <c r="C97" i="1"/>
  <c r="C56" i="1"/>
  <c r="C71" i="1"/>
  <c r="C30" i="1"/>
  <c r="C68" i="1"/>
  <c r="C67" i="1"/>
  <c r="C118" i="1"/>
  <c r="C4" i="1"/>
  <c r="C107" i="1"/>
  <c r="C98" i="1"/>
  <c r="C41" i="1"/>
  <c r="C110" i="1"/>
  <c r="C17" i="1"/>
  <c r="C24" i="1"/>
  <c r="C103" i="1"/>
  <c r="C7" i="1"/>
  <c r="C63" i="1"/>
  <c r="C12" i="1"/>
  <c r="C72" i="1"/>
  <c r="C9" i="1"/>
  <c r="C115" i="1"/>
  <c r="C34" i="1"/>
  <c r="C95" i="1"/>
  <c r="C25" i="1"/>
  <c r="C11" i="1"/>
  <c r="C65" i="1"/>
  <c r="C87" i="1"/>
  <c r="C74" i="1"/>
  <c r="C19" i="1"/>
  <c r="C55" i="1"/>
  <c r="C20" i="1"/>
  <c r="C79" i="1"/>
  <c r="C31" i="1"/>
  <c r="C26" i="1"/>
  <c r="C105" i="1"/>
  <c r="C40" i="1"/>
  <c r="C16" i="1"/>
  <c r="C6" i="1"/>
  <c r="C29" i="1"/>
  <c r="C96" i="1"/>
  <c r="C85" i="1"/>
  <c r="C32" i="1"/>
  <c r="C23" i="1"/>
  <c r="C13" i="1"/>
  <c r="C64" i="1"/>
  <c r="C8" i="1"/>
  <c r="C45" i="1"/>
  <c r="C69" i="1"/>
  <c r="C70" i="1"/>
  <c r="C39" i="1"/>
  <c r="C50" i="1"/>
  <c r="C61" i="1"/>
  <c r="C88" i="1"/>
  <c r="C28" i="1"/>
  <c r="C60" i="1"/>
  <c r="C33" i="1"/>
  <c r="C52" i="1"/>
  <c r="C82" i="1"/>
  <c r="C90" i="1"/>
  <c r="C91" i="1"/>
  <c r="C109" i="1"/>
  <c r="C59" i="1"/>
  <c r="C38" i="1"/>
  <c r="C47" i="1"/>
  <c r="C2" i="1"/>
  <c r="C112" i="1"/>
  <c r="C100" i="1"/>
  <c r="C121" i="1"/>
  <c r="C18" i="1"/>
  <c r="C89" i="1"/>
  <c r="C48" i="1"/>
  <c r="C15" i="1"/>
  <c r="C42" i="1"/>
  <c r="C66" i="1"/>
  <c r="C94" i="1"/>
  <c r="C92" i="1"/>
  <c r="C80" i="1"/>
  <c r="C78" i="1"/>
  <c r="C81" i="1"/>
  <c r="C114" i="1"/>
  <c r="C35" i="1"/>
  <c r="C27" i="1"/>
  <c r="C75" i="1"/>
  <c r="C3" i="1"/>
  <c r="C10" i="1"/>
  <c r="C21" i="1"/>
  <c r="C76" i="1"/>
  <c r="C62" i="1"/>
  <c r="C51" i="1"/>
  <c r="C113" i="1"/>
  <c r="C5" i="1"/>
  <c r="C53" i="1"/>
  <c r="C116" i="1"/>
  <c r="C37" i="1"/>
  <c r="C108" i="1"/>
  <c r="C22" i="1"/>
  <c r="C14" i="1"/>
  <c r="C120" i="1"/>
  <c r="C104" i="1"/>
  <c r="C102" i="1"/>
  <c r="C54" i="1"/>
  <c r="C83" i="1"/>
  <c r="C106" i="1"/>
  <c r="C77" i="1"/>
  <c r="C86" i="1"/>
  <c r="C117" i="1"/>
  <c r="C36" i="1"/>
  <c r="C101" i="1"/>
  <c r="C84" i="1"/>
</calcChain>
</file>

<file path=xl/sharedStrings.xml><?xml version="1.0" encoding="utf-8"?>
<sst xmlns="http://schemas.openxmlformats.org/spreadsheetml/2006/main" count="367" uniqueCount="130">
  <si>
    <t>Manifest</t>
  </si>
  <si>
    <t>Submitter</t>
  </si>
  <si>
    <t>IRN</t>
  </si>
  <si>
    <t>Submission</t>
  </si>
  <si>
    <t>Version</t>
  </si>
  <si>
    <t>TimeStamp</t>
  </si>
  <si>
    <t>Stage</t>
  </si>
  <si>
    <t>UTREx ClearingHouse (2013DAILY)</t>
  </si>
  <si>
    <t>Academy For Math Engineering and Science (AMES)</t>
  </si>
  <si>
    <t>Processing Complete</t>
  </si>
  <si>
    <t>Alianza Acad</t>
  </si>
  <si>
    <t>Alpine District</t>
  </si>
  <si>
    <t>American Leadership Academy</t>
  </si>
  <si>
    <t>American Preparatory Academy</t>
  </si>
  <si>
    <t>Aristotle Academy</t>
  </si>
  <si>
    <t>Bear River Charter School</t>
  </si>
  <si>
    <t>Beaver District</t>
  </si>
  <si>
    <t>Beehive Science and Technology Academy (BSTA)</t>
  </si>
  <si>
    <t>Box Elder District</t>
  </si>
  <si>
    <t>CS Lewis Academy</t>
  </si>
  <si>
    <t>Canyon Rim Academy</t>
  </si>
  <si>
    <t>Carbon District</t>
  </si>
  <si>
    <t>Channing Hall</t>
  </si>
  <si>
    <t>Connections Academy</t>
  </si>
  <si>
    <t>Daggett District</t>
  </si>
  <si>
    <t>Davinci Academy</t>
  </si>
  <si>
    <t>Davis District</t>
  </si>
  <si>
    <t>Dual Immersion Academy</t>
  </si>
  <si>
    <t>Duchesne District</t>
  </si>
  <si>
    <t>Early Light Academy AT Daybreak</t>
  </si>
  <si>
    <t>East Hollywood High</t>
  </si>
  <si>
    <t>Edith Bowen Laboratory School</t>
  </si>
  <si>
    <t>Emery District</t>
  </si>
  <si>
    <t>Endeavor Hall</t>
  </si>
  <si>
    <t>Entheos Academy</t>
  </si>
  <si>
    <t>Excelsior Academy</t>
  </si>
  <si>
    <t>Fast Forward High</t>
  </si>
  <si>
    <t>Freedom Academy</t>
  </si>
  <si>
    <t>Garfield District</t>
  </si>
  <si>
    <t>Gateway Preparatory Academy</t>
  </si>
  <si>
    <t>George Washington Academy</t>
  </si>
  <si>
    <t>Good Foundation Academy</t>
  </si>
  <si>
    <t>Grand District</t>
  </si>
  <si>
    <t>Granite District</t>
  </si>
  <si>
    <t>Guadalupe School</t>
  </si>
  <si>
    <t>Hawthorn Academy</t>
  </si>
  <si>
    <t>HighMark Charter School</t>
  </si>
  <si>
    <t>Intech Collegiate High School</t>
  </si>
  <si>
    <t>Iron District</t>
  </si>
  <si>
    <t>Itineris Early College High</t>
  </si>
  <si>
    <t>John Hancock Charter School</t>
  </si>
  <si>
    <t>Juab District</t>
  </si>
  <si>
    <t>Kane District</t>
  </si>
  <si>
    <t>Karl G Maeser Preparatory Academy</t>
  </si>
  <si>
    <t>Lakeview Academy</t>
  </si>
  <si>
    <t>Legacy Prep</t>
  </si>
  <si>
    <t>Liberty Academy</t>
  </si>
  <si>
    <t>Lincoln Academy</t>
  </si>
  <si>
    <t>Logan District</t>
  </si>
  <si>
    <t>Maria Montessori Academy</t>
  </si>
  <si>
    <t>Merit College Preparatory Academy</t>
  </si>
  <si>
    <t>Millard District</t>
  </si>
  <si>
    <t>Moab Charter School</t>
  </si>
  <si>
    <t>Monticello Academy</t>
  </si>
  <si>
    <t>Morgan District</t>
  </si>
  <si>
    <t>Mountainville Academy</t>
  </si>
  <si>
    <t>Murray District</t>
  </si>
  <si>
    <t>NO UT Acad For Math Engineering and Science (NUAMES)</t>
  </si>
  <si>
    <t>Navigator Pointe Academy</t>
  </si>
  <si>
    <t>Noah Webster Academy</t>
  </si>
  <si>
    <t>North Davis Preparatory Academy</t>
  </si>
  <si>
    <t>North Sanpete District</t>
  </si>
  <si>
    <t>North Star Academy</t>
  </si>
  <si>
    <t>North Summit District</t>
  </si>
  <si>
    <t>Odyssey Charter School</t>
  </si>
  <si>
    <t>Ogden District</t>
  </si>
  <si>
    <t>Ogden Prep</t>
  </si>
  <si>
    <t>Open Classroom</t>
  </si>
  <si>
    <t>Open High School OF Utah</t>
  </si>
  <si>
    <t>Oquirrh Mountain Charter School</t>
  </si>
  <si>
    <t>Pacific Heritage Academy</t>
  </si>
  <si>
    <t>Paradigm High School</t>
  </si>
  <si>
    <t>Pinnacle Canyon Academy</t>
  </si>
  <si>
    <t>Pioneer High School for the Performing Arts</t>
  </si>
  <si>
    <t>Piute District</t>
  </si>
  <si>
    <t>Promontory School of Expeditionary Learning</t>
  </si>
  <si>
    <t>Providence Hall</t>
  </si>
  <si>
    <t>Provo District</t>
  </si>
  <si>
    <t>Quail Run Primary School</t>
  </si>
  <si>
    <t>Quest Academy</t>
  </si>
  <si>
    <t>Ranches Academy</t>
  </si>
  <si>
    <t>Reagan Academy</t>
  </si>
  <si>
    <t>Renaissance Academy</t>
  </si>
  <si>
    <t>Rich District</t>
  </si>
  <si>
    <t>Rockwell Charter High School</t>
  </si>
  <si>
    <t>Salt Lake Arts Academy</t>
  </si>
  <si>
    <t>Salt Lake Center For Science Education</t>
  </si>
  <si>
    <t>Salt Lake District</t>
  </si>
  <si>
    <t>Salt Lake School For The Performing Arts</t>
  </si>
  <si>
    <t>San Juan District</t>
  </si>
  <si>
    <t>Sevier District</t>
  </si>
  <si>
    <t>Soldier Hollow Charter School</t>
  </si>
  <si>
    <t>South Sanpete District</t>
  </si>
  <si>
    <t>South Summit District</t>
  </si>
  <si>
    <t>Spectrum Academy</t>
  </si>
  <si>
    <t>Success Academy</t>
  </si>
  <si>
    <t>Summit Academy High School</t>
  </si>
  <si>
    <t>Summit Academy</t>
  </si>
  <si>
    <t>Syracuse Arts Academy</t>
  </si>
  <si>
    <t>Thomas Edison - North</t>
  </si>
  <si>
    <t>Timpanogos Academy</t>
  </si>
  <si>
    <t>Tintic District</t>
  </si>
  <si>
    <t>Tooele District</t>
  </si>
  <si>
    <t>Tuacahn High School For The Performing Arts</t>
  </si>
  <si>
    <t>Uintah District</t>
  </si>
  <si>
    <t>Uintah River High</t>
  </si>
  <si>
    <t>Utah County Academy OF Science (UCAS)</t>
  </si>
  <si>
    <t>Utah Schools for Deaf &amp; Blind</t>
  </si>
  <si>
    <t>Utah Virtual Academy</t>
  </si>
  <si>
    <t>Valley Academy</t>
  </si>
  <si>
    <t>Venture Academy</t>
  </si>
  <si>
    <t>Vista AT Entrada School OF Performing Arts And Technology</t>
  </si>
  <si>
    <t>Walden School OF Liberal Arts</t>
  </si>
  <si>
    <t>Wasatch District</t>
  </si>
  <si>
    <t>Wasatch Peak Academy</t>
  </si>
  <si>
    <t>Washington District</t>
  </si>
  <si>
    <t>Wayne District</t>
  </si>
  <si>
    <t>Weber District</t>
  </si>
  <si>
    <t>Weilenmann School OF Discovery</t>
  </si>
  <si>
    <t xml:space="preserve">Processing Complete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</si>
</sst>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21" totalsRowShown="0">
  <autoFilter ref="A1:G1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Manifest"/>
    <tableColumn id="2" name="Submitter"/>
    <tableColumn id="3" name="IRN"/>
    <tableColumn id="4" name="Submission"/>
    <tableColumn id="5" name="Version"/>
    <tableColumn id="6" name="TimeStamp" dataDxfId="0"/>
    <tableColumn id="7" name="Stag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workbookViewId="0">
      <selection activeCell="B10" sqref="B10"/>
    </sheetView>
  </sheetViews>
  <sheetFormatPr defaultRowHeight="15" x14ac:dyDescent="0.25"/>
  <cols>
    <col min="1" max="1" width="31.28515625" bestFit="1" customWidth="1"/>
    <col min="2" max="2" width="55" bestFit="1" customWidth="1"/>
    <col min="3" max="3" width="6.28515625" customWidth="1"/>
    <col min="4" max="4" width="13.28515625" customWidth="1"/>
    <col min="5" max="5" width="10" customWidth="1"/>
    <col min="6" max="6" width="15.85546875" bestFit="1" customWidth="1"/>
    <col min="7" max="7" width="2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84</v>
      </c>
      <c r="C2" t="str">
        <f>"23"</f>
        <v>23</v>
      </c>
      <c r="D2">
        <v>5</v>
      </c>
      <c r="E2">
        <v>1.4</v>
      </c>
      <c r="F2" s="1">
        <v>41247.551180555558</v>
      </c>
      <c r="G2" t="s">
        <v>9</v>
      </c>
    </row>
    <row r="3" spans="1:7" x14ac:dyDescent="0.25">
      <c r="A3" t="s">
        <v>7</v>
      </c>
      <c r="B3" t="s">
        <v>103</v>
      </c>
      <c r="C3" t="str">
        <f>"28"</f>
        <v>28</v>
      </c>
      <c r="D3">
        <v>13</v>
      </c>
      <c r="E3">
        <v>1.8</v>
      </c>
      <c r="F3" s="1">
        <v>41388.456157407411</v>
      </c>
      <c r="G3" t="s">
        <v>9</v>
      </c>
    </row>
    <row r="4" spans="1:7" x14ac:dyDescent="0.25">
      <c r="A4" t="s">
        <v>7</v>
      </c>
      <c r="B4" t="s">
        <v>27</v>
      </c>
      <c r="C4" t="str">
        <f>"4E"</f>
        <v>4E</v>
      </c>
      <c r="D4">
        <v>9</v>
      </c>
      <c r="E4">
        <v>1.8</v>
      </c>
      <c r="F4" s="1">
        <v>41395.610347222224</v>
      </c>
      <c r="G4" t="s">
        <v>9</v>
      </c>
    </row>
    <row r="5" spans="1:7" x14ac:dyDescent="0.25">
      <c r="A5" t="s">
        <v>7</v>
      </c>
      <c r="B5" t="s">
        <v>110</v>
      </c>
      <c r="C5" t="str">
        <f>"95"</f>
        <v>95</v>
      </c>
      <c r="D5">
        <v>8</v>
      </c>
      <c r="E5">
        <v>1.8</v>
      </c>
      <c r="F5" s="1">
        <v>41395.67224537037</v>
      </c>
      <c r="G5" t="s">
        <v>9</v>
      </c>
    </row>
    <row r="6" spans="1:7" x14ac:dyDescent="0.25">
      <c r="A6" t="s">
        <v>7</v>
      </c>
      <c r="B6" t="s">
        <v>57</v>
      </c>
      <c r="C6" t="str">
        <f>"2B"</f>
        <v>2B</v>
      </c>
      <c r="D6">
        <v>11</v>
      </c>
      <c r="E6">
        <v>1.8</v>
      </c>
      <c r="F6" s="1">
        <v>41396.376493055555</v>
      </c>
      <c r="G6" t="s">
        <v>9</v>
      </c>
    </row>
    <row r="7" spans="1:7" x14ac:dyDescent="0.25">
      <c r="A7" t="s">
        <v>7</v>
      </c>
      <c r="B7" t="s">
        <v>35</v>
      </c>
      <c r="C7" t="str">
        <f>"7F"</f>
        <v>7F</v>
      </c>
      <c r="D7">
        <v>18</v>
      </c>
      <c r="E7">
        <v>1.8</v>
      </c>
      <c r="F7" s="1">
        <v>41400.394432870373</v>
      </c>
      <c r="G7" t="s">
        <v>9</v>
      </c>
    </row>
    <row r="8" spans="1:7" x14ac:dyDescent="0.25">
      <c r="A8" t="s">
        <v>7</v>
      </c>
      <c r="B8" t="s">
        <v>65</v>
      </c>
      <c r="C8" t="str">
        <f>"8C"</f>
        <v>8C</v>
      </c>
      <c r="D8">
        <v>16</v>
      </c>
      <c r="E8">
        <v>1.8</v>
      </c>
      <c r="F8" s="1">
        <v>41411.571886574071</v>
      </c>
      <c r="G8" t="s">
        <v>9</v>
      </c>
    </row>
    <row r="9" spans="1:7" x14ac:dyDescent="0.25">
      <c r="A9" t="s">
        <v>7</v>
      </c>
      <c r="B9" t="s">
        <v>39</v>
      </c>
      <c r="C9" t="str">
        <f>"7E"</f>
        <v>7E</v>
      </c>
      <c r="D9">
        <v>19</v>
      </c>
      <c r="E9">
        <v>1.8</v>
      </c>
      <c r="F9" s="1">
        <v>41417.378009259257</v>
      </c>
      <c r="G9" t="s">
        <v>9</v>
      </c>
    </row>
    <row r="10" spans="1:7" x14ac:dyDescent="0.25">
      <c r="A10" t="s">
        <v>7</v>
      </c>
      <c r="B10" t="s">
        <v>104</v>
      </c>
      <c r="C10" t="str">
        <f>"3D"</f>
        <v>3D</v>
      </c>
      <c r="D10">
        <v>16</v>
      </c>
      <c r="E10">
        <v>1.8</v>
      </c>
      <c r="F10" s="1">
        <v>41423.637858796297</v>
      </c>
      <c r="G10" t="s">
        <v>9</v>
      </c>
    </row>
    <row r="11" spans="1:7" x14ac:dyDescent="0.25">
      <c r="A11" t="s">
        <v>7</v>
      </c>
      <c r="B11" t="s">
        <v>44</v>
      </c>
      <c r="C11" t="str">
        <f>"1E"</f>
        <v>1E</v>
      </c>
      <c r="D11">
        <v>7</v>
      </c>
      <c r="E11">
        <v>1.8</v>
      </c>
      <c r="F11" s="1">
        <v>41425.647141203706</v>
      </c>
      <c r="G11" t="s">
        <v>9</v>
      </c>
    </row>
    <row r="12" spans="1:7" x14ac:dyDescent="0.25">
      <c r="A12" t="s">
        <v>7</v>
      </c>
      <c r="B12" t="s">
        <v>37</v>
      </c>
      <c r="C12" t="str">
        <f>"82"</f>
        <v>82</v>
      </c>
      <c r="D12">
        <v>37</v>
      </c>
      <c r="E12">
        <v>1.8</v>
      </c>
      <c r="F12" s="1">
        <v>41427.412777777776</v>
      </c>
      <c r="G12" t="s">
        <v>129</v>
      </c>
    </row>
    <row r="13" spans="1:7" x14ac:dyDescent="0.25">
      <c r="A13" t="s">
        <v>7</v>
      </c>
      <c r="B13" t="s">
        <v>63</v>
      </c>
      <c r="C13" t="str">
        <f>"7C"</f>
        <v>7C</v>
      </c>
      <c r="D13">
        <v>13</v>
      </c>
      <c r="E13">
        <v>1.8</v>
      </c>
      <c r="F13" s="1">
        <v>41428.46466435185</v>
      </c>
      <c r="G13" t="s">
        <v>9</v>
      </c>
    </row>
    <row r="14" spans="1:7" x14ac:dyDescent="0.25">
      <c r="A14" t="s">
        <v>7</v>
      </c>
      <c r="B14" t="s">
        <v>116</v>
      </c>
      <c r="C14" t="str">
        <f>"1B"</f>
        <v>1B</v>
      </c>
      <c r="D14">
        <v>23</v>
      </c>
      <c r="E14">
        <v>1.8</v>
      </c>
      <c r="F14" s="1">
        <v>41429.356319444443</v>
      </c>
      <c r="G14" t="s">
        <v>9</v>
      </c>
    </row>
    <row r="15" spans="1:7" x14ac:dyDescent="0.25">
      <c r="A15" t="s">
        <v>7</v>
      </c>
      <c r="B15" t="s">
        <v>91</v>
      </c>
      <c r="C15" t="str">
        <f>"7B"</f>
        <v>7B</v>
      </c>
      <c r="D15">
        <v>11</v>
      </c>
      <c r="E15">
        <v>1.8</v>
      </c>
      <c r="F15" s="1">
        <v>41429.478136574071</v>
      </c>
      <c r="G15" t="s">
        <v>9</v>
      </c>
    </row>
    <row r="16" spans="1:7" x14ac:dyDescent="0.25">
      <c r="A16" t="s">
        <v>7</v>
      </c>
      <c r="B16" t="s">
        <v>56</v>
      </c>
      <c r="C16" t="str">
        <f>"6C"</f>
        <v>6C</v>
      </c>
      <c r="D16">
        <v>34</v>
      </c>
      <c r="E16">
        <v>1.8</v>
      </c>
      <c r="F16" s="1">
        <v>41429.868483796294</v>
      </c>
      <c r="G16" t="s">
        <v>9</v>
      </c>
    </row>
    <row r="17" spans="1:7" x14ac:dyDescent="0.25">
      <c r="A17" t="s">
        <v>7</v>
      </c>
      <c r="B17" t="s">
        <v>32</v>
      </c>
      <c r="C17" t="str">
        <f>"09"</f>
        <v>09</v>
      </c>
      <c r="D17">
        <v>20</v>
      </c>
      <c r="E17">
        <v>1.8</v>
      </c>
      <c r="F17" s="1">
        <v>41430.253310185188</v>
      </c>
      <c r="G17" t="s">
        <v>9</v>
      </c>
    </row>
    <row r="18" spans="1:7" x14ac:dyDescent="0.25">
      <c r="A18" t="s">
        <v>7</v>
      </c>
      <c r="B18" t="s">
        <v>88</v>
      </c>
      <c r="C18" t="str">
        <f>"5G"</f>
        <v>5G</v>
      </c>
      <c r="D18">
        <v>15</v>
      </c>
      <c r="E18">
        <v>1.8</v>
      </c>
      <c r="F18" s="1">
        <v>41430.441377314812</v>
      </c>
      <c r="G18" t="s">
        <v>9</v>
      </c>
    </row>
    <row r="19" spans="1:7" x14ac:dyDescent="0.25">
      <c r="A19" t="s">
        <v>7</v>
      </c>
      <c r="B19" t="s">
        <v>48</v>
      </c>
      <c r="C19" t="str">
        <f>"13"</f>
        <v>13</v>
      </c>
      <c r="D19">
        <v>23</v>
      </c>
      <c r="E19">
        <v>1.8</v>
      </c>
      <c r="F19" s="1">
        <v>41430.578634259262</v>
      </c>
      <c r="G19" t="s">
        <v>9</v>
      </c>
    </row>
    <row r="20" spans="1:7" x14ac:dyDescent="0.25">
      <c r="A20" t="s">
        <v>7</v>
      </c>
      <c r="B20" t="s">
        <v>50</v>
      </c>
      <c r="C20" t="str">
        <f>"93"</f>
        <v>93</v>
      </c>
      <c r="D20">
        <v>8</v>
      </c>
      <c r="E20">
        <v>1.8</v>
      </c>
      <c r="F20" s="1">
        <v>41430.607476851852</v>
      </c>
      <c r="G20" t="s">
        <v>9</v>
      </c>
    </row>
    <row r="21" spans="1:7" x14ac:dyDescent="0.25">
      <c r="A21" t="s">
        <v>7</v>
      </c>
      <c r="B21" t="s">
        <v>105</v>
      </c>
      <c r="C21" t="str">
        <f>"A9"</f>
        <v>A9</v>
      </c>
      <c r="D21">
        <v>18</v>
      </c>
      <c r="E21">
        <v>1.8</v>
      </c>
      <c r="F21" s="1">
        <v>41431.442430555559</v>
      </c>
      <c r="G21" t="s">
        <v>9</v>
      </c>
    </row>
    <row r="22" spans="1:7" x14ac:dyDescent="0.25">
      <c r="A22" t="s">
        <v>7</v>
      </c>
      <c r="B22" t="s">
        <v>115</v>
      </c>
      <c r="C22" t="str">
        <f>"92"</f>
        <v>92</v>
      </c>
      <c r="D22">
        <v>11</v>
      </c>
      <c r="E22">
        <v>1.8</v>
      </c>
      <c r="F22" s="1">
        <v>41431.450115740743</v>
      </c>
      <c r="G22" t="s">
        <v>9</v>
      </c>
    </row>
    <row r="23" spans="1:7" x14ac:dyDescent="0.25">
      <c r="A23" t="s">
        <v>7</v>
      </c>
      <c r="B23" t="s">
        <v>62</v>
      </c>
      <c r="C23" t="str">
        <f>"A7"</f>
        <v>A7</v>
      </c>
      <c r="D23">
        <v>15</v>
      </c>
      <c r="E23">
        <v>1.8</v>
      </c>
      <c r="F23" s="1">
        <v>41431.459907407407</v>
      </c>
      <c r="G23" t="s">
        <v>9</v>
      </c>
    </row>
    <row r="24" spans="1:7" x14ac:dyDescent="0.25">
      <c r="A24" t="s">
        <v>7</v>
      </c>
      <c r="B24" t="s">
        <v>33</v>
      </c>
      <c r="C24" t="str">
        <f>"3H"</f>
        <v>3H</v>
      </c>
      <c r="D24">
        <v>13</v>
      </c>
      <c r="E24">
        <v>1.8</v>
      </c>
      <c r="F24" s="1">
        <v>41431.479525462964</v>
      </c>
      <c r="G24" t="s">
        <v>9</v>
      </c>
    </row>
    <row r="25" spans="1:7" x14ac:dyDescent="0.25">
      <c r="A25" t="s">
        <v>7</v>
      </c>
      <c r="B25" t="s">
        <v>43</v>
      </c>
      <c r="C25" t="str">
        <f>"12"</f>
        <v>12</v>
      </c>
      <c r="D25">
        <v>28</v>
      </c>
      <c r="E25">
        <v>1.8</v>
      </c>
      <c r="F25" s="1">
        <v>41431.91605324074</v>
      </c>
      <c r="G25" t="s">
        <v>129</v>
      </c>
    </row>
    <row r="26" spans="1:7" x14ac:dyDescent="0.25">
      <c r="A26" t="s">
        <v>7</v>
      </c>
      <c r="B26" t="s">
        <v>53</v>
      </c>
      <c r="C26" t="str">
        <f>"2E"</f>
        <v>2E</v>
      </c>
      <c r="D26">
        <v>13</v>
      </c>
      <c r="E26">
        <v>1.8</v>
      </c>
      <c r="F26" s="1">
        <v>41432.398692129631</v>
      </c>
      <c r="G26" t="s">
        <v>9</v>
      </c>
    </row>
    <row r="27" spans="1:7" x14ac:dyDescent="0.25">
      <c r="A27" t="s">
        <v>7</v>
      </c>
      <c r="B27" t="s">
        <v>101</v>
      </c>
      <c r="C27" t="str">
        <f>"89"</f>
        <v>89</v>
      </c>
      <c r="D27">
        <v>8</v>
      </c>
      <c r="E27">
        <v>1.8</v>
      </c>
      <c r="F27" s="1">
        <v>41432.432893518519</v>
      </c>
      <c r="G27" t="s">
        <v>9</v>
      </c>
    </row>
    <row r="28" spans="1:7" x14ac:dyDescent="0.25">
      <c r="A28" t="s">
        <v>7</v>
      </c>
      <c r="B28" t="s">
        <v>73</v>
      </c>
      <c r="C28" t="str">
        <f>"21"</f>
        <v>21</v>
      </c>
      <c r="D28">
        <v>12</v>
      </c>
      <c r="E28">
        <v>1.8</v>
      </c>
      <c r="F28" s="1">
        <v>41435.415405092594</v>
      </c>
      <c r="G28" t="s">
        <v>9</v>
      </c>
    </row>
    <row r="29" spans="1:7" x14ac:dyDescent="0.25">
      <c r="A29" t="s">
        <v>7</v>
      </c>
      <c r="B29" t="s">
        <v>58</v>
      </c>
      <c r="C29" t="str">
        <f>"39"</f>
        <v>39</v>
      </c>
      <c r="D29">
        <v>13</v>
      </c>
      <c r="E29">
        <v>1.8</v>
      </c>
      <c r="F29" s="1">
        <v>41435.517534722225</v>
      </c>
      <c r="G29" t="s">
        <v>9</v>
      </c>
    </row>
    <row r="30" spans="1:7" x14ac:dyDescent="0.25">
      <c r="A30" t="s">
        <v>7</v>
      </c>
      <c r="B30" t="s">
        <v>23</v>
      </c>
      <c r="C30" t="str">
        <f>"2H"</f>
        <v>2H</v>
      </c>
      <c r="D30">
        <v>32</v>
      </c>
      <c r="E30">
        <v>1.8</v>
      </c>
      <c r="F30" s="1">
        <v>41435.546354166669</v>
      </c>
      <c r="G30" t="s">
        <v>9</v>
      </c>
    </row>
    <row r="31" spans="1:7" x14ac:dyDescent="0.25">
      <c r="A31" t="s">
        <v>7</v>
      </c>
      <c r="B31" t="s">
        <v>52</v>
      </c>
      <c r="C31" t="str">
        <f>"16"</f>
        <v>16</v>
      </c>
      <c r="D31">
        <v>26</v>
      </c>
      <c r="E31">
        <v>1.8</v>
      </c>
      <c r="F31" s="1">
        <v>41436.35659722222</v>
      </c>
      <c r="G31" t="s">
        <v>9</v>
      </c>
    </row>
    <row r="32" spans="1:7" x14ac:dyDescent="0.25">
      <c r="A32" t="s">
        <v>7</v>
      </c>
      <c r="B32" t="s">
        <v>61</v>
      </c>
      <c r="C32" t="str">
        <f>"17"</f>
        <v>17</v>
      </c>
      <c r="D32">
        <v>14</v>
      </c>
      <c r="E32">
        <v>1.8</v>
      </c>
      <c r="F32" s="1">
        <v>41436.404097222221</v>
      </c>
      <c r="G32" t="s">
        <v>9</v>
      </c>
    </row>
    <row r="33" spans="1:7" x14ac:dyDescent="0.25">
      <c r="A33" t="s">
        <v>7</v>
      </c>
      <c r="B33" t="s">
        <v>75</v>
      </c>
      <c r="C33" t="str">
        <f>"37"</f>
        <v>37</v>
      </c>
      <c r="D33">
        <v>29</v>
      </c>
      <c r="E33">
        <v>1.8</v>
      </c>
      <c r="F33" s="1">
        <v>41436.654594907406</v>
      </c>
      <c r="G33" t="s">
        <v>9</v>
      </c>
    </row>
    <row r="34" spans="1:7" x14ac:dyDescent="0.25">
      <c r="A34" t="s">
        <v>7</v>
      </c>
      <c r="B34" t="s">
        <v>41</v>
      </c>
      <c r="C34" t="str">
        <f>"8G"</f>
        <v>8G</v>
      </c>
      <c r="D34">
        <v>72</v>
      </c>
      <c r="E34">
        <v>1.8</v>
      </c>
      <c r="F34" s="1">
        <v>41436.964687500003</v>
      </c>
      <c r="G34" t="s">
        <v>9</v>
      </c>
    </row>
    <row r="35" spans="1:7" x14ac:dyDescent="0.25">
      <c r="A35" t="s">
        <v>7</v>
      </c>
      <c r="B35" t="s">
        <v>100</v>
      </c>
      <c r="C35" t="str">
        <f>"26"</f>
        <v>26</v>
      </c>
      <c r="D35">
        <v>13</v>
      </c>
      <c r="E35">
        <v>1.8</v>
      </c>
      <c r="F35" s="1">
        <v>41437.36577546296</v>
      </c>
      <c r="G35" t="s">
        <v>9</v>
      </c>
    </row>
    <row r="36" spans="1:7" x14ac:dyDescent="0.25">
      <c r="A36" t="s">
        <v>7</v>
      </c>
      <c r="B36" t="s">
        <v>126</v>
      </c>
      <c r="C36" t="str">
        <f>"34"</f>
        <v>34</v>
      </c>
      <c r="D36">
        <v>19</v>
      </c>
      <c r="E36">
        <v>1.8</v>
      </c>
      <c r="F36" s="1">
        <v>41437.373993055553</v>
      </c>
      <c r="G36" t="s">
        <v>9</v>
      </c>
    </row>
    <row r="37" spans="1:7" x14ac:dyDescent="0.25">
      <c r="A37" t="s">
        <v>7</v>
      </c>
      <c r="B37" t="s">
        <v>113</v>
      </c>
      <c r="C37" t="str">
        <f>"90"</f>
        <v>90</v>
      </c>
      <c r="D37">
        <v>34</v>
      </c>
      <c r="E37">
        <v>1.8</v>
      </c>
      <c r="F37" s="1">
        <v>41437.383796296293</v>
      </c>
      <c r="G37" t="s">
        <v>9</v>
      </c>
    </row>
    <row r="38" spans="1:7" x14ac:dyDescent="0.25">
      <c r="A38" t="s">
        <v>7</v>
      </c>
      <c r="B38" t="s">
        <v>82</v>
      </c>
      <c r="C38" t="str">
        <f>"86"</f>
        <v>86</v>
      </c>
      <c r="D38">
        <v>34</v>
      </c>
      <c r="E38">
        <v>1.8</v>
      </c>
      <c r="F38" s="1">
        <v>41437.416574074072</v>
      </c>
      <c r="G38" t="s">
        <v>9</v>
      </c>
    </row>
    <row r="39" spans="1:7" x14ac:dyDescent="0.25">
      <c r="A39" t="s">
        <v>7</v>
      </c>
      <c r="B39" t="s">
        <v>69</v>
      </c>
      <c r="C39" t="str">
        <f>"6D"</f>
        <v>6D</v>
      </c>
      <c r="D39">
        <v>67</v>
      </c>
      <c r="E39">
        <v>1.8</v>
      </c>
      <c r="F39" s="1">
        <v>41437.426053240742</v>
      </c>
      <c r="G39" t="s">
        <v>9</v>
      </c>
    </row>
    <row r="40" spans="1:7" x14ac:dyDescent="0.25">
      <c r="A40" t="s">
        <v>7</v>
      </c>
      <c r="B40" t="s">
        <v>55</v>
      </c>
      <c r="C40" t="str">
        <f>"5C"</f>
        <v>5C</v>
      </c>
      <c r="D40">
        <v>11</v>
      </c>
      <c r="E40">
        <v>1.8</v>
      </c>
      <c r="F40" s="1">
        <v>41437.474618055552</v>
      </c>
      <c r="G40" t="s">
        <v>9</v>
      </c>
    </row>
    <row r="41" spans="1:7" x14ac:dyDescent="0.25">
      <c r="A41" t="s">
        <v>7</v>
      </c>
      <c r="B41" t="s">
        <v>30</v>
      </c>
      <c r="C41" t="str">
        <f>"A8"</f>
        <v>A8</v>
      </c>
      <c r="D41">
        <v>7</v>
      </c>
      <c r="E41">
        <v>1.8</v>
      </c>
      <c r="F41" s="1">
        <v>41437.533622685187</v>
      </c>
      <c r="G41" t="s">
        <v>9</v>
      </c>
    </row>
    <row r="42" spans="1:7" x14ac:dyDescent="0.25">
      <c r="A42" t="s">
        <v>7</v>
      </c>
      <c r="B42" t="s">
        <v>92</v>
      </c>
      <c r="C42" t="str">
        <f>"1D"</f>
        <v>1D</v>
      </c>
      <c r="D42">
        <v>14</v>
      </c>
      <c r="E42">
        <v>1.8</v>
      </c>
      <c r="F42" s="1">
        <v>41437.54241898148</v>
      </c>
      <c r="G42" t="s">
        <v>9</v>
      </c>
    </row>
    <row r="43" spans="1:7" x14ac:dyDescent="0.25">
      <c r="A43" t="s">
        <v>7</v>
      </c>
      <c r="B43" t="s">
        <v>17</v>
      </c>
      <c r="C43" t="str">
        <f>"3B"</f>
        <v>3B</v>
      </c>
      <c r="D43">
        <v>16</v>
      </c>
      <c r="E43">
        <v>1.8</v>
      </c>
      <c r="F43" s="1">
        <v>41437.582314814812</v>
      </c>
      <c r="G43" t="s">
        <v>9</v>
      </c>
    </row>
    <row r="44" spans="1:7" x14ac:dyDescent="0.25">
      <c r="A44" t="s">
        <v>7</v>
      </c>
      <c r="B44" t="s">
        <v>15</v>
      </c>
      <c r="C44" t="str">
        <f>"3G"</f>
        <v>3G</v>
      </c>
      <c r="D44">
        <v>40</v>
      </c>
      <c r="E44">
        <v>1.8</v>
      </c>
      <c r="F44" s="1">
        <v>41437.771793981483</v>
      </c>
      <c r="G44" t="s">
        <v>9</v>
      </c>
    </row>
    <row r="45" spans="1:7" x14ac:dyDescent="0.25">
      <c r="A45" t="s">
        <v>7</v>
      </c>
      <c r="B45" t="s">
        <v>66</v>
      </c>
      <c r="C45" t="str">
        <f>"40"</f>
        <v>40</v>
      </c>
      <c r="D45">
        <v>54</v>
      </c>
      <c r="E45">
        <v>1.8</v>
      </c>
      <c r="F45" s="1">
        <v>41438.091261574074</v>
      </c>
      <c r="G45" t="s">
        <v>9</v>
      </c>
    </row>
    <row r="46" spans="1:7" x14ac:dyDescent="0.25">
      <c r="A46" t="s">
        <v>7</v>
      </c>
      <c r="B46" t="s">
        <v>10</v>
      </c>
      <c r="C46" t="str">
        <f>"9G"</f>
        <v>9G</v>
      </c>
      <c r="D46">
        <v>25</v>
      </c>
      <c r="E46">
        <v>1.8</v>
      </c>
      <c r="F46" s="1">
        <v>41438.194953703707</v>
      </c>
      <c r="G46" t="s">
        <v>9</v>
      </c>
    </row>
    <row r="47" spans="1:7" x14ac:dyDescent="0.25">
      <c r="A47" t="s">
        <v>7</v>
      </c>
      <c r="B47" t="s">
        <v>83</v>
      </c>
      <c r="C47" t="str">
        <f>"9H"</f>
        <v>9H</v>
      </c>
      <c r="D47">
        <v>34</v>
      </c>
      <c r="E47">
        <v>1.8</v>
      </c>
      <c r="F47" s="1">
        <v>41438.334120370368</v>
      </c>
      <c r="G47" t="s">
        <v>9</v>
      </c>
    </row>
    <row r="48" spans="1:7" x14ac:dyDescent="0.25">
      <c r="A48" t="s">
        <v>7</v>
      </c>
      <c r="B48" t="s">
        <v>90</v>
      </c>
      <c r="C48" t="str">
        <f>"A2"</f>
        <v>A2</v>
      </c>
      <c r="D48">
        <v>56</v>
      </c>
      <c r="E48">
        <v>1.8</v>
      </c>
      <c r="F48" s="1">
        <v>41438.334120370368</v>
      </c>
      <c r="G48" t="s">
        <v>9</v>
      </c>
    </row>
    <row r="49" spans="1:7" x14ac:dyDescent="0.25">
      <c r="A49" t="s">
        <v>7</v>
      </c>
      <c r="B49" t="s">
        <v>19</v>
      </c>
      <c r="C49" t="str">
        <f>"3E"</f>
        <v>3E</v>
      </c>
      <c r="D49">
        <v>19</v>
      </c>
      <c r="E49">
        <v>1.8</v>
      </c>
      <c r="F49" s="1">
        <v>41438.418599537035</v>
      </c>
      <c r="G49" t="s">
        <v>9</v>
      </c>
    </row>
    <row r="50" spans="1:7" x14ac:dyDescent="0.25">
      <c r="A50" t="s">
        <v>7</v>
      </c>
      <c r="B50" t="s">
        <v>70</v>
      </c>
      <c r="C50" t="str">
        <f>"A6"</f>
        <v>A6</v>
      </c>
      <c r="D50">
        <v>129</v>
      </c>
      <c r="E50">
        <v>1.8</v>
      </c>
      <c r="F50" s="1">
        <v>41438.423773148148</v>
      </c>
      <c r="G50" t="s">
        <v>9</v>
      </c>
    </row>
    <row r="51" spans="1:7" x14ac:dyDescent="0.25">
      <c r="A51" t="s">
        <v>7</v>
      </c>
      <c r="B51" t="s">
        <v>108</v>
      </c>
      <c r="C51" t="str">
        <f>"4D"</f>
        <v>4D</v>
      </c>
      <c r="D51">
        <v>126</v>
      </c>
      <c r="E51">
        <v>1.8</v>
      </c>
      <c r="F51" s="1">
        <v>41438.423784722225</v>
      </c>
      <c r="G51" t="s">
        <v>9</v>
      </c>
    </row>
    <row r="52" spans="1:7" x14ac:dyDescent="0.25">
      <c r="A52" t="s">
        <v>7</v>
      </c>
      <c r="B52" t="s">
        <v>76</v>
      </c>
      <c r="C52" t="str">
        <f>"68"</f>
        <v>68</v>
      </c>
      <c r="D52">
        <v>44</v>
      </c>
      <c r="E52">
        <v>1.8</v>
      </c>
      <c r="F52" s="1">
        <v>41438.560624999998</v>
      </c>
      <c r="G52" t="s">
        <v>9</v>
      </c>
    </row>
    <row r="53" spans="1:7" x14ac:dyDescent="0.25">
      <c r="A53" t="s">
        <v>7</v>
      </c>
      <c r="B53" t="s">
        <v>111</v>
      </c>
      <c r="C53" t="str">
        <f>"29"</f>
        <v>29</v>
      </c>
      <c r="D53">
        <v>37</v>
      </c>
      <c r="E53">
        <v>1.8</v>
      </c>
      <c r="F53" s="1">
        <v>41438.578217592592</v>
      </c>
      <c r="G53" t="s">
        <v>9</v>
      </c>
    </row>
    <row r="54" spans="1:7" x14ac:dyDescent="0.25">
      <c r="A54" t="s">
        <v>7</v>
      </c>
      <c r="B54" t="s">
        <v>120</v>
      </c>
      <c r="C54" t="str">
        <f>"3F"</f>
        <v>3F</v>
      </c>
      <c r="D54">
        <v>25</v>
      </c>
      <c r="E54">
        <v>1.8</v>
      </c>
      <c r="F54" s="1">
        <v>41438.642430555556</v>
      </c>
      <c r="G54" t="s">
        <v>9</v>
      </c>
    </row>
    <row r="55" spans="1:7" x14ac:dyDescent="0.25">
      <c r="A55" t="s">
        <v>7</v>
      </c>
      <c r="B55" t="s">
        <v>49</v>
      </c>
      <c r="C55" t="str">
        <f>"A5"</f>
        <v>A5</v>
      </c>
      <c r="D55">
        <v>28</v>
      </c>
      <c r="E55">
        <v>1.8</v>
      </c>
      <c r="F55" s="1">
        <v>41438.669803240744</v>
      </c>
      <c r="G55" t="s">
        <v>9</v>
      </c>
    </row>
    <row r="56" spans="1:7" x14ac:dyDescent="0.25">
      <c r="A56" t="s">
        <v>7</v>
      </c>
      <c r="B56" t="s">
        <v>21</v>
      </c>
      <c r="C56" t="str">
        <f>"05"</f>
        <v>05</v>
      </c>
      <c r="D56">
        <v>103</v>
      </c>
      <c r="E56">
        <v>1.8</v>
      </c>
      <c r="F56" s="1">
        <v>41438.671249999999</v>
      </c>
      <c r="G56" t="s">
        <v>9</v>
      </c>
    </row>
    <row r="57" spans="1:7" x14ac:dyDescent="0.25">
      <c r="A57" t="s">
        <v>7</v>
      </c>
      <c r="B57" t="s">
        <v>14</v>
      </c>
      <c r="C57" t="str">
        <f>"4H"</f>
        <v>4H</v>
      </c>
      <c r="D57">
        <v>95</v>
      </c>
      <c r="E57">
        <v>1.8</v>
      </c>
      <c r="F57" s="1">
        <v>41439.194155092591</v>
      </c>
      <c r="G57" t="s">
        <v>9</v>
      </c>
    </row>
    <row r="58" spans="1:7" x14ac:dyDescent="0.25">
      <c r="A58" t="s">
        <v>7</v>
      </c>
      <c r="B58" t="s">
        <v>13</v>
      </c>
      <c r="C58" t="str">
        <f>"74"</f>
        <v>74</v>
      </c>
      <c r="D58">
        <v>30</v>
      </c>
      <c r="E58">
        <v>1.8</v>
      </c>
      <c r="F58" s="1">
        <v>41439.441979166666</v>
      </c>
      <c r="G58" t="s">
        <v>9</v>
      </c>
    </row>
    <row r="59" spans="1:7" x14ac:dyDescent="0.25">
      <c r="A59" t="s">
        <v>7</v>
      </c>
      <c r="B59" t="s">
        <v>81</v>
      </c>
      <c r="C59" t="str">
        <f>"9C"</f>
        <v>9C</v>
      </c>
      <c r="D59">
        <v>43</v>
      </c>
      <c r="E59">
        <v>1.8</v>
      </c>
      <c r="F59" s="1">
        <v>41439.456319444442</v>
      </c>
      <c r="G59" t="s">
        <v>9</v>
      </c>
    </row>
    <row r="60" spans="1:7" x14ac:dyDescent="0.25">
      <c r="A60" t="s">
        <v>7</v>
      </c>
      <c r="B60" t="s">
        <v>74</v>
      </c>
      <c r="C60" t="str">
        <f>"1C"</f>
        <v>1C</v>
      </c>
      <c r="D60">
        <v>111</v>
      </c>
      <c r="E60">
        <v>1.8</v>
      </c>
      <c r="F60" s="1">
        <v>41439.470648148148</v>
      </c>
      <c r="G60" t="s">
        <v>9</v>
      </c>
    </row>
    <row r="61" spans="1:7" x14ac:dyDescent="0.25">
      <c r="A61" t="s">
        <v>7</v>
      </c>
      <c r="B61" t="s">
        <v>71</v>
      </c>
      <c r="C61" t="str">
        <f>"20"</f>
        <v>20</v>
      </c>
      <c r="D61">
        <v>21</v>
      </c>
      <c r="E61">
        <v>1.8</v>
      </c>
      <c r="F61" s="1">
        <v>41439.519062500003</v>
      </c>
      <c r="G61" t="s">
        <v>9</v>
      </c>
    </row>
    <row r="62" spans="1:7" x14ac:dyDescent="0.25">
      <c r="A62" t="s">
        <v>7</v>
      </c>
      <c r="B62" t="s">
        <v>107</v>
      </c>
      <c r="C62" t="str">
        <f>"A4"</f>
        <v>A4</v>
      </c>
      <c r="D62">
        <v>11</v>
      </c>
      <c r="E62">
        <v>1.8</v>
      </c>
      <c r="F62" s="1">
        <v>41439.536909722221</v>
      </c>
      <c r="G62" t="s">
        <v>9</v>
      </c>
    </row>
    <row r="63" spans="1:7" x14ac:dyDescent="0.25">
      <c r="A63" t="s">
        <v>7</v>
      </c>
      <c r="B63" t="s">
        <v>36</v>
      </c>
      <c r="C63" t="str">
        <f>"98"</f>
        <v>98</v>
      </c>
      <c r="D63">
        <v>12</v>
      </c>
      <c r="E63">
        <v>1.8</v>
      </c>
      <c r="F63" s="1">
        <v>41439.566284722219</v>
      </c>
      <c r="G63" t="s">
        <v>9</v>
      </c>
    </row>
    <row r="64" spans="1:7" x14ac:dyDescent="0.25">
      <c r="A64" t="s">
        <v>7</v>
      </c>
      <c r="B64" t="s">
        <v>64</v>
      </c>
      <c r="C64" t="str">
        <f>"18"</f>
        <v>18</v>
      </c>
      <c r="D64">
        <v>19</v>
      </c>
      <c r="E64">
        <v>1.8</v>
      </c>
      <c r="F64" s="1">
        <v>41439.61791666667</v>
      </c>
      <c r="G64" t="s">
        <v>9</v>
      </c>
    </row>
    <row r="65" spans="1:7" x14ac:dyDescent="0.25">
      <c r="A65" t="s">
        <v>7</v>
      </c>
      <c r="B65" t="s">
        <v>45</v>
      </c>
      <c r="C65" t="str">
        <f>"8F"</f>
        <v>8F</v>
      </c>
      <c r="D65">
        <v>141</v>
      </c>
      <c r="E65">
        <v>1.8</v>
      </c>
      <c r="F65" s="1">
        <v>41439.625231481485</v>
      </c>
      <c r="G65" t="s">
        <v>9</v>
      </c>
    </row>
    <row r="66" spans="1:7" x14ac:dyDescent="0.25">
      <c r="A66" t="s">
        <v>7</v>
      </c>
      <c r="B66" t="s">
        <v>93</v>
      </c>
      <c r="C66" t="str">
        <f>"24"</f>
        <v>24</v>
      </c>
      <c r="D66">
        <v>96</v>
      </c>
      <c r="E66">
        <v>1.8</v>
      </c>
      <c r="F66" s="1">
        <v>41442.343472222223</v>
      </c>
      <c r="G66" t="s">
        <v>9</v>
      </c>
    </row>
    <row r="67" spans="1:7" x14ac:dyDescent="0.25">
      <c r="A67" t="s">
        <v>7</v>
      </c>
      <c r="B67" t="s">
        <v>25</v>
      </c>
      <c r="C67" t="str">
        <f>"A3"</f>
        <v>A3</v>
      </c>
      <c r="D67">
        <v>58</v>
      </c>
      <c r="E67">
        <v>1.8</v>
      </c>
      <c r="F67" s="1">
        <v>41442.366238425922</v>
      </c>
      <c r="G67" t="s">
        <v>9</v>
      </c>
    </row>
    <row r="68" spans="1:7" x14ac:dyDescent="0.25">
      <c r="A68" t="s">
        <v>7</v>
      </c>
      <c r="B68" t="s">
        <v>24</v>
      </c>
      <c r="C68" t="str">
        <f>"06"</f>
        <v>06</v>
      </c>
      <c r="D68">
        <v>17</v>
      </c>
      <c r="E68">
        <v>1.8</v>
      </c>
      <c r="F68" s="1">
        <v>41442.389907407407</v>
      </c>
      <c r="G68" t="s">
        <v>9</v>
      </c>
    </row>
    <row r="69" spans="1:7" x14ac:dyDescent="0.25">
      <c r="A69" t="s">
        <v>7</v>
      </c>
      <c r="B69" t="s">
        <v>67</v>
      </c>
      <c r="C69" t="str">
        <f>"A1"</f>
        <v>A1</v>
      </c>
      <c r="D69">
        <v>72</v>
      </c>
      <c r="E69">
        <v>1.8</v>
      </c>
      <c r="F69" s="1">
        <v>41442.400289351855</v>
      </c>
      <c r="G69" t="s">
        <v>9</v>
      </c>
    </row>
    <row r="70" spans="1:7" x14ac:dyDescent="0.25">
      <c r="A70" t="s">
        <v>7</v>
      </c>
      <c r="B70" t="s">
        <v>68</v>
      </c>
      <c r="C70" t="str">
        <f>"9B"</f>
        <v>9B</v>
      </c>
      <c r="D70">
        <v>79</v>
      </c>
      <c r="E70">
        <v>1.8</v>
      </c>
      <c r="F70" s="1">
        <v>41442.403935185182</v>
      </c>
      <c r="G70" t="s">
        <v>9</v>
      </c>
    </row>
    <row r="71" spans="1:7" x14ac:dyDescent="0.25">
      <c r="A71" t="s">
        <v>7</v>
      </c>
      <c r="B71" t="s">
        <v>22</v>
      </c>
      <c r="C71" t="str">
        <f>"2D"</f>
        <v>2D</v>
      </c>
      <c r="D71">
        <v>41</v>
      </c>
      <c r="E71">
        <v>1.8</v>
      </c>
      <c r="F71" s="1">
        <v>41442.432199074072</v>
      </c>
      <c r="G71" t="s">
        <v>9</v>
      </c>
    </row>
    <row r="72" spans="1:7" x14ac:dyDescent="0.25">
      <c r="A72" t="s">
        <v>7</v>
      </c>
      <c r="B72" t="s">
        <v>38</v>
      </c>
      <c r="C72" t="str">
        <f>"10"</f>
        <v>10</v>
      </c>
      <c r="D72">
        <v>27</v>
      </c>
      <c r="E72">
        <v>1.8</v>
      </c>
      <c r="F72" s="1">
        <v>41442.490983796299</v>
      </c>
      <c r="G72" t="s">
        <v>9</v>
      </c>
    </row>
    <row r="73" spans="1:7" x14ac:dyDescent="0.25">
      <c r="A73" t="s">
        <v>7</v>
      </c>
      <c r="B73" t="s">
        <v>12</v>
      </c>
      <c r="C73" t="str">
        <f>"8B"</f>
        <v>8B</v>
      </c>
      <c r="D73">
        <v>36</v>
      </c>
      <c r="E73">
        <v>1.8</v>
      </c>
      <c r="F73" s="1">
        <v>41442.564953703702</v>
      </c>
      <c r="G73" t="s">
        <v>129</v>
      </c>
    </row>
    <row r="74" spans="1:7" x14ac:dyDescent="0.25">
      <c r="A74" t="s">
        <v>7</v>
      </c>
      <c r="B74" t="s">
        <v>47</v>
      </c>
      <c r="C74" t="str">
        <f>"2C"</f>
        <v>2C</v>
      </c>
      <c r="D74">
        <v>30</v>
      </c>
      <c r="E74">
        <v>1.8</v>
      </c>
      <c r="F74" s="1">
        <v>41442.606041666666</v>
      </c>
      <c r="G74" t="s">
        <v>9</v>
      </c>
    </row>
    <row r="75" spans="1:7" x14ac:dyDescent="0.25">
      <c r="A75" t="s">
        <v>7</v>
      </c>
      <c r="B75" t="s">
        <v>102</v>
      </c>
      <c r="C75" t="str">
        <f>"27"</f>
        <v>27</v>
      </c>
      <c r="D75">
        <v>13</v>
      </c>
      <c r="E75">
        <v>1.8</v>
      </c>
      <c r="F75" s="1">
        <v>41442.681296296294</v>
      </c>
      <c r="G75" t="s">
        <v>9</v>
      </c>
    </row>
    <row r="76" spans="1:7" x14ac:dyDescent="0.25">
      <c r="A76" t="s">
        <v>7</v>
      </c>
      <c r="B76" t="s">
        <v>106</v>
      </c>
      <c r="C76" t="str">
        <f>"7G"</f>
        <v>7G</v>
      </c>
      <c r="D76">
        <v>33</v>
      </c>
      <c r="E76">
        <v>1.8</v>
      </c>
      <c r="F76" s="1">
        <v>41442.924050925925</v>
      </c>
      <c r="G76" t="s">
        <v>9</v>
      </c>
    </row>
    <row r="77" spans="1:7" x14ac:dyDescent="0.25">
      <c r="A77" t="s">
        <v>7</v>
      </c>
      <c r="B77" t="s">
        <v>123</v>
      </c>
      <c r="C77" t="str">
        <f>"32"</f>
        <v>32</v>
      </c>
      <c r="D77">
        <v>46</v>
      </c>
      <c r="E77">
        <v>1.8</v>
      </c>
      <c r="F77" s="1">
        <v>41443.345405092594</v>
      </c>
      <c r="G77" t="s">
        <v>9</v>
      </c>
    </row>
    <row r="78" spans="1:7" x14ac:dyDescent="0.25">
      <c r="A78" t="s">
        <v>7</v>
      </c>
      <c r="B78" t="s">
        <v>97</v>
      </c>
      <c r="C78" t="str">
        <f>"36"</f>
        <v>36</v>
      </c>
      <c r="D78">
        <v>34</v>
      </c>
      <c r="E78">
        <v>1.8</v>
      </c>
      <c r="F78" s="1">
        <v>41443.348645833335</v>
      </c>
      <c r="G78" t="s">
        <v>9</v>
      </c>
    </row>
    <row r="79" spans="1:7" x14ac:dyDescent="0.25">
      <c r="A79" t="s">
        <v>7</v>
      </c>
      <c r="B79" t="s">
        <v>51</v>
      </c>
      <c r="C79" t="str">
        <f>"15"</f>
        <v>15</v>
      </c>
      <c r="D79">
        <v>27</v>
      </c>
      <c r="E79">
        <v>1.8</v>
      </c>
      <c r="F79" s="1">
        <v>41443.353564814817</v>
      </c>
      <c r="G79" t="s">
        <v>9</v>
      </c>
    </row>
    <row r="80" spans="1:7" x14ac:dyDescent="0.25">
      <c r="A80" t="s">
        <v>7</v>
      </c>
      <c r="B80" t="s">
        <v>96</v>
      </c>
      <c r="C80" t="str">
        <f>"4F"</f>
        <v>4F</v>
      </c>
      <c r="D80">
        <v>31</v>
      </c>
      <c r="E80">
        <v>1.8</v>
      </c>
      <c r="F80" s="1">
        <v>41443.35527777778</v>
      </c>
      <c r="G80" t="s">
        <v>9</v>
      </c>
    </row>
    <row r="81" spans="1:7" x14ac:dyDescent="0.25">
      <c r="A81" t="s">
        <v>7</v>
      </c>
      <c r="B81" t="s">
        <v>98</v>
      </c>
      <c r="C81" t="str">
        <f>"7D"</f>
        <v>7D</v>
      </c>
      <c r="D81">
        <v>30</v>
      </c>
      <c r="E81">
        <v>1.8</v>
      </c>
      <c r="F81" s="1">
        <v>41443.357731481483</v>
      </c>
      <c r="G81" t="s">
        <v>9</v>
      </c>
    </row>
    <row r="82" spans="1:7" x14ac:dyDescent="0.25">
      <c r="A82" t="s">
        <v>7</v>
      </c>
      <c r="B82" t="s">
        <v>77</v>
      </c>
      <c r="C82" t="str">
        <f>"8D"</f>
        <v>8D</v>
      </c>
      <c r="D82">
        <v>30</v>
      </c>
      <c r="E82">
        <v>1.8</v>
      </c>
      <c r="F82" s="1">
        <v>41443.359826388885</v>
      </c>
      <c r="G82" t="s">
        <v>9</v>
      </c>
    </row>
    <row r="83" spans="1:7" x14ac:dyDescent="0.25">
      <c r="A83" t="s">
        <v>7</v>
      </c>
      <c r="B83" t="s">
        <v>121</v>
      </c>
      <c r="C83" t="str">
        <f>"2G"</f>
        <v>2G</v>
      </c>
      <c r="D83">
        <v>22</v>
      </c>
      <c r="E83">
        <v>1.8</v>
      </c>
      <c r="F83" s="1">
        <v>41443.371018518519</v>
      </c>
      <c r="G83" t="s">
        <v>9</v>
      </c>
    </row>
    <row r="84" spans="1:7" x14ac:dyDescent="0.25">
      <c r="A84" t="s">
        <v>7</v>
      </c>
      <c r="B84" t="s">
        <v>128</v>
      </c>
      <c r="C84" t="str">
        <f>"6G"</f>
        <v>6G</v>
      </c>
      <c r="D84">
        <v>25</v>
      </c>
      <c r="E84">
        <v>1.8</v>
      </c>
      <c r="F84" s="1">
        <v>41443.37667824074</v>
      </c>
      <c r="G84" t="s">
        <v>9</v>
      </c>
    </row>
    <row r="85" spans="1:7" x14ac:dyDescent="0.25">
      <c r="A85" t="s">
        <v>7</v>
      </c>
      <c r="B85" t="s">
        <v>60</v>
      </c>
      <c r="C85" t="str">
        <f>"8E"</f>
        <v>8E</v>
      </c>
      <c r="D85">
        <v>15</v>
      </c>
      <c r="E85">
        <v>1.8</v>
      </c>
      <c r="F85" s="1">
        <v>41443.422129629631</v>
      </c>
      <c r="G85" t="s">
        <v>9</v>
      </c>
    </row>
    <row r="86" spans="1:7" x14ac:dyDescent="0.25">
      <c r="A86" t="s">
        <v>7</v>
      </c>
      <c r="B86" t="s">
        <v>124</v>
      </c>
      <c r="C86" t="str">
        <f>"4B"</f>
        <v>4B</v>
      </c>
      <c r="D86">
        <v>118</v>
      </c>
      <c r="E86">
        <v>1.8</v>
      </c>
      <c r="F86" s="1">
        <v>41443.424421296295</v>
      </c>
      <c r="G86" t="s">
        <v>9</v>
      </c>
    </row>
    <row r="87" spans="1:7" x14ac:dyDescent="0.25">
      <c r="A87" t="s">
        <v>7</v>
      </c>
      <c r="B87" t="s">
        <v>46</v>
      </c>
      <c r="C87" t="str">
        <f>"5H"</f>
        <v>5H</v>
      </c>
      <c r="D87">
        <v>126</v>
      </c>
      <c r="E87">
        <v>1.8</v>
      </c>
      <c r="F87" s="1">
        <v>41443.424745370372</v>
      </c>
      <c r="G87" t="s">
        <v>9</v>
      </c>
    </row>
    <row r="88" spans="1:7" x14ac:dyDescent="0.25">
      <c r="A88" t="s">
        <v>7</v>
      </c>
      <c r="B88" t="s">
        <v>72</v>
      </c>
      <c r="C88" t="str">
        <f>"5B"</f>
        <v>5B</v>
      </c>
      <c r="D88">
        <v>128</v>
      </c>
      <c r="E88">
        <v>1.8</v>
      </c>
      <c r="F88" s="1">
        <v>41443.425173611111</v>
      </c>
      <c r="G88" t="s">
        <v>9</v>
      </c>
    </row>
    <row r="89" spans="1:7" x14ac:dyDescent="0.25">
      <c r="A89" t="s">
        <v>7</v>
      </c>
      <c r="B89" t="s">
        <v>89</v>
      </c>
      <c r="C89" t="str">
        <f>"1F"</f>
        <v>1F</v>
      </c>
      <c r="D89">
        <v>125</v>
      </c>
      <c r="E89">
        <v>1.8</v>
      </c>
      <c r="F89" s="1">
        <v>41443.425173611111</v>
      </c>
      <c r="G89" t="s">
        <v>9</v>
      </c>
    </row>
    <row r="90" spans="1:7" x14ac:dyDescent="0.25">
      <c r="A90" t="s">
        <v>7</v>
      </c>
      <c r="B90" t="s">
        <v>78</v>
      </c>
      <c r="C90" t="str">
        <f>"9F"</f>
        <v>9F</v>
      </c>
      <c r="D90">
        <v>134</v>
      </c>
      <c r="E90">
        <v>1.8</v>
      </c>
      <c r="F90" s="1">
        <v>41443.425208333334</v>
      </c>
      <c r="G90" t="s">
        <v>9</v>
      </c>
    </row>
    <row r="91" spans="1:7" x14ac:dyDescent="0.25">
      <c r="A91" t="s">
        <v>7</v>
      </c>
      <c r="B91" t="s">
        <v>79</v>
      </c>
      <c r="C91" t="str">
        <f>"1G"</f>
        <v>1G</v>
      </c>
      <c r="D91">
        <v>138</v>
      </c>
      <c r="E91">
        <v>1.8</v>
      </c>
      <c r="F91" s="1">
        <v>41443.425486111111</v>
      </c>
      <c r="G91" t="s">
        <v>9</v>
      </c>
    </row>
    <row r="92" spans="1:7" x14ac:dyDescent="0.25">
      <c r="A92" t="s">
        <v>7</v>
      </c>
      <c r="B92" t="s">
        <v>95</v>
      </c>
      <c r="C92" t="str">
        <f>"97"</f>
        <v>97</v>
      </c>
      <c r="D92">
        <v>77</v>
      </c>
      <c r="E92">
        <v>1.8</v>
      </c>
      <c r="F92" s="1">
        <v>41443.432835648149</v>
      </c>
      <c r="G92" t="s">
        <v>9</v>
      </c>
    </row>
    <row r="93" spans="1:7" x14ac:dyDescent="0.25">
      <c r="A93" t="s">
        <v>7</v>
      </c>
      <c r="B93" t="s">
        <v>18</v>
      </c>
      <c r="C93" t="str">
        <f>"03"</f>
        <v>03</v>
      </c>
      <c r="D93">
        <v>70</v>
      </c>
      <c r="E93">
        <v>1.8</v>
      </c>
      <c r="F93" s="1">
        <v>41443.492210648146</v>
      </c>
      <c r="G93" t="s">
        <v>9</v>
      </c>
    </row>
    <row r="94" spans="1:7" x14ac:dyDescent="0.25">
      <c r="A94" t="s">
        <v>7</v>
      </c>
      <c r="B94" t="s">
        <v>94</v>
      </c>
      <c r="C94" t="str">
        <f>"2F"</f>
        <v>2F</v>
      </c>
      <c r="D94">
        <v>165</v>
      </c>
      <c r="E94">
        <v>1.8</v>
      </c>
      <c r="F94" s="1">
        <v>41443.506840277776</v>
      </c>
      <c r="G94" t="s">
        <v>9</v>
      </c>
    </row>
    <row r="95" spans="1:7" x14ac:dyDescent="0.25">
      <c r="A95" t="s">
        <v>7</v>
      </c>
      <c r="B95" t="s">
        <v>42</v>
      </c>
      <c r="C95" t="str">
        <f>"11"</f>
        <v>11</v>
      </c>
      <c r="D95">
        <v>66</v>
      </c>
      <c r="E95">
        <v>1.8</v>
      </c>
      <c r="F95" s="1">
        <v>41443.529675925929</v>
      </c>
      <c r="G95" t="s">
        <v>9</v>
      </c>
    </row>
    <row r="96" spans="1:7" x14ac:dyDescent="0.25">
      <c r="A96" t="s">
        <v>7</v>
      </c>
      <c r="B96" t="s">
        <v>59</v>
      </c>
      <c r="C96" t="str">
        <f>"4G"</f>
        <v>4G</v>
      </c>
      <c r="D96">
        <v>131</v>
      </c>
      <c r="E96">
        <v>1.8</v>
      </c>
      <c r="F96" s="1">
        <v>41443.530706018515</v>
      </c>
      <c r="G96" t="s">
        <v>9</v>
      </c>
    </row>
    <row r="97" spans="1:7" x14ac:dyDescent="0.25">
      <c r="A97" t="s">
        <v>7</v>
      </c>
      <c r="B97" t="s">
        <v>20</v>
      </c>
      <c r="C97" t="str">
        <f>"9D"</f>
        <v>9D</v>
      </c>
      <c r="D97">
        <v>19</v>
      </c>
      <c r="E97">
        <v>1.8</v>
      </c>
      <c r="F97" s="1">
        <v>41443.537361111114</v>
      </c>
      <c r="G97" t="s">
        <v>9</v>
      </c>
    </row>
    <row r="98" spans="1:7" x14ac:dyDescent="0.25">
      <c r="A98" t="s">
        <v>7</v>
      </c>
      <c r="B98" t="s">
        <v>29</v>
      </c>
      <c r="C98" t="str">
        <f>"6F"</f>
        <v>6F</v>
      </c>
      <c r="D98">
        <v>133</v>
      </c>
      <c r="E98">
        <v>1.8</v>
      </c>
      <c r="F98" s="1">
        <v>41443.553854166668</v>
      </c>
      <c r="G98" t="s">
        <v>9</v>
      </c>
    </row>
    <row r="99" spans="1:7" x14ac:dyDescent="0.25">
      <c r="A99" t="s">
        <v>7</v>
      </c>
      <c r="B99" t="s">
        <v>11</v>
      </c>
      <c r="C99" t="str">
        <f>"01"</f>
        <v>01</v>
      </c>
      <c r="D99">
        <v>20</v>
      </c>
      <c r="E99">
        <v>1.8</v>
      </c>
      <c r="F99" s="1">
        <v>41443.55810185185</v>
      </c>
      <c r="G99" t="s">
        <v>9</v>
      </c>
    </row>
    <row r="100" spans="1:7" x14ac:dyDescent="0.25">
      <c r="A100" t="s">
        <v>7</v>
      </c>
      <c r="B100" t="s">
        <v>86</v>
      </c>
      <c r="C100" t="str">
        <f>"9E"</f>
        <v>9E</v>
      </c>
      <c r="D100">
        <v>25</v>
      </c>
      <c r="E100">
        <v>1.8</v>
      </c>
      <c r="F100" s="1">
        <v>41443.575474537036</v>
      </c>
      <c r="G100" t="s">
        <v>9</v>
      </c>
    </row>
    <row r="101" spans="1:7" x14ac:dyDescent="0.25">
      <c r="A101" t="s">
        <v>7</v>
      </c>
      <c r="B101" t="s">
        <v>127</v>
      </c>
      <c r="C101" t="str">
        <f>"35"</f>
        <v>35</v>
      </c>
      <c r="D101">
        <v>28</v>
      </c>
      <c r="E101">
        <v>1.8</v>
      </c>
      <c r="F101" s="1">
        <v>41443.597199074073</v>
      </c>
      <c r="G101" t="s">
        <v>9</v>
      </c>
    </row>
    <row r="102" spans="1:7" x14ac:dyDescent="0.25">
      <c r="A102" t="s">
        <v>7</v>
      </c>
      <c r="B102" t="s">
        <v>119</v>
      </c>
      <c r="C102" t="str">
        <f>"8H"</f>
        <v>8H</v>
      </c>
      <c r="D102">
        <v>21</v>
      </c>
      <c r="E102">
        <v>1.8</v>
      </c>
      <c r="F102" s="1">
        <v>41443.604849537034</v>
      </c>
      <c r="G102" t="s">
        <v>9</v>
      </c>
    </row>
    <row r="103" spans="1:7" x14ac:dyDescent="0.25">
      <c r="A103" t="s">
        <v>7</v>
      </c>
      <c r="B103" t="s">
        <v>34</v>
      </c>
      <c r="C103" t="str">
        <f>"3C"</f>
        <v>3C</v>
      </c>
      <c r="D103">
        <v>21</v>
      </c>
      <c r="E103">
        <v>1.8</v>
      </c>
      <c r="F103" s="1">
        <v>41443.643993055557</v>
      </c>
      <c r="G103" t="s">
        <v>9</v>
      </c>
    </row>
    <row r="104" spans="1:7" x14ac:dyDescent="0.25">
      <c r="A104" t="s">
        <v>7</v>
      </c>
      <c r="B104" t="s">
        <v>118</v>
      </c>
      <c r="C104" t="str">
        <f>"5F"</f>
        <v>5F</v>
      </c>
      <c r="D104">
        <v>36</v>
      </c>
      <c r="E104">
        <v>1.8</v>
      </c>
      <c r="F104" s="1">
        <v>41443.643993055557</v>
      </c>
      <c r="G104" t="s">
        <v>9</v>
      </c>
    </row>
    <row r="105" spans="1:7" x14ac:dyDescent="0.25">
      <c r="A105" t="s">
        <v>7</v>
      </c>
      <c r="B105" t="s">
        <v>54</v>
      </c>
      <c r="C105" t="str">
        <f>"4C"</f>
        <v>4C</v>
      </c>
      <c r="D105">
        <v>55</v>
      </c>
      <c r="E105">
        <v>1.8</v>
      </c>
      <c r="F105" s="1">
        <v>41443.66909722222</v>
      </c>
      <c r="G105" t="s">
        <v>9</v>
      </c>
    </row>
    <row r="106" spans="1:7" x14ac:dyDescent="0.25">
      <c r="A106" t="s">
        <v>7</v>
      </c>
      <c r="B106" t="s">
        <v>122</v>
      </c>
      <c r="C106" t="str">
        <f>"81"</f>
        <v>81</v>
      </c>
      <c r="D106">
        <v>33</v>
      </c>
      <c r="E106">
        <v>1.8</v>
      </c>
      <c r="F106" s="1">
        <v>41443.672986111109</v>
      </c>
      <c r="G106" t="s">
        <v>9</v>
      </c>
    </row>
    <row r="107" spans="1:7" x14ac:dyDescent="0.25">
      <c r="A107" t="s">
        <v>7</v>
      </c>
      <c r="B107" t="s">
        <v>28</v>
      </c>
      <c r="C107" t="str">
        <f>"08"</f>
        <v>08</v>
      </c>
      <c r="D107">
        <v>54</v>
      </c>
      <c r="E107">
        <v>1.8</v>
      </c>
      <c r="F107" s="1">
        <v>41443.717199074075</v>
      </c>
      <c r="G107" t="s">
        <v>9</v>
      </c>
    </row>
    <row r="108" spans="1:7" x14ac:dyDescent="0.25">
      <c r="A108" t="s">
        <v>7</v>
      </c>
      <c r="B108" t="s">
        <v>114</v>
      </c>
      <c r="C108" t="str">
        <f>"31"</f>
        <v>31</v>
      </c>
      <c r="D108">
        <v>85</v>
      </c>
      <c r="E108">
        <v>1.8</v>
      </c>
      <c r="F108" s="1">
        <v>41443.803761574076</v>
      </c>
      <c r="G108" t="s">
        <v>9</v>
      </c>
    </row>
    <row r="109" spans="1:7" x14ac:dyDescent="0.25">
      <c r="A109" t="s">
        <v>7</v>
      </c>
      <c r="B109" t="s">
        <v>80</v>
      </c>
      <c r="C109" t="str">
        <f>"7H"</f>
        <v>7H</v>
      </c>
      <c r="D109">
        <v>137</v>
      </c>
      <c r="E109">
        <v>1.8</v>
      </c>
      <c r="F109" s="1">
        <v>41443.815150462964</v>
      </c>
      <c r="G109" t="s">
        <v>9</v>
      </c>
    </row>
    <row r="110" spans="1:7" x14ac:dyDescent="0.25">
      <c r="A110" t="s">
        <v>7</v>
      </c>
      <c r="B110" t="s">
        <v>31</v>
      </c>
      <c r="C110" t="str">
        <f>"5E"</f>
        <v>5E</v>
      </c>
      <c r="D110">
        <v>73</v>
      </c>
      <c r="E110">
        <v>1.8</v>
      </c>
      <c r="F110" s="1">
        <v>41443.919525462959</v>
      </c>
      <c r="G110" t="s">
        <v>9</v>
      </c>
    </row>
    <row r="111" spans="1:7" x14ac:dyDescent="0.25">
      <c r="A111" t="s">
        <v>7</v>
      </c>
      <c r="B111" t="s">
        <v>16</v>
      </c>
      <c r="C111" t="str">
        <f>"02"</f>
        <v>02</v>
      </c>
      <c r="D111">
        <v>102</v>
      </c>
      <c r="E111">
        <v>1.8</v>
      </c>
      <c r="F111" s="1">
        <v>41443.96020833333</v>
      </c>
      <c r="G111" t="s">
        <v>9</v>
      </c>
    </row>
    <row r="112" spans="1:7" x14ac:dyDescent="0.25">
      <c r="A112" t="s">
        <v>7</v>
      </c>
      <c r="B112" t="s">
        <v>85</v>
      </c>
      <c r="C112" t="str">
        <f>"6H"</f>
        <v>6H</v>
      </c>
      <c r="D112">
        <v>143</v>
      </c>
      <c r="E112">
        <v>1.8</v>
      </c>
      <c r="F112" s="1">
        <v>41444.044502314813</v>
      </c>
      <c r="G112" t="s">
        <v>9</v>
      </c>
    </row>
    <row r="113" spans="1:7" x14ac:dyDescent="0.25">
      <c r="A113" t="s">
        <v>7</v>
      </c>
      <c r="B113" t="s">
        <v>109</v>
      </c>
      <c r="C113" t="str">
        <f>"94"</f>
        <v>94</v>
      </c>
      <c r="D113">
        <v>79</v>
      </c>
      <c r="E113">
        <v>1.8</v>
      </c>
      <c r="F113" s="1">
        <v>41444.100231481483</v>
      </c>
      <c r="G113" t="s">
        <v>9</v>
      </c>
    </row>
    <row r="114" spans="1:7" x14ac:dyDescent="0.25">
      <c r="A114" t="s">
        <v>7</v>
      </c>
      <c r="B114" t="s">
        <v>99</v>
      </c>
      <c r="C114" t="str">
        <f>"25"</f>
        <v>25</v>
      </c>
      <c r="D114">
        <v>56</v>
      </c>
      <c r="E114">
        <v>1.8</v>
      </c>
      <c r="F114" s="1">
        <v>41444.213831018518</v>
      </c>
      <c r="G114" t="s">
        <v>9</v>
      </c>
    </row>
    <row r="115" spans="1:7" x14ac:dyDescent="0.25">
      <c r="A115" t="s">
        <v>7</v>
      </c>
      <c r="B115" t="s">
        <v>40</v>
      </c>
      <c r="C115" t="str">
        <f>"5D"</f>
        <v>5D</v>
      </c>
      <c r="D115">
        <v>44</v>
      </c>
      <c r="E115">
        <v>1.8</v>
      </c>
      <c r="F115" s="1">
        <v>41444.303865740738</v>
      </c>
      <c r="G115" t="s">
        <v>9</v>
      </c>
    </row>
    <row r="116" spans="1:7" x14ac:dyDescent="0.25">
      <c r="A116" t="s">
        <v>7</v>
      </c>
      <c r="B116" t="s">
        <v>112</v>
      </c>
      <c r="C116" t="str">
        <f>"30"</f>
        <v>30</v>
      </c>
      <c r="D116">
        <v>100</v>
      </c>
      <c r="E116">
        <v>1.8</v>
      </c>
      <c r="F116" s="1">
        <v>41444.324155092596</v>
      </c>
      <c r="G116" t="s">
        <v>9</v>
      </c>
    </row>
    <row r="117" spans="1:7" x14ac:dyDescent="0.25">
      <c r="A117" t="s">
        <v>7</v>
      </c>
      <c r="B117" t="s">
        <v>125</v>
      </c>
      <c r="C117" t="str">
        <f>"33"</f>
        <v>33</v>
      </c>
      <c r="D117">
        <v>46</v>
      </c>
      <c r="E117">
        <v>1.8</v>
      </c>
      <c r="F117" s="1">
        <v>41444.352152777778</v>
      </c>
      <c r="G117" t="s">
        <v>129</v>
      </c>
    </row>
    <row r="118" spans="1:7" x14ac:dyDescent="0.25">
      <c r="A118" t="s">
        <v>7</v>
      </c>
      <c r="B118" t="s">
        <v>26</v>
      </c>
      <c r="C118" t="str">
        <f>"07"</f>
        <v>07</v>
      </c>
      <c r="D118">
        <v>111</v>
      </c>
      <c r="E118">
        <v>1.8</v>
      </c>
      <c r="F118" s="1">
        <v>41444.373483796298</v>
      </c>
      <c r="G118" t="s">
        <v>9</v>
      </c>
    </row>
    <row r="119" spans="1:7" x14ac:dyDescent="0.25">
      <c r="A119" t="s">
        <v>7</v>
      </c>
      <c r="B119" t="s">
        <v>8</v>
      </c>
      <c r="C119" t="str">
        <f>"83"</f>
        <v>83</v>
      </c>
      <c r="D119">
        <v>30</v>
      </c>
      <c r="E119">
        <v>1.8</v>
      </c>
      <c r="F119" s="1">
        <v>41444.382604166669</v>
      </c>
      <c r="G119" t="s">
        <v>9</v>
      </c>
    </row>
    <row r="120" spans="1:7" x14ac:dyDescent="0.25">
      <c r="A120" t="s">
        <v>7</v>
      </c>
      <c r="B120" t="s">
        <v>117</v>
      </c>
      <c r="C120" t="str">
        <f>"41"</f>
        <v>41</v>
      </c>
      <c r="D120">
        <v>73</v>
      </c>
      <c r="E120">
        <v>1.8</v>
      </c>
      <c r="F120" s="1">
        <v>41444.393449074072</v>
      </c>
      <c r="G120" t="s">
        <v>9</v>
      </c>
    </row>
    <row r="121" spans="1:7" x14ac:dyDescent="0.25">
      <c r="A121" t="s">
        <v>7</v>
      </c>
      <c r="B121" t="s">
        <v>87</v>
      </c>
      <c r="C121" t="str">
        <f>"38"</f>
        <v>38</v>
      </c>
      <c r="D121">
        <v>38</v>
      </c>
      <c r="E121">
        <v>1.8</v>
      </c>
      <c r="F121" s="1">
        <v>41444.393946759257</v>
      </c>
      <c r="G12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RCProgress 6-19-13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Osborne, Mistyamber</dc:creator>
  <cp:lastModifiedBy>Mistyamber Osborne</cp:lastModifiedBy>
  <dcterms:created xsi:type="dcterms:W3CDTF">2013-06-19T16:02:40Z</dcterms:created>
  <dcterms:modified xsi:type="dcterms:W3CDTF">2013-06-19T16:04:30Z</dcterms:modified>
</cp:coreProperties>
</file>