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255" windowWidth="12045" windowHeight="5685"/>
  </bookViews>
  <sheets>
    <sheet name="AT Pace" sheetId="1" r:id="rId1"/>
    <sheet name="4x1mile" sheetId="2" r:id="rId2"/>
    <sheet name="pryamid" sheetId="3" r:id="rId3"/>
    <sheet name="10x400" sheetId="4" r:id="rId4"/>
  </sheets>
  <calcPr calcId="145621"/>
  <fileRecoveryPr repairLoad="1"/>
</workbook>
</file>

<file path=xl/calcChain.xml><?xml version="1.0" encoding="utf-8"?>
<calcChain xmlns="http://schemas.openxmlformats.org/spreadsheetml/2006/main">
  <c r="K31" i="1" l="1"/>
  <c r="K30" i="1"/>
  <c r="K40" i="1"/>
  <c r="K42" i="1"/>
  <c r="K45" i="1"/>
  <c r="K39" i="1"/>
  <c r="K44" i="1"/>
  <c r="K43" i="1"/>
  <c r="K46" i="1"/>
  <c r="K41" i="1"/>
  <c r="K38" i="1"/>
  <c r="K6" i="1"/>
  <c r="K7" i="1"/>
  <c r="K8" i="1"/>
  <c r="K12" i="1"/>
  <c r="K11" i="1"/>
  <c r="K13" i="1"/>
  <c r="K9" i="1"/>
  <c r="K14" i="1"/>
  <c r="K16" i="1"/>
  <c r="K10" i="1"/>
  <c r="K15" i="1"/>
  <c r="K5" i="1"/>
  <c r="K22" i="1"/>
  <c r="K25" i="1"/>
  <c r="K28" i="1"/>
  <c r="K29" i="1"/>
  <c r="K26" i="1"/>
  <c r="K24" i="1"/>
  <c r="K23" i="1"/>
  <c r="K27" i="1"/>
  <c r="K21" i="1"/>
  <c r="F67" i="2" l="1"/>
  <c r="F74" i="2" l="1"/>
  <c r="F65" i="2"/>
  <c r="F53" i="2" l="1"/>
  <c r="F62" i="2"/>
  <c r="F51" i="2"/>
  <c r="F70" i="2"/>
  <c r="F69" i="2"/>
  <c r="F72" i="2"/>
  <c r="F73" i="2"/>
  <c r="F71" i="2"/>
  <c r="F64" i="2"/>
  <c r="F66" i="2"/>
  <c r="F61" i="2"/>
  <c r="F63" i="2"/>
  <c r="F60" i="2"/>
  <c r="F57" i="2"/>
  <c r="F56" i="2"/>
  <c r="F54" i="2"/>
  <c r="F55" i="2"/>
  <c r="F58" i="2"/>
  <c r="F49" i="2"/>
  <c r="F48" i="2"/>
  <c r="F50" i="2"/>
  <c r="F46" i="2"/>
  <c r="F44" i="2"/>
  <c r="F47" i="2"/>
  <c r="F45" i="2"/>
  <c r="F43" i="2"/>
  <c r="L18" i="4" l="1"/>
  <c r="M18" i="4" s="1"/>
  <c r="L42" i="4" l="1"/>
  <c r="M42" i="4" s="1"/>
  <c r="L38" i="4"/>
  <c r="M38" i="4" s="1"/>
  <c r="L40" i="4"/>
  <c r="M40" i="4" s="1"/>
  <c r="L39" i="4"/>
  <c r="M39" i="4" s="1"/>
  <c r="L43" i="4"/>
  <c r="M43" i="4" s="1"/>
  <c r="L44" i="4"/>
  <c r="M44" i="4" s="1"/>
  <c r="L41" i="4"/>
  <c r="M41" i="4" s="1"/>
  <c r="L36" i="4"/>
  <c r="M36" i="4" s="1"/>
  <c r="L35" i="4"/>
  <c r="M35" i="4" s="1"/>
  <c r="L34" i="4"/>
  <c r="M34" i="4" s="1"/>
  <c r="L33" i="4"/>
  <c r="M33" i="4" s="1"/>
  <c r="L24" i="4"/>
  <c r="M24" i="4" s="1"/>
  <c r="L28" i="4"/>
  <c r="M28" i="4" s="1"/>
  <c r="L26" i="4"/>
  <c r="M26" i="4" s="1"/>
  <c r="L27" i="4"/>
  <c r="M27" i="4" s="1"/>
  <c r="L30" i="4"/>
  <c r="M30" i="4" s="1"/>
  <c r="L31" i="4"/>
  <c r="M31" i="4" s="1"/>
  <c r="L29" i="4"/>
  <c r="M29" i="4" s="1"/>
  <c r="L25" i="4"/>
  <c r="M25" i="4" s="1"/>
  <c r="L21" i="4"/>
  <c r="M21" i="4" s="1"/>
  <c r="L17" i="4"/>
  <c r="M17" i="4" s="1"/>
  <c r="L22" i="4"/>
  <c r="M22" i="4" s="1"/>
  <c r="L19" i="4"/>
  <c r="M19" i="4" s="1"/>
  <c r="L20" i="4"/>
  <c r="M20" i="4" s="1"/>
  <c r="L12" i="4"/>
  <c r="M12" i="4" s="1"/>
  <c r="L5" i="4"/>
  <c r="M5" i="4" s="1"/>
  <c r="L6" i="4"/>
  <c r="M6" i="4" s="1"/>
  <c r="L4" i="4"/>
  <c r="M4" i="4" s="1"/>
  <c r="L9" i="4"/>
  <c r="M9" i="4" s="1"/>
  <c r="L11" i="4"/>
  <c r="M11" i="4" s="1"/>
  <c r="L10" i="4"/>
  <c r="M10" i="4" s="1"/>
  <c r="L8" i="4"/>
  <c r="M8" i="4" s="1"/>
  <c r="L14" i="4"/>
  <c r="M14" i="4" s="1"/>
  <c r="L7" i="4"/>
  <c r="M7" i="4" s="1"/>
  <c r="L15" i="4"/>
  <c r="M15" i="4" s="1"/>
  <c r="L13" i="4"/>
  <c r="M13" i="4" s="1"/>
  <c r="I40" i="1" l="1"/>
  <c r="I47" i="1"/>
  <c r="I42" i="1"/>
  <c r="I45" i="1"/>
  <c r="I49" i="1"/>
  <c r="I48" i="1"/>
  <c r="I29" i="1"/>
  <c r="I34" i="1"/>
  <c r="I22" i="1"/>
  <c r="I33" i="1"/>
  <c r="I25" i="1"/>
  <c r="I35" i="1"/>
  <c r="I28" i="1"/>
  <c r="I32" i="1"/>
  <c r="I26" i="1"/>
  <c r="I6" i="1"/>
  <c r="I7" i="1"/>
  <c r="I13" i="1"/>
  <c r="I11" i="1"/>
  <c r="I14" i="1"/>
  <c r="I8" i="1"/>
  <c r="I12" i="1"/>
  <c r="I9" i="1"/>
  <c r="I21" i="1"/>
  <c r="I5" i="1"/>
  <c r="F36" i="2" l="1"/>
  <c r="H36" i="3" l="1"/>
  <c r="H37" i="3"/>
  <c r="H38" i="3"/>
  <c r="H39" i="3"/>
  <c r="H40" i="3"/>
  <c r="H35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2" i="3"/>
  <c r="J23" i="3"/>
  <c r="J24" i="3"/>
  <c r="J25" i="3"/>
  <c r="J26" i="3"/>
  <c r="J27" i="3"/>
  <c r="J28" i="3"/>
  <c r="J29" i="3"/>
  <c r="J31" i="3"/>
  <c r="J32" i="3"/>
  <c r="J33" i="3"/>
  <c r="J35" i="3"/>
  <c r="J36" i="3"/>
  <c r="J37" i="3"/>
  <c r="J38" i="3"/>
  <c r="J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2" i="3"/>
  <c r="H23" i="3"/>
  <c r="H24" i="3"/>
  <c r="H25" i="3"/>
  <c r="H26" i="3"/>
  <c r="H27" i="3"/>
  <c r="H28" i="3"/>
  <c r="H31" i="3"/>
  <c r="H32" i="3"/>
  <c r="H33" i="3"/>
  <c r="H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2" i="3"/>
  <c r="I23" i="3"/>
  <c r="I24" i="3"/>
  <c r="I25" i="3"/>
  <c r="I26" i="3"/>
  <c r="I27" i="3"/>
  <c r="I28" i="3"/>
  <c r="I29" i="3"/>
  <c r="I31" i="3"/>
  <c r="I32" i="3"/>
  <c r="I33" i="3"/>
  <c r="I35" i="3"/>
  <c r="I36" i="3"/>
  <c r="I37" i="3"/>
  <c r="I38" i="3"/>
  <c r="I39" i="3"/>
  <c r="I40" i="3"/>
  <c r="I4" i="3"/>
  <c r="G6" i="3"/>
  <c r="G4" i="3"/>
  <c r="G7" i="3"/>
  <c r="G9" i="3"/>
  <c r="G11" i="3"/>
  <c r="G10" i="3"/>
  <c r="G13" i="3"/>
  <c r="G8" i="3"/>
  <c r="G15" i="3"/>
  <c r="G12" i="3"/>
  <c r="G14" i="3"/>
  <c r="G20" i="3"/>
  <c r="G18" i="3"/>
  <c r="G16" i="3"/>
  <c r="G19" i="3"/>
  <c r="G17" i="3"/>
  <c r="G22" i="3"/>
  <c r="G26" i="3"/>
  <c r="G24" i="3"/>
  <c r="G25" i="3"/>
  <c r="G23" i="3"/>
  <c r="G28" i="3"/>
  <c r="G27" i="3"/>
  <c r="G33" i="3"/>
  <c r="G31" i="3"/>
  <c r="G32" i="3"/>
  <c r="G5" i="3"/>
  <c r="F39" i="2" l="1"/>
  <c r="F35" i="2"/>
  <c r="F34" i="2"/>
  <c r="F37" i="2"/>
  <c r="F38" i="2"/>
  <c r="F33" i="2"/>
  <c r="I33" i="2" s="1"/>
  <c r="F32" i="2"/>
  <c r="I32" i="2" s="1"/>
  <c r="F31" i="2"/>
  <c r="I31" i="2" s="1"/>
  <c r="F26" i="2"/>
  <c r="F29" i="2"/>
  <c r="I29" i="2" s="1"/>
  <c r="F28" i="2"/>
  <c r="I28" i="2" s="1"/>
  <c r="F24" i="2"/>
  <c r="I24" i="2" s="1"/>
  <c r="F23" i="2"/>
  <c r="I23" i="2" s="1"/>
  <c r="F25" i="2"/>
  <c r="I25" i="2" s="1"/>
  <c r="F27" i="2"/>
  <c r="I27" i="2" s="1"/>
  <c r="F19" i="2"/>
  <c r="I19" i="2" s="1"/>
  <c r="F18" i="2"/>
  <c r="I18" i="2" s="1"/>
  <c r="F21" i="2"/>
  <c r="I21" i="2" s="1"/>
  <c r="F17" i="2"/>
  <c r="I17" i="2" s="1"/>
  <c r="F20" i="2"/>
  <c r="I20" i="2" s="1"/>
  <c r="F16" i="2"/>
  <c r="I16" i="2" s="1"/>
  <c r="F6" i="2"/>
  <c r="I6" i="2" s="1"/>
  <c r="F5" i="2"/>
  <c r="I5" i="2" s="1"/>
  <c r="F11" i="2"/>
  <c r="I11" i="2" s="1"/>
  <c r="F8" i="2"/>
  <c r="I8" i="2" s="1"/>
  <c r="F7" i="2"/>
  <c r="I7" i="2" s="1"/>
  <c r="F13" i="2"/>
  <c r="I13" i="2" s="1"/>
  <c r="F4" i="2"/>
  <c r="I4" i="2" s="1"/>
  <c r="F9" i="2"/>
  <c r="I9" i="2" s="1"/>
  <c r="F10" i="2"/>
  <c r="I10" i="2" s="1"/>
  <c r="F14" i="2"/>
  <c r="I14" i="2" s="1"/>
  <c r="F12" i="2"/>
  <c r="I12" i="2" s="1"/>
  <c r="F3" i="2"/>
  <c r="I3" i="2" s="1"/>
  <c r="F49" i="1" l="1"/>
  <c r="F39" i="1"/>
  <c r="F40" i="1"/>
  <c r="F42" i="1"/>
  <c r="F45" i="1"/>
  <c r="F51" i="1"/>
  <c r="F47" i="1"/>
  <c r="F44" i="1"/>
  <c r="F43" i="1"/>
  <c r="F46" i="1"/>
  <c r="F48" i="1"/>
  <c r="F50" i="1"/>
  <c r="F24" i="1"/>
  <c r="F22" i="1"/>
  <c r="F25" i="1"/>
  <c r="F34" i="1"/>
  <c r="F35" i="1"/>
  <c r="F33" i="1"/>
  <c r="F29" i="1"/>
  <c r="F21" i="1"/>
  <c r="F18" i="1"/>
  <c r="F5" i="1"/>
  <c r="F7" i="1"/>
  <c r="F13" i="1"/>
  <c r="F8" i="1"/>
  <c r="F14" i="1"/>
  <c r="F6" i="1"/>
  <c r="F12" i="1"/>
  <c r="F11" i="1"/>
  <c r="F10" i="1"/>
  <c r="F16" i="1"/>
  <c r="F17" i="1"/>
  <c r="C34" i="1" l="1"/>
  <c r="C45" i="1" l="1"/>
  <c r="C42" i="1"/>
  <c r="C40" i="1"/>
  <c r="C32" i="1"/>
  <c r="C39" i="1"/>
  <c r="C50" i="1"/>
  <c r="C48" i="1"/>
  <c r="C28" i="1"/>
  <c r="C41" i="1"/>
  <c r="C35" i="1"/>
  <c r="C29" i="1"/>
  <c r="C36" i="1"/>
  <c r="C33" i="1"/>
  <c r="C17" i="1"/>
  <c r="C5" i="1"/>
  <c r="C7" i="1"/>
  <c r="C13" i="1"/>
  <c r="C8" i="1"/>
  <c r="C14" i="1"/>
  <c r="C6" i="1"/>
  <c r="C12" i="1"/>
  <c r="C11" i="1"/>
  <c r="C10" i="1"/>
  <c r="C19" i="1"/>
  <c r="C16" i="1"/>
  <c r="C9" i="1"/>
</calcChain>
</file>

<file path=xl/sharedStrings.xml><?xml version="1.0" encoding="utf-8"?>
<sst xmlns="http://schemas.openxmlformats.org/spreadsheetml/2006/main" count="436" uniqueCount="82">
  <si>
    <t>Sam Bautista</t>
  </si>
  <si>
    <t>Jose Pacheco</t>
  </si>
  <si>
    <t>Josh Roldan</t>
  </si>
  <si>
    <t>Nick Covarrubias</t>
  </si>
  <si>
    <t>Steven Vera</t>
  </si>
  <si>
    <t>Brian Ferrer</t>
  </si>
  <si>
    <t>Christian Bazinet</t>
  </si>
  <si>
    <t>Chris Ramirez</t>
  </si>
  <si>
    <t>Chris Sanchez</t>
  </si>
  <si>
    <t>Matlazomatli Rojas</t>
  </si>
  <si>
    <t xml:space="preserve">Leo Corcoran </t>
  </si>
  <si>
    <t>Rudy Gonzalez</t>
  </si>
  <si>
    <t>Omar Cornejo</t>
  </si>
  <si>
    <t>Benny Castillo</t>
  </si>
  <si>
    <t>Alex Trejo</t>
  </si>
  <si>
    <t>John Janos</t>
  </si>
  <si>
    <t>Bryce Hopwood</t>
  </si>
  <si>
    <t>Christian Torres</t>
  </si>
  <si>
    <t>Justine Romo</t>
  </si>
  <si>
    <t>Breanna Arroyo</t>
  </si>
  <si>
    <t>Kristen Carrera</t>
  </si>
  <si>
    <t>Destiny Garcia</t>
  </si>
  <si>
    <t>Arianna Perez</t>
  </si>
  <si>
    <t>Nicole Fernandez</t>
  </si>
  <si>
    <t>Marissa Olid</t>
  </si>
  <si>
    <t>Daniela Muniz</t>
  </si>
  <si>
    <t>Lana Valenzuela</t>
  </si>
  <si>
    <t>Justine Fernandez</t>
  </si>
  <si>
    <t>AVG</t>
  </si>
  <si>
    <t xml:space="preserve">Time </t>
  </si>
  <si>
    <t>Last Year</t>
  </si>
  <si>
    <t>DNR</t>
  </si>
  <si>
    <t>2012 AT RUNS</t>
  </si>
  <si>
    <t>4.5 miles</t>
  </si>
  <si>
    <t>5 miles</t>
  </si>
  <si>
    <t>4.22 miles</t>
  </si>
  <si>
    <t>DNF</t>
  </si>
  <si>
    <t>NA</t>
  </si>
  <si>
    <t>Andre Segovia</t>
  </si>
  <si>
    <t>Samuel Bautista</t>
  </si>
  <si>
    <t>Andrew Mendez</t>
  </si>
  <si>
    <t>William Chacon</t>
  </si>
  <si>
    <t>Yolanda Quezada</t>
  </si>
  <si>
    <t>Joy Hernandez</t>
  </si>
  <si>
    <t>Brianna Legaspy</t>
  </si>
  <si>
    <t>Sarina Solte</t>
  </si>
  <si>
    <t>4.2M</t>
  </si>
  <si>
    <t>4.5M</t>
  </si>
  <si>
    <t>Chelsea Mermis</t>
  </si>
  <si>
    <t>Ozo Rojas</t>
  </si>
  <si>
    <t>Rudy Gonzales</t>
  </si>
  <si>
    <t>Leo Corcoran</t>
  </si>
  <si>
    <t>Alex Gudino</t>
  </si>
  <si>
    <t>Justice Navarro</t>
  </si>
  <si>
    <t>Adrianna Mendoza</t>
  </si>
  <si>
    <t>last year</t>
  </si>
  <si>
    <t>XC</t>
  </si>
  <si>
    <t>X</t>
  </si>
  <si>
    <t>3 MILE</t>
  </si>
  <si>
    <t>Group 1 - 5:00-5:20</t>
  </si>
  <si>
    <t>Group 3 - 6:15-6:45</t>
  </si>
  <si>
    <t xml:space="preserve">Group 2 - 5:30-6:00 </t>
  </si>
  <si>
    <t>Group 4 - 7-7:30</t>
  </si>
  <si>
    <t>Carlos Gonzales</t>
  </si>
  <si>
    <t>Group 1</t>
  </si>
  <si>
    <t>Group 2</t>
  </si>
  <si>
    <t>Group 3</t>
  </si>
  <si>
    <t>Group 4</t>
  </si>
  <si>
    <t>Susan Leos</t>
  </si>
  <si>
    <t>Projected Times</t>
  </si>
  <si>
    <t>x</t>
  </si>
  <si>
    <t>Time</t>
  </si>
  <si>
    <t xml:space="preserve">Group 5 </t>
  </si>
  <si>
    <t>1600m</t>
  </si>
  <si>
    <t>Group 1 - 4:54-5:18 (8:05 go's)</t>
  </si>
  <si>
    <t>Group 2 - 5:36-5:38 (8:37 go's)</t>
  </si>
  <si>
    <t>Group 3 - 5:54-6:15 (9:04 go's)</t>
  </si>
  <si>
    <t>Carlos Gonzalez</t>
  </si>
  <si>
    <t>Group 5 - 7:10-7:35 (10:30 go's)</t>
  </si>
  <si>
    <t>Goal</t>
  </si>
  <si>
    <t>4x1m</t>
  </si>
  <si>
    <t>track '11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</si>
</sst>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h]:mm"/>
    <numFmt numFmtId="165" formatCode="m:ss"/>
    <numFmt numFmtId="166" formatCode="m/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Border="1" applyAlignment="1">
      <alignment horizontal="center"/>
    </xf>
    <xf numFmtId="45" fontId="2" fillId="0" borderId="0" xfId="0" applyNumberFormat="1" applyFont="1" applyBorder="1" applyAlignment="1">
      <alignment horizontal="center"/>
    </xf>
    <xf numFmtId="165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64" fontId="1" fillId="0" borderId="0" xfId="0" applyNumberFormat="1" applyFont="1" applyBorder="1" applyAlignment="1">
      <alignment horizontal="center"/>
    </xf>
    <xf numFmtId="45" fontId="1" fillId="0" borderId="0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45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1" xfId="0" applyFont="1" applyBorder="1" applyAlignment="1">
      <alignment horizontal="left"/>
    </xf>
    <xf numFmtId="45" fontId="2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/>
    <xf numFmtId="165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7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1" fillId="0" borderId="1" xfId="0" applyNumberFormat="1" applyFont="1" applyBorder="1"/>
    <xf numFmtId="0" fontId="1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1" fillId="0" borderId="0" xfId="0" applyNumberFormat="1" applyFont="1"/>
    <xf numFmtId="165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45" fontId="1" fillId="0" borderId="1" xfId="0" applyNumberFormat="1" applyFont="1" applyBorder="1" applyAlignment="1">
      <alignment horizontal="center"/>
    </xf>
    <xf numFmtId="0" fontId="1" fillId="0" borderId="0" xfId="0" applyFont="1" applyBorder="1"/>
    <xf numFmtId="0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165" fontId="0" fillId="0" borderId="1" xfId="0" applyNumberFormat="1" applyBorder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165" fontId="0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165" fontId="2" fillId="0" borderId="0" xfId="0" applyNumberFormat="1" applyFont="1" applyFill="1" applyAlignment="1">
      <alignment horizontal="center"/>
    </xf>
    <xf numFmtId="0" fontId="1" fillId="0" borderId="0" xfId="0" applyFont="1" applyFill="1"/>
    <xf numFmtId="165" fontId="0" fillId="0" borderId="0" xfId="0" applyNumberFormat="1" applyFill="1" applyAlignment="1">
      <alignment horizontal="center"/>
    </xf>
    <xf numFmtId="165" fontId="3" fillId="0" borderId="0" xfId="0" applyNumberFormat="1" applyFont="1" applyFill="1" applyAlignment="1">
      <alignment horizontal="center"/>
    </xf>
    <xf numFmtId="0" fontId="2" fillId="0" borderId="0" xfId="0" applyFont="1" applyFill="1"/>
    <xf numFmtId="0" fontId="3" fillId="0" borderId="0" xfId="0" applyFont="1" applyFill="1"/>
    <xf numFmtId="166" fontId="1" fillId="0" borderId="1" xfId="0" applyNumberFormat="1" applyFont="1" applyBorder="1" applyAlignment="1">
      <alignment horizontal="left"/>
    </xf>
    <xf numFmtId="166" fontId="1" fillId="0" borderId="0" xfId="0" applyNumberFormat="1" applyFont="1" applyBorder="1" applyAlignment="1">
      <alignment horizontal="center"/>
    </xf>
    <xf numFmtId="166" fontId="1" fillId="0" borderId="0" xfId="0" applyNumberFormat="1" applyFont="1" applyBorder="1"/>
    <xf numFmtId="166" fontId="1" fillId="0" borderId="2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"/>
  <sheetViews>
    <sheetView tabSelected="1" workbookViewId="0">
      <selection activeCell="N36" sqref="N36"/>
    </sheetView>
  </sheetViews>
  <sheetFormatPr defaultColWidth="9.140625" defaultRowHeight="15" x14ac:dyDescent="0.25"/>
  <cols>
    <col min="1" max="1" width="18.140625" style="4" bestFit="1" customWidth="1"/>
    <col min="2" max="2" width="5.85546875" style="1" bestFit="1" customWidth="1"/>
    <col min="3" max="3" width="5" style="2" bestFit="1" customWidth="1"/>
    <col min="4" max="4" width="8.85546875" style="3" bestFit="1" customWidth="1"/>
    <col min="5" max="5" width="5.85546875" style="7" bestFit="1" customWidth="1"/>
    <col min="6" max="6" width="5" style="9" bestFit="1" customWidth="1"/>
    <col min="7" max="7" width="8.85546875" style="3" bestFit="1" customWidth="1"/>
    <col min="8" max="8" width="5.85546875" style="10" customWidth="1"/>
    <col min="9" max="9" width="6.28515625" style="9" customWidth="1"/>
    <col min="10" max="10" width="9.140625" style="32"/>
    <col min="11" max="11" width="9.140625" style="9"/>
    <col min="12" max="16" width="9.140625" style="11"/>
    <col min="17" max="16384" width="9.140625" style="12"/>
  </cols>
  <sheetData>
    <row r="1" spans="1:16" x14ac:dyDescent="0.25">
      <c r="A1" s="56" t="s">
        <v>32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6" s="35" customFormat="1" ht="15.75" thickBot="1" x14ac:dyDescent="0.3">
      <c r="A2" s="13"/>
      <c r="B2" s="30" t="s">
        <v>29</v>
      </c>
      <c r="C2" s="14" t="s">
        <v>28</v>
      </c>
      <c r="D2" s="15" t="s">
        <v>30</v>
      </c>
      <c r="E2" s="30" t="s">
        <v>29</v>
      </c>
      <c r="F2" s="14" t="s">
        <v>28</v>
      </c>
      <c r="G2" s="15" t="s">
        <v>30</v>
      </c>
      <c r="H2" s="34" t="s">
        <v>71</v>
      </c>
      <c r="I2" s="33" t="s">
        <v>28</v>
      </c>
      <c r="J2" s="34" t="s">
        <v>71</v>
      </c>
      <c r="K2" s="33" t="s">
        <v>28</v>
      </c>
      <c r="L2" s="31"/>
      <c r="M2" s="31"/>
      <c r="N2" s="31"/>
      <c r="O2" s="31"/>
      <c r="P2" s="31"/>
    </row>
    <row r="3" spans="1:16" s="54" customFormat="1" ht="16.5" thickTop="1" thickBot="1" x14ac:dyDescent="0.3">
      <c r="A3" s="52"/>
      <c r="B3" s="55">
        <v>40936</v>
      </c>
      <c r="C3" s="55"/>
      <c r="D3" s="55"/>
      <c r="E3" s="55">
        <v>40956</v>
      </c>
      <c r="F3" s="55"/>
      <c r="G3" s="55"/>
      <c r="H3" s="55">
        <v>40978</v>
      </c>
      <c r="I3" s="55"/>
      <c r="J3" s="55">
        <v>40994</v>
      </c>
      <c r="K3" s="55"/>
      <c r="L3" s="53"/>
      <c r="M3" s="53"/>
      <c r="N3" s="53"/>
      <c r="O3" s="53"/>
      <c r="P3" s="53"/>
    </row>
    <row r="4" spans="1:16" ht="16.5" thickTop="1" thickBot="1" x14ac:dyDescent="0.3">
      <c r="A4" s="57" t="s">
        <v>34</v>
      </c>
      <c r="B4" s="57"/>
      <c r="C4" s="57"/>
      <c r="D4" s="57"/>
      <c r="E4" s="57"/>
      <c r="F4" s="57"/>
      <c r="G4" s="57"/>
      <c r="H4" s="57"/>
      <c r="I4" s="57"/>
      <c r="J4" s="57"/>
      <c r="K4" s="57"/>
    </row>
    <row r="5" spans="1:16" ht="15.75" thickTop="1" x14ac:dyDescent="0.25">
      <c r="A5" s="4" t="s">
        <v>2</v>
      </c>
      <c r="B5" s="6">
        <v>1.1770833333333333</v>
      </c>
      <c r="C5" s="8">
        <f t="shared" ref="C5:C14" si="0">B5/5</f>
        <v>0.23541666666666666</v>
      </c>
      <c r="D5" s="3">
        <v>4.1319444444444442E-3</v>
      </c>
      <c r="E5" s="7">
        <v>1.9166666666666669E-2</v>
      </c>
      <c r="F5" s="9">
        <f>E5/5</f>
        <v>3.8333333333333336E-3</v>
      </c>
      <c r="G5" s="3">
        <v>4.0624999999999993E-3</v>
      </c>
      <c r="H5" s="10">
        <v>1.9247685185185184E-2</v>
      </c>
      <c r="I5" s="9">
        <f>H5/5</f>
        <v>3.8495370370370367E-3</v>
      </c>
      <c r="J5" s="32">
        <v>1.9085648148148147E-2</v>
      </c>
      <c r="K5" s="9">
        <f t="shared" ref="K5:K16" si="1">J5/5</f>
        <v>3.8171296296296295E-3</v>
      </c>
    </row>
    <row r="6" spans="1:16" x14ac:dyDescent="0.25">
      <c r="A6" s="4" t="s">
        <v>9</v>
      </c>
      <c r="B6" s="6">
        <v>1.2208333333333334</v>
      </c>
      <c r="C6" s="8">
        <f t="shared" si="0"/>
        <v>0.2441666666666667</v>
      </c>
      <c r="D6" s="3" t="s">
        <v>31</v>
      </c>
      <c r="E6" s="7">
        <v>1.9872685185185184E-2</v>
      </c>
      <c r="F6" s="9">
        <f>E6/5</f>
        <v>3.9745370370370368E-3</v>
      </c>
      <c r="G6" s="3">
        <v>4.2824074074074075E-3</v>
      </c>
      <c r="H6" s="10">
        <v>1.954861111111111E-2</v>
      </c>
      <c r="I6" s="9">
        <f>H6/5</f>
        <v>3.9097222222222224E-3</v>
      </c>
      <c r="J6" s="32">
        <v>1.9490740740740743E-2</v>
      </c>
      <c r="K6" s="9">
        <f t="shared" si="1"/>
        <v>3.8981481481481484E-3</v>
      </c>
    </row>
    <row r="7" spans="1:16" x14ac:dyDescent="0.25">
      <c r="A7" s="4" t="s">
        <v>3</v>
      </c>
      <c r="B7" s="6">
        <v>1.1791666666666667</v>
      </c>
      <c r="C7" s="8">
        <f t="shared" si="0"/>
        <v>0.23583333333333334</v>
      </c>
      <c r="D7" s="3">
        <v>4.1782407407407402E-3</v>
      </c>
      <c r="E7" s="7">
        <v>2.0208333333333335E-2</v>
      </c>
      <c r="F7" s="9">
        <f>E7/5</f>
        <v>4.0416666666666674E-3</v>
      </c>
      <c r="G7" s="3">
        <v>4.1666666666666666E-3</v>
      </c>
      <c r="H7" s="10">
        <v>1.954861111111111E-2</v>
      </c>
      <c r="I7" s="9">
        <f>H7/5</f>
        <v>3.9097222222222224E-3</v>
      </c>
      <c r="J7" s="32">
        <v>1.9837962962962963E-2</v>
      </c>
      <c r="K7" s="9">
        <f t="shared" si="1"/>
        <v>3.9675925925925929E-3</v>
      </c>
    </row>
    <row r="8" spans="1:16" x14ac:dyDescent="0.25">
      <c r="A8" s="4" t="s">
        <v>7</v>
      </c>
      <c r="B8" s="6">
        <v>1.1965277777777776</v>
      </c>
      <c r="C8" s="8">
        <f t="shared" si="0"/>
        <v>0.23930555555555552</v>
      </c>
      <c r="D8" s="3">
        <v>4.4444444444444444E-3</v>
      </c>
      <c r="E8" s="7">
        <v>2.1006944444444443E-2</v>
      </c>
      <c r="F8" s="9">
        <f>E8/5</f>
        <v>4.2013888888888882E-3</v>
      </c>
      <c r="G8" s="3">
        <v>4.31712962962963E-3</v>
      </c>
      <c r="H8" s="10">
        <v>2.0023148148148148E-2</v>
      </c>
      <c r="I8" s="9">
        <f>H8/5</f>
        <v>4.0046296296296297E-3</v>
      </c>
      <c r="J8" s="32">
        <v>2.0162037037037037E-2</v>
      </c>
      <c r="K8" s="9">
        <f t="shared" si="1"/>
        <v>4.0324074074074073E-3</v>
      </c>
    </row>
    <row r="9" spans="1:16" x14ac:dyDescent="0.25">
      <c r="A9" s="4" t="s">
        <v>0</v>
      </c>
      <c r="B9" s="6">
        <v>1.1333333333333333</v>
      </c>
      <c r="C9" s="8">
        <f t="shared" si="0"/>
        <v>0.22666666666666666</v>
      </c>
      <c r="D9" s="3">
        <v>4.1435185185185186E-3</v>
      </c>
      <c r="E9" s="7" t="s">
        <v>36</v>
      </c>
      <c r="F9" s="9" t="s">
        <v>37</v>
      </c>
      <c r="G9" s="3" t="s">
        <v>37</v>
      </c>
      <c r="H9" s="10">
        <v>2.1250000000000002E-2</v>
      </c>
      <c r="I9" s="9">
        <f>H9/5</f>
        <v>4.2500000000000003E-3</v>
      </c>
      <c r="J9" s="32">
        <v>2.0266203703703703E-2</v>
      </c>
      <c r="K9" s="9">
        <f t="shared" si="1"/>
        <v>4.0532407407407409E-3</v>
      </c>
    </row>
    <row r="10" spans="1:16" x14ac:dyDescent="0.25">
      <c r="A10" s="4" t="s">
        <v>12</v>
      </c>
      <c r="B10" s="6">
        <v>1.2638888888888888</v>
      </c>
      <c r="C10" s="8">
        <f t="shared" si="0"/>
        <v>0.25277777777777777</v>
      </c>
      <c r="D10" s="3" t="s">
        <v>31</v>
      </c>
      <c r="E10" s="7">
        <v>2.0428240740740743E-2</v>
      </c>
      <c r="F10" s="9">
        <f>E10/5</f>
        <v>4.085648148148149E-3</v>
      </c>
      <c r="G10" s="3">
        <v>4.4212962962962956E-3</v>
      </c>
      <c r="H10" s="10" t="s">
        <v>31</v>
      </c>
      <c r="J10" s="32">
        <v>2.0335648148148148E-2</v>
      </c>
      <c r="K10" s="9">
        <f t="shared" si="1"/>
        <v>4.0671296296296297E-3</v>
      </c>
    </row>
    <row r="11" spans="1:16" x14ac:dyDescent="0.25">
      <c r="A11" s="4" t="s">
        <v>11</v>
      </c>
      <c r="B11" s="6">
        <v>1.2430555555555556</v>
      </c>
      <c r="C11" s="8">
        <f t="shared" si="0"/>
        <v>0.24861111111111112</v>
      </c>
      <c r="D11" s="3">
        <v>4.4444444444444444E-3</v>
      </c>
      <c r="E11" s="7">
        <v>2.0810185185185185E-2</v>
      </c>
      <c r="F11" s="9">
        <f>E11/5</f>
        <v>4.162037037037037E-3</v>
      </c>
      <c r="G11" s="3">
        <v>4.3518518518518515E-3</v>
      </c>
      <c r="H11" s="10">
        <v>2.0706018518518519E-2</v>
      </c>
      <c r="I11" s="9">
        <f>H11/5</f>
        <v>4.1412037037037042E-3</v>
      </c>
      <c r="J11" s="32">
        <v>2.0393518518518519E-2</v>
      </c>
      <c r="K11" s="9">
        <f t="shared" si="1"/>
        <v>4.0787037037037042E-3</v>
      </c>
    </row>
    <row r="12" spans="1:16" x14ac:dyDescent="0.25">
      <c r="A12" s="4" t="s">
        <v>10</v>
      </c>
      <c r="B12" s="6">
        <v>1.2243055555555555</v>
      </c>
      <c r="C12" s="8">
        <f t="shared" si="0"/>
        <v>0.24486111111111111</v>
      </c>
      <c r="D12" s="3">
        <v>4.340277777777778E-3</v>
      </c>
      <c r="E12" s="7">
        <v>2.1030092592592597E-2</v>
      </c>
      <c r="F12" s="9">
        <f>E12/5</f>
        <v>4.2060185185185195E-3</v>
      </c>
      <c r="G12" s="3">
        <v>4.0740740740740746E-3</v>
      </c>
      <c r="H12" s="10">
        <v>2.0196759259259258E-2</v>
      </c>
      <c r="I12" s="9">
        <f>H12/5</f>
        <v>4.0393518518518513E-3</v>
      </c>
      <c r="J12" s="32">
        <v>2.0671296296296295E-2</v>
      </c>
      <c r="K12" s="9">
        <f t="shared" si="1"/>
        <v>4.1342592592592594E-3</v>
      </c>
    </row>
    <row r="13" spans="1:16" x14ac:dyDescent="0.25">
      <c r="A13" s="4" t="s">
        <v>4</v>
      </c>
      <c r="B13" s="6">
        <v>1.1826388888888888</v>
      </c>
      <c r="C13" s="8">
        <f t="shared" si="0"/>
        <v>0.23652777777777775</v>
      </c>
      <c r="D13" s="3" t="s">
        <v>31</v>
      </c>
      <c r="E13" s="7">
        <v>2.0347222222222221E-2</v>
      </c>
      <c r="F13" s="9">
        <f>E13/5</f>
        <v>4.0694444444444441E-3</v>
      </c>
      <c r="G13" s="3" t="s">
        <v>37</v>
      </c>
      <c r="H13" s="10">
        <v>2.0983796296296296E-2</v>
      </c>
      <c r="I13" s="9">
        <f>H13/5</f>
        <v>4.1967592592592595E-3</v>
      </c>
      <c r="J13" s="32">
        <v>2.0821759259259259E-2</v>
      </c>
      <c r="K13" s="9">
        <f t="shared" si="1"/>
        <v>4.1643518518518514E-3</v>
      </c>
    </row>
    <row r="14" spans="1:16" x14ac:dyDescent="0.25">
      <c r="A14" s="4" t="s">
        <v>8</v>
      </c>
      <c r="B14" s="6">
        <v>1.2201388888888889</v>
      </c>
      <c r="C14" s="8">
        <f t="shared" si="0"/>
        <v>0.24402777777777779</v>
      </c>
      <c r="D14" s="3">
        <v>4.340277777777778E-3</v>
      </c>
      <c r="E14" s="7">
        <v>2.0983796296296296E-2</v>
      </c>
      <c r="F14" s="9">
        <f>E14/5</f>
        <v>4.1967592592592595E-3</v>
      </c>
      <c r="G14" s="3">
        <v>4.2824074074074075E-3</v>
      </c>
      <c r="H14" s="10">
        <v>2.2303240740740738E-2</v>
      </c>
      <c r="I14" s="9">
        <f>H14/5</f>
        <v>4.4606481481481476E-3</v>
      </c>
      <c r="J14" s="32">
        <v>2.1203703703703707E-2</v>
      </c>
      <c r="K14" s="9">
        <f t="shared" si="1"/>
        <v>4.2407407407407411E-3</v>
      </c>
    </row>
    <row r="15" spans="1:16" x14ac:dyDescent="0.25">
      <c r="A15" s="4" t="s">
        <v>14</v>
      </c>
      <c r="B15" s="6"/>
      <c r="C15" s="8"/>
      <c r="J15" s="32">
        <v>2.1400462962962965E-2</v>
      </c>
      <c r="K15" s="9">
        <f t="shared" si="1"/>
        <v>4.2800925925925931E-3</v>
      </c>
    </row>
    <row r="16" spans="1:16" x14ac:dyDescent="0.25">
      <c r="A16" s="4" t="s">
        <v>16</v>
      </c>
      <c r="B16" s="6">
        <v>1.3444444444444443</v>
      </c>
      <c r="C16" s="8">
        <f>B16/5</f>
        <v>0.26888888888888884</v>
      </c>
      <c r="D16" s="3">
        <v>4.2245370370370371E-3</v>
      </c>
      <c r="E16" s="7">
        <v>0.02</v>
      </c>
      <c r="F16" s="9">
        <f>E16/5</f>
        <v>4.0000000000000001E-3</v>
      </c>
      <c r="G16" s="3">
        <v>4.2245370370370371E-3</v>
      </c>
      <c r="H16" s="10" t="s">
        <v>36</v>
      </c>
      <c r="J16" s="32">
        <v>2.2835648148148147E-2</v>
      </c>
      <c r="K16" s="9">
        <f t="shared" si="1"/>
        <v>4.5671296296296293E-3</v>
      </c>
    </row>
    <row r="17" spans="1:11" x14ac:dyDescent="0.25">
      <c r="A17" s="4" t="s">
        <v>1</v>
      </c>
      <c r="B17" s="6">
        <v>1.1604166666666667</v>
      </c>
      <c r="C17" s="8">
        <f>B17/5</f>
        <v>0.23208333333333334</v>
      </c>
      <c r="D17" s="3" t="s">
        <v>31</v>
      </c>
      <c r="E17" s="7">
        <v>1.8831018518518518E-2</v>
      </c>
      <c r="F17" s="9">
        <f>E17/5</f>
        <v>3.7662037037037035E-3</v>
      </c>
      <c r="G17" s="3">
        <v>4.4444444444444444E-3</v>
      </c>
      <c r="H17" s="10" t="s">
        <v>36</v>
      </c>
    </row>
    <row r="18" spans="1:11" x14ac:dyDescent="0.25">
      <c r="A18" s="4" t="s">
        <v>38</v>
      </c>
      <c r="B18" s="6" t="s">
        <v>37</v>
      </c>
      <c r="C18" s="8" t="s">
        <v>37</v>
      </c>
      <c r="D18" s="3" t="s">
        <v>37</v>
      </c>
      <c r="E18" s="7">
        <v>2.4270833333333335E-2</v>
      </c>
      <c r="F18" s="9">
        <f>E18/5</f>
        <v>4.8541666666666672E-3</v>
      </c>
      <c r="G18" s="3" t="s">
        <v>37</v>
      </c>
      <c r="H18" s="10" t="s">
        <v>37</v>
      </c>
    </row>
    <row r="19" spans="1:11" x14ac:dyDescent="0.25">
      <c r="A19" s="4" t="s">
        <v>13</v>
      </c>
      <c r="B19" s="6">
        <v>1.2819444444444443</v>
      </c>
      <c r="C19" s="8">
        <f>B19/5</f>
        <v>0.25638888888888889</v>
      </c>
      <c r="D19" s="3" t="s">
        <v>31</v>
      </c>
      <c r="E19" s="7" t="s">
        <v>47</v>
      </c>
      <c r="F19" s="9" t="s">
        <v>37</v>
      </c>
      <c r="G19" s="3">
        <v>4.1898148148148146E-3</v>
      </c>
      <c r="H19" s="10" t="s">
        <v>37</v>
      </c>
    </row>
    <row r="20" spans="1:11" ht="15.75" thickBot="1" x14ac:dyDescent="0.3">
      <c r="A20" s="58" t="s">
        <v>33</v>
      </c>
      <c r="B20" s="58"/>
      <c r="C20" s="58"/>
      <c r="D20" s="58"/>
      <c r="E20" s="58"/>
      <c r="F20" s="58"/>
      <c r="G20" s="58"/>
      <c r="H20" s="58"/>
      <c r="I20" s="58"/>
      <c r="J20" s="58"/>
      <c r="K20" s="58"/>
    </row>
    <row r="21" spans="1:11" ht="15.75" thickTop="1" x14ac:dyDescent="0.25">
      <c r="A21" s="4" t="s">
        <v>39</v>
      </c>
      <c r="B21" s="45" t="s">
        <v>37</v>
      </c>
      <c r="C21" s="45" t="s">
        <v>37</v>
      </c>
      <c r="D21" s="45" t="s">
        <v>37</v>
      </c>
      <c r="E21" s="7">
        <v>1.9351851851851853E-2</v>
      </c>
      <c r="F21" s="9">
        <f>E21/4.5</f>
        <v>4.300411522633745E-3</v>
      </c>
      <c r="G21" s="3" t="s">
        <v>37</v>
      </c>
      <c r="H21" s="10">
        <v>1.9282407407407408E-2</v>
      </c>
      <c r="I21" s="9">
        <f>H21/4.5</f>
        <v>4.2849794238683132E-3</v>
      </c>
      <c r="J21" s="32">
        <v>1.832175925925926E-2</v>
      </c>
      <c r="K21" s="9">
        <f t="shared" ref="K21:K31" si="2">J21/4.5</f>
        <v>4.0715020576131689E-3</v>
      </c>
    </row>
    <row r="22" spans="1:11" x14ac:dyDescent="0.25">
      <c r="A22" s="4" t="s">
        <v>40</v>
      </c>
      <c r="B22" s="45" t="s">
        <v>37</v>
      </c>
      <c r="C22" s="45" t="s">
        <v>37</v>
      </c>
      <c r="D22" s="45" t="s">
        <v>37</v>
      </c>
      <c r="E22" s="7">
        <v>2.0266203703703703E-2</v>
      </c>
      <c r="F22" s="9">
        <f>E22/4.5</f>
        <v>4.5036008230452673E-3</v>
      </c>
      <c r="G22" s="3">
        <v>4.6527777777777774E-3</v>
      </c>
      <c r="H22" s="10">
        <v>1.9976851851851853E-2</v>
      </c>
      <c r="I22" s="9">
        <f>H22/4.5</f>
        <v>4.4393004115226339E-3</v>
      </c>
      <c r="J22" s="32">
        <v>1.9780092592592592E-2</v>
      </c>
      <c r="K22" s="9">
        <f t="shared" si="2"/>
        <v>4.3955761316872427E-3</v>
      </c>
    </row>
    <row r="23" spans="1:11" x14ac:dyDescent="0.25">
      <c r="A23" s="5" t="s">
        <v>52</v>
      </c>
      <c r="B23" s="6"/>
      <c r="C23" s="8"/>
      <c r="J23" s="32">
        <v>1.9861111111111111E-2</v>
      </c>
      <c r="K23" s="9">
        <f t="shared" si="2"/>
        <v>4.4135802469135801E-3</v>
      </c>
    </row>
    <row r="24" spans="1:11" x14ac:dyDescent="0.25">
      <c r="A24" s="4" t="s">
        <v>13</v>
      </c>
      <c r="B24" s="45" t="s">
        <v>37</v>
      </c>
      <c r="C24" s="45" t="s">
        <v>37</v>
      </c>
      <c r="D24" s="45" t="s">
        <v>37</v>
      </c>
      <c r="E24" s="7">
        <v>1.9479166666666669E-2</v>
      </c>
      <c r="F24" s="9">
        <f>E24/4.5</f>
        <v>4.3287037037037044E-3</v>
      </c>
      <c r="G24" s="3" t="s">
        <v>37</v>
      </c>
      <c r="H24" s="10" t="s">
        <v>31</v>
      </c>
      <c r="J24" s="32">
        <v>2.0092592592592592E-2</v>
      </c>
      <c r="K24" s="9">
        <f t="shared" si="2"/>
        <v>4.4650205761316876E-3</v>
      </c>
    </row>
    <row r="25" spans="1:11" x14ac:dyDescent="0.25">
      <c r="A25" s="4" t="s">
        <v>41</v>
      </c>
      <c r="B25" s="45" t="s">
        <v>37</v>
      </c>
      <c r="C25" s="45" t="s">
        <v>37</v>
      </c>
      <c r="D25" s="45" t="s">
        <v>37</v>
      </c>
      <c r="E25" s="7">
        <v>2.0428240740740743E-2</v>
      </c>
      <c r="F25" s="9">
        <f>E25/4.5</f>
        <v>4.5396090534979431E-3</v>
      </c>
      <c r="G25" s="3" t="s">
        <v>37</v>
      </c>
      <c r="H25" s="10">
        <v>2.0046296296296295E-2</v>
      </c>
      <c r="I25" s="9">
        <f>H25/4.5</f>
        <v>4.4547325102880656E-3</v>
      </c>
      <c r="J25" s="32">
        <v>2.0879629629629626E-2</v>
      </c>
      <c r="K25" s="9">
        <f t="shared" si="2"/>
        <v>4.6399176954732505E-3</v>
      </c>
    </row>
    <row r="26" spans="1:11" x14ac:dyDescent="0.25">
      <c r="A26" s="5" t="s">
        <v>53</v>
      </c>
      <c r="B26" s="6"/>
      <c r="C26" s="8"/>
      <c r="H26" s="10">
        <v>2.2164351851851852E-2</v>
      </c>
      <c r="I26" s="9">
        <f>H26/4.5</f>
        <v>4.9254115226337446E-3</v>
      </c>
      <c r="J26" s="32">
        <v>2.1979166666666664E-2</v>
      </c>
      <c r="K26" s="9">
        <f t="shared" si="2"/>
        <v>4.8842592592592583E-3</v>
      </c>
    </row>
    <row r="27" spans="1:11" x14ac:dyDescent="0.25">
      <c r="A27" s="5" t="s">
        <v>38</v>
      </c>
      <c r="B27" s="6"/>
      <c r="C27" s="8"/>
      <c r="J27" s="32">
        <v>2.2233796296296297E-2</v>
      </c>
      <c r="K27" s="9">
        <f t="shared" si="2"/>
        <v>4.9408436213991772E-3</v>
      </c>
    </row>
    <row r="28" spans="1:11" x14ac:dyDescent="0.25">
      <c r="A28" s="5" t="s">
        <v>20</v>
      </c>
      <c r="B28" s="6">
        <v>1.3256944444444445</v>
      </c>
      <c r="C28" s="8">
        <f>B28/4.5</f>
        <v>0.29459876543209879</v>
      </c>
      <c r="D28" s="3">
        <v>5.208333333333333E-3</v>
      </c>
      <c r="E28" s="7" t="s">
        <v>46</v>
      </c>
      <c r="F28" s="9" t="s">
        <v>37</v>
      </c>
      <c r="G28" s="3" t="s">
        <v>37</v>
      </c>
      <c r="H28" s="10">
        <v>2.179398148148148E-2</v>
      </c>
      <c r="I28" s="9">
        <f>H28/4.5</f>
        <v>4.8431069958847738E-3</v>
      </c>
      <c r="J28" s="32">
        <v>2.225694444444444E-2</v>
      </c>
      <c r="K28" s="9">
        <f t="shared" si="2"/>
        <v>4.9459876543209869E-3</v>
      </c>
    </row>
    <row r="29" spans="1:11" x14ac:dyDescent="0.25">
      <c r="A29" s="4" t="s">
        <v>17</v>
      </c>
      <c r="B29" s="6">
        <v>1.3486111111111112</v>
      </c>
      <c r="C29" s="8">
        <f>B29/4.5</f>
        <v>0.29969135802469138</v>
      </c>
      <c r="D29" s="3" t="s">
        <v>31</v>
      </c>
      <c r="E29" s="7">
        <v>2.179398148148148E-2</v>
      </c>
      <c r="F29" s="9">
        <f>E29/4.5</f>
        <v>4.8431069958847738E-3</v>
      </c>
      <c r="G29" s="3" t="s">
        <v>37</v>
      </c>
      <c r="H29" s="10">
        <v>2.2060185185185183E-2</v>
      </c>
      <c r="I29" s="9">
        <f>H29/4.5</f>
        <v>4.9022633744855958E-3</v>
      </c>
      <c r="J29" s="32">
        <v>2.2905092592592591E-2</v>
      </c>
      <c r="K29" s="9">
        <f t="shared" si="2"/>
        <v>5.0900205761316873E-3</v>
      </c>
    </row>
    <row r="30" spans="1:11" x14ac:dyDescent="0.25">
      <c r="A30" s="5" t="s">
        <v>22</v>
      </c>
      <c r="B30" s="6"/>
      <c r="C30" s="8"/>
      <c r="J30" s="32">
        <v>2.3252314814814812E-2</v>
      </c>
      <c r="K30" s="9">
        <f t="shared" si="2"/>
        <v>5.1671810699588476E-3</v>
      </c>
    </row>
    <row r="31" spans="1:11" x14ac:dyDescent="0.25">
      <c r="A31" s="5" t="s">
        <v>42</v>
      </c>
      <c r="B31" s="6"/>
      <c r="C31" s="8"/>
      <c r="J31" s="32">
        <v>2.326388888888889E-2</v>
      </c>
      <c r="K31" s="9">
        <f t="shared" si="2"/>
        <v>5.1697530864197533E-3</v>
      </c>
    </row>
    <row r="32" spans="1:11" x14ac:dyDescent="0.25">
      <c r="A32" s="5" t="s">
        <v>24</v>
      </c>
      <c r="B32" s="6">
        <v>1.3604166666666666</v>
      </c>
      <c r="C32" s="8">
        <f>B32/4.5</f>
        <v>0.30231481481481481</v>
      </c>
      <c r="D32" s="3">
        <v>5.7175925925925927E-3</v>
      </c>
      <c r="E32" s="7" t="s">
        <v>31</v>
      </c>
      <c r="F32" s="9" t="s">
        <v>37</v>
      </c>
      <c r="G32" s="3" t="s">
        <v>37</v>
      </c>
      <c r="H32" s="10">
        <v>2.2175925925925929E-2</v>
      </c>
      <c r="I32" s="9">
        <f>H32/4.5</f>
        <v>4.9279835390946512E-3</v>
      </c>
    </row>
    <row r="33" spans="1:11" x14ac:dyDescent="0.25">
      <c r="A33" s="4" t="s">
        <v>14</v>
      </c>
      <c r="B33" s="6">
        <v>1.3097222222222222</v>
      </c>
      <c r="C33" s="8">
        <f>B33/4.5</f>
        <v>0.29104938271604941</v>
      </c>
      <c r="D33" s="3" t="s">
        <v>31</v>
      </c>
      <c r="E33" s="7">
        <v>2.0312500000000001E-2</v>
      </c>
      <c r="F33" s="9">
        <f>E33/4.5</f>
        <v>4.5138888888888893E-3</v>
      </c>
      <c r="G33" s="3" t="s">
        <v>37</v>
      </c>
      <c r="H33" s="10">
        <v>1.9432870370370371E-2</v>
      </c>
      <c r="I33" s="9">
        <f>H33/4.5</f>
        <v>4.3184156378600824E-3</v>
      </c>
    </row>
    <row r="34" spans="1:11" x14ac:dyDescent="0.25">
      <c r="A34" s="4" t="s">
        <v>6</v>
      </c>
      <c r="B34" s="6">
        <v>1.1854166666666666</v>
      </c>
      <c r="C34" s="8">
        <f>B34/4.5</f>
        <v>0.2634259259259259</v>
      </c>
      <c r="D34" s="3">
        <v>5.0810185185185186E-3</v>
      </c>
      <c r="E34" s="7">
        <v>2.0034722222222221E-2</v>
      </c>
      <c r="F34" s="9">
        <f>E34/4.5</f>
        <v>4.4521604938271599E-3</v>
      </c>
      <c r="G34" s="3">
        <v>5.3356481481481484E-3</v>
      </c>
      <c r="H34" s="10">
        <v>2.1365740740740741E-2</v>
      </c>
      <c r="I34" s="9">
        <f>H34/4.5</f>
        <v>4.747942386831276E-3</v>
      </c>
    </row>
    <row r="35" spans="1:11" x14ac:dyDescent="0.25">
      <c r="A35" s="5" t="s">
        <v>18</v>
      </c>
      <c r="B35" s="6">
        <v>1.2395833333333333</v>
      </c>
      <c r="C35" s="8">
        <f>B35/4.5</f>
        <v>0.27546296296296297</v>
      </c>
      <c r="D35" s="3">
        <v>4.7106481481481478E-3</v>
      </c>
      <c r="E35" s="7">
        <v>2.0937499999999998E-2</v>
      </c>
      <c r="F35" s="9">
        <f>E35/4.5</f>
        <v>4.6527777777777774E-3</v>
      </c>
      <c r="G35" s="3">
        <v>4.6643518518518518E-3</v>
      </c>
      <c r="H35" s="10">
        <v>2.179398148148148E-2</v>
      </c>
      <c r="I35" s="9">
        <f>H35/4.5</f>
        <v>4.8431069958847738E-3</v>
      </c>
    </row>
    <row r="36" spans="1:11" x14ac:dyDescent="0.25">
      <c r="A36" s="4" t="s">
        <v>15</v>
      </c>
      <c r="B36" s="6">
        <v>1.3222222222222222</v>
      </c>
      <c r="C36" s="8">
        <f>B36/4.5</f>
        <v>0.29382716049382718</v>
      </c>
      <c r="D36" s="3" t="s">
        <v>31</v>
      </c>
      <c r="E36" s="7" t="s">
        <v>31</v>
      </c>
      <c r="F36" s="9" t="s">
        <v>37</v>
      </c>
      <c r="G36" s="3" t="s">
        <v>37</v>
      </c>
      <c r="H36" s="10" t="s">
        <v>31</v>
      </c>
    </row>
    <row r="37" spans="1:11" ht="15.75" thickBot="1" x14ac:dyDescent="0.3">
      <c r="A37" s="59" t="s">
        <v>35</v>
      </c>
      <c r="B37" s="59"/>
      <c r="C37" s="59"/>
      <c r="D37" s="59"/>
      <c r="E37" s="59"/>
      <c r="F37" s="59"/>
      <c r="G37" s="59"/>
      <c r="H37" s="59"/>
      <c r="I37" s="59"/>
      <c r="J37" s="59"/>
      <c r="K37" s="59"/>
    </row>
    <row r="38" spans="1:11" ht="15.75" thickTop="1" x14ac:dyDescent="0.25">
      <c r="A38" s="4" t="s">
        <v>63</v>
      </c>
      <c r="B38" s="6"/>
      <c r="C38" s="8"/>
      <c r="J38" s="32">
        <v>2.2152777777777775E-2</v>
      </c>
      <c r="K38" s="9">
        <f t="shared" ref="K38:K46" si="3">J38/4.22</f>
        <v>5.2494734070563454E-3</v>
      </c>
    </row>
    <row r="39" spans="1:11" x14ac:dyDescent="0.25">
      <c r="A39" s="5" t="s">
        <v>23</v>
      </c>
      <c r="B39" s="6">
        <v>1.3541666666666667</v>
      </c>
      <c r="C39" s="8">
        <f>B39/4.22</f>
        <v>0.32089257503949453</v>
      </c>
      <c r="D39" s="3">
        <v>5.7754629629629623E-3</v>
      </c>
      <c r="E39" s="7">
        <v>2.2731481481481481E-2</v>
      </c>
      <c r="F39" s="9">
        <f>E39/4.22</f>
        <v>5.3866069861330523E-3</v>
      </c>
      <c r="G39" s="3" t="s">
        <v>31</v>
      </c>
      <c r="H39" s="10" t="s">
        <v>36</v>
      </c>
      <c r="J39" s="32">
        <v>2.2164351851851852E-2</v>
      </c>
      <c r="K39" s="9">
        <f t="shared" si="3"/>
        <v>5.2522160786378797E-3</v>
      </c>
    </row>
    <row r="40" spans="1:11" x14ac:dyDescent="0.25">
      <c r="A40" s="5" t="s">
        <v>25</v>
      </c>
      <c r="B40" s="6">
        <v>1.3916666666666666</v>
      </c>
      <c r="C40" s="8">
        <f>B40/4.22</f>
        <v>0.32977883096366511</v>
      </c>
      <c r="D40" s="3">
        <v>5.7754629629629623E-3</v>
      </c>
      <c r="E40" s="7">
        <v>2.3101851851851849E-2</v>
      </c>
      <c r="F40" s="9">
        <f>E40/4.22</f>
        <v>5.4743724767421448E-3</v>
      </c>
      <c r="G40" s="3">
        <v>5.6712962962962958E-3</v>
      </c>
      <c r="H40" s="10">
        <v>2.3032407407407404E-2</v>
      </c>
      <c r="I40" s="9">
        <f>H40/4.22</f>
        <v>5.4579164472529397E-3</v>
      </c>
      <c r="J40" s="32">
        <v>2.2199074074074076E-2</v>
      </c>
      <c r="K40" s="9">
        <f t="shared" si="3"/>
        <v>5.2604440933824827E-3</v>
      </c>
    </row>
    <row r="41" spans="1:11" x14ac:dyDescent="0.25">
      <c r="A41" s="5" t="s">
        <v>19</v>
      </c>
      <c r="B41" s="6">
        <v>1.2868055555555555</v>
      </c>
      <c r="C41" s="8">
        <f>B41/4.22</f>
        <v>0.30493022643496581</v>
      </c>
      <c r="D41" s="3">
        <v>5.1967592592592595E-3</v>
      </c>
      <c r="E41" s="7" t="s">
        <v>31</v>
      </c>
      <c r="F41" s="9" t="s">
        <v>37</v>
      </c>
      <c r="G41" s="3" t="s">
        <v>37</v>
      </c>
      <c r="H41" s="10" t="s">
        <v>31</v>
      </c>
      <c r="J41" s="32">
        <v>2.2210648148148149E-2</v>
      </c>
      <c r="K41" s="9">
        <f t="shared" si="3"/>
        <v>5.263186764964017E-3</v>
      </c>
    </row>
    <row r="42" spans="1:11" x14ac:dyDescent="0.25">
      <c r="A42" s="5" t="s">
        <v>26</v>
      </c>
      <c r="B42" s="7">
        <v>2.361111111111111E-2</v>
      </c>
      <c r="C42" s="9">
        <f>B42/4.22</f>
        <v>5.5950500263296475E-3</v>
      </c>
      <c r="D42" s="3">
        <v>7.2222222222222228E-3</v>
      </c>
      <c r="E42" s="7">
        <v>2.3703703703703703E-2</v>
      </c>
      <c r="F42" s="9">
        <f t="shared" ref="F42:F51" si="4">E42/4.22</f>
        <v>5.6169913989819204E-3</v>
      </c>
      <c r="G42" s="3">
        <v>7.2337962962962963E-3</v>
      </c>
      <c r="H42" s="10">
        <v>2.3113425925925926E-2</v>
      </c>
      <c r="I42" s="9">
        <f>H42/4.22</f>
        <v>5.4771151483236791E-3</v>
      </c>
      <c r="J42" s="32">
        <v>2.2997685185185187E-2</v>
      </c>
      <c r="K42" s="9">
        <f t="shared" si="3"/>
        <v>5.4496884325083384E-3</v>
      </c>
    </row>
    <row r="43" spans="1:11" x14ac:dyDescent="0.25">
      <c r="A43" s="5" t="s">
        <v>44</v>
      </c>
      <c r="B43" s="6" t="s">
        <v>37</v>
      </c>
      <c r="C43" s="8" t="s">
        <v>37</v>
      </c>
      <c r="D43" s="3" t="s">
        <v>37</v>
      </c>
      <c r="E43" s="7">
        <v>2.7453703703703702E-2</v>
      </c>
      <c r="F43" s="9">
        <f t="shared" si="4"/>
        <v>6.5056169913989817E-3</v>
      </c>
      <c r="G43" s="3" t="s">
        <v>37</v>
      </c>
      <c r="H43" s="10" t="s">
        <v>31</v>
      </c>
      <c r="J43" s="32">
        <v>2.5092592592592593E-2</v>
      </c>
      <c r="K43" s="9">
        <f t="shared" si="3"/>
        <v>5.9461119887660174E-3</v>
      </c>
    </row>
    <row r="44" spans="1:11" x14ac:dyDescent="0.25">
      <c r="A44" s="5" t="s">
        <v>43</v>
      </c>
      <c r="B44" s="6" t="s">
        <v>37</v>
      </c>
      <c r="C44" s="8" t="s">
        <v>37</v>
      </c>
      <c r="D44" s="3" t="s">
        <v>37</v>
      </c>
      <c r="E44" s="7">
        <v>2.7210648148148147E-2</v>
      </c>
      <c r="F44" s="9">
        <f t="shared" si="4"/>
        <v>6.4480208881867651E-3</v>
      </c>
      <c r="G44" s="3">
        <v>5.9722222222222225E-3</v>
      </c>
      <c r="H44" s="10" t="s">
        <v>31</v>
      </c>
      <c r="J44" s="32">
        <v>2.5127314814814811E-2</v>
      </c>
      <c r="K44" s="9">
        <f t="shared" si="3"/>
        <v>5.9543400035106187E-3</v>
      </c>
    </row>
    <row r="45" spans="1:11" x14ac:dyDescent="0.25">
      <c r="A45" s="5" t="s">
        <v>27</v>
      </c>
      <c r="B45" s="7">
        <v>2.7118055555555552E-2</v>
      </c>
      <c r="C45" s="9">
        <f>B45/4.22</f>
        <v>6.4260795155344913E-3</v>
      </c>
      <c r="D45" s="3" t="s">
        <v>31</v>
      </c>
      <c r="E45" s="7">
        <v>2.8171296296296302E-2</v>
      </c>
      <c r="F45" s="9">
        <f t="shared" si="4"/>
        <v>6.6756626294541006E-3</v>
      </c>
      <c r="G45" s="3" t="s">
        <v>37</v>
      </c>
      <c r="H45" s="10">
        <v>2.6724537037037036E-2</v>
      </c>
      <c r="I45" s="9">
        <f>H45/4.22</f>
        <v>6.332828681762331E-3</v>
      </c>
      <c r="J45" s="32">
        <v>2.5266203703703704E-2</v>
      </c>
      <c r="K45" s="9">
        <f t="shared" si="3"/>
        <v>5.9872520624890298E-3</v>
      </c>
    </row>
    <row r="46" spans="1:11" x14ac:dyDescent="0.25">
      <c r="A46" s="5" t="s">
        <v>45</v>
      </c>
      <c r="B46" s="6" t="s">
        <v>37</v>
      </c>
      <c r="C46" s="8" t="s">
        <v>37</v>
      </c>
      <c r="D46" s="3" t="s">
        <v>37</v>
      </c>
      <c r="E46" s="7">
        <v>2.7939814814814817E-2</v>
      </c>
      <c r="F46" s="9">
        <f t="shared" si="4"/>
        <v>6.6208091978234166E-3</v>
      </c>
      <c r="G46" s="3" t="s">
        <v>37</v>
      </c>
      <c r="H46" s="10" t="s">
        <v>31</v>
      </c>
      <c r="J46" s="32">
        <v>2.5266203703703704E-2</v>
      </c>
      <c r="K46" s="9">
        <f t="shared" si="3"/>
        <v>5.9872520624890298E-3</v>
      </c>
    </row>
    <row r="47" spans="1:11" x14ac:dyDescent="0.25">
      <c r="A47" s="5" t="s">
        <v>42</v>
      </c>
      <c r="B47" s="6" t="s">
        <v>37</v>
      </c>
      <c r="C47" s="8" t="s">
        <v>37</v>
      </c>
      <c r="D47" s="3" t="s">
        <v>37</v>
      </c>
      <c r="E47" s="7">
        <v>2.3576388888888893E-2</v>
      </c>
      <c r="F47" s="9">
        <f t="shared" si="4"/>
        <v>5.5868220115850463E-3</v>
      </c>
      <c r="G47" s="3" t="s">
        <v>37</v>
      </c>
      <c r="H47" s="10">
        <v>2.2916666666666669E-2</v>
      </c>
      <c r="I47" s="9">
        <f>H47/4.22</f>
        <v>5.4304897314375999E-3</v>
      </c>
    </row>
    <row r="48" spans="1:11" x14ac:dyDescent="0.25">
      <c r="A48" s="5" t="s">
        <v>21</v>
      </c>
      <c r="B48" s="6">
        <v>1.3368055555555556</v>
      </c>
      <c r="C48" s="8">
        <f>B48/4.22</f>
        <v>0.31677856766719331</v>
      </c>
      <c r="D48" s="3">
        <v>5.185185185185185E-3</v>
      </c>
      <c r="E48" s="7">
        <v>2.2731481481481481E-2</v>
      </c>
      <c r="F48" s="9">
        <f t="shared" si="4"/>
        <v>5.3866069861330523E-3</v>
      </c>
      <c r="G48" s="3">
        <v>5.1273148148148146E-3</v>
      </c>
      <c r="H48" s="10">
        <v>2.5046296296296299E-2</v>
      </c>
      <c r="I48" s="9">
        <f>H48/4.22</f>
        <v>5.9351413024398818E-3</v>
      </c>
    </row>
    <row r="49" spans="1:9" x14ac:dyDescent="0.25">
      <c r="A49" s="5" t="s">
        <v>48</v>
      </c>
      <c r="B49" s="6" t="s">
        <v>37</v>
      </c>
      <c r="C49" s="8" t="s">
        <v>37</v>
      </c>
      <c r="D49" s="3" t="s">
        <v>37</v>
      </c>
      <c r="E49" s="7">
        <v>2.8194444444444442E-2</v>
      </c>
      <c r="F49" s="9">
        <f t="shared" si="4"/>
        <v>6.6811479726171666E-3</v>
      </c>
      <c r="G49" s="3" t="s">
        <v>37</v>
      </c>
      <c r="H49" s="10">
        <v>2.7743055555555559E-2</v>
      </c>
      <c r="I49" s="9">
        <f>H49/4.22</f>
        <v>6.5741837809373364E-3</v>
      </c>
    </row>
    <row r="50" spans="1:9" x14ac:dyDescent="0.25">
      <c r="A50" s="5" t="s">
        <v>22</v>
      </c>
      <c r="B50" s="6">
        <v>1.3520833333333335</v>
      </c>
      <c r="C50" s="8">
        <f>B50/4.22</f>
        <v>0.32039889415481837</v>
      </c>
      <c r="D50" s="3" t="s">
        <v>31</v>
      </c>
      <c r="E50" s="7">
        <v>2.1203703703703707E-2</v>
      </c>
      <c r="F50" s="9">
        <f t="shared" si="4"/>
        <v>5.0245743373705468E-3</v>
      </c>
      <c r="G50" s="3" t="s">
        <v>37</v>
      </c>
      <c r="H50" s="10" t="s">
        <v>31</v>
      </c>
    </row>
    <row r="51" spans="1:9" x14ac:dyDescent="0.25">
      <c r="A51" s="5" t="s">
        <v>20</v>
      </c>
      <c r="B51" s="6" t="s">
        <v>47</v>
      </c>
      <c r="C51" s="8" t="s">
        <v>37</v>
      </c>
      <c r="D51" s="3" t="s">
        <v>37</v>
      </c>
      <c r="E51" s="7">
        <v>2.1284722222222222E-2</v>
      </c>
      <c r="F51" s="9">
        <f t="shared" si="4"/>
        <v>5.0437730384412854E-3</v>
      </c>
      <c r="G51" s="3">
        <v>5.1273148148148146E-3</v>
      </c>
      <c r="H51" s="10" t="s">
        <v>37</v>
      </c>
    </row>
    <row r="52" spans="1:9" x14ac:dyDescent="0.25">
      <c r="B52" s="6"/>
      <c r="C52" s="8"/>
    </row>
    <row r="53" spans="1:9" x14ac:dyDescent="0.25">
      <c r="B53" s="6"/>
      <c r="C53" s="8"/>
    </row>
    <row r="54" spans="1:9" x14ac:dyDescent="0.25">
      <c r="B54" s="6"/>
      <c r="C54" s="8"/>
    </row>
    <row r="55" spans="1:9" x14ac:dyDescent="0.25">
      <c r="B55" s="6"/>
      <c r="C55" s="8"/>
    </row>
    <row r="56" spans="1:9" x14ac:dyDescent="0.25">
      <c r="B56" s="6"/>
      <c r="C56" s="8"/>
    </row>
    <row r="57" spans="1:9" x14ac:dyDescent="0.25">
      <c r="B57" s="6"/>
      <c r="C57" s="8"/>
    </row>
    <row r="58" spans="1:9" x14ac:dyDescent="0.25">
      <c r="B58" s="6"/>
      <c r="C58" s="8"/>
    </row>
    <row r="59" spans="1:9" x14ac:dyDescent="0.25">
      <c r="B59" s="6"/>
      <c r="C59" s="8"/>
    </row>
  </sheetData>
  <sortState ref="A5:K19">
    <sortCondition ref="K5:K19"/>
  </sortState>
  <mergeCells count="8">
    <mergeCell ref="A4:K4"/>
    <mergeCell ref="A20:K20"/>
    <mergeCell ref="A37:K37"/>
    <mergeCell ref="B3:D3"/>
    <mergeCell ref="E3:G3"/>
    <mergeCell ref="H3:I3"/>
    <mergeCell ref="A1:K1"/>
    <mergeCell ref="J3:K3"/>
  </mergeCells>
  <printOptions horizontalCentered="1" verticalCentered="1" gridLines="1"/>
  <pageMargins left="0.2" right="0.2" top="0.25" bottom="0.2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workbookViewId="0">
      <selection activeCell="L57" sqref="L57"/>
    </sheetView>
  </sheetViews>
  <sheetFormatPr defaultRowHeight="15" x14ac:dyDescent="0.25"/>
  <cols>
    <col min="1" max="1" width="18" style="16" bestFit="1" customWidth="1"/>
    <col min="2" max="4" width="7.28515625" style="18" customWidth="1"/>
    <col min="5" max="5" width="7.7109375" style="18" bestFit="1" customWidth="1"/>
    <col min="6" max="6" width="7.7109375" style="17" bestFit="1" customWidth="1"/>
    <col min="7" max="7" width="8.42578125" style="19" bestFit="1" customWidth="1"/>
    <col min="8" max="9" width="8.28515625" style="19" bestFit="1" customWidth="1"/>
    <col min="10" max="10" width="4.85546875" style="29" bestFit="1" customWidth="1"/>
  </cols>
  <sheetData>
    <row r="1" spans="1:13" s="16" customFormat="1" x14ac:dyDescent="0.25">
      <c r="B1" s="20">
        <v>1</v>
      </c>
      <c r="C1" s="20">
        <v>2</v>
      </c>
      <c r="D1" s="20">
        <v>3</v>
      </c>
      <c r="E1" s="20">
        <v>4</v>
      </c>
      <c r="F1" s="17" t="s">
        <v>28</v>
      </c>
      <c r="G1" s="19" t="s">
        <v>55</v>
      </c>
      <c r="H1" s="19" t="s">
        <v>56</v>
      </c>
      <c r="I1" s="19" t="s">
        <v>58</v>
      </c>
      <c r="J1" s="29"/>
    </row>
    <row r="2" spans="1:13" ht="15.75" thickBot="1" x14ac:dyDescent="0.3">
      <c r="A2" s="58" t="s">
        <v>59</v>
      </c>
      <c r="B2" s="58"/>
      <c r="C2" s="58"/>
      <c r="D2" s="58"/>
      <c r="E2" s="58"/>
      <c r="F2" s="58"/>
      <c r="G2" s="58"/>
      <c r="H2" s="58"/>
      <c r="I2" s="58"/>
    </row>
    <row r="3" spans="1:13" ht="15.75" thickTop="1" x14ac:dyDescent="0.25">
      <c r="A3" s="16" t="s">
        <v>0</v>
      </c>
      <c r="B3" s="18">
        <v>3.425925925925926E-3</v>
      </c>
      <c r="C3" s="18">
        <v>3.5416666666666665E-3</v>
      </c>
      <c r="D3" s="18">
        <v>3.5185185185185185E-3</v>
      </c>
      <c r="E3" s="18">
        <v>3.5648148148148154E-3</v>
      </c>
      <c r="F3" s="17">
        <f t="shared" ref="F3:F14" si="0">AVERAGE(B3:E3)</f>
        <v>3.5127314814814817E-3</v>
      </c>
      <c r="G3" s="19" t="s">
        <v>31</v>
      </c>
      <c r="H3" s="19">
        <v>3.7847222222222223E-3</v>
      </c>
      <c r="I3" s="19">
        <f t="shared" ref="I3:I14" si="1">F3*3</f>
        <v>1.0538194444444446E-2</v>
      </c>
      <c r="L3" s="21"/>
      <c r="M3" s="21"/>
    </row>
    <row r="4" spans="1:13" x14ac:dyDescent="0.25">
      <c r="A4" s="16" t="s">
        <v>49</v>
      </c>
      <c r="B4" s="18">
        <v>3.425925925925926E-3</v>
      </c>
      <c r="C4" s="18">
        <v>3.5416666666666665E-3</v>
      </c>
      <c r="D4" s="18">
        <v>3.5185185185185185E-3</v>
      </c>
      <c r="E4" s="18">
        <v>3.5879629629629629E-3</v>
      </c>
      <c r="F4" s="17">
        <f t="shared" si="0"/>
        <v>3.5185185185185185E-3</v>
      </c>
      <c r="G4" s="19">
        <v>3.8541666666666668E-3</v>
      </c>
      <c r="H4" s="19">
        <v>3.6805555555555554E-3</v>
      </c>
      <c r="I4" s="19">
        <f t="shared" si="1"/>
        <v>1.0555555555555556E-2</v>
      </c>
    </row>
    <row r="5" spans="1:13" x14ac:dyDescent="0.25">
      <c r="A5" s="16" t="s">
        <v>3</v>
      </c>
      <c r="B5" s="18">
        <v>3.5416666666666665E-3</v>
      </c>
      <c r="C5" s="18">
        <v>3.5995370370370369E-3</v>
      </c>
      <c r="D5" s="18">
        <v>3.5879629629629629E-3</v>
      </c>
      <c r="E5" s="18">
        <v>3.5763888888888894E-3</v>
      </c>
      <c r="F5" s="17">
        <f t="shared" si="0"/>
        <v>3.5763888888888889E-3</v>
      </c>
      <c r="G5" s="19" t="s">
        <v>31</v>
      </c>
      <c r="H5" s="19">
        <v>3.6689814814814814E-3</v>
      </c>
      <c r="I5" s="19">
        <f t="shared" si="1"/>
        <v>1.0729166666666666E-2</v>
      </c>
    </row>
    <row r="6" spans="1:13" x14ac:dyDescent="0.25">
      <c r="A6" s="16" t="s">
        <v>1</v>
      </c>
      <c r="B6" s="18">
        <v>3.425925925925926E-3</v>
      </c>
      <c r="C6" s="18">
        <v>3.645833333333333E-3</v>
      </c>
      <c r="D6" s="18">
        <v>3.6921296296296298E-3</v>
      </c>
      <c r="E6" s="18">
        <v>3.6805555555555554E-3</v>
      </c>
      <c r="F6" s="17">
        <f t="shared" si="0"/>
        <v>3.6111111111111109E-3</v>
      </c>
      <c r="G6" s="19">
        <v>3.9583333333333337E-3</v>
      </c>
      <c r="H6" s="19">
        <v>3.5069444444444445E-3</v>
      </c>
      <c r="I6" s="19">
        <f t="shared" si="1"/>
        <v>1.0833333333333334E-2</v>
      </c>
    </row>
    <row r="7" spans="1:13" x14ac:dyDescent="0.25">
      <c r="A7" s="16" t="s">
        <v>7</v>
      </c>
      <c r="B7" s="18">
        <v>3.5763888888888894E-3</v>
      </c>
      <c r="C7" s="18">
        <v>3.5995370370370369E-3</v>
      </c>
      <c r="D7" s="18">
        <v>3.6342592592592594E-3</v>
      </c>
      <c r="E7" s="18">
        <v>3.6574074074074074E-3</v>
      </c>
      <c r="F7" s="17">
        <f t="shared" si="0"/>
        <v>3.6168981481481482E-3</v>
      </c>
      <c r="G7" s="19" t="s">
        <v>31</v>
      </c>
      <c r="H7" s="19">
        <v>3.5879629629629629E-3</v>
      </c>
      <c r="I7" s="19">
        <f t="shared" si="1"/>
        <v>1.0850694444444444E-2</v>
      </c>
    </row>
    <row r="8" spans="1:13" x14ac:dyDescent="0.25">
      <c r="A8" s="16" t="s">
        <v>2</v>
      </c>
      <c r="B8" s="18">
        <v>3.5532407407407405E-3</v>
      </c>
      <c r="C8" s="18">
        <v>3.6574074074074074E-3</v>
      </c>
      <c r="D8" s="18">
        <v>3.7847222222222223E-3</v>
      </c>
      <c r="E8" s="18">
        <v>3.530092592592592E-3</v>
      </c>
      <c r="F8" s="17">
        <f t="shared" si="0"/>
        <v>3.6313657407407406E-3</v>
      </c>
      <c r="G8" s="19" t="s">
        <v>31</v>
      </c>
      <c r="H8" s="19">
        <v>3.483796296296296E-3</v>
      </c>
      <c r="I8" s="19">
        <f t="shared" si="1"/>
        <v>1.0894097222222222E-2</v>
      </c>
    </row>
    <row r="9" spans="1:13" x14ac:dyDescent="0.25">
      <c r="A9" s="16" t="s">
        <v>50</v>
      </c>
      <c r="B9" s="18">
        <v>3.5763888888888894E-3</v>
      </c>
      <c r="C9" s="18">
        <v>3.6342592592592594E-3</v>
      </c>
      <c r="D9" s="18">
        <v>3.6689814814814814E-3</v>
      </c>
      <c r="E9" s="18">
        <v>3.7152777777777774E-3</v>
      </c>
      <c r="F9" s="17">
        <f t="shared" si="0"/>
        <v>3.6487268518518518E-3</v>
      </c>
      <c r="G9" s="19">
        <v>4.0046296296296297E-3</v>
      </c>
      <c r="H9" s="19">
        <v>3.7152777777777774E-3</v>
      </c>
      <c r="I9" s="19">
        <f t="shared" si="1"/>
        <v>1.0946180555555556E-2</v>
      </c>
    </row>
    <row r="10" spans="1:13" x14ac:dyDescent="0.25">
      <c r="A10" s="16" t="s">
        <v>5</v>
      </c>
      <c r="B10" s="18">
        <v>3.5416666666666665E-3</v>
      </c>
      <c r="C10" s="18">
        <v>3.6226851851851854E-3</v>
      </c>
      <c r="D10" s="18">
        <v>3.6805555555555554E-3</v>
      </c>
      <c r="E10" s="18">
        <v>3.7615740740740739E-3</v>
      </c>
      <c r="F10" s="17">
        <f t="shared" si="0"/>
        <v>3.6516203703703702E-3</v>
      </c>
      <c r="G10" s="19">
        <v>3.7962962962962963E-3</v>
      </c>
      <c r="H10" s="19">
        <v>3.6226851851851854E-3</v>
      </c>
      <c r="I10" s="19">
        <f t="shared" si="1"/>
        <v>1.095486111111111E-2</v>
      </c>
    </row>
    <row r="11" spans="1:13" x14ac:dyDescent="0.25">
      <c r="A11" s="16" t="s">
        <v>4</v>
      </c>
      <c r="B11" s="18">
        <v>3.5648148148148154E-3</v>
      </c>
      <c r="C11" s="18">
        <v>3.6805555555555554E-3</v>
      </c>
      <c r="D11" s="18">
        <v>3.7152777777777774E-3</v>
      </c>
      <c r="E11" s="18">
        <v>3.7152777777777774E-3</v>
      </c>
      <c r="F11" s="17">
        <f t="shared" si="0"/>
        <v>3.6689814814814814E-3</v>
      </c>
      <c r="G11" s="19" t="s">
        <v>31</v>
      </c>
      <c r="H11" s="19" t="s">
        <v>31</v>
      </c>
      <c r="I11" s="19">
        <f t="shared" si="1"/>
        <v>1.1006944444444444E-2</v>
      </c>
    </row>
    <row r="12" spans="1:13" x14ac:dyDescent="0.25">
      <c r="A12" s="16" t="s">
        <v>12</v>
      </c>
      <c r="B12" s="18">
        <v>3.5648148148148154E-3</v>
      </c>
      <c r="C12" s="18">
        <v>3.7500000000000003E-3</v>
      </c>
      <c r="D12" s="18">
        <v>3.7500000000000003E-3</v>
      </c>
      <c r="E12" s="18">
        <v>3.7500000000000003E-3</v>
      </c>
      <c r="F12" s="17">
        <f t="shared" si="0"/>
        <v>3.7037037037037038E-3</v>
      </c>
      <c r="G12" s="19">
        <v>3.9351851851851857E-3</v>
      </c>
      <c r="H12" s="19" t="s">
        <v>31</v>
      </c>
      <c r="I12" s="19">
        <f t="shared" si="1"/>
        <v>1.1111111111111112E-2</v>
      </c>
    </row>
    <row r="13" spans="1:13" x14ac:dyDescent="0.25">
      <c r="A13" s="16" t="s">
        <v>16</v>
      </c>
      <c r="B13" s="18">
        <v>3.5995370370370369E-3</v>
      </c>
      <c r="C13" s="18">
        <v>3.6689814814814814E-3</v>
      </c>
      <c r="D13" s="18">
        <v>3.8541666666666668E-3</v>
      </c>
      <c r="E13" s="18">
        <v>3.8773148148148143E-3</v>
      </c>
      <c r="F13" s="17">
        <f t="shared" si="0"/>
        <v>3.7499999999999999E-3</v>
      </c>
      <c r="G13" s="19" t="s">
        <v>31</v>
      </c>
      <c r="H13" s="19">
        <v>3.8194444444444443E-3</v>
      </c>
      <c r="I13" s="19">
        <f t="shared" si="1"/>
        <v>1.125E-2</v>
      </c>
    </row>
    <row r="14" spans="1:13" x14ac:dyDescent="0.25">
      <c r="A14" s="16" t="s">
        <v>51</v>
      </c>
      <c r="B14" s="18">
        <v>3.6111111111111114E-3</v>
      </c>
      <c r="C14" s="18">
        <v>3.8078703703703707E-3</v>
      </c>
      <c r="D14" s="18">
        <v>3.8078703703703707E-3</v>
      </c>
      <c r="E14" s="18">
        <v>3.9236111111111112E-3</v>
      </c>
      <c r="F14" s="17">
        <f t="shared" si="0"/>
        <v>3.7876157407407407E-3</v>
      </c>
      <c r="G14" s="19">
        <v>3.7615740740740739E-3</v>
      </c>
      <c r="H14" s="19">
        <v>3.6111111111111114E-3</v>
      </c>
      <c r="I14" s="19">
        <f t="shared" si="1"/>
        <v>1.1362847222222222E-2</v>
      </c>
    </row>
    <row r="15" spans="1:13" ht="15.75" thickBot="1" x14ac:dyDescent="0.3">
      <c r="A15" s="58" t="s">
        <v>61</v>
      </c>
      <c r="B15" s="58"/>
      <c r="C15" s="58"/>
      <c r="D15" s="58"/>
      <c r="E15" s="58"/>
      <c r="F15" s="58"/>
      <c r="G15" s="58"/>
      <c r="H15" s="58"/>
      <c r="I15" s="58"/>
    </row>
    <row r="16" spans="1:13" ht="15.75" thickTop="1" x14ac:dyDescent="0.25">
      <c r="A16" s="16" t="s">
        <v>39</v>
      </c>
      <c r="B16" s="18">
        <v>3.6805555555555554E-3</v>
      </c>
      <c r="C16" s="18">
        <v>3.8541666666666668E-3</v>
      </c>
      <c r="D16" s="18">
        <v>3.8773148148148143E-3</v>
      </c>
      <c r="E16" s="18">
        <v>3.7847222222222223E-3</v>
      </c>
      <c r="F16" s="17">
        <f t="shared" ref="F16:F21" si="2">AVERAGE(B16:E16)</f>
        <v>3.7991898148148147E-3</v>
      </c>
      <c r="G16" s="19" t="s">
        <v>37</v>
      </c>
      <c r="H16" s="19" t="s">
        <v>37</v>
      </c>
      <c r="I16" s="19">
        <f t="shared" ref="I16:I21" si="3">F16*3</f>
        <v>1.1397569444444445E-2</v>
      </c>
    </row>
    <row r="17" spans="1:9" x14ac:dyDescent="0.25">
      <c r="A17" s="16" t="s">
        <v>40</v>
      </c>
      <c r="B17" s="18">
        <v>3.9004629629629632E-3</v>
      </c>
      <c r="C17" s="18">
        <v>4.0277777777777777E-3</v>
      </c>
      <c r="D17" s="18">
        <v>4.0624999999999993E-3</v>
      </c>
      <c r="E17" s="18">
        <v>4.0277777777777777E-3</v>
      </c>
      <c r="F17" s="17">
        <f t="shared" si="2"/>
        <v>4.0046296296296288E-3</v>
      </c>
      <c r="G17" s="19" t="s">
        <v>37</v>
      </c>
      <c r="H17" s="19" t="s">
        <v>37</v>
      </c>
      <c r="I17" s="19">
        <f t="shared" si="3"/>
        <v>1.2013888888888886E-2</v>
      </c>
    </row>
    <row r="18" spans="1:9" x14ac:dyDescent="0.25">
      <c r="A18" s="16" t="s">
        <v>13</v>
      </c>
      <c r="B18" s="18">
        <v>3.8425925925925923E-3</v>
      </c>
      <c r="C18" s="18">
        <v>4.0046296296296297E-3</v>
      </c>
      <c r="D18" s="18">
        <v>4.1319444444444442E-3</v>
      </c>
      <c r="E18" s="18">
        <v>4.0393518518518521E-3</v>
      </c>
      <c r="F18" s="17">
        <f t="shared" si="2"/>
        <v>4.0046296296296297E-3</v>
      </c>
      <c r="G18" s="19" t="s">
        <v>37</v>
      </c>
      <c r="H18" s="19" t="s">
        <v>37</v>
      </c>
      <c r="I18" s="19">
        <f t="shared" si="3"/>
        <v>1.201388888888889E-2</v>
      </c>
    </row>
    <row r="19" spans="1:9" x14ac:dyDescent="0.25">
      <c r="A19" s="16" t="s">
        <v>6</v>
      </c>
      <c r="B19" s="18">
        <v>3.8657407407407408E-3</v>
      </c>
      <c r="C19" s="18">
        <v>4.0162037037037033E-3</v>
      </c>
      <c r="D19" s="18">
        <v>4.155092592592593E-3</v>
      </c>
      <c r="E19" s="18">
        <v>4.0624999999999993E-3</v>
      </c>
      <c r="F19" s="17">
        <f t="shared" si="2"/>
        <v>4.0248842592592593E-3</v>
      </c>
      <c r="G19" s="19">
        <v>4.7685185185185183E-3</v>
      </c>
      <c r="H19" s="19" t="s">
        <v>37</v>
      </c>
      <c r="I19" s="19">
        <f t="shared" si="3"/>
        <v>1.2074652777777778E-2</v>
      </c>
    </row>
    <row r="20" spans="1:9" x14ac:dyDescent="0.25">
      <c r="A20" s="16" t="s">
        <v>41</v>
      </c>
      <c r="B20" s="18">
        <v>3.9351851851851857E-3</v>
      </c>
      <c r="C20" s="18">
        <v>4.0393518518518521E-3</v>
      </c>
      <c r="D20" s="18">
        <v>4.0856481481481481E-3</v>
      </c>
      <c r="E20" s="18">
        <v>4.0624999999999993E-3</v>
      </c>
      <c r="F20" s="17">
        <f t="shared" si="2"/>
        <v>4.0306712962962961E-3</v>
      </c>
      <c r="G20" s="19" t="s">
        <v>37</v>
      </c>
      <c r="H20" s="19" t="s">
        <v>37</v>
      </c>
      <c r="I20" s="19">
        <f t="shared" si="3"/>
        <v>1.2092013888888888E-2</v>
      </c>
    </row>
    <row r="21" spans="1:9" x14ac:dyDescent="0.25">
      <c r="A21" s="16" t="s">
        <v>14</v>
      </c>
      <c r="B21" s="18">
        <v>3.9120370370370368E-3</v>
      </c>
      <c r="C21" s="18">
        <v>4.0393518518518521E-3</v>
      </c>
      <c r="D21" s="18">
        <v>4.1319444444444442E-3</v>
      </c>
      <c r="E21" s="18">
        <v>4.0393518518518521E-3</v>
      </c>
      <c r="F21" s="17">
        <f t="shared" si="2"/>
        <v>4.030671296296297E-3</v>
      </c>
      <c r="G21" s="19" t="s">
        <v>37</v>
      </c>
      <c r="H21" s="19" t="s">
        <v>37</v>
      </c>
      <c r="I21" s="19">
        <f t="shared" si="3"/>
        <v>1.2092013888888892E-2</v>
      </c>
    </row>
    <row r="22" spans="1:9" ht="15.75" thickBot="1" x14ac:dyDescent="0.3">
      <c r="A22" s="58" t="s">
        <v>60</v>
      </c>
      <c r="B22" s="58"/>
      <c r="C22" s="58"/>
      <c r="D22" s="58"/>
      <c r="E22" s="58"/>
      <c r="F22" s="58"/>
      <c r="G22" s="58"/>
      <c r="H22" s="58"/>
      <c r="I22" s="58"/>
    </row>
    <row r="23" spans="1:9" ht="15.75" thickTop="1" x14ac:dyDescent="0.25">
      <c r="A23" s="16" t="s">
        <v>52</v>
      </c>
      <c r="B23" s="18">
        <v>4.0972222222222226E-3</v>
      </c>
      <c r="C23" s="18">
        <v>4.1782407407407402E-3</v>
      </c>
      <c r="D23" s="18">
        <v>4.340277777777778E-3</v>
      </c>
      <c r="E23" s="18">
        <v>4.2592592592592595E-3</v>
      </c>
      <c r="F23" s="17">
        <f t="shared" ref="F23:F29" si="4">AVERAGE(B23:E23)</f>
        <v>4.2187500000000003E-3</v>
      </c>
      <c r="G23" s="19" t="s">
        <v>37</v>
      </c>
      <c r="H23" s="19" t="s">
        <v>37</v>
      </c>
      <c r="I23" s="19">
        <f>F23*3</f>
        <v>1.2656250000000001E-2</v>
      </c>
    </row>
    <row r="24" spans="1:9" x14ac:dyDescent="0.25">
      <c r="A24" s="16" t="s">
        <v>17</v>
      </c>
      <c r="B24" s="18">
        <v>4.0856481481481481E-3</v>
      </c>
      <c r="C24" s="18">
        <v>4.1898148148148146E-3</v>
      </c>
      <c r="D24" s="18">
        <v>4.2824074074074075E-3</v>
      </c>
      <c r="E24" s="18">
        <v>4.3287037037037035E-3</v>
      </c>
      <c r="F24" s="17">
        <f t="shared" si="4"/>
        <v>4.2216435185185187E-3</v>
      </c>
      <c r="G24" s="19" t="s">
        <v>37</v>
      </c>
      <c r="H24" s="19" t="s">
        <v>37</v>
      </c>
      <c r="I24" s="19">
        <f>F24*3</f>
        <v>1.2664930555555556E-2</v>
      </c>
    </row>
    <row r="25" spans="1:9" x14ac:dyDescent="0.25">
      <c r="A25" s="22" t="s">
        <v>18</v>
      </c>
      <c r="B25" s="18">
        <v>4.2708333333333339E-3</v>
      </c>
      <c r="C25" s="18">
        <v>4.2013888888888891E-3</v>
      </c>
      <c r="D25" s="18">
        <v>4.2824074074074075E-3</v>
      </c>
      <c r="E25" s="18">
        <v>4.3287037037037035E-3</v>
      </c>
      <c r="F25" s="17">
        <f t="shared" si="4"/>
        <v>4.2708333333333331E-3</v>
      </c>
      <c r="G25" s="19" t="s">
        <v>31</v>
      </c>
      <c r="H25" s="19">
        <v>4.1203703703703706E-3</v>
      </c>
      <c r="I25" s="19">
        <f>F25*3</f>
        <v>1.2812499999999999E-2</v>
      </c>
    </row>
    <row r="26" spans="1:9" x14ac:dyDescent="0.25">
      <c r="A26" s="22" t="s">
        <v>53</v>
      </c>
      <c r="B26" s="18">
        <v>4.2939814814814811E-3</v>
      </c>
      <c r="C26" s="18">
        <v>4.3055555555555555E-3</v>
      </c>
      <c r="D26" s="18" t="s">
        <v>57</v>
      </c>
      <c r="E26" s="18" t="s">
        <v>57</v>
      </c>
      <c r="F26" s="17">
        <f t="shared" si="4"/>
        <v>4.2997685185185187E-3</v>
      </c>
      <c r="G26" s="19">
        <v>4.4328703703703709E-3</v>
      </c>
      <c r="H26" s="19" t="s">
        <v>37</v>
      </c>
      <c r="I26" s="19" t="s">
        <v>37</v>
      </c>
    </row>
    <row r="27" spans="1:9" x14ac:dyDescent="0.25">
      <c r="A27" s="16" t="s">
        <v>38</v>
      </c>
      <c r="B27" s="18">
        <v>4.1898148148148146E-3</v>
      </c>
      <c r="C27" s="18">
        <v>4.2939814814814811E-3</v>
      </c>
      <c r="D27" s="18">
        <v>4.5949074074074078E-3</v>
      </c>
      <c r="E27" s="18">
        <v>4.5717592592592589E-3</v>
      </c>
      <c r="F27" s="17">
        <f t="shared" si="4"/>
        <v>4.4126157407407404E-3</v>
      </c>
      <c r="G27" s="19" t="s">
        <v>37</v>
      </c>
      <c r="H27" s="19" t="s">
        <v>37</v>
      </c>
      <c r="I27" s="19">
        <f>F27*3</f>
        <v>1.323784722222222E-2</v>
      </c>
    </row>
    <row r="28" spans="1:9" x14ac:dyDescent="0.25">
      <c r="A28" s="22" t="s">
        <v>20</v>
      </c>
      <c r="B28" s="18">
        <v>4.409722222222222E-3</v>
      </c>
      <c r="C28" s="18">
        <v>4.363425925925926E-3</v>
      </c>
      <c r="D28" s="18">
        <v>4.4444444444444444E-3</v>
      </c>
      <c r="E28" s="18">
        <v>4.4560185185185189E-3</v>
      </c>
      <c r="F28" s="17">
        <f t="shared" si="4"/>
        <v>4.418402777777778E-3</v>
      </c>
      <c r="G28" s="19">
        <v>4.7685185185185183E-3</v>
      </c>
      <c r="H28" s="19">
        <v>4.5601851851851853E-3</v>
      </c>
      <c r="I28" s="19">
        <f>F28*3</f>
        <v>1.3255208333333334E-2</v>
      </c>
    </row>
    <row r="29" spans="1:9" x14ac:dyDescent="0.25">
      <c r="A29" s="22" t="s">
        <v>24</v>
      </c>
      <c r="B29" s="18">
        <v>4.4212962962962956E-3</v>
      </c>
      <c r="C29" s="18">
        <v>4.3981481481481484E-3</v>
      </c>
      <c r="D29" s="18">
        <v>4.5023148148148149E-3</v>
      </c>
      <c r="E29" s="18">
        <v>4.5023148148148149E-3</v>
      </c>
      <c r="F29" s="17">
        <f t="shared" si="4"/>
        <v>4.4560185185185189E-3</v>
      </c>
      <c r="G29" s="19">
        <v>5.3356481481481484E-3</v>
      </c>
      <c r="H29" s="19">
        <v>4.5601851851851853E-3</v>
      </c>
      <c r="I29" s="19">
        <f>F29*3</f>
        <v>1.3368055555555557E-2</v>
      </c>
    </row>
    <row r="30" spans="1:9" ht="15.75" thickBot="1" x14ac:dyDescent="0.3">
      <c r="A30" s="58" t="s">
        <v>62</v>
      </c>
      <c r="B30" s="58"/>
      <c r="C30" s="58"/>
      <c r="D30" s="58"/>
      <c r="E30" s="58"/>
      <c r="F30" s="58"/>
      <c r="G30" s="58"/>
      <c r="H30" s="58"/>
      <c r="I30" s="58"/>
    </row>
    <row r="31" spans="1:9" ht="15.75" thickTop="1" x14ac:dyDescent="0.25">
      <c r="A31" s="22" t="s">
        <v>23</v>
      </c>
      <c r="B31" s="18">
        <v>4.6990740740740743E-3</v>
      </c>
      <c r="C31" s="18">
        <v>4.7685185185185183E-3</v>
      </c>
      <c r="D31" s="18">
        <v>4.7800925925925919E-3</v>
      </c>
      <c r="E31" s="18">
        <v>4.7453703703703703E-3</v>
      </c>
      <c r="F31" s="17">
        <f t="shared" ref="F31:F39" si="5">AVERAGE(B31:E31)</f>
        <v>4.7482638888888887E-3</v>
      </c>
      <c r="G31" s="19">
        <v>5.5324074074074069E-3</v>
      </c>
      <c r="H31" s="19" t="s">
        <v>37</v>
      </c>
      <c r="I31" s="19">
        <f>F31*3</f>
        <v>1.4244791666666666E-2</v>
      </c>
    </row>
    <row r="32" spans="1:9" x14ac:dyDescent="0.25">
      <c r="A32" s="22" t="s">
        <v>25</v>
      </c>
      <c r="B32" s="18">
        <v>4.6990740740740743E-3</v>
      </c>
      <c r="C32" s="18">
        <v>4.7800925925925919E-3</v>
      </c>
      <c r="D32" s="18">
        <v>4.7800925925925919E-3</v>
      </c>
      <c r="E32" s="18">
        <v>4.7800925925925919E-3</v>
      </c>
      <c r="F32" s="17">
        <f t="shared" si="5"/>
        <v>4.7598379629629631E-3</v>
      </c>
      <c r="G32" s="19" t="s">
        <v>37</v>
      </c>
      <c r="H32" s="19" t="s">
        <v>37</v>
      </c>
      <c r="I32" s="19">
        <f>F32*3</f>
        <v>1.427951388888889E-2</v>
      </c>
    </row>
    <row r="33" spans="1:11" x14ac:dyDescent="0.25">
      <c r="A33" s="22" t="s">
        <v>26</v>
      </c>
      <c r="B33" s="18">
        <v>4.8148148148148152E-3</v>
      </c>
      <c r="C33" s="18">
        <v>4.9537037037037041E-3</v>
      </c>
      <c r="D33" s="18">
        <v>4.9652777777777777E-3</v>
      </c>
      <c r="E33" s="18">
        <v>4.8842592592592592E-3</v>
      </c>
      <c r="F33" s="17">
        <f t="shared" si="5"/>
        <v>4.9045138888888888E-3</v>
      </c>
      <c r="G33" s="19">
        <v>4.7418981481481499E-2</v>
      </c>
      <c r="H33" s="19" t="s">
        <v>37</v>
      </c>
      <c r="I33" s="19">
        <f>F33*3</f>
        <v>1.4713541666666666E-2</v>
      </c>
    </row>
    <row r="34" spans="1:11" x14ac:dyDescent="0.25">
      <c r="A34" s="22" t="s">
        <v>45</v>
      </c>
      <c r="B34" s="18">
        <v>5.1273148148148146E-3</v>
      </c>
      <c r="C34" s="18" t="s">
        <v>57</v>
      </c>
      <c r="D34" s="18">
        <v>5.0925925925925921E-3</v>
      </c>
      <c r="E34" s="18" t="s">
        <v>57</v>
      </c>
      <c r="F34" s="17">
        <f t="shared" si="5"/>
        <v>5.1099537037037034E-3</v>
      </c>
      <c r="G34" s="19" t="s">
        <v>37</v>
      </c>
      <c r="H34" s="19" t="s">
        <v>37</v>
      </c>
      <c r="I34" s="19" t="s">
        <v>37</v>
      </c>
    </row>
    <row r="35" spans="1:11" x14ac:dyDescent="0.25">
      <c r="A35" s="22" t="s">
        <v>48</v>
      </c>
      <c r="B35" s="18">
        <v>5.3125000000000004E-3</v>
      </c>
      <c r="C35" s="18" t="s">
        <v>57</v>
      </c>
      <c r="D35" s="18">
        <v>5.3240740740740748E-3</v>
      </c>
      <c r="E35" s="18" t="s">
        <v>57</v>
      </c>
      <c r="F35" s="17">
        <f t="shared" si="5"/>
        <v>5.318287037037038E-3</v>
      </c>
      <c r="G35" s="19" t="s">
        <v>37</v>
      </c>
      <c r="H35" s="19" t="s">
        <v>37</v>
      </c>
      <c r="I35" s="19" t="s">
        <v>37</v>
      </c>
    </row>
    <row r="36" spans="1:11" x14ac:dyDescent="0.25">
      <c r="A36" s="22" t="s">
        <v>27</v>
      </c>
      <c r="B36" s="18">
        <v>5.2430555555555555E-3</v>
      </c>
      <c r="C36" s="18" t="s">
        <v>57</v>
      </c>
      <c r="D36" s="18">
        <v>5.4050925925925924E-3</v>
      </c>
      <c r="E36" s="18" t="s">
        <v>70</v>
      </c>
      <c r="F36" s="17">
        <f t="shared" si="5"/>
        <v>5.324074074074074E-3</v>
      </c>
      <c r="G36" s="19" t="s">
        <v>37</v>
      </c>
      <c r="H36" s="19" t="s">
        <v>37</v>
      </c>
      <c r="I36" s="19" t="s">
        <v>37</v>
      </c>
    </row>
    <row r="37" spans="1:11" x14ac:dyDescent="0.25">
      <c r="A37" s="22" t="s">
        <v>44</v>
      </c>
      <c r="B37" s="18">
        <v>5.37037037037037E-3</v>
      </c>
      <c r="C37" s="18" t="s">
        <v>57</v>
      </c>
      <c r="D37" s="18">
        <v>5.4282407407407404E-3</v>
      </c>
      <c r="E37" s="18" t="s">
        <v>57</v>
      </c>
      <c r="F37" s="17">
        <f t="shared" si="5"/>
        <v>5.3993055555555548E-3</v>
      </c>
      <c r="G37" s="19" t="s">
        <v>37</v>
      </c>
      <c r="H37" s="19" t="s">
        <v>37</v>
      </c>
      <c r="I37" s="19" t="s">
        <v>37</v>
      </c>
    </row>
    <row r="38" spans="1:11" x14ac:dyDescent="0.25">
      <c r="A38" s="22" t="s">
        <v>43</v>
      </c>
      <c r="B38" s="18">
        <v>5.1967592592592595E-3</v>
      </c>
      <c r="C38" s="18" t="s">
        <v>57</v>
      </c>
      <c r="D38" s="18">
        <v>5.6018518518518518E-3</v>
      </c>
      <c r="E38" s="18" t="s">
        <v>57</v>
      </c>
      <c r="F38" s="17">
        <f t="shared" si="5"/>
        <v>5.3993055555555556E-3</v>
      </c>
      <c r="G38" s="19" t="s">
        <v>37</v>
      </c>
      <c r="H38" s="19" t="s">
        <v>37</v>
      </c>
      <c r="I38" s="19" t="s">
        <v>37</v>
      </c>
    </row>
    <row r="39" spans="1:11" x14ac:dyDescent="0.25">
      <c r="A39" s="22" t="s">
        <v>54</v>
      </c>
      <c r="B39" s="18">
        <v>5.7407407407407416E-3</v>
      </c>
      <c r="C39" s="18" t="s">
        <v>57</v>
      </c>
      <c r="D39" s="18">
        <v>6.1111111111111114E-3</v>
      </c>
      <c r="E39" s="18" t="s">
        <v>57</v>
      </c>
      <c r="F39" s="17">
        <f t="shared" si="5"/>
        <v>5.9259259259259265E-3</v>
      </c>
      <c r="G39" s="19" t="s">
        <v>37</v>
      </c>
      <c r="H39" s="19" t="s">
        <v>37</v>
      </c>
      <c r="I39" s="19" t="s">
        <v>37</v>
      </c>
    </row>
    <row r="41" spans="1:11" x14ac:dyDescent="0.25">
      <c r="B41" s="44" t="s">
        <v>79</v>
      </c>
      <c r="C41" s="20">
        <v>1</v>
      </c>
      <c r="D41" s="20">
        <v>2</v>
      </c>
      <c r="E41" s="20">
        <v>3</v>
      </c>
      <c r="F41" s="17" t="s">
        <v>28</v>
      </c>
      <c r="G41" s="17" t="s">
        <v>80</v>
      </c>
      <c r="H41" s="19" t="s">
        <v>81</v>
      </c>
      <c r="I41" s="19" t="s">
        <v>56</v>
      </c>
      <c r="J41" s="19"/>
      <c r="K41" s="17"/>
    </row>
    <row r="42" spans="1:11" ht="15.75" thickBot="1" x14ac:dyDescent="0.3">
      <c r="A42" s="58" t="s">
        <v>74</v>
      </c>
      <c r="B42" s="58"/>
      <c r="C42" s="58"/>
      <c r="D42" s="58"/>
      <c r="E42" s="58"/>
      <c r="F42" s="58"/>
      <c r="G42" s="58"/>
      <c r="H42" s="58"/>
      <c r="I42" s="58"/>
    </row>
    <row r="43" spans="1:11" ht="15.75" thickTop="1" x14ac:dyDescent="0.25">
      <c r="A43" s="16" t="s">
        <v>49</v>
      </c>
      <c r="B43" s="17">
        <v>3.4027777777777784E-3</v>
      </c>
      <c r="C43" s="18">
        <v>3.4027777777777784E-3</v>
      </c>
      <c r="D43" s="18">
        <v>3.483796296296296E-3</v>
      </c>
      <c r="E43" s="18">
        <v>3.5069444444444445E-3</v>
      </c>
      <c r="F43" s="17">
        <f t="shared" ref="F43:F51" si="6">AVERAGE(C43:E43)</f>
        <v>3.4645061728395062E-3</v>
      </c>
      <c r="G43" s="19">
        <v>3.5185185185185185E-3</v>
      </c>
      <c r="H43" s="19">
        <v>3.7037037037037034E-3</v>
      </c>
      <c r="I43" s="19">
        <v>3.6689814814814814E-3</v>
      </c>
      <c r="J43" s="19"/>
      <c r="K43" s="17"/>
    </row>
    <row r="44" spans="1:11" x14ac:dyDescent="0.25">
      <c r="A44" s="16" t="s">
        <v>2</v>
      </c>
      <c r="B44" s="17">
        <v>3.5185185185185185E-3</v>
      </c>
      <c r="C44" s="18">
        <v>3.4027777777777784E-3</v>
      </c>
      <c r="D44" s="18">
        <v>3.5879629629629629E-3</v>
      </c>
      <c r="E44" s="18">
        <v>3.645833333333333E-3</v>
      </c>
      <c r="F44" s="17">
        <f t="shared" si="6"/>
        <v>3.5455246913580246E-3</v>
      </c>
      <c r="G44" s="19">
        <v>3.6342592592592594E-3</v>
      </c>
      <c r="H44" s="19">
        <v>3.645833333333333E-3</v>
      </c>
      <c r="I44" s="19">
        <v>3.5763888888888894E-3</v>
      </c>
      <c r="J44" s="19"/>
      <c r="K44" s="17"/>
    </row>
    <row r="45" spans="1:11" x14ac:dyDescent="0.25">
      <c r="A45" s="16" t="s">
        <v>3</v>
      </c>
      <c r="B45" s="17">
        <v>3.4606481481481485E-3</v>
      </c>
      <c r="C45" s="18">
        <v>3.483796296296296E-3</v>
      </c>
      <c r="D45" s="18">
        <v>3.5763888888888894E-3</v>
      </c>
      <c r="E45" s="18">
        <v>3.6342592592592594E-3</v>
      </c>
      <c r="F45" s="17">
        <f t="shared" si="6"/>
        <v>3.5648148148148145E-3</v>
      </c>
      <c r="G45" s="19">
        <v>3.5763888888888894E-3</v>
      </c>
      <c r="H45" s="19" t="s">
        <v>31</v>
      </c>
      <c r="I45" s="19">
        <v>3.6111111111111114E-3</v>
      </c>
      <c r="J45" s="19"/>
      <c r="K45" s="17"/>
    </row>
    <row r="46" spans="1:11" x14ac:dyDescent="0.25">
      <c r="A46" s="16" t="s">
        <v>50</v>
      </c>
      <c r="B46" s="17">
        <v>3.530092592592592E-3</v>
      </c>
      <c r="C46" s="18">
        <v>3.530092592592592E-3</v>
      </c>
      <c r="D46" s="18">
        <v>3.5879629629629629E-3</v>
      </c>
      <c r="E46" s="18">
        <v>3.5763888888888894E-3</v>
      </c>
      <c r="F46" s="17">
        <f t="shared" si="6"/>
        <v>3.5648148148148145E-3</v>
      </c>
      <c r="G46" s="19">
        <v>3.645833333333333E-3</v>
      </c>
      <c r="H46" s="19" t="s">
        <v>31</v>
      </c>
      <c r="I46" s="19">
        <v>3.6226851851851854E-3</v>
      </c>
      <c r="J46" s="19"/>
      <c r="K46" s="17"/>
    </row>
    <row r="47" spans="1:11" x14ac:dyDescent="0.25">
      <c r="A47" s="16" t="s">
        <v>7</v>
      </c>
      <c r="B47" s="17">
        <v>3.5069444444444445E-3</v>
      </c>
      <c r="C47" s="18">
        <v>3.472222222222222E-3</v>
      </c>
      <c r="D47" s="18">
        <v>3.5879629629629629E-3</v>
      </c>
      <c r="E47" s="18">
        <v>3.645833333333333E-3</v>
      </c>
      <c r="F47" s="17">
        <f t="shared" si="6"/>
        <v>3.5686728395061726E-3</v>
      </c>
      <c r="G47" s="19">
        <v>3.6226851851851854E-3</v>
      </c>
      <c r="H47" s="19">
        <v>3.7268518518518514E-3</v>
      </c>
      <c r="I47" s="19">
        <v>3.7731481481481483E-3</v>
      </c>
      <c r="J47" s="19"/>
      <c r="K47" s="17"/>
    </row>
    <row r="48" spans="1:11" x14ac:dyDescent="0.25">
      <c r="A48" s="16" t="s">
        <v>12</v>
      </c>
      <c r="B48" s="17">
        <v>3.5879629629629629E-3</v>
      </c>
      <c r="C48" s="18">
        <v>3.5185185185185185E-3</v>
      </c>
      <c r="D48" s="18">
        <v>3.6226851851851854E-3</v>
      </c>
      <c r="E48" s="18">
        <v>3.6226851851851854E-3</v>
      </c>
      <c r="F48" s="46">
        <f t="shared" si="6"/>
        <v>3.5879629629629629E-3</v>
      </c>
      <c r="G48" s="19">
        <v>3.7037037037037034E-3</v>
      </c>
      <c r="H48" s="19">
        <v>3.7384259259259263E-3</v>
      </c>
      <c r="I48" s="19" t="s">
        <v>31</v>
      </c>
      <c r="J48" s="19"/>
      <c r="K48" s="17"/>
    </row>
    <row r="49" spans="1:11" x14ac:dyDescent="0.25">
      <c r="A49" s="16" t="s">
        <v>51</v>
      </c>
      <c r="B49" s="17">
        <v>3.6689814814814814E-3</v>
      </c>
      <c r="C49" s="18">
        <v>3.530092592592592E-3</v>
      </c>
      <c r="D49" s="18">
        <v>3.6226851851851854E-3</v>
      </c>
      <c r="E49" s="18">
        <v>3.6342592592592594E-3</v>
      </c>
      <c r="F49" s="46">
        <f t="shared" si="6"/>
        <v>3.5956790123456788E-3</v>
      </c>
      <c r="G49" s="19">
        <v>3.7847222222222223E-3</v>
      </c>
      <c r="H49" s="19">
        <v>3.7152777777777774E-3</v>
      </c>
      <c r="I49" s="19">
        <v>3.6111111111111114E-3</v>
      </c>
      <c r="J49" s="19"/>
      <c r="K49" s="17"/>
    </row>
    <row r="50" spans="1:11" x14ac:dyDescent="0.25">
      <c r="A50" s="16" t="s">
        <v>4</v>
      </c>
      <c r="B50" s="17">
        <v>3.5532407407407405E-3</v>
      </c>
      <c r="C50" s="18">
        <v>3.5532407407407405E-3</v>
      </c>
      <c r="D50" s="18">
        <v>3.6342592592592594E-3</v>
      </c>
      <c r="E50" s="18">
        <v>3.7615740740740739E-3</v>
      </c>
      <c r="F50" s="46">
        <f t="shared" si="6"/>
        <v>3.6496913580246911E-3</v>
      </c>
      <c r="G50" s="19">
        <v>3.6689814814814814E-3</v>
      </c>
      <c r="H50" s="19" t="s">
        <v>37</v>
      </c>
      <c r="I50" s="19" t="s">
        <v>31</v>
      </c>
      <c r="J50" s="19"/>
      <c r="K50" s="17"/>
    </row>
    <row r="51" spans="1:11" x14ac:dyDescent="0.25">
      <c r="A51" s="16" t="s">
        <v>39</v>
      </c>
      <c r="B51" s="17">
        <v>3.6805555555555554E-3</v>
      </c>
      <c r="C51" s="18">
        <v>3.6574074074074074E-3</v>
      </c>
      <c r="D51" s="18">
        <v>3.645833333333333E-3</v>
      </c>
      <c r="E51" s="18">
        <v>3.6689814814814814E-3</v>
      </c>
      <c r="F51" s="46">
        <f t="shared" si="6"/>
        <v>3.6574074074074074E-3</v>
      </c>
      <c r="G51" s="19">
        <v>3.7962962962962963E-3</v>
      </c>
      <c r="H51" s="19" t="s">
        <v>37</v>
      </c>
      <c r="I51" s="19" t="s">
        <v>31</v>
      </c>
      <c r="J51" s="19"/>
      <c r="K51" s="17"/>
    </row>
    <row r="52" spans="1:11" ht="15.75" thickBot="1" x14ac:dyDescent="0.3">
      <c r="A52" s="58" t="s">
        <v>75</v>
      </c>
      <c r="B52" s="58"/>
      <c r="C52" s="58"/>
      <c r="D52" s="58"/>
      <c r="E52" s="58"/>
      <c r="F52" s="58"/>
      <c r="G52" s="58"/>
      <c r="H52" s="58"/>
      <c r="I52" s="58"/>
    </row>
    <row r="53" spans="1:11" ht="15.75" thickTop="1" x14ac:dyDescent="0.25">
      <c r="A53" s="16" t="s">
        <v>8</v>
      </c>
      <c r="B53" s="16"/>
      <c r="C53" s="18">
        <v>3.7847222222222223E-3</v>
      </c>
      <c r="D53" s="18">
        <v>3.8888888888888883E-3</v>
      </c>
      <c r="E53" s="18">
        <v>3.8194444444444443E-3</v>
      </c>
      <c r="F53" s="17">
        <f t="shared" ref="F53:F58" si="7">AVERAGE(C53:E53)</f>
        <v>3.8310185185185183E-3</v>
      </c>
      <c r="G53" s="19" t="s">
        <v>31</v>
      </c>
      <c r="H53" s="19">
        <v>3.8310185185185183E-3</v>
      </c>
      <c r="I53" s="19">
        <v>3.7962962962962963E-3</v>
      </c>
      <c r="J53" s="19"/>
      <c r="K53" s="17"/>
    </row>
    <row r="54" spans="1:11" x14ac:dyDescent="0.25">
      <c r="A54" s="47" t="s">
        <v>6</v>
      </c>
      <c r="B54" s="46">
        <v>3.9120370370370368E-3</v>
      </c>
      <c r="C54" s="48">
        <v>3.7731481481481483E-3</v>
      </c>
      <c r="D54" s="48">
        <v>3.9467592592592592E-3</v>
      </c>
      <c r="E54" s="48">
        <v>3.9583333333333337E-3</v>
      </c>
      <c r="F54" s="46">
        <f t="shared" si="7"/>
        <v>3.8927469135802474E-3</v>
      </c>
      <c r="G54" s="49">
        <v>4.0277777777777777E-3</v>
      </c>
      <c r="H54" s="49" t="s">
        <v>31</v>
      </c>
      <c r="I54" s="49" t="s">
        <v>31</v>
      </c>
      <c r="J54" s="19"/>
      <c r="K54" s="17"/>
    </row>
    <row r="55" spans="1:11" x14ac:dyDescent="0.25">
      <c r="A55" s="47" t="s">
        <v>13</v>
      </c>
      <c r="B55" s="46">
        <v>3.8888888888888883E-3</v>
      </c>
      <c r="C55" s="48">
        <v>3.8541666666666668E-3</v>
      </c>
      <c r="D55" s="48">
        <v>3.9930555555555561E-3</v>
      </c>
      <c r="E55" s="48">
        <v>3.9930555555555561E-3</v>
      </c>
      <c r="F55" s="46">
        <f t="shared" si="7"/>
        <v>3.9467592592592601E-3</v>
      </c>
      <c r="G55" s="49">
        <v>4.0046296296296297E-3</v>
      </c>
      <c r="H55" s="49" t="s">
        <v>37</v>
      </c>
      <c r="I55" s="49" t="s">
        <v>31</v>
      </c>
      <c r="J55" s="19"/>
      <c r="K55" s="17"/>
    </row>
    <row r="56" spans="1:11" x14ac:dyDescent="0.25">
      <c r="A56" s="47" t="s">
        <v>41</v>
      </c>
      <c r="B56" s="46">
        <v>3.9120370370370368E-3</v>
      </c>
      <c r="C56" s="48">
        <v>3.8888888888888883E-3</v>
      </c>
      <c r="D56" s="48">
        <v>3.9814814814814817E-3</v>
      </c>
      <c r="E56" s="48">
        <v>3.9814814814814817E-3</v>
      </c>
      <c r="F56" s="46">
        <f t="shared" si="7"/>
        <v>3.9506172839506174E-3</v>
      </c>
      <c r="G56" s="49">
        <v>4.0277777777777777E-3</v>
      </c>
      <c r="H56" s="49" t="s">
        <v>37</v>
      </c>
      <c r="I56" s="49" t="s">
        <v>31</v>
      </c>
      <c r="J56" s="19"/>
      <c r="K56" s="17"/>
    </row>
    <row r="57" spans="1:11" x14ac:dyDescent="0.25">
      <c r="A57" s="47" t="s">
        <v>14</v>
      </c>
      <c r="B57" s="46">
        <v>3.9120370370370368E-3</v>
      </c>
      <c r="C57" s="48">
        <v>3.8888888888888883E-3</v>
      </c>
      <c r="D57" s="48">
        <v>3.9930555555555561E-3</v>
      </c>
      <c r="E57" s="48">
        <v>3.9930555555555561E-3</v>
      </c>
      <c r="F57" s="46">
        <f t="shared" si="7"/>
        <v>3.9583333333333337E-3</v>
      </c>
      <c r="G57" s="49">
        <v>4.0277777777777777E-3</v>
      </c>
      <c r="H57" s="49" t="s">
        <v>37</v>
      </c>
      <c r="I57" s="49" t="s">
        <v>31</v>
      </c>
      <c r="J57" s="19"/>
      <c r="K57" s="17"/>
    </row>
    <row r="58" spans="1:11" x14ac:dyDescent="0.25">
      <c r="A58" s="47" t="s">
        <v>40</v>
      </c>
      <c r="B58" s="46">
        <v>3.8888888888888883E-3</v>
      </c>
      <c r="C58" s="48">
        <v>4.0162037037037033E-3</v>
      </c>
      <c r="D58" s="48">
        <v>3.9583333333333337E-3</v>
      </c>
      <c r="E58" s="48">
        <v>4.0046296296296297E-3</v>
      </c>
      <c r="F58" s="46">
        <f t="shared" si="7"/>
        <v>3.9930555555555552E-3</v>
      </c>
      <c r="G58" s="49">
        <v>4.0046296296296297E-3</v>
      </c>
      <c r="H58" s="49">
        <v>4.2824074074074075E-3</v>
      </c>
      <c r="I58" s="49" t="s">
        <v>31</v>
      </c>
      <c r="J58" s="19"/>
      <c r="K58" s="17"/>
    </row>
    <row r="59" spans="1:11" ht="15.75" thickBot="1" x14ac:dyDescent="0.3">
      <c r="A59" s="60" t="s">
        <v>76</v>
      </c>
      <c r="B59" s="60"/>
      <c r="C59" s="60"/>
      <c r="D59" s="60"/>
      <c r="E59" s="60"/>
      <c r="F59" s="60"/>
      <c r="G59" s="60"/>
      <c r="H59" s="60"/>
      <c r="I59" s="60"/>
    </row>
    <row r="60" spans="1:11" ht="15.75" thickTop="1" x14ac:dyDescent="0.25">
      <c r="A60" s="47" t="s">
        <v>52</v>
      </c>
      <c r="B60" s="46">
        <v>4.0972222222222226E-3</v>
      </c>
      <c r="C60" s="48">
        <v>4.1666666666666666E-3</v>
      </c>
      <c r="D60" s="48">
        <v>4.1782407407407402E-3</v>
      </c>
      <c r="E60" s="48">
        <v>4.1782407407407402E-3</v>
      </c>
      <c r="F60" s="46">
        <f t="shared" ref="F60:F67" si="8">AVERAGE(C60:E60)</f>
        <v>4.1743827160493829E-3</v>
      </c>
      <c r="G60" s="49">
        <v>4.2129629629629626E-3</v>
      </c>
      <c r="H60" s="49">
        <v>4.6180555555555558E-3</v>
      </c>
      <c r="I60" s="49" t="s">
        <v>31</v>
      </c>
      <c r="J60" s="19"/>
      <c r="K60" s="17"/>
    </row>
    <row r="61" spans="1:11" x14ac:dyDescent="0.25">
      <c r="A61" s="47" t="s">
        <v>38</v>
      </c>
      <c r="B61" s="46">
        <v>4.2939814814814811E-3</v>
      </c>
      <c r="C61" s="48">
        <v>4.2361111111111106E-3</v>
      </c>
      <c r="D61" s="48">
        <v>4.2476851851851851E-3</v>
      </c>
      <c r="E61" s="48">
        <v>4.2824074074074075E-3</v>
      </c>
      <c r="F61" s="46">
        <f t="shared" si="8"/>
        <v>4.2554012345679014E-3</v>
      </c>
      <c r="G61" s="49">
        <v>4.409722222222222E-3</v>
      </c>
      <c r="H61" s="49" t="s">
        <v>37</v>
      </c>
      <c r="I61" s="49" t="s">
        <v>31</v>
      </c>
      <c r="J61" s="19"/>
      <c r="K61" s="17"/>
    </row>
    <row r="62" spans="1:11" x14ac:dyDescent="0.25">
      <c r="A62" s="50" t="s">
        <v>22</v>
      </c>
      <c r="B62" s="50"/>
      <c r="C62" s="48">
        <v>4.2245370370370371E-3</v>
      </c>
      <c r="D62" s="48">
        <v>4.3055555555555555E-3</v>
      </c>
      <c r="E62" s="48">
        <v>4.4907407407407405E-3</v>
      </c>
      <c r="F62" s="46">
        <f t="shared" si="8"/>
        <v>4.3402777777777771E-3</v>
      </c>
      <c r="G62" s="49" t="s">
        <v>31</v>
      </c>
      <c r="H62" s="49" t="s">
        <v>37</v>
      </c>
      <c r="I62" s="49">
        <v>4.5486111111111109E-3</v>
      </c>
      <c r="J62" s="19"/>
      <c r="K62" s="17"/>
    </row>
    <row r="63" spans="1:11" x14ac:dyDescent="0.25">
      <c r="A63" s="47" t="s">
        <v>17</v>
      </c>
      <c r="B63" s="46">
        <v>4.108796296296297E-3</v>
      </c>
      <c r="C63" s="48">
        <v>4.2245370370370371E-3</v>
      </c>
      <c r="D63" s="48">
        <v>4.5138888888888893E-3</v>
      </c>
      <c r="E63" s="48">
        <v>4.340277777777778E-3</v>
      </c>
      <c r="F63" s="46">
        <f t="shared" si="8"/>
        <v>4.3595679012345687E-3</v>
      </c>
      <c r="G63" s="49">
        <v>4.2245370370370371E-3</v>
      </c>
      <c r="H63" s="49" t="s">
        <v>37</v>
      </c>
      <c r="I63" s="49" t="s">
        <v>31</v>
      </c>
      <c r="J63" s="19"/>
      <c r="K63" s="17"/>
    </row>
    <row r="64" spans="1:11" x14ac:dyDescent="0.25">
      <c r="A64" s="50" t="s">
        <v>24</v>
      </c>
      <c r="B64" s="46">
        <v>4.340277777777778E-3</v>
      </c>
      <c r="C64" s="48">
        <v>4.3981481481481484E-3</v>
      </c>
      <c r="D64" s="48">
        <v>4.31712962962963E-3</v>
      </c>
      <c r="E64" s="48">
        <v>4.3981481481481484E-3</v>
      </c>
      <c r="F64" s="46">
        <f t="shared" si="8"/>
        <v>4.3711419753086423E-3</v>
      </c>
      <c r="G64" s="49">
        <v>4.4560185185185189E-3</v>
      </c>
      <c r="H64" s="49" t="s">
        <v>31</v>
      </c>
      <c r="I64" s="49">
        <v>4.6412037037037038E-3</v>
      </c>
      <c r="J64" s="19"/>
      <c r="K64" s="17"/>
    </row>
    <row r="65" spans="1:11" x14ac:dyDescent="0.25">
      <c r="A65" s="51" t="s">
        <v>77</v>
      </c>
      <c r="B65" s="51"/>
      <c r="C65" s="48">
        <v>4.386574074074074E-3</v>
      </c>
      <c r="D65" s="48">
        <v>4.5138888888888893E-3</v>
      </c>
      <c r="E65" s="48">
        <v>4.4444444444444444E-3</v>
      </c>
      <c r="F65" s="46">
        <f t="shared" si="8"/>
        <v>4.4483024691358035E-3</v>
      </c>
      <c r="G65" s="49" t="s">
        <v>31</v>
      </c>
      <c r="H65" s="49" t="s">
        <v>37</v>
      </c>
      <c r="I65" s="49" t="s">
        <v>37</v>
      </c>
      <c r="J65" s="19"/>
      <c r="K65" s="17"/>
    </row>
    <row r="66" spans="1:11" x14ac:dyDescent="0.25">
      <c r="A66" s="50" t="s">
        <v>20</v>
      </c>
      <c r="B66" s="46">
        <v>4.3055555555555555E-3</v>
      </c>
      <c r="C66" s="48">
        <v>4.386574074074074E-3</v>
      </c>
      <c r="D66" s="48">
        <v>4.5486111111111109E-3</v>
      </c>
      <c r="E66" s="48">
        <v>4.5138888888888893E-3</v>
      </c>
      <c r="F66" s="46">
        <f t="shared" si="8"/>
        <v>4.483024691358025E-3</v>
      </c>
      <c r="G66" s="49">
        <v>4.4212962962962956E-3</v>
      </c>
      <c r="H66" s="49">
        <v>4.7222222222222223E-3</v>
      </c>
      <c r="I66" s="49">
        <v>4.6643518518518518E-3</v>
      </c>
      <c r="J66" s="19"/>
      <c r="K66" s="17"/>
    </row>
    <row r="67" spans="1:11" x14ac:dyDescent="0.25">
      <c r="A67" s="50" t="s">
        <v>19</v>
      </c>
      <c r="B67" s="50"/>
      <c r="C67" s="48">
        <v>4.4212962962962956E-3</v>
      </c>
      <c r="D67" s="48">
        <v>4.5949074074074078E-3</v>
      </c>
      <c r="E67" s="48">
        <v>4.6643518518518518E-3</v>
      </c>
      <c r="F67" s="46">
        <f t="shared" si="8"/>
        <v>4.5601851851851853E-3</v>
      </c>
      <c r="G67" s="49" t="s">
        <v>31</v>
      </c>
      <c r="H67" s="49">
        <v>4.6296296296296302E-3</v>
      </c>
      <c r="I67" s="49">
        <v>4.5717592592592589E-3</v>
      </c>
      <c r="J67" s="19"/>
      <c r="K67" s="17"/>
    </row>
    <row r="68" spans="1:11" ht="15.75" thickBot="1" x14ac:dyDescent="0.3">
      <c r="A68" s="60" t="s">
        <v>78</v>
      </c>
      <c r="B68" s="60"/>
      <c r="C68" s="60"/>
      <c r="D68" s="60"/>
      <c r="E68" s="60"/>
      <c r="F68" s="60"/>
      <c r="G68" s="60"/>
      <c r="H68" s="60"/>
      <c r="I68" s="60"/>
    </row>
    <row r="69" spans="1:11" ht="15.75" thickTop="1" x14ac:dyDescent="0.25">
      <c r="A69" s="50" t="s">
        <v>44</v>
      </c>
      <c r="B69" s="46">
        <v>5.2777777777777771E-3</v>
      </c>
      <c r="C69" s="48">
        <v>5.2314814814814819E-3</v>
      </c>
      <c r="D69" s="48">
        <v>5.3356481481481484E-3</v>
      </c>
      <c r="E69" s="48">
        <v>5.3819444444444453E-3</v>
      </c>
      <c r="F69" s="46">
        <f t="shared" ref="F69:F74" si="9">AVERAGE(C69:E69)</f>
        <v>5.3163580246913594E-3</v>
      </c>
      <c r="G69" s="49" t="s">
        <v>37</v>
      </c>
      <c r="H69" s="49" t="s">
        <v>31</v>
      </c>
      <c r="I69" s="49">
        <v>5.3935185185185188E-3</v>
      </c>
      <c r="J69" s="17"/>
    </row>
    <row r="70" spans="1:11" x14ac:dyDescent="0.25">
      <c r="A70" s="50" t="s">
        <v>43</v>
      </c>
      <c r="B70" s="46">
        <v>5.2777777777777771E-3</v>
      </c>
      <c r="C70" s="48">
        <v>5.185185185185185E-3</v>
      </c>
      <c r="D70" s="48">
        <v>5.3356481481481484E-3</v>
      </c>
      <c r="E70" s="48">
        <v>5.4398148148148149E-3</v>
      </c>
      <c r="F70" s="46">
        <f t="shared" si="9"/>
        <v>5.3202160493827158E-3</v>
      </c>
      <c r="G70" s="49">
        <v>5.4861111111111117E-3</v>
      </c>
      <c r="H70" s="49" t="s">
        <v>31</v>
      </c>
      <c r="I70" s="49">
        <v>5.3935185185185188E-3</v>
      </c>
      <c r="J70" s="17"/>
    </row>
    <row r="71" spans="1:11" x14ac:dyDescent="0.25">
      <c r="A71" s="50" t="s">
        <v>45</v>
      </c>
      <c r="B71" s="46">
        <v>5.208333333333333E-3</v>
      </c>
      <c r="C71" s="48">
        <v>5.2662037037037035E-3</v>
      </c>
      <c r="D71" s="48">
        <v>5.37037037037037E-3</v>
      </c>
      <c r="E71" s="48">
        <v>5.5439814814814822E-3</v>
      </c>
      <c r="F71" s="46">
        <f t="shared" si="9"/>
        <v>5.3935185185185188E-3</v>
      </c>
      <c r="G71" s="49" t="s">
        <v>37</v>
      </c>
      <c r="H71" s="49" t="s">
        <v>31</v>
      </c>
      <c r="I71" s="49">
        <v>5.1041666666666666E-3</v>
      </c>
      <c r="J71" s="17"/>
    </row>
    <row r="72" spans="1:11" x14ac:dyDescent="0.25">
      <c r="A72" s="22" t="s">
        <v>27</v>
      </c>
      <c r="B72" s="17">
        <v>5.208333333333333E-3</v>
      </c>
      <c r="C72" s="18">
        <v>5.2777777777777771E-3</v>
      </c>
      <c r="D72" s="18">
        <v>5.4976851851851853E-3</v>
      </c>
      <c r="E72" s="18">
        <v>5.5324074074074069E-3</v>
      </c>
      <c r="F72" s="17">
        <f t="shared" si="9"/>
        <v>5.4359567901234558E-3</v>
      </c>
      <c r="G72" s="19" t="s">
        <v>37</v>
      </c>
      <c r="H72" s="19" t="s">
        <v>31</v>
      </c>
      <c r="I72" s="19">
        <v>5.3240740740740748E-3</v>
      </c>
      <c r="J72" s="17"/>
    </row>
    <row r="73" spans="1:11" x14ac:dyDescent="0.25">
      <c r="A73" s="22" t="s">
        <v>48</v>
      </c>
      <c r="B73" s="17">
        <v>5.208333333333333E-3</v>
      </c>
      <c r="C73" s="18">
        <v>5.6828703703703702E-3</v>
      </c>
      <c r="D73" s="18">
        <v>5.7986111111111112E-3</v>
      </c>
      <c r="E73" s="18">
        <v>6.0648148148148145E-3</v>
      </c>
      <c r="F73" s="17">
        <f t="shared" si="9"/>
        <v>5.8487654320987653E-3</v>
      </c>
      <c r="G73" s="19" t="s">
        <v>37</v>
      </c>
      <c r="H73" s="19" t="s">
        <v>31</v>
      </c>
      <c r="I73" s="19">
        <v>5.3240740740740748E-3</v>
      </c>
      <c r="J73" s="17"/>
    </row>
    <row r="74" spans="1:11" x14ac:dyDescent="0.25">
      <c r="A74" s="22" t="s">
        <v>68</v>
      </c>
      <c r="B74" s="22"/>
      <c r="C74" s="18">
        <v>6.168981481481481E-3</v>
      </c>
      <c r="D74" s="29" t="s">
        <v>57</v>
      </c>
      <c r="E74" s="18">
        <v>6.4814814814814813E-3</v>
      </c>
      <c r="F74" s="17">
        <f t="shared" si="9"/>
        <v>6.3252314814814812E-3</v>
      </c>
      <c r="G74" s="19" t="s">
        <v>37</v>
      </c>
      <c r="H74" s="19" t="s">
        <v>31</v>
      </c>
      <c r="I74" s="19" t="s">
        <v>31</v>
      </c>
      <c r="J74" s="17"/>
    </row>
  </sheetData>
  <sortState ref="A43:I51">
    <sortCondition ref="F43:F51"/>
  </sortState>
  <mergeCells count="8">
    <mergeCell ref="A52:I52"/>
    <mergeCell ref="A59:I59"/>
    <mergeCell ref="A68:I68"/>
    <mergeCell ref="A2:I2"/>
    <mergeCell ref="A15:I15"/>
    <mergeCell ref="A22:I22"/>
    <mergeCell ref="A30:I30"/>
    <mergeCell ref="A42:I42"/>
  </mergeCells>
  <printOptions horizontalCentered="1" verticalCentered="1" gridLine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opLeftCell="A31" workbookViewId="0">
      <selection activeCell="L3" sqref="L3"/>
    </sheetView>
  </sheetViews>
  <sheetFormatPr defaultRowHeight="15" x14ac:dyDescent="0.25"/>
  <cols>
    <col min="1" max="1" width="17.28515625" style="16" bestFit="1" customWidth="1"/>
    <col min="2" max="3" width="4.5703125" style="18" bestFit="1" customWidth="1"/>
    <col min="4" max="4" width="5" style="18" bestFit="1" customWidth="1"/>
    <col min="5" max="5" width="4.5703125" style="18" bestFit="1" customWidth="1"/>
    <col min="6" max="6" width="4.7109375" style="18" bestFit="1" customWidth="1"/>
    <col min="7" max="7" width="4.7109375" style="17" bestFit="1" customWidth="1"/>
    <col min="8" max="9" width="4.5703125" style="23" bestFit="1" customWidth="1"/>
    <col min="10" max="10" width="5.5703125" style="23" bestFit="1" customWidth="1"/>
  </cols>
  <sheetData>
    <row r="1" spans="1:10" ht="15.75" thickBot="1" x14ac:dyDescent="0.3">
      <c r="A1" s="62">
        <v>40973</v>
      </c>
      <c r="B1" s="62"/>
      <c r="C1" s="62"/>
      <c r="D1" s="62"/>
      <c r="E1" s="62"/>
      <c r="F1" s="62"/>
      <c r="G1" s="62"/>
      <c r="H1" s="62"/>
      <c r="I1" s="62"/>
      <c r="J1" s="62"/>
    </row>
    <row r="2" spans="1:10" s="28" customFormat="1" ht="16.5" thickTop="1" thickBot="1" x14ac:dyDescent="0.3">
      <c r="A2" s="25"/>
      <c r="B2" s="26">
        <v>400</v>
      </c>
      <c r="C2" s="26">
        <v>800</v>
      </c>
      <c r="D2" s="26">
        <v>1600</v>
      </c>
      <c r="E2" s="26">
        <v>800</v>
      </c>
      <c r="F2" s="26">
        <v>400</v>
      </c>
      <c r="G2" s="27" t="s">
        <v>28</v>
      </c>
      <c r="H2" s="61" t="s">
        <v>69</v>
      </c>
      <c r="I2" s="61"/>
      <c r="J2" s="61"/>
    </row>
    <row r="3" spans="1:10" s="16" customFormat="1" ht="16.5" thickTop="1" thickBot="1" x14ac:dyDescent="0.3">
      <c r="A3" s="57" t="s">
        <v>64</v>
      </c>
      <c r="B3" s="57"/>
      <c r="C3" s="57"/>
      <c r="D3" s="57"/>
      <c r="E3" s="57"/>
      <c r="F3" s="57"/>
      <c r="G3" s="57"/>
      <c r="H3" s="57"/>
      <c r="I3" s="57"/>
      <c r="J3" s="57"/>
    </row>
    <row r="4" spans="1:10" ht="15.75" thickTop="1" x14ac:dyDescent="0.25">
      <c r="A4" s="16" t="s">
        <v>1</v>
      </c>
      <c r="B4" s="18">
        <v>7.407407407407407E-4</v>
      </c>
      <c r="C4" s="18">
        <v>1.6203703703703703E-3</v>
      </c>
      <c r="D4" s="18">
        <v>3.472222222222222E-3</v>
      </c>
      <c r="E4" s="18">
        <v>1.5509259259259261E-3</v>
      </c>
      <c r="F4" s="18">
        <v>6.8287037037037025E-4</v>
      </c>
      <c r="G4" s="17">
        <f t="shared" ref="G4:G20" si="0">AVERAGE(B4:F4)</f>
        <v>1.6134259259259257E-3</v>
      </c>
      <c r="H4" s="29">
        <f t="shared" ref="H4:H20" si="1">B4+F4</f>
        <v>1.423611111111111E-3</v>
      </c>
      <c r="I4" s="29">
        <f t="shared" ref="I4:I20" si="2">C4+E4</f>
        <v>3.1712962962962962E-3</v>
      </c>
      <c r="J4" s="29">
        <f t="shared" ref="J4:J20" si="3">D4*2</f>
        <v>6.9444444444444441E-3</v>
      </c>
    </row>
    <row r="5" spans="1:10" x14ac:dyDescent="0.25">
      <c r="A5" s="16" t="s">
        <v>49</v>
      </c>
      <c r="B5" s="18">
        <v>7.291666666666667E-4</v>
      </c>
      <c r="C5" s="18">
        <v>1.6203703703703703E-3</v>
      </c>
      <c r="D5" s="18">
        <v>3.472222222222222E-3</v>
      </c>
      <c r="E5" s="18">
        <v>1.5972222222222221E-3</v>
      </c>
      <c r="F5" s="18">
        <v>6.8287037037037025E-4</v>
      </c>
      <c r="G5" s="17">
        <f t="shared" si="0"/>
        <v>1.6203703703703703E-3</v>
      </c>
      <c r="H5" s="29">
        <f t="shared" si="1"/>
        <v>1.4120370370370369E-3</v>
      </c>
      <c r="I5" s="29">
        <f t="shared" si="2"/>
        <v>3.2175925925925922E-3</v>
      </c>
      <c r="J5" s="29">
        <f t="shared" si="3"/>
        <v>6.9444444444444441E-3</v>
      </c>
    </row>
    <row r="6" spans="1:10" x14ac:dyDescent="0.25">
      <c r="A6" s="16" t="s">
        <v>3</v>
      </c>
      <c r="B6" s="18">
        <v>7.407407407407407E-4</v>
      </c>
      <c r="C6" s="18">
        <v>1.6319444444444445E-3</v>
      </c>
      <c r="D6" s="18">
        <v>3.4606481481481485E-3</v>
      </c>
      <c r="E6" s="18">
        <v>1.5972222222222221E-3</v>
      </c>
      <c r="F6" s="18">
        <v>7.0601851851851847E-4</v>
      </c>
      <c r="G6" s="17">
        <f t="shared" si="0"/>
        <v>1.6273148148148147E-3</v>
      </c>
      <c r="H6" s="29">
        <f t="shared" si="1"/>
        <v>1.4467592592592592E-3</v>
      </c>
      <c r="I6" s="29">
        <f t="shared" si="2"/>
        <v>3.2291666666666666E-3</v>
      </c>
      <c r="J6" s="29">
        <f t="shared" si="3"/>
        <v>6.9212962962962969E-3</v>
      </c>
    </row>
    <row r="7" spans="1:10" x14ac:dyDescent="0.25">
      <c r="A7" s="16" t="s">
        <v>7</v>
      </c>
      <c r="B7" s="18">
        <v>7.407407407407407E-4</v>
      </c>
      <c r="C7" s="18">
        <v>1.6435185185185183E-3</v>
      </c>
      <c r="D7" s="18">
        <v>3.4490740740740745E-3</v>
      </c>
      <c r="E7" s="18">
        <v>1.5856481481481479E-3</v>
      </c>
      <c r="F7" s="18">
        <v>7.175925925925927E-4</v>
      </c>
      <c r="G7" s="17">
        <f t="shared" si="0"/>
        <v>1.6273148148148147E-3</v>
      </c>
      <c r="H7" s="29">
        <f t="shared" si="1"/>
        <v>1.4583333333333334E-3</v>
      </c>
      <c r="I7" s="29">
        <f t="shared" si="2"/>
        <v>3.2291666666666662E-3</v>
      </c>
      <c r="J7" s="29">
        <f t="shared" si="3"/>
        <v>6.8981481481481489E-3</v>
      </c>
    </row>
    <row r="8" spans="1:10" x14ac:dyDescent="0.25">
      <c r="A8" s="16" t="s">
        <v>12</v>
      </c>
      <c r="B8" s="18">
        <v>7.175925925925927E-4</v>
      </c>
      <c r="C8" s="18">
        <v>1.6319444444444445E-3</v>
      </c>
      <c r="D8" s="18">
        <v>3.5416666666666665E-3</v>
      </c>
      <c r="E8" s="18">
        <v>1.5740740740740741E-3</v>
      </c>
      <c r="F8" s="18">
        <v>6.9444444444444447E-4</v>
      </c>
      <c r="G8" s="17">
        <f t="shared" si="0"/>
        <v>1.6319444444444445E-3</v>
      </c>
      <c r="H8" s="29">
        <f t="shared" si="1"/>
        <v>1.4120370370370372E-3</v>
      </c>
      <c r="I8" s="29">
        <f t="shared" si="2"/>
        <v>3.2060185185185186E-3</v>
      </c>
      <c r="J8" s="29">
        <f t="shared" si="3"/>
        <v>7.083333333333333E-3</v>
      </c>
    </row>
    <row r="9" spans="1:10" x14ac:dyDescent="0.25">
      <c r="A9" s="16" t="s">
        <v>2</v>
      </c>
      <c r="B9" s="18">
        <v>7.5231481481481471E-4</v>
      </c>
      <c r="C9" s="18">
        <v>1.6435185185185183E-3</v>
      </c>
      <c r="D9" s="18">
        <v>3.4953703703703705E-3</v>
      </c>
      <c r="E9" s="18">
        <v>1.6435185185185183E-3</v>
      </c>
      <c r="F9" s="18">
        <v>7.175925925925927E-4</v>
      </c>
      <c r="G9" s="17">
        <f t="shared" si="0"/>
        <v>1.650462962962963E-3</v>
      </c>
      <c r="H9" s="29">
        <f t="shared" si="1"/>
        <v>1.4699074074074074E-3</v>
      </c>
      <c r="I9" s="29">
        <f t="shared" si="2"/>
        <v>3.2870370370370367E-3</v>
      </c>
      <c r="J9" s="29">
        <f t="shared" si="3"/>
        <v>6.9907407407407409E-3</v>
      </c>
    </row>
    <row r="10" spans="1:10" x14ac:dyDescent="0.25">
      <c r="A10" s="16" t="s">
        <v>5</v>
      </c>
      <c r="B10" s="18">
        <v>7.407407407407407E-4</v>
      </c>
      <c r="C10" s="18">
        <v>1.6435185185185183E-3</v>
      </c>
      <c r="D10" s="18">
        <v>3.5648148148148154E-3</v>
      </c>
      <c r="E10" s="18">
        <v>1.6087962962962963E-3</v>
      </c>
      <c r="F10" s="18">
        <v>7.291666666666667E-4</v>
      </c>
      <c r="G10" s="17">
        <f t="shared" si="0"/>
        <v>1.6574074074074074E-3</v>
      </c>
      <c r="H10" s="29">
        <f t="shared" si="1"/>
        <v>1.4699074074074074E-3</v>
      </c>
      <c r="I10" s="29">
        <f t="shared" si="2"/>
        <v>3.2523148148148147E-3</v>
      </c>
      <c r="J10" s="29">
        <f t="shared" si="3"/>
        <v>7.1296296296296307E-3</v>
      </c>
    </row>
    <row r="11" spans="1:10" x14ac:dyDescent="0.25">
      <c r="A11" s="16" t="s">
        <v>50</v>
      </c>
      <c r="B11" s="18">
        <v>7.407407407407407E-4</v>
      </c>
      <c r="C11" s="18">
        <v>1.6550925925925926E-3</v>
      </c>
      <c r="D11" s="18">
        <v>3.5763888888888894E-3</v>
      </c>
      <c r="E11" s="18">
        <v>1.6203703703703703E-3</v>
      </c>
      <c r="F11" s="18">
        <v>7.291666666666667E-4</v>
      </c>
      <c r="G11" s="17">
        <f t="shared" si="0"/>
        <v>1.664351851851852E-3</v>
      </c>
      <c r="H11" s="29">
        <f t="shared" si="1"/>
        <v>1.4699074074074074E-3</v>
      </c>
      <c r="I11" s="29">
        <f t="shared" si="2"/>
        <v>3.2754629629629627E-3</v>
      </c>
      <c r="J11" s="29">
        <f t="shared" si="3"/>
        <v>7.1527777777777787E-3</v>
      </c>
    </row>
    <row r="12" spans="1:10" x14ac:dyDescent="0.25">
      <c r="A12" s="16" t="s">
        <v>51</v>
      </c>
      <c r="B12" s="18">
        <v>7.5231481481481471E-4</v>
      </c>
      <c r="C12" s="18">
        <v>1.6666666666666668E-3</v>
      </c>
      <c r="D12" s="18">
        <v>3.5416666666666665E-3</v>
      </c>
      <c r="E12" s="18">
        <v>1.6203703703703703E-3</v>
      </c>
      <c r="F12" s="18">
        <v>7.407407407407407E-4</v>
      </c>
      <c r="G12" s="17">
        <f t="shared" si="0"/>
        <v>1.664351851851852E-3</v>
      </c>
      <c r="H12" s="29">
        <f t="shared" si="1"/>
        <v>1.4930555555555554E-3</v>
      </c>
      <c r="I12" s="29">
        <f t="shared" si="2"/>
        <v>3.2870370370370371E-3</v>
      </c>
      <c r="J12" s="29">
        <f t="shared" si="3"/>
        <v>7.083333333333333E-3</v>
      </c>
    </row>
    <row r="13" spans="1:10" x14ac:dyDescent="0.25">
      <c r="A13" s="16" t="s">
        <v>4</v>
      </c>
      <c r="B13" s="18">
        <v>7.291666666666667E-4</v>
      </c>
      <c r="C13" s="18">
        <v>1.6782407407407406E-3</v>
      </c>
      <c r="D13" s="18">
        <v>3.5879629629629629E-3</v>
      </c>
      <c r="E13" s="18">
        <v>1.6087962962962963E-3</v>
      </c>
      <c r="F13" s="18">
        <v>7.407407407407407E-4</v>
      </c>
      <c r="G13" s="17">
        <f t="shared" si="0"/>
        <v>1.6689814814814814E-3</v>
      </c>
      <c r="H13" s="29">
        <f t="shared" si="1"/>
        <v>1.4699074074074074E-3</v>
      </c>
      <c r="I13" s="29">
        <f t="shared" si="2"/>
        <v>3.2870370370370371E-3</v>
      </c>
      <c r="J13" s="29">
        <f t="shared" si="3"/>
        <v>7.1759259259259259E-3</v>
      </c>
    </row>
    <row r="14" spans="1:10" x14ac:dyDescent="0.25">
      <c r="A14" s="16" t="s">
        <v>39</v>
      </c>
      <c r="B14" s="18">
        <v>7.5231481481481471E-4</v>
      </c>
      <c r="C14" s="18">
        <v>1.712962962962963E-3</v>
      </c>
      <c r="D14" s="18">
        <v>3.645833333333333E-3</v>
      </c>
      <c r="E14" s="18">
        <v>1.6203703703703703E-3</v>
      </c>
      <c r="F14" s="18">
        <v>7.5231481481481471E-4</v>
      </c>
      <c r="G14" s="17">
        <f t="shared" si="0"/>
        <v>1.696759259259259E-3</v>
      </c>
      <c r="H14" s="29">
        <f t="shared" si="1"/>
        <v>1.5046296296296294E-3</v>
      </c>
      <c r="I14" s="29">
        <f t="shared" si="2"/>
        <v>3.3333333333333331E-3</v>
      </c>
      <c r="J14" s="29">
        <f t="shared" si="3"/>
        <v>7.2916666666666659E-3</v>
      </c>
    </row>
    <row r="15" spans="1:10" x14ac:dyDescent="0.25">
      <c r="A15" s="16" t="s">
        <v>16</v>
      </c>
      <c r="B15" s="18">
        <v>7.6388888888888893E-4</v>
      </c>
      <c r="C15" s="18">
        <v>1.712962962962963E-3</v>
      </c>
      <c r="D15" s="18">
        <v>3.8310185185185183E-3</v>
      </c>
      <c r="E15" s="18">
        <v>1.7592592592592592E-3</v>
      </c>
      <c r="F15" s="18">
        <v>7.8703703703703705E-4</v>
      </c>
      <c r="G15" s="17">
        <f t="shared" si="0"/>
        <v>1.7708333333333332E-3</v>
      </c>
      <c r="H15" s="29">
        <f t="shared" si="1"/>
        <v>1.5509259259259261E-3</v>
      </c>
      <c r="I15" s="29">
        <f t="shared" si="2"/>
        <v>3.472222222222222E-3</v>
      </c>
      <c r="J15" s="29">
        <f t="shared" si="3"/>
        <v>7.6620370370370366E-3</v>
      </c>
    </row>
    <row r="16" spans="1:10" x14ac:dyDescent="0.25">
      <c r="A16" s="16" t="s">
        <v>6</v>
      </c>
      <c r="B16" s="18">
        <v>7.407407407407407E-4</v>
      </c>
      <c r="C16" s="18">
        <v>1.8750000000000001E-3</v>
      </c>
      <c r="D16" s="18">
        <v>3.8541666666666668E-3</v>
      </c>
      <c r="E16" s="18">
        <v>1.8171296296296297E-3</v>
      </c>
      <c r="F16" s="18">
        <v>7.407407407407407E-4</v>
      </c>
      <c r="G16" s="17">
        <f t="shared" si="0"/>
        <v>1.8055555555555557E-3</v>
      </c>
      <c r="H16" s="29">
        <f t="shared" si="1"/>
        <v>1.4814814814814814E-3</v>
      </c>
      <c r="I16" s="29">
        <f t="shared" si="2"/>
        <v>3.6921296296296298E-3</v>
      </c>
      <c r="J16" s="29">
        <f t="shared" si="3"/>
        <v>7.7083333333333335E-3</v>
      </c>
    </row>
    <row r="17" spans="1:12" x14ac:dyDescent="0.25">
      <c r="A17" s="16" t="s">
        <v>14</v>
      </c>
      <c r="B17" s="18">
        <v>7.7546296296296304E-4</v>
      </c>
      <c r="C17" s="18">
        <v>1.9097222222222222E-3</v>
      </c>
      <c r="D17" s="18">
        <v>3.9004629629629632E-3</v>
      </c>
      <c r="E17" s="18">
        <v>1.8287037037037037E-3</v>
      </c>
      <c r="F17" s="18">
        <v>8.1018518518518516E-4</v>
      </c>
      <c r="G17" s="17">
        <f t="shared" si="0"/>
        <v>1.8449074074074073E-3</v>
      </c>
      <c r="H17" s="29">
        <f t="shared" si="1"/>
        <v>1.5856481481481481E-3</v>
      </c>
      <c r="I17" s="29">
        <f t="shared" si="2"/>
        <v>3.7384259259259259E-3</v>
      </c>
      <c r="J17" s="29">
        <f t="shared" si="3"/>
        <v>7.8009259259259264E-3</v>
      </c>
    </row>
    <row r="18" spans="1:12" x14ac:dyDescent="0.25">
      <c r="A18" s="16" t="s">
        <v>13</v>
      </c>
      <c r="B18" s="18">
        <v>7.6388888888888893E-4</v>
      </c>
      <c r="C18" s="18">
        <v>1.9791666666666668E-3</v>
      </c>
      <c r="D18" s="18">
        <v>3.8773148148148143E-3</v>
      </c>
      <c r="E18" s="18">
        <v>1.8171296296296297E-3</v>
      </c>
      <c r="F18" s="18">
        <v>7.8703703703703705E-4</v>
      </c>
      <c r="G18" s="17">
        <f t="shared" si="0"/>
        <v>1.8449074074074075E-3</v>
      </c>
      <c r="H18" s="29">
        <f t="shared" si="1"/>
        <v>1.5509259259259261E-3</v>
      </c>
      <c r="I18" s="29">
        <f t="shared" si="2"/>
        <v>3.7962962962962967E-3</v>
      </c>
      <c r="J18" s="29">
        <f t="shared" si="3"/>
        <v>7.7546296296296287E-3</v>
      </c>
    </row>
    <row r="19" spans="1:12" x14ac:dyDescent="0.25">
      <c r="A19" s="16" t="s">
        <v>41</v>
      </c>
      <c r="B19" s="18">
        <v>8.1018518518518516E-4</v>
      </c>
      <c r="C19" s="18">
        <v>1.8634259259259261E-3</v>
      </c>
      <c r="D19" s="18">
        <v>3.9004629629629632E-3</v>
      </c>
      <c r="E19" s="18">
        <v>1.8402777777777777E-3</v>
      </c>
      <c r="F19" s="18">
        <v>8.2175925925925917E-4</v>
      </c>
      <c r="G19" s="17">
        <f t="shared" si="0"/>
        <v>1.8472222222222223E-3</v>
      </c>
      <c r="H19" s="29">
        <f t="shared" si="1"/>
        <v>1.6319444444444443E-3</v>
      </c>
      <c r="I19" s="29">
        <f t="shared" si="2"/>
        <v>3.7037037037037038E-3</v>
      </c>
      <c r="J19" s="29">
        <f t="shared" si="3"/>
        <v>7.8009259259259264E-3</v>
      </c>
    </row>
    <row r="20" spans="1:12" x14ac:dyDescent="0.25">
      <c r="A20" s="16" t="s">
        <v>40</v>
      </c>
      <c r="B20" s="18">
        <v>7.9861111111111105E-4</v>
      </c>
      <c r="C20" s="18">
        <v>1.8865740740740742E-3</v>
      </c>
      <c r="D20" s="18">
        <v>4.0856481481481481E-3</v>
      </c>
      <c r="E20" s="18">
        <v>1.8402777777777777E-3</v>
      </c>
      <c r="F20" s="18">
        <v>8.6805555555555551E-4</v>
      </c>
      <c r="G20" s="17">
        <f t="shared" si="0"/>
        <v>1.8958333333333334E-3</v>
      </c>
      <c r="H20" s="29">
        <f t="shared" si="1"/>
        <v>1.6666666666666666E-3</v>
      </c>
      <c r="I20" s="29">
        <f t="shared" si="2"/>
        <v>3.7268518518518519E-3</v>
      </c>
      <c r="J20" s="29">
        <f t="shared" si="3"/>
        <v>8.1712962962962963E-3</v>
      </c>
    </row>
    <row r="21" spans="1:12" ht="15.75" thickBot="1" x14ac:dyDescent="0.3">
      <c r="A21" s="58" t="s">
        <v>65</v>
      </c>
      <c r="B21" s="58"/>
      <c r="C21" s="58"/>
      <c r="D21" s="58"/>
      <c r="E21" s="58"/>
      <c r="F21" s="58"/>
      <c r="G21" s="58"/>
      <c r="H21" s="58"/>
      <c r="I21" s="58"/>
      <c r="J21" s="58"/>
    </row>
    <row r="22" spans="1:12" ht="15.75" thickTop="1" x14ac:dyDescent="0.25">
      <c r="A22" s="16" t="s">
        <v>52</v>
      </c>
      <c r="B22" s="18">
        <v>7.9861111111111105E-4</v>
      </c>
      <c r="C22" s="18">
        <v>1.9097222222222222E-3</v>
      </c>
      <c r="D22" s="18">
        <v>4.2361111111111106E-3</v>
      </c>
      <c r="E22" s="18">
        <v>1.8865740740740742E-3</v>
      </c>
      <c r="F22" s="18">
        <v>7.9861111111111105E-4</v>
      </c>
      <c r="G22" s="17">
        <f>AVERAGE(B22:F22)</f>
        <v>1.9259259259259258E-3</v>
      </c>
      <c r="H22" s="29">
        <f t="shared" ref="H22:H28" si="4">B22+F22</f>
        <v>1.5972222222222221E-3</v>
      </c>
      <c r="I22" s="29">
        <f t="shared" ref="I22:I29" si="5">C22+E22</f>
        <v>3.7962962962962963E-3</v>
      </c>
      <c r="J22" s="29">
        <f t="shared" ref="J22:J29" si="6">D22*2</f>
        <v>8.4722222222222213E-3</v>
      </c>
    </row>
    <row r="23" spans="1:12" x14ac:dyDescent="0.25">
      <c r="A23" s="16" t="s">
        <v>38</v>
      </c>
      <c r="B23" s="18">
        <v>8.1018518518518516E-4</v>
      </c>
      <c r="C23" s="18">
        <v>1.8865740740740742E-3</v>
      </c>
      <c r="D23" s="18">
        <v>4.31712962962963E-3</v>
      </c>
      <c r="E23" s="18">
        <v>1.8981481481481482E-3</v>
      </c>
      <c r="F23" s="18">
        <v>8.1018518518518516E-4</v>
      </c>
      <c r="G23" s="17">
        <f t="shared" ref="G23:G28" si="7">AVERAGE(B23:F23)</f>
        <v>1.9444444444444444E-3</v>
      </c>
      <c r="H23" s="29">
        <f t="shared" si="4"/>
        <v>1.6203703703703703E-3</v>
      </c>
      <c r="I23" s="29">
        <f t="shared" si="5"/>
        <v>3.7847222222222223E-3</v>
      </c>
      <c r="J23" s="29">
        <f t="shared" si="6"/>
        <v>8.6342592592592599E-3</v>
      </c>
    </row>
    <row r="24" spans="1:12" x14ac:dyDescent="0.25">
      <c r="A24" s="22" t="s">
        <v>18</v>
      </c>
      <c r="B24" s="18">
        <v>9.7222222222222209E-4</v>
      </c>
      <c r="C24" s="18">
        <v>1.9328703703703704E-3</v>
      </c>
      <c r="D24" s="18">
        <v>4.2476851851851851E-3</v>
      </c>
      <c r="E24" s="18">
        <v>1.8981481481481482E-3</v>
      </c>
      <c r="F24" s="18">
        <v>8.3333333333333339E-4</v>
      </c>
      <c r="G24" s="17">
        <f t="shared" si="7"/>
        <v>1.976851851851852E-3</v>
      </c>
      <c r="H24" s="29">
        <f t="shared" si="4"/>
        <v>1.8055555555555555E-3</v>
      </c>
      <c r="I24" s="29">
        <f t="shared" si="5"/>
        <v>3.8310185185185183E-3</v>
      </c>
      <c r="J24" s="29">
        <f t="shared" si="6"/>
        <v>8.4953703703703701E-3</v>
      </c>
    </row>
    <row r="25" spans="1:12" x14ac:dyDescent="0.25">
      <c r="A25" s="22" t="s">
        <v>53</v>
      </c>
      <c r="B25" s="18">
        <v>9.0277777777777784E-4</v>
      </c>
      <c r="C25" s="18">
        <v>1.9675925925925928E-3</v>
      </c>
      <c r="D25" s="18">
        <v>4.31712962962963E-3</v>
      </c>
      <c r="E25" s="18">
        <v>1.9097222222222222E-3</v>
      </c>
      <c r="F25" s="18">
        <v>8.449074074074075E-4</v>
      </c>
      <c r="G25" s="17">
        <f t="shared" si="7"/>
        <v>1.988425925925926E-3</v>
      </c>
      <c r="H25" s="29">
        <f t="shared" si="4"/>
        <v>1.7476851851851855E-3</v>
      </c>
      <c r="I25" s="29">
        <f t="shared" si="5"/>
        <v>3.8773148148148152E-3</v>
      </c>
      <c r="J25" s="29">
        <f t="shared" si="6"/>
        <v>8.6342592592592599E-3</v>
      </c>
    </row>
    <row r="26" spans="1:12" x14ac:dyDescent="0.25">
      <c r="A26" s="16" t="s">
        <v>17</v>
      </c>
      <c r="B26" s="18">
        <v>8.7962962962962962E-4</v>
      </c>
      <c r="C26" s="18">
        <v>1.9791666666666668E-3</v>
      </c>
      <c r="D26" s="18">
        <v>4.3749999999999995E-3</v>
      </c>
      <c r="E26" s="18">
        <v>1.9675925925925928E-3</v>
      </c>
      <c r="F26" s="18">
        <v>8.6805555555555551E-4</v>
      </c>
      <c r="G26" s="17">
        <f t="shared" si="7"/>
        <v>2.0138888888888888E-3</v>
      </c>
      <c r="H26" s="29">
        <f t="shared" si="4"/>
        <v>1.747685185185185E-3</v>
      </c>
      <c r="I26" s="29">
        <f t="shared" si="5"/>
        <v>3.9467592592592592E-3</v>
      </c>
      <c r="J26" s="29">
        <f t="shared" si="6"/>
        <v>8.7499999999999991E-3</v>
      </c>
    </row>
    <row r="27" spans="1:12" x14ac:dyDescent="0.25">
      <c r="A27" s="22" t="s">
        <v>24</v>
      </c>
      <c r="B27" s="18">
        <v>9.6064814814814808E-4</v>
      </c>
      <c r="C27" s="18">
        <v>2.0370370370370373E-3</v>
      </c>
      <c r="D27" s="18">
        <v>4.386574074074074E-3</v>
      </c>
      <c r="E27" s="18">
        <v>1.9907407407407408E-3</v>
      </c>
      <c r="F27" s="18">
        <v>8.6805555555555551E-4</v>
      </c>
      <c r="G27" s="17">
        <f t="shared" si="7"/>
        <v>2.0486111111111113E-3</v>
      </c>
      <c r="H27" s="29">
        <f t="shared" si="4"/>
        <v>1.8287037037037035E-3</v>
      </c>
      <c r="I27" s="29">
        <f t="shared" si="5"/>
        <v>4.0277777777777777E-3</v>
      </c>
      <c r="J27" s="29">
        <f t="shared" si="6"/>
        <v>8.773148148148148E-3</v>
      </c>
      <c r="L27" s="21"/>
    </row>
    <row r="28" spans="1:12" x14ac:dyDescent="0.25">
      <c r="A28" s="22" t="s">
        <v>20</v>
      </c>
      <c r="B28" s="18">
        <v>9.4907407407407408E-4</v>
      </c>
      <c r="C28" s="18">
        <v>2.0254629629629629E-3</v>
      </c>
      <c r="D28" s="18">
        <v>4.5138888888888893E-3</v>
      </c>
      <c r="E28" s="18">
        <v>2.0023148148148148E-3</v>
      </c>
      <c r="F28" s="18">
        <v>9.2592592592592585E-4</v>
      </c>
      <c r="G28" s="17">
        <f t="shared" si="7"/>
        <v>2.0833333333333333E-3</v>
      </c>
      <c r="H28" s="29">
        <f t="shared" si="4"/>
        <v>1.8749999999999999E-3</v>
      </c>
      <c r="I28" s="29">
        <f t="shared" si="5"/>
        <v>4.0277777777777777E-3</v>
      </c>
      <c r="J28" s="29">
        <f t="shared" si="6"/>
        <v>9.0277777777777787E-3</v>
      </c>
      <c r="L28" s="21"/>
    </row>
    <row r="29" spans="1:12" x14ac:dyDescent="0.25">
      <c r="A29" s="16" t="s">
        <v>63</v>
      </c>
      <c r="B29" s="18">
        <v>7.291666666666667E-4</v>
      </c>
      <c r="C29" s="18">
        <v>1.9097222222222222E-3</v>
      </c>
      <c r="D29" s="18">
        <v>4.4791666666666669E-3</v>
      </c>
      <c r="E29" s="18">
        <v>1.9444444444444442E-3</v>
      </c>
      <c r="F29" s="18" t="s">
        <v>31</v>
      </c>
      <c r="H29" s="29"/>
      <c r="I29" s="29">
        <f t="shared" si="5"/>
        <v>3.8541666666666663E-3</v>
      </c>
      <c r="J29" s="29">
        <f t="shared" si="6"/>
        <v>8.9583333333333338E-3</v>
      </c>
      <c r="L29" s="21"/>
    </row>
    <row r="30" spans="1:12" ht="15.75" thickBot="1" x14ac:dyDescent="0.3">
      <c r="A30" s="59" t="s">
        <v>66</v>
      </c>
      <c r="B30" s="59"/>
      <c r="C30" s="59"/>
      <c r="D30" s="59"/>
      <c r="E30" s="59"/>
      <c r="F30" s="59"/>
      <c r="G30" s="59"/>
      <c r="H30" s="59"/>
      <c r="I30" s="59"/>
      <c r="J30" s="59"/>
      <c r="L30" s="21"/>
    </row>
    <row r="31" spans="1:12" ht="15.75" thickTop="1" x14ac:dyDescent="0.25">
      <c r="A31" s="22" t="s">
        <v>25</v>
      </c>
      <c r="B31" s="18">
        <v>1.0069444444444444E-3</v>
      </c>
      <c r="C31" s="18">
        <v>2.2222222222222222E-3</v>
      </c>
      <c r="D31" s="18">
        <v>4.6643518518518518E-3</v>
      </c>
      <c r="E31" s="18">
        <v>2.1296296296296298E-3</v>
      </c>
      <c r="F31" s="18">
        <v>9.1435185185185185E-4</v>
      </c>
      <c r="G31" s="17">
        <f>AVERAGE(B31:F31)</f>
        <v>2.1875000000000002E-3</v>
      </c>
      <c r="H31" s="29">
        <f>B31+F31</f>
        <v>1.9212962962962964E-3</v>
      </c>
      <c r="I31" s="29">
        <f>C31+E31</f>
        <v>4.3518518518518515E-3</v>
      </c>
      <c r="J31" s="29">
        <f>D31*2</f>
        <v>9.3287037037037036E-3</v>
      </c>
    </row>
    <row r="32" spans="1:12" x14ac:dyDescent="0.25">
      <c r="A32" s="22" t="s">
        <v>26</v>
      </c>
      <c r="B32" s="18">
        <v>1.0416666666666667E-3</v>
      </c>
      <c r="C32" s="18">
        <v>2.2685185185185182E-3</v>
      </c>
      <c r="D32" s="18">
        <v>4.9768518518518521E-3</v>
      </c>
      <c r="E32" s="18">
        <v>2.2685185185185182E-3</v>
      </c>
      <c r="F32" s="18">
        <v>1.0185185185185186E-3</v>
      </c>
      <c r="G32" s="17">
        <f>AVERAGE(B32:F32)</f>
        <v>2.3148148148148151E-3</v>
      </c>
      <c r="H32" s="29">
        <f>B32+F32</f>
        <v>2.0601851851851853E-3</v>
      </c>
      <c r="I32" s="29">
        <f>C32+E32</f>
        <v>4.5370370370370365E-3</v>
      </c>
      <c r="J32" s="29">
        <f>D32*2</f>
        <v>9.9537037037037042E-3</v>
      </c>
    </row>
    <row r="33" spans="1:10" x14ac:dyDescent="0.25">
      <c r="A33" s="22" t="s">
        <v>23</v>
      </c>
      <c r="B33" s="18">
        <v>1.0069444444444444E-3</v>
      </c>
      <c r="C33" s="18">
        <v>2.2453703703703702E-3</v>
      </c>
      <c r="D33" s="18">
        <v>5.0810185185185186E-3</v>
      </c>
      <c r="E33" s="18">
        <v>2.2453703703703702E-3</v>
      </c>
      <c r="F33" s="18">
        <v>1.0532407407407407E-3</v>
      </c>
      <c r="G33" s="17">
        <f>AVERAGE(B33:F33)</f>
        <v>2.3263888888888887E-3</v>
      </c>
      <c r="H33" s="29">
        <f>B33+F33</f>
        <v>2.0601851851851849E-3</v>
      </c>
      <c r="I33" s="29">
        <f>C33+E33</f>
        <v>4.4907407407407405E-3</v>
      </c>
      <c r="J33" s="29">
        <f>D33*2</f>
        <v>1.0162037037037037E-2</v>
      </c>
    </row>
    <row r="34" spans="1:10" ht="15.75" thickBot="1" x14ac:dyDescent="0.3">
      <c r="A34" s="59" t="s">
        <v>67</v>
      </c>
      <c r="B34" s="59"/>
      <c r="C34" s="59"/>
      <c r="D34" s="59"/>
      <c r="E34" s="59"/>
      <c r="F34" s="59"/>
      <c r="G34" s="59"/>
      <c r="H34" s="59"/>
      <c r="I34" s="59"/>
      <c r="J34" s="59"/>
    </row>
    <row r="35" spans="1:10" ht="15.75" thickTop="1" x14ac:dyDescent="0.25">
      <c r="A35" s="22" t="s">
        <v>43</v>
      </c>
      <c r="B35" s="24">
        <v>1.0763888888888889E-3</v>
      </c>
      <c r="C35" s="24">
        <v>2.3958333333333336E-3</v>
      </c>
      <c r="D35" s="24">
        <v>5.2662037037037035E-3</v>
      </c>
      <c r="E35" s="24">
        <v>2.4421296296296296E-3</v>
      </c>
      <c r="F35" s="24" t="s">
        <v>31</v>
      </c>
      <c r="H35" s="29">
        <f t="shared" ref="H35:H40" si="8">B35*2</f>
        <v>2.1527777777777778E-3</v>
      </c>
      <c r="I35" s="29">
        <f t="shared" ref="I35:I40" si="9">C35+E35</f>
        <v>4.8379629629629632E-3</v>
      </c>
      <c r="J35" s="29">
        <f>D35*2</f>
        <v>1.0532407407407407E-2</v>
      </c>
    </row>
    <row r="36" spans="1:10" x14ac:dyDescent="0.25">
      <c r="A36" s="22" t="s">
        <v>44</v>
      </c>
      <c r="B36" s="24">
        <v>1.0995370370370371E-3</v>
      </c>
      <c r="C36" s="24">
        <v>2.4305555555555556E-3</v>
      </c>
      <c r="D36" s="24">
        <v>5.4398148148148149E-3</v>
      </c>
      <c r="E36" s="24">
        <v>2.5347222222222221E-3</v>
      </c>
      <c r="F36" s="24" t="s">
        <v>31</v>
      </c>
      <c r="H36" s="29">
        <f t="shared" si="8"/>
        <v>2.1990740740740742E-3</v>
      </c>
      <c r="I36" s="29">
        <f t="shared" si="9"/>
        <v>4.9652777777777777E-3</v>
      </c>
      <c r="J36" s="29">
        <f>D36*2</f>
        <v>1.087962962962963E-2</v>
      </c>
    </row>
    <row r="37" spans="1:10" x14ac:dyDescent="0.25">
      <c r="A37" s="22" t="s">
        <v>27</v>
      </c>
      <c r="B37" s="24">
        <v>1.1342592592592591E-3</v>
      </c>
      <c r="C37" s="24">
        <v>2.4421296296296296E-3</v>
      </c>
      <c r="D37" s="24">
        <v>5.4976851851851853E-3</v>
      </c>
      <c r="E37" s="24">
        <v>2.6041666666666665E-3</v>
      </c>
      <c r="F37" s="24" t="s">
        <v>31</v>
      </c>
      <c r="H37" s="29">
        <f t="shared" si="8"/>
        <v>2.2685185185185182E-3</v>
      </c>
      <c r="I37" s="29">
        <f t="shared" si="9"/>
        <v>5.0462962962962961E-3</v>
      </c>
      <c r="J37" s="29">
        <f>D37*2</f>
        <v>1.0995370370370371E-2</v>
      </c>
    </row>
    <row r="38" spans="1:10" x14ac:dyDescent="0.25">
      <c r="A38" s="22" t="s">
        <v>48</v>
      </c>
      <c r="B38" s="24">
        <v>1.1226851851851851E-3</v>
      </c>
      <c r="C38" s="24">
        <v>2.6041666666666665E-3</v>
      </c>
      <c r="D38" s="24">
        <v>6.0185185185185177E-3</v>
      </c>
      <c r="E38" s="24">
        <v>2.7893518518518519E-3</v>
      </c>
      <c r="F38" s="24" t="s">
        <v>31</v>
      </c>
      <c r="H38" s="29">
        <f t="shared" si="8"/>
        <v>2.2453703703703702E-3</v>
      </c>
      <c r="I38" s="29">
        <f t="shared" si="9"/>
        <v>5.393518518518518E-3</v>
      </c>
      <c r="J38" s="29">
        <f>D38*2</f>
        <v>1.2037037037037035E-2</v>
      </c>
    </row>
    <row r="39" spans="1:10" x14ac:dyDescent="0.25">
      <c r="A39" s="22" t="s">
        <v>54</v>
      </c>
      <c r="B39" s="24">
        <v>1.1689814814814816E-3</v>
      </c>
      <c r="C39" s="24">
        <v>2.8240740740740739E-3</v>
      </c>
      <c r="D39" s="24" t="s">
        <v>31</v>
      </c>
      <c r="E39" s="24">
        <v>3.0324074074074073E-3</v>
      </c>
      <c r="F39" s="24" t="s">
        <v>31</v>
      </c>
      <c r="H39" s="29">
        <f t="shared" si="8"/>
        <v>2.3379629629629631E-3</v>
      </c>
      <c r="I39" s="29">
        <f t="shared" si="9"/>
        <v>5.8564814814814816E-3</v>
      </c>
      <c r="J39" s="29"/>
    </row>
    <row r="40" spans="1:10" x14ac:dyDescent="0.25">
      <c r="A40" s="22" t="s">
        <v>68</v>
      </c>
      <c r="B40" s="24">
        <v>1.2152777777777778E-3</v>
      </c>
      <c r="C40" s="24">
        <v>2.9398148148148148E-3</v>
      </c>
      <c r="D40" s="24" t="s">
        <v>31</v>
      </c>
      <c r="E40" s="24">
        <v>3.1597222222222222E-3</v>
      </c>
      <c r="F40" s="24" t="s">
        <v>31</v>
      </c>
      <c r="H40" s="29">
        <f t="shared" si="8"/>
        <v>2.4305555555555556E-3</v>
      </c>
      <c r="I40" s="29">
        <f t="shared" si="9"/>
        <v>6.099537037037037E-3</v>
      </c>
      <c r="J40" s="29"/>
    </row>
  </sheetData>
  <sortState ref="A4:H20">
    <sortCondition ref="G4:G20"/>
  </sortState>
  <mergeCells count="6">
    <mergeCell ref="A34:J34"/>
    <mergeCell ref="H2:J2"/>
    <mergeCell ref="A1:J1"/>
    <mergeCell ref="A3:J3"/>
    <mergeCell ref="A21:J21"/>
    <mergeCell ref="A30:J30"/>
  </mergeCells>
  <printOptions horizontalCentered="1" verticalCentered="1" gridLines="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opLeftCell="A31" workbookViewId="0">
      <selection activeCell="M44" sqref="A1:M44"/>
    </sheetView>
  </sheetViews>
  <sheetFormatPr defaultRowHeight="15" x14ac:dyDescent="0.25"/>
  <cols>
    <col min="1" max="1" width="18" style="16" bestFit="1" customWidth="1"/>
    <col min="2" max="11" width="4.5703125" style="18" bestFit="1" customWidth="1"/>
    <col min="12" max="12" width="5" style="17" bestFit="1" customWidth="1"/>
    <col min="13" max="13" width="6.7109375" style="17" bestFit="1" customWidth="1"/>
  </cols>
  <sheetData>
    <row r="1" spans="1:13" x14ac:dyDescent="0.25">
      <c r="A1" s="64">
        <v>40980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 s="28" customFormat="1" ht="15.75" thickBot="1" x14ac:dyDescent="0.3">
      <c r="A2" s="25"/>
      <c r="B2" s="36">
        <v>1</v>
      </c>
      <c r="C2" s="36">
        <v>2</v>
      </c>
      <c r="D2" s="36">
        <v>3</v>
      </c>
      <c r="E2" s="36">
        <v>4</v>
      </c>
      <c r="F2" s="36">
        <v>5</v>
      </c>
      <c r="G2" s="36">
        <v>6</v>
      </c>
      <c r="H2" s="36">
        <v>7</v>
      </c>
      <c r="I2" s="36">
        <v>8</v>
      </c>
      <c r="J2" s="36">
        <v>9</v>
      </c>
      <c r="K2" s="36">
        <v>10</v>
      </c>
      <c r="L2" s="27" t="s">
        <v>28</v>
      </c>
      <c r="M2" s="27" t="s">
        <v>73</v>
      </c>
    </row>
    <row r="3" spans="1:13" ht="16.5" thickTop="1" thickBot="1" x14ac:dyDescent="0.3">
      <c r="A3" s="58" t="s">
        <v>64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</row>
    <row r="4" spans="1:13" ht="15.75" thickTop="1" x14ac:dyDescent="0.25">
      <c r="A4" s="16" t="s">
        <v>2</v>
      </c>
      <c r="B4" s="18">
        <v>7.7546296296296304E-4</v>
      </c>
      <c r="C4" s="18">
        <v>7.7546296296296304E-4</v>
      </c>
      <c r="D4" s="18">
        <v>7.7546296296296304E-4</v>
      </c>
      <c r="E4" s="18">
        <v>7.7546296296296304E-4</v>
      </c>
      <c r="F4" s="18">
        <v>7.7546296296296304E-4</v>
      </c>
      <c r="G4" s="18">
        <v>7.6388888888888893E-4</v>
      </c>
      <c r="H4" s="18">
        <v>7.6388888888888893E-4</v>
      </c>
      <c r="I4" s="18">
        <v>7.6388888888888893E-4</v>
      </c>
      <c r="J4" s="18">
        <v>7.6388888888888893E-4</v>
      </c>
      <c r="K4" s="18">
        <v>7.5231481481481471E-4</v>
      </c>
      <c r="L4" s="17">
        <f t="shared" ref="L4:L15" si="0">AVERAGE(B4:K4)</f>
        <v>7.6851851851851842E-4</v>
      </c>
      <c r="M4" s="17">
        <f t="shared" ref="M4:M15" si="1">L4*4</f>
        <v>3.0740740740740737E-3</v>
      </c>
    </row>
    <row r="5" spans="1:13" x14ac:dyDescent="0.25">
      <c r="A5" s="16" t="s">
        <v>3</v>
      </c>
      <c r="B5" s="18">
        <v>7.6388888888888893E-4</v>
      </c>
      <c r="C5" s="18">
        <v>7.7546296296296304E-4</v>
      </c>
      <c r="D5" s="18">
        <v>7.7546296296296304E-4</v>
      </c>
      <c r="E5" s="18">
        <v>7.7546296296296304E-4</v>
      </c>
      <c r="F5" s="18">
        <v>7.8703703703703705E-4</v>
      </c>
      <c r="G5" s="18">
        <v>7.6388888888888893E-4</v>
      </c>
      <c r="H5" s="18">
        <v>7.7546296296296304E-4</v>
      </c>
      <c r="I5" s="18">
        <v>7.6388888888888893E-4</v>
      </c>
      <c r="J5" s="18">
        <v>7.8703703703703705E-4</v>
      </c>
      <c r="K5" s="18">
        <v>7.8703703703703705E-4</v>
      </c>
      <c r="L5" s="17">
        <f t="shared" si="0"/>
        <v>7.7546296296296304E-4</v>
      </c>
      <c r="M5" s="17">
        <f t="shared" si="1"/>
        <v>3.1018518518518522E-3</v>
      </c>
    </row>
    <row r="6" spans="1:13" x14ac:dyDescent="0.25">
      <c r="A6" s="16" t="s">
        <v>7</v>
      </c>
      <c r="B6" s="18">
        <v>7.7546296296296304E-4</v>
      </c>
      <c r="C6" s="18">
        <v>7.7546296296296304E-4</v>
      </c>
      <c r="D6" s="18">
        <v>7.7546296296296304E-4</v>
      </c>
      <c r="E6" s="18">
        <v>7.8703703703703705E-4</v>
      </c>
      <c r="F6" s="18">
        <v>7.8703703703703705E-4</v>
      </c>
      <c r="G6" s="18">
        <v>7.7546296296296304E-4</v>
      </c>
      <c r="H6" s="18">
        <v>7.7546296296296304E-4</v>
      </c>
      <c r="I6" s="18">
        <v>7.6388888888888893E-4</v>
      </c>
      <c r="J6" s="18">
        <v>7.7546296296296304E-4</v>
      </c>
      <c r="K6" s="18">
        <v>7.7546296296296304E-4</v>
      </c>
      <c r="L6" s="17">
        <f t="shared" si="0"/>
        <v>7.7662037037037044E-4</v>
      </c>
      <c r="M6" s="17">
        <f t="shared" si="1"/>
        <v>3.1064814814814818E-3</v>
      </c>
    </row>
    <row r="7" spans="1:13" x14ac:dyDescent="0.25">
      <c r="A7" s="16" t="s">
        <v>51</v>
      </c>
      <c r="B7" s="18">
        <v>7.6388888888888893E-4</v>
      </c>
      <c r="C7" s="18">
        <v>7.7546296296296304E-4</v>
      </c>
      <c r="D7" s="18">
        <v>7.9861111111111105E-4</v>
      </c>
      <c r="E7" s="18">
        <v>7.8703703703703705E-4</v>
      </c>
      <c r="F7" s="18">
        <v>7.8703703703703705E-4</v>
      </c>
      <c r="G7" s="18">
        <v>7.8703703703703705E-4</v>
      </c>
      <c r="H7" s="18">
        <v>7.8703703703703705E-4</v>
      </c>
      <c r="I7" s="18">
        <v>7.9861111111111105E-4</v>
      </c>
      <c r="J7" s="18">
        <v>7.8703703703703705E-4</v>
      </c>
      <c r="K7" s="18">
        <v>7.9861111111111105E-4</v>
      </c>
      <c r="L7" s="17">
        <f t="shared" si="0"/>
        <v>7.8703703703703715E-4</v>
      </c>
      <c r="M7" s="17">
        <f t="shared" si="1"/>
        <v>3.1481481481481486E-3</v>
      </c>
    </row>
    <row r="8" spans="1:13" x14ac:dyDescent="0.25">
      <c r="A8" s="16" t="s">
        <v>12</v>
      </c>
      <c r="B8" s="18">
        <v>7.6388888888888893E-4</v>
      </c>
      <c r="C8" s="18">
        <v>7.5231481481481471E-4</v>
      </c>
      <c r="D8" s="18">
        <v>7.5231481481481471E-4</v>
      </c>
      <c r="E8" s="18">
        <v>7.7546296296296304E-4</v>
      </c>
      <c r="F8" s="18">
        <v>7.7546296296296304E-4</v>
      </c>
      <c r="G8" s="18">
        <v>7.7546296296296304E-4</v>
      </c>
      <c r="H8" s="18">
        <v>8.3333333333333339E-4</v>
      </c>
      <c r="I8" s="18">
        <v>8.2175925925925917E-4</v>
      </c>
      <c r="J8" s="18">
        <v>8.3333333333333339E-4</v>
      </c>
      <c r="K8" s="18">
        <v>7.9861111111111105E-4</v>
      </c>
      <c r="L8" s="17">
        <f t="shared" si="0"/>
        <v>7.8819444444444445E-4</v>
      </c>
      <c r="M8" s="17">
        <f t="shared" si="1"/>
        <v>3.1527777777777778E-3</v>
      </c>
    </row>
    <row r="9" spans="1:13" x14ac:dyDescent="0.25">
      <c r="A9" s="16" t="s">
        <v>50</v>
      </c>
      <c r="B9" s="18">
        <v>7.6388888888888893E-4</v>
      </c>
      <c r="C9" s="18">
        <v>7.7546296296296304E-4</v>
      </c>
      <c r="D9" s="18">
        <v>7.8703703703703705E-4</v>
      </c>
      <c r="E9" s="18">
        <v>7.8703703703703705E-4</v>
      </c>
      <c r="F9" s="18">
        <v>7.9861111111111105E-4</v>
      </c>
      <c r="G9" s="18">
        <v>7.9861111111111105E-4</v>
      </c>
      <c r="H9" s="18">
        <v>7.7546296296296304E-4</v>
      </c>
      <c r="I9" s="18">
        <v>8.2175925925925917E-4</v>
      </c>
      <c r="J9" s="18">
        <v>8.2175925925925917E-4</v>
      </c>
      <c r="K9" s="18">
        <v>8.1018518518518516E-4</v>
      </c>
      <c r="L9" s="17">
        <f t="shared" si="0"/>
        <v>7.9398148148148145E-4</v>
      </c>
      <c r="M9" s="17">
        <f t="shared" si="1"/>
        <v>3.1759259259259258E-3</v>
      </c>
    </row>
    <row r="10" spans="1:13" x14ac:dyDescent="0.25">
      <c r="A10" s="16" t="s">
        <v>4</v>
      </c>
      <c r="B10" s="18">
        <v>7.7546296296296304E-4</v>
      </c>
      <c r="C10" s="18">
        <v>7.7546296296296304E-4</v>
      </c>
      <c r="D10" s="18">
        <v>7.7546296296296304E-4</v>
      </c>
      <c r="E10" s="18">
        <v>7.8703703703703705E-4</v>
      </c>
      <c r="F10" s="18">
        <v>7.8703703703703705E-4</v>
      </c>
      <c r="G10" s="18">
        <v>8.1018518518518516E-4</v>
      </c>
      <c r="H10" s="18">
        <v>8.1018518518518516E-4</v>
      </c>
      <c r="I10" s="18">
        <v>8.1018518518518516E-4</v>
      </c>
      <c r="J10" s="18">
        <v>8.2175925925925917E-4</v>
      </c>
      <c r="K10" s="18">
        <v>7.8703703703703705E-4</v>
      </c>
      <c r="L10" s="17">
        <f t="shared" si="0"/>
        <v>7.9398148148148166E-4</v>
      </c>
      <c r="M10" s="17">
        <f t="shared" si="1"/>
        <v>3.1759259259259267E-3</v>
      </c>
    </row>
    <row r="11" spans="1:13" x14ac:dyDescent="0.25">
      <c r="A11" s="16" t="s">
        <v>5</v>
      </c>
      <c r="B11" s="18">
        <v>7.7546296296296304E-4</v>
      </c>
      <c r="C11" s="18">
        <v>7.8703703703703705E-4</v>
      </c>
      <c r="D11" s="18">
        <v>7.8703703703703705E-4</v>
      </c>
      <c r="E11" s="18">
        <v>7.8703703703703705E-4</v>
      </c>
      <c r="F11" s="18">
        <v>7.9861111111111105E-4</v>
      </c>
      <c r="G11" s="18">
        <v>7.9861111111111105E-4</v>
      </c>
      <c r="H11" s="18">
        <v>8.2175925925925917E-4</v>
      </c>
      <c r="I11" s="18">
        <v>8.1018518518518516E-4</v>
      </c>
      <c r="J11" s="18">
        <v>8.1018518518518516E-4</v>
      </c>
      <c r="K11" s="18">
        <v>7.8703703703703705E-4</v>
      </c>
      <c r="L11" s="17">
        <f t="shared" si="0"/>
        <v>7.9629629629629636E-4</v>
      </c>
      <c r="M11" s="17">
        <f t="shared" si="1"/>
        <v>3.1851851851851854E-3</v>
      </c>
    </row>
    <row r="12" spans="1:13" x14ac:dyDescent="0.25">
      <c r="A12" s="16" t="s">
        <v>49</v>
      </c>
      <c r="B12" s="18">
        <v>7.6388888888888893E-4</v>
      </c>
      <c r="C12" s="18">
        <v>7.7546296296296304E-4</v>
      </c>
      <c r="D12" s="18">
        <v>7.7546296296296304E-4</v>
      </c>
      <c r="E12" s="18">
        <v>7.8703703703703705E-4</v>
      </c>
      <c r="F12" s="18">
        <v>7.9861111111111105E-4</v>
      </c>
      <c r="G12" s="18">
        <v>7.9861111111111105E-4</v>
      </c>
      <c r="H12" s="18">
        <v>8.1018518518518516E-4</v>
      </c>
      <c r="I12" s="18">
        <v>8.2175925925925917E-4</v>
      </c>
      <c r="J12" s="18">
        <v>8.3333333333333339E-4</v>
      </c>
      <c r="K12" s="18">
        <v>8.1018518518518516E-4</v>
      </c>
      <c r="L12" s="17">
        <f t="shared" si="0"/>
        <v>7.9745370370370365E-4</v>
      </c>
      <c r="M12" s="17">
        <f t="shared" si="1"/>
        <v>3.1898148148148146E-3</v>
      </c>
    </row>
    <row r="13" spans="1:13" x14ac:dyDescent="0.25">
      <c r="A13" s="16" t="s">
        <v>0</v>
      </c>
      <c r="B13" s="18">
        <v>7.6388888888888893E-4</v>
      </c>
      <c r="C13" s="18">
        <v>7.7546296296296304E-4</v>
      </c>
      <c r="D13" s="18">
        <v>7.7546296296296304E-4</v>
      </c>
      <c r="E13" s="18">
        <v>7.9861111111111105E-4</v>
      </c>
      <c r="F13" s="18">
        <v>8.449074074074075E-4</v>
      </c>
      <c r="G13" s="18">
        <v>8.1018518518518516E-4</v>
      </c>
      <c r="H13" s="18">
        <v>8.1018518518518516E-4</v>
      </c>
      <c r="I13" s="18">
        <v>8.2175925925925917E-4</v>
      </c>
      <c r="J13" s="18">
        <v>7.8703703703703705E-4</v>
      </c>
      <c r="K13" s="18">
        <v>7.9861111111111105E-4</v>
      </c>
      <c r="L13" s="17">
        <f t="shared" si="0"/>
        <v>7.9861111111111127E-4</v>
      </c>
      <c r="M13" s="17">
        <f t="shared" si="1"/>
        <v>3.1944444444444451E-3</v>
      </c>
    </row>
    <row r="14" spans="1:13" x14ac:dyDescent="0.25">
      <c r="A14" s="16" t="s">
        <v>16</v>
      </c>
      <c r="B14" s="18">
        <v>7.8703703703703705E-4</v>
      </c>
      <c r="C14" s="18">
        <v>7.8703703703703705E-4</v>
      </c>
      <c r="D14" s="18">
        <v>7.8703703703703705E-4</v>
      </c>
      <c r="E14" s="18">
        <v>7.8703703703703705E-4</v>
      </c>
      <c r="F14" s="18">
        <v>7.9861111111111105E-4</v>
      </c>
      <c r="G14" s="18">
        <v>8.1018518518518516E-4</v>
      </c>
      <c r="H14" s="18">
        <v>8.3333333333333339E-4</v>
      </c>
      <c r="I14" s="18">
        <v>8.3333333333333339E-4</v>
      </c>
      <c r="J14" s="18">
        <v>8.449074074074075E-4</v>
      </c>
      <c r="K14" s="18">
        <v>8.1018518518518516E-4</v>
      </c>
      <c r="L14" s="17">
        <f t="shared" si="0"/>
        <v>8.0787037037037047E-4</v>
      </c>
      <c r="M14" s="17">
        <f t="shared" si="1"/>
        <v>3.2314814814814819E-3</v>
      </c>
    </row>
    <row r="15" spans="1:13" ht="15.75" thickBot="1" x14ac:dyDescent="0.3">
      <c r="A15" s="37" t="s">
        <v>39</v>
      </c>
      <c r="B15" s="40">
        <v>7.8703703703703705E-4</v>
      </c>
      <c r="C15" s="40">
        <v>7.8703703703703705E-4</v>
      </c>
      <c r="D15" s="40">
        <v>7.9861111111111105E-4</v>
      </c>
      <c r="E15" s="40">
        <v>7.9861111111111105E-4</v>
      </c>
      <c r="F15" s="40">
        <v>8.1018518518518516E-4</v>
      </c>
      <c r="G15" s="40">
        <v>7.9861111111111105E-4</v>
      </c>
      <c r="H15" s="40">
        <v>8.1018518518518516E-4</v>
      </c>
      <c r="I15" s="40">
        <v>8.3333333333333339E-4</v>
      </c>
      <c r="J15" s="40">
        <v>8.449074074074075E-4</v>
      </c>
      <c r="K15" s="40">
        <v>8.1018518518518516E-4</v>
      </c>
      <c r="L15" s="33">
        <f t="shared" si="0"/>
        <v>8.0787037037037047E-4</v>
      </c>
      <c r="M15" s="33">
        <f t="shared" si="1"/>
        <v>3.2314814814814819E-3</v>
      </c>
    </row>
    <row r="16" spans="1:13" ht="16.5" thickTop="1" thickBot="1" x14ac:dyDescent="0.3">
      <c r="A16" s="58" t="s">
        <v>65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</row>
    <row r="17" spans="1:13" ht="15.75" thickTop="1" x14ac:dyDescent="0.25">
      <c r="A17" s="16" t="s">
        <v>6</v>
      </c>
      <c r="B17" s="18">
        <v>7.5231481481481471E-4</v>
      </c>
      <c r="C17" s="18">
        <v>8.564814814814815E-4</v>
      </c>
      <c r="D17" s="18">
        <v>8.449074074074075E-4</v>
      </c>
      <c r="E17" s="18">
        <v>8.3333333333333339E-4</v>
      </c>
      <c r="F17" s="18">
        <v>8.449074074074075E-4</v>
      </c>
      <c r="G17" s="18">
        <v>8.3333333333333339E-4</v>
      </c>
      <c r="H17" s="18">
        <v>8.564814814814815E-4</v>
      </c>
      <c r="I17" s="18">
        <v>8.564814814814815E-4</v>
      </c>
      <c r="J17" s="18">
        <v>8.3333333333333339E-4</v>
      </c>
      <c r="K17" s="18">
        <v>8.3333333333333339E-4</v>
      </c>
      <c r="L17" s="17">
        <f t="shared" ref="L17:L22" si="2">AVERAGE(B17:K17)</f>
        <v>8.344907407407409E-4</v>
      </c>
      <c r="M17" s="17">
        <f t="shared" ref="M17:M22" si="3">L17*4</f>
        <v>3.3379629629629636E-3</v>
      </c>
    </row>
    <row r="18" spans="1:13" x14ac:dyDescent="0.25">
      <c r="A18" s="35" t="s">
        <v>8</v>
      </c>
      <c r="B18" s="32">
        <v>8.1018518518518516E-4</v>
      </c>
      <c r="C18" s="32">
        <v>8.564814814814815E-4</v>
      </c>
      <c r="D18" s="32">
        <v>8.449074074074075E-4</v>
      </c>
      <c r="E18" s="32">
        <v>8.449074074074075E-4</v>
      </c>
      <c r="F18" s="32">
        <v>8.449074074074075E-4</v>
      </c>
      <c r="G18" s="32">
        <v>8.3333333333333339E-4</v>
      </c>
      <c r="H18" s="32">
        <v>8.6805555555555551E-4</v>
      </c>
      <c r="I18" s="32">
        <v>8.6805555555555551E-4</v>
      </c>
      <c r="J18" s="32">
        <v>8.449074074074075E-4</v>
      </c>
      <c r="K18" s="32">
        <v>8.3333333333333339E-4</v>
      </c>
      <c r="L18" s="9">
        <f t="shared" si="2"/>
        <v>8.4490740740740739E-4</v>
      </c>
      <c r="M18" s="9">
        <f t="shared" si="3"/>
        <v>3.3796296296296296E-3</v>
      </c>
    </row>
    <row r="19" spans="1:13" x14ac:dyDescent="0.25">
      <c r="A19" s="35" t="s">
        <v>14</v>
      </c>
      <c r="B19" s="32">
        <v>8.1018518518518516E-4</v>
      </c>
      <c r="C19" s="32">
        <v>8.6805555555555551E-4</v>
      </c>
      <c r="D19" s="32">
        <v>8.6805555555555551E-4</v>
      </c>
      <c r="E19" s="32">
        <v>8.564814814814815E-4</v>
      </c>
      <c r="F19" s="32">
        <v>8.6805555555555551E-4</v>
      </c>
      <c r="G19" s="32">
        <v>8.564814814814815E-4</v>
      </c>
      <c r="H19" s="32">
        <v>8.7962962962962962E-4</v>
      </c>
      <c r="I19" s="32">
        <v>8.7962962962962962E-4</v>
      </c>
      <c r="J19" s="32">
        <v>8.9120370370370362E-4</v>
      </c>
      <c r="K19" s="32">
        <v>8.564814814814815E-4</v>
      </c>
      <c r="L19" s="17">
        <f t="shared" si="2"/>
        <v>8.634259259259258E-4</v>
      </c>
      <c r="M19" s="9">
        <f t="shared" si="3"/>
        <v>3.4537037037037032E-3</v>
      </c>
    </row>
    <row r="20" spans="1:13" x14ac:dyDescent="0.25">
      <c r="A20" s="16" t="s">
        <v>40</v>
      </c>
      <c r="B20" s="18">
        <v>7.9861111111111105E-4</v>
      </c>
      <c r="C20" s="18">
        <v>8.7962962962962962E-4</v>
      </c>
      <c r="D20" s="18">
        <v>8.6805555555555551E-4</v>
      </c>
      <c r="E20" s="18">
        <v>8.564814814814815E-4</v>
      </c>
      <c r="F20" s="18">
        <v>8.6805555555555551E-4</v>
      </c>
      <c r="G20" s="18">
        <v>8.564814814814815E-4</v>
      </c>
      <c r="H20" s="18">
        <v>8.7962962962962962E-4</v>
      </c>
      <c r="I20" s="18">
        <v>8.7962962962962962E-4</v>
      </c>
      <c r="J20" s="18">
        <v>8.9120370370370362E-4</v>
      </c>
      <c r="K20" s="18">
        <v>8.6805555555555551E-4</v>
      </c>
      <c r="L20" s="17">
        <f t="shared" si="2"/>
        <v>8.6458333333333331E-4</v>
      </c>
      <c r="M20" s="17">
        <f t="shared" si="3"/>
        <v>3.4583333333333332E-3</v>
      </c>
    </row>
    <row r="21" spans="1:13" x14ac:dyDescent="0.25">
      <c r="A21" s="35" t="s">
        <v>13</v>
      </c>
      <c r="B21" s="32">
        <v>7.8703703703703705E-4</v>
      </c>
      <c r="C21" s="32">
        <v>8.7962962962962962E-4</v>
      </c>
      <c r="D21" s="32">
        <v>9.0277777777777784E-4</v>
      </c>
      <c r="E21" s="32">
        <v>8.7962962962962962E-4</v>
      </c>
      <c r="F21" s="32">
        <v>9.3750000000000007E-4</v>
      </c>
      <c r="G21" s="32">
        <v>8.6805555555555551E-4</v>
      </c>
      <c r="H21" s="32">
        <v>9.4907407407407408E-4</v>
      </c>
      <c r="I21" s="32">
        <v>9.0277777777777784E-4</v>
      </c>
      <c r="J21" s="32">
        <v>9.4907407407407408E-4</v>
      </c>
      <c r="K21" s="32">
        <v>7.9861111111111105E-4</v>
      </c>
      <c r="L21" s="9">
        <f t="shared" si="2"/>
        <v>8.8541666666666662E-4</v>
      </c>
      <c r="M21" s="9">
        <f t="shared" si="3"/>
        <v>3.5416666666666665E-3</v>
      </c>
    </row>
    <row r="22" spans="1:13" ht="15.75" thickBot="1" x14ac:dyDescent="0.3">
      <c r="A22" s="37" t="s">
        <v>41</v>
      </c>
      <c r="B22" s="40">
        <v>8.1018518518518516E-4</v>
      </c>
      <c r="C22" s="40">
        <v>8.7962962962962962E-4</v>
      </c>
      <c r="D22" s="40">
        <v>8.9120370370370362E-4</v>
      </c>
      <c r="E22" s="40">
        <v>8.6805555555555551E-4</v>
      </c>
      <c r="F22" s="40">
        <v>8.9120370370370362E-4</v>
      </c>
      <c r="G22" s="40">
        <v>8.6805555555555551E-4</v>
      </c>
      <c r="H22" s="40">
        <v>9.0277777777777784E-4</v>
      </c>
      <c r="I22" s="40">
        <v>9.0277777777777784E-4</v>
      </c>
      <c r="J22" s="40">
        <v>9.2592592592592585E-4</v>
      </c>
      <c r="K22" s="40">
        <v>9.1435185185185185E-4</v>
      </c>
      <c r="L22" s="17">
        <f t="shared" si="2"/>
        <v>8.8541666666666662E-4</v>
      </c>
      <c r="M22" s="33">
        <f t="shared" si="3"/>
        <v>3.5416666666666665E-3</v>
      </c>
    </row>
    <row r="23" spans="1:13" ht="16.5" thickTop="1" thickBot="1" x14ac:dyDescent="0.3">
      <c r="A23" s="57" t="s">
        <v>66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</row>
    <row r="24" spans="1:13" ht="15.75" thickTop="1" x14ac:dyDescent="0.25">
      <c r="A24" s="16" t="s">
        <v>17</v>
      </c>
      <c r="B24" s="18">
        <v>7.8703703703703705E-4</v>
      </c>
      <c r="C24" s="18">
        <v>9.0277777777777784E-4</v>
      </c>
      <c r="D24" s="18">
        <v>8.9120370370370362E-4</v>
      </c>
      <c r="E24" s="18">
        <v>9.1435185185185185E-4</v>
      </c>
      <c r="F24" s="18">
        <v>9.3750000000000007E-4</v>
      </c>
      <c r="G24" s="18">
        <v>9.3750000000000007E-4</v>
      </c>
      <c r="H24" s="18">
        <v>9.4907407407407408E-4</v>
      </c>
      <c r="I24" s="18">
        <v>9.6064814814814808E-4</v>
      </c>
      <c r="J24" s="18">
        <v>9.3750000000000007E-4</v>
      </c>
      <c r="K24" s="18">
        <v>8.564814814814815E-4</v>
      </c>
      <c r="L24" s="17">
        <f t="shared" ref="L24:L31" si="4">AVERAGE(B24:K24)</f>
        <v>9.0740740740740745E-4</v>
      </c>
      <c r="M24" s="17">
        <f t="shared" ref="M24:M31" si="5">L24*4</f>
        <v>3.6296296296296298E-3</v>
      </c>
    </row>
    <row r="25" spans="1:13" x14ac:dyDescent="0.25">
      <c r="A25" s="16" t="s">
        <v>52</v>
      </c>
      <c r="B25" s="18">
        <v>7.7546296296296304E-4</v>
      </c>
      <c r="C25" s="18">
        <v>8.9120370370370362E-4</v>
      </c>
      <c r="D25" s="18">
        <v>9.1435185185185185E-4</v>
      </c>
      <c r="E25" s="18">
        <v>9.4907407407407408E-4</v>
      </c>
      <c r="F25" s="18">
        <v>9.6064814814814808E-4</v>
      </c>
      <c r="G25" s="18">
        <v>9.4907407407407408E-4</v>
      </c>
      <c r="H25" s="18">
        <v>9.4907407407407408E-4</v>
      </c>
      <c r="I25" s="18">
        <v>9.6064814814814808E-4</v>
      </c>
      <c r="J25" s="18">
        <v>9.4907407407407408E-4</v>
      </c>
      <c r="K25" s="18">
        <v>8.6805555555555551E-4</v>
      </c>
      <c r="L25" s="17">
        <f t="shared" si="4"/>
        <v>9.1666666666666665E-4</v>
      </c>
      <c r="M25" s="17">
        <f t="shared" si="5"/>
        <v>3.6666666666666666E-3</v>
      </c>
    </row>
    <row r="26" spans="1:13" x14ac:dyDescent="0.25">
      <c r="A26" s="22" t="s">
        <v>18</v>
      </c>
      <c r="B26" s="18">
        <v>9.3750000000000007E-4</v>
      </c>
      <c r="C26" s="18">
        <v>9.1435185185185185E-4</v>
      </c>
      <c r="D26" s="18">
        <v>8.9120370370370362E-4</v>
      </c>
      <c r="E26" s="18">
        <v>9.1435185185185185E-4</v>
      </c>
      <c r="F26" s="18">
        <v>9.3750000000000007E-4</v>
      </c>
      <c r="G26" s="18">
        <v>9.4907407407407408E-4</v>
      </c>
      <c r="H26" s="18">
        <v>9.6064814814814808E-4</v>
      </c>
      <c r="I26" s="18">
        <v>9.6064814814814808E-4</v>
      </c>
      <c r="J26" s="18">
        <v>9.3750000000000007E-4</v>
      </c>
      <c r="K26" s="18">
        <v>9.6064814814814808E-4</v>
      </c>
      <c r="L26" s="17">
        <f t="shared" si="4"/>
        <v>9.3634259259259256E-4</v>
      </c>
      <c r="M26" s="17">
        <f t="shared" si="5"/>
        <v>3.7453703703703703E-3</v>
      </c>
    </row>
    <row r="27" spans="1:13" x14ac:dyDescent="0.25">
      <c r="A27" s="22" t="s">
        <v>53</v>
      </c>
      <c r="B27" s="18">
        <v>9.8379629629629642E-4</v>
      </c>
      <c r="C27" s="18">
        <v>9.6064814814814808E-4</v>
      </c>
      <c r="D27" s="18">
        <v>9.6064814814814808E-4</v>
      </c>
      <c r="E27" s="18">
        <v>9.6064814814814808E-4</v>
      </c>
      <c r="F27" s="18">
        <v>9.4907407407407408E-4</v>
      </c>
      <c r="G27" s="18">
        <v>9.6064814814814808E-4</v>
      </c>
      <c r="H27" s="18">
        <v>9.6064814814814808E-4</v>
      </c>
      <c r="I27" s="18">
        <v>9.6064814814814808E-4</v>
      </c>
      <c r="J27" s="18">
        <v>9.4907407407407408E-4</v>
      </c>
      <c r="K27" s="18">
        <v>9.2592592592592585E-4</v>
      </c>
      <c r="L27" s="17">
        <f t="shared" si="4"/>
        <v>9.5717592592592577E-4</v>
      </c>
      <c r="M27" s="17">
        <f t="shared" si="5"/>
        <v>3.8287037037037031E-3</v>
      </c>
    </row>
    <row r="28" spans="1:13" x14ac:dyDescent="0.25">
      <c r="A28" s="16" t="s">
        <v>63</v>
      </c>
      <c r="B28" s="18">
        <v>9.4907407407407408E-4</v>
      </c>
      <c r="C28" s="18">
        <v>8.6805555555555551E-4</v>
      </c>
      <c r="D28" s="18">
        <v>9.8379629629629642E-4</v>
      </c>
      <c r="E28" s="18">
        <v>9.4907407407407408E-4</v>
      </c>
      <c r="F28" s="18">
        <v>9.6064814814814808E-4</v>
      </c>
      <c r="G28" s="18">
        <v>1.0069444444444444E-3</v>
      </c>
      <c r="H28" s="18">
        <v>9.7222222222222209E-4</v>
      </c>
      <c r="I28" s="18">
        <v>9.8379629629629642E-4</v>
      </c>
      <c r="J28" s="18">
        <v>9.9537037037037042E-4</v>
      </c>
      <c r="K28" s="18">
        <v>1.0185185185185186E-3</v>
      </c>
      <c r="L28" s="17">
        <f t="shared" si="4"/>
        <v>9.6874999999999999E-4</v>
      </c>
      <c r="M28" s="17">
        <f t="shared" si="5"/>
        <v>3.875E-3</v>
      </c>
    </row>
    <row r="29" spans="1:13" x14ac:dyDescent="0.25">
      <c r="A29" s="39" t="s">
        <v>24</v>
      </c>
      <c r="B29" s="32">
        <v>9.8379629629629642E-4</v>
      </c>
      <c r="C29" s="32">
        <v>9.7222222222222209E-4</v>
      </c>
      <c r="D29" s="32">
        <v>9.7222222222222209E-4</v>
      </c>
      <c r="E29" s="32">
        <v>9.7222222222222209E-4</v>
      </c>
      <c r="F29" s="32">
        <v>9.7222222222222209E-4</v>
      </c>
      <c r="G29" s="32">
        <v>9.8379629629629642E-4</v>
      </c>
      <c r="H29" s="32">
        <v>9.7222222222222209E-4</v>
      </c>
      <c r="I29" s="32">
        <v>9.7222222222222209E-4</v>
      </c>
      <c r="J29" s="32">
        <v>9.7222222222222209E-4</v>
      </c>
      <c r="K29" s="32">
        <v>9.4907407407407408E-4</v>
      </c>
      <c r="L29" s="17">
        <f t="shared" si="4"/>
        <v>9.7222222222222219E-4</v>
      </c>
      <c r="M29" s="9">
        <f t="shared" si="5"/>
        <v>3.8888888888888888E-3</v>
      </c>
    </row>
    <row r="30" spans="1:13" x14ac:dyDescent="0.25">
      <c r="A30" s="16" t="s">
        <v>38</v>
      </c>
      <c r="B30" s="18">
        <v>8.6805555555555551E-4</v>
      </c>
      <c r="C30" s="18">
        <v>9.3750000000000007E-4</v>
      </c>
      <c r="D30" s="18">
        <v>9.6064814814814808E-4</v>
      </c>
      <c r="E30" s="18">
        <v>9.6064814814814808E-4</v>
      </c>
      <c r="F30" s="18">
        <v>9.8379629629629642E-4</v>
      </c>
      <c r="G30" s="18">
        <v>1.0416666666666667E-3</v>
      </c>
      <c r="H30" s="18">
        <v>9.8379629629629642E-4</v>
      </c>
      <c r="I30" s="18">
        <v>1.0300925925925926E-3</v>
      </c>
      <c r="J30" s="18">
        <v>1.0185185185185186E-3</v>
      </c>
      <c r="K30" s="18">
        <v>9.6064814814814808E-4</v>
      </c>
      <c r="L30" s="17">
        <f t="shared" si="4"/>
        <v>9.745370370370371E-4</v>
      </c>
      <c r="M30" s="17">
        <f t="shared" si="5"/>
        <v>3.8981481481481484E-3</v>
      </c>
    </row>
    <row r="31" spans="1:13" ht="15.75" thickBot="1" x14ac:dyDescent="0.3">
      <c r="A31" s="38" t="s">
        <v>20</v>
      </c>
      <c r="B31" s="40">
        <v>9.8379629629629642E-4</v>
      </c>
      <c r="C31" s="40">
        <v>9.7222222222222209E-4</v>
      </c>
      <c r="D31" s="40">
        <v>9.7222222222222209E-4</v>
      </c>
      <c r="E31" s="40">
        <v>1.0416666666666667E-3</v>
      </c>
      <c r="F31" s="40">
        <v>1.0300925925925926E-3</v>
      </c>
      <c r="G31" s="40">
        <v>1.0069444444444444E-3</v>
      </c>
      <c r="H31" s="40">
        <v>1.0648148148148147E-3</v>
      </c>
      <c r="I31" s="40">
        <v>9.9537037037037042E-4</v>
      </c>
      <c r="J31" s="40">
        <v>1.0069444444444444E-3</v>
      </c>
      <c r="K31" s="40">
        <v>1.0300925925925926E-3</v>
      </c>
      <c r="L31" s="17">
        <f t="shared" si="4"/>
        <v>1.0104166666666666E-3</v>
      </c>
      <c r="M31" s="33">
        <f t="shared" si="5"/>
        <v>4.0416666666666665E-3</v>
      </c>
    </row>
    <row r="32" spans="1:13" ht="16.5" thickTop="1" thickBot="1" x14ac:dyDescent="0.3">
      <c r="A32" s="57" t="s">
        <v>67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  <row r="33" spans="1:13" ht="15.75" thickTop="1" x14ac:dyDescent="0.25">
      <c r="A33" s="5" t="s">
        <v>22</v>
      </c>
      <c r="B33" s="41">
        <v>9.8379629629629642E-4</v>
      </c>
      <c r="C33" s="41">
        <v>9.3750000000000007E-4</v>
      </c>
      <c r="D33" s="41">
        <v>1.0069444444444444E-3</v>
      </c>
      <c r="E33" s="41">
        <v>1.0069444444444444E-3</v>
      </c>
      <c r="F33" s="41">
        <v>1.0069444444444444E-3</v>
      </c>
      <c r="G33" s="41">
        <v>1.0069444444444444E-3</v>
      </c>
      <c r="H33" s="41">
        <v>1.0532407407407407E-3</v>
      </c>
      <c r="I33" s="41">
        <v>1.0416666666666667E-3</v>
      </c>
      <c r="J33" s="41">
        <v>1.0763888888888889E-3</v>
      </c>
      <c r="K33" s="41">
        <v>1.0185185185185186E-3</v>
      </c>
      <c r="L33" s="17">
        <f>AVERAGE(B33:K33)</f>
        <v>1.013888888888889E-3</v>
      </c>
      <c r="M33" s="17">
        <f>L33*4</f>
        <v>4.0555555555555562E-3</v>
      </c>
    </row>
    <row r="34" spans="1:13" x14ac:dyDescent="0.25">
      <c r="A34" s="39" t="s">
        <v>26</v>
      </c>
      <c r="B34" s="41">
        <v>9.9537037037037042E-4</v>
      </c>
      <c r="C34" s="41">
        <v>1.0300925925925926E-3</v>
      </c>
      <c r="D34" s="41">
        <v>1.0416666666666667E-3</v>
      </c>
      <c r="E34" s="41">
        <v>1.0532407407407407E-3</v>
      </c>
      <c r="F34" s="41">
        <v>1.0416666666666667E-3</v>
      </c>
      <c r="G34" s="41">
        <v>1.0416666666666667E-3</v>
      </c>
      <c r="H34" s="41">
        <v>1.0879629629629629E-3</v>
      </c>
      <c r="I34" s="41">
        <v>1.0648148148148147E-3</v>
      </c>
      <c r="J34" s="41">
        <v>1.0995370370370371E-3</v>
      </c>
      <c r="K34" s="41">
        <v>1.0300925925925926E-3</v>
      </c>
      <c r="L34" s="9">
        <f>AVERAGE(B34:K34)</f>
        <v>1.0486111111111113E-3</v>
      </c>
      <c r="M34" s="9">
        <f>L34*4</f>
        <v>4.1944444444444451E-3</v>
      </c>
    </row>
    <row r="35" spans="1:13" x14ac:dyDescent="0.25">
      <c r="A35" s="5" t="s">
        <v>42</v>
      </c>
      <c r="B35" s="41">
        <v>9.8379629629629642E-4</v>
      </c>
      <c r="C35" s="41">
        <v>9.3750000000000007E-4</v>
      </c>
      <c r="D35" s="41">
        <v>1.0300925925925926E-3</v>
      </c>
      <c r="E35" s="41">
        <v>1.0763888888888889E-3</v>
      </c>
      <c r="F35" s="41">
        <v>1.0416666666666667E-3</v>
      </c>
      <c r="G35" s="41">
        <v>1.1226851851851851E-3</v>
      </c>
      <c r="H35" s="41">
        <v>1.1226851851851851E-3</v>
      </c>
      <c r="I35" s="41">
        <v>1.0995370370370371E-3</v>
      </c>
      <c r="J35" s="41">
        <v>1.0995370370370371E-3</v>
      </c>
      <c r="K35" s="41">
        <v>1.0416666666666667E-3</v>
      </c>
      <c r="L35" s="17">
        <f>AVERAGE(B35:K35)</f>
        <v>1.0555555555555557E-3</v>
      </c>
      <c r="M35" s="17">
        <f>L35*4</f>
        <v>4.2222222222222227E-3</v>
      </c>
    </row>
    <row r="36" spans="1:13" ht="15.75" thickBot="1" x14ac:dyDescent="0.3">
      <c r="A36" s="43" t="s">
        <v>19</v>
      </c>
      <c r="B36" s="42">
        <v>9.6064814814814808E-4</v>
      </c>
      <c r="C36" s="42">
        <v>1.0300925925925926E-3</v>
      </c>
      <c r="D36" s="42">
        <v>1.0532407407407407E-3</v>
      </c>
      <c r="E36" s="42">
        <v>1.1111111111111111E-3</v>
      </c>
      <c r="F36" s="42">
        <v>1.1226851851851851E-3</v>
      </c>
      <c r="G36" s="42">
        <v>1.0532407407407407E-3</v>
      </c>
      <c r="H36" s="42">
        <v>1.1458333333333333E-3</v>
      </c>
      <c r="I36" s="42">
        <v>1.0995370370370371E-3</v>
      </c>
      <c r="J36" s="42">
        <v>1.1226851851851851E-3</v>
      </c>
      <c r="K36" s="42">
        <v>1.0879629629629629E-3</v>
      </c>
      <c r="L36" s="33">
        <f>AVERAGE(B36:K36)</f>
        <v>1.0787037037037037E-3</v>
      </c>
      <c r="M36" s="33">
        <f>L36*4</f>
        <v>4.3148148148148147E-3</v>
      </c>
    </row>
    <row r="37" spans="1:13" ht="16.5" thickTop="1" thickBot="1" x14ac:dyDescent="0.3">
      <c r="A37" s="63" t="s">
        <v>72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</row>
    <row r="38" spans="1:13" ht="15.75" thickTop="1" x14ac:dyDescent="0.25">
      <c r="A38" s="22" t="s">
        <v>27</v>
      </c>
      <c r="B38" s="18">
        <v>1.0995370370370371E-3</v>
      </c>
      <c r="C38" s="18">
        <v>1.1111111111111111E-3</v>
      </c>
      <c r="D38" s="18">
        <v>1.1458333333333333E-3</v>
      </c>
      <c r="E38" s="18">
        <v>1.2037037037037038E-3</v>
      </c>
      <c r="F38" s="18">
        <v>1.1574074074074073E-3</v>
      </c>
      <c r="G38" s="18">
        <v>1.1921296296296296E-3</v>
      </c>
      <c r="H38" s="18">
        <v>1.1921296296296296E-3</v>
      </c>
      <c r="I38" s="18">
        <v>1.2268518518518518E-3</v>
      </c>
      <c r="J38" s="18">
        <v>1.2152777777777778E-3</v>
      </c>
      <c r="K38" s="18">
        <v>1.1921296296296296E-3</v>
      </c>
      <c r="L38" s="17">
        <f t="shared" ref="L38:L44" si="6">AVERAGE(B38:K38)</f>
        <v>1.1736111111111109E-3</v>
      </c>
      <c r="M38" s="17">
        <f t="shared" ref="M38:M44" si="7">L38*4</f>
        <v>4.6944444444444438E-3</v>
      </c>
    </row>
    <row r="39" spans="1:13" x14ac:dyDescent="0.25">
      <c r="A39" s="22" t="s">
        <v>43</v>
      </c>
      <c r="B39" s="18">
        <v>1.0300925925925926E-3</v>
      </c>
      <c r="C39" s="18">
        <v>1.0648148148148147E-3</v>
      </c>
      <c r="D39" s="18">
        <v>1.1342592592592591E-3</v>
      </c>
      <c r="E39" s="18">
        <v>1.2847222222222223E-3</v>
      </c>
      <c r="F39" s="18">
        <v>1.1921296296296296E-3</v>
      </c>
      <c r="G39" s="18">
        <v>1.261574074074074E-3</v>
      </c>
      <c r="H39" s="18">
        <v>1.2152777777777778E-3</v>
      </c>
      <c r="I39" s="18">
        <v>1.2962962962962963E-3</v>
      </c>
      <c r="J39" s="18">
        <v>1.2037037037037038E-3</v>
      </c>
      <c r="K39" s="18">
        <v>1.261574074074074E-3</v>
      </c>
      <c r="L39" s="17">
        <f t="shared" si="6"/>
        <v>1.1944444444444446E-3</v>
      </c>
      <c r="M39" s="17">
        <f t="shared" si="7"/>
        <v>4.7777777777777784E-3</v>
      </c>
    </row>
    <row r="40" spans="1:13" x14ac:dyDescent="0.25">
      <c r="A40" s="22" t="s">
        <v>44</v>
      </c>
      <c r="B40" s="18">
        <v>1.0648148148148147E-3</v>
      </c>
      <c r="C40" s="18">
        <v>1.1689814814814816E-3</v>
      </c>
      <c r="D40" s="18">
        <v>1.2037037037037038E-3</v>
      </c>
      <c r="E40" s="18">
        <v>1.3078703703703705E-3</v>
      </c>
      <c r="F40" s="18">
        <v>1.2152777777777778E-3</v>
      </c>
      <c r="G40" s="18">
        <v>1.261574074074074E-3</v>
      </c>
      <c r="H40" s="18">
        <v>1.25E-3</v>
      </c>
      <c r="I40" s="18">
        <v>1.261574074074074E-3</v>
      </c>
      <c r="J40" s="18">
        <v>1.25E-3</v>
      </c>
      <c r="K40" s="18">
        <v>1.2268518518518518E-3</v>
      </c>
      <c r="L40" s="17">
        <f t="shared" si="6"/>
        <v>1.2210648148148148E-3</v>
      </c>
      <c r="M40" s="17">
        <f t="shared" si="7"/>
        <v>4.8842592592592592E-3</v>
      </c>
    </row>
    <row r="41" spans="1:13" x14ac:dyDescent="0.25">
      <c r="A41" s="22" t="s">
        <v>45</v>
      </c>
      <c r="B41" s="18">
        <v>1.1574074074074073E-3</v>
      </c>
      <c r="C41" s="18">
        <v>1.1805555555555556E-3</v>
      </c>
      <c r="D41" s="18">
        <v>1.2268518518518518E-3</v>
      </c>
      <c r="E41" s="18">
        <v>1.3425925925925925E-3</v>
      </c>
      <c r="F41" s="18">
        <v>1.2384259259259258E-3</v>
      </c>
      <c r="G41" s="18">
        <v>1.3310185185185185E-3</v>
      </c>
      <c r="H41" s="18">
        <v>1.2847222222222223E-3</v>
      </c>
      <c r="I41" s="18">
        <v>1.3425925925925925E-3</v>
      </c>
      <c r="J41" s="18">
        <v>1.3310185185185185E-3</v>
      </c>
      <c r="K41" s="18">
        <v>1.2037037037037038E-3</v>
      </c>
      <c r="L41" s="17">
        <f t="shared" si="6"/>
        <v>1.2638888888888888E-3</v>
      </c>
      <c r="M41" s="17">
        <f t="shared" si="7"/>
        <v>5.0555555555555553E-3</v>
      </c>
    </row>
    <row r="42" spans="1:13" x14ac:dyDescent="0.25">
      <c r="A42" s="22" t="s">
        <v>48</v>
      </c>
      <c r="B42" s="18">
        <v>1.1458333333333333E-3</v>
      </c>
      <c r="C42" s="18">
        <v>1.1805555555555556E-3</v>
      </c>
      <c r="D42" s="18">
        <v>1.2384259259259258E-3</v>
      </c>
      <c r="E42" s="18">
        <v>1.3773148148148147E-3</v>
      </c>
      <c r="F42" s="18">
        <v>1.261574074074074E-3</v>
      </c>
      <c r="G42" s="18">
        <v>1.3773148148148147E-3</v>
      </c>
      <c r="H42" s="18">
        <v>1.25E-3</v>
      </c>
      <c r="I42" s="18">
        <v>1.3773148148148147E-3</v>
      </c>
      <c r="J42" s="18">
        <v>1.3541666666666667E-3</v>
      </c>
      <c r="K42" s="18">
        <v>1.2268518518518518E-3</v>
      </c>
      <c r="L42" s="17">
        <f t="shared" si="6"/>
        <v>1.2789351851851853E-3</v>
      </c>
      <c r="M42" s="17">
        <f t="shared" si="7"/>
        <v>5.115740740740741E-3</v>
      </c>
    </row>
    <row r="43" spans="1:13" x14ac:dyDescent="0.25">
      <c r="A43" s="22" t="s">
        <v>54</v>
      </c>
      <c r="B43" s="18">
        <v>1.1921296296296296E-3</v>
      </c>
      <c r="C43" s="18" t="s">
        <v>57</v>
      </c>
      <c r="D43" s="18">
        <v>1.2037037037037038E-3</v>
      </c>
      <c r="E43" s="18" t="s">
        <v>57</v>
      </c>
      <c r="F43" s="18">
        <v>1.1805555555555556E-3</v>
      </c>
      <c r="G43" s="18" t="s">
        <v>57</v>
      </c>
      <c r="H43" s="18">
        <v>1.1805555555555556E-3</v>
      </c>
      <c r="I43" s="18" t="s">
        <v>57</v>
      </c>
      <c r="J43" s="18">
        <v>1.2384259259259258E-3</v>
      </c>
      <c r="K43" s="18" t="s">
        <v>57</v>
      </c>
      <c r="L43" s="17">
        <f t="shared" si="6"/>
        <v>1.199074074074074E-3</v>
      </c>
      <c r="M43" s="17">
        <f t="shared" si="7"/>
        <v>4.7962962962962959E-3</v>
      </c>
    </row>
    <row r="44" spans="1:13" x14ac:dyDescent="0.25">
      <c r="A44" s="22" t="s">
        <v>68</v>
      </c>
      <c r="B44" s="18">
        <v>1.2384259259259258E-3</v>
      </c>
      <c r="C44" s="18" t="s">
        <v>57</v>
      </c>
      <c r="D44" s="18">
        <v>1.2268518518518518E-3</v>
      </c>
      <c r="E44" s="18" t="s">
        <v>57</v>
      </c>
      <c r="F44" s="18">
        <v>1.2384259259259258E-3</v>
      </c>
      <c r="G44" s="18" t="s">
        <v>57</v>
      </c>
      <c r="H44" s="18">
        <v>1.261574074074074E-3</v>
      </c>
      <c r="I44" s="18" t="s">
        <v>57</v>
      </c>
      <c r="J44" s="18">
        <v>1.3078703703703705E-3</v>
      </c>
      <c r="K44" s="18" t="s">
        <v>57</v>
      </c>
      <c r="L44" s="17">
        <f t="shared" si="6"/>
        <v>1.2546296296296296E-3</v>
      </c>
      <c r="M44" s="17">
        <f t="shared" si="7"/>
        <v>5.0185185185185185E-3</v>
      </c>
    </row>
  </sheetData>
  <sortState ref="A33:M36">
    <sortCondition ref="L33:L36"/>
  </sortState>
  <mergeCells count="6">
    <mergeCell ref="A37:M37"/>
    <mergeCell ref="A1:M1"/>
    <mergeCell ref="A3:M3"/>
    <mergeCell ref="A16:M16"/>
    <mergeCell ref="A23:M23"/>
    <mergeCell ref="A32:M32"/>
  </mergeCells>
  <printOptions horizontalCentered="1" verticalCentered="1" gridLines="1"/>
  <pageMargins left="0.2" right="0.2" top="0.25" bottom="0.2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 Pace</vt:lpstr>
      <vt:lpstr>4x1mile</vt:lpstr>
      <vt:lpstr>pryamid</vt:lpstr>
      <vt:lpstr>10x400</vt:lpstr>
    </vt:vector>
  </TitlesOfParts>
  <Company>WUHSD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Tony.DiMarco</dc:creator>
  <cp:lastModifiedBy>Tony.DiMarco</cp:lastModifiedBy>
  <cp:lastPrinted>2012-03-26T16:53:54Z</cp:lastPrinted>
  <dcterms:created xsi:type="dcterms:W3CDTF">2012-01-28T17:29:23Z</dcterms:created>
  <dcterms:modified xsi:type="dcterms:W3CDTF">2012-03-26T16:55:00Z</dcterms:modified>
</cp:coreProperties>
</file>