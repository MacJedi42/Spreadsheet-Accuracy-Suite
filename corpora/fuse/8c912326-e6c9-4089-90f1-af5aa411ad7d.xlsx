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20835" windowHeight="9690"/>
  </bookViews>
  <sheets>
    <sheet name="TB Survey" sheetId="3" r:id="rId1"/>
  </sheets>
  <calcPr calcId="144525"/>
</workbook>
</file>

<file path=xl/calcChain.xml><?xml version="1.0" encoding="utf-8"?>
<calcChain xmlns="http://schemas.openxmlformats.org/spreadsheetml/2006/main">
  <c r="D34" i="3" l="1"/>
  <c r="D35" i="3"/>
  <c r="D36" i="3"/>
  <c r="D37" i="3"/>
  <c r="D24" i="3"/>
  <c r="D25" i="3"/>
  <c r="D26" i="3"/>
  <c r="D27" i="3"/>
  <c r="D28" i="3"/>
  <c r="D29" i="3"/>
  <c r="D30" i="3"/>
  <c r="D31" i="3"/>
  <c r="D32" i="3"/>
  <c r="D33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5" i="3"/>
  <c r="D6" i="3"/>
  <c r="D7" i="3"/>
  <c r="D8" i="3"/>
  <c r="D9" i="3"/>
  <c r="D10" i="3"/>
  <c r="D4" i="3"/>
  <c r="C136" i="3"/>
  <c r="B136" i="3"/>
  <c r="D136" i="3" l="1"/>
</calcChain>
</file>

<file path=xl/sharedStrings.xml><?xml version="1.0" encoding="utf-8"?>
<sst xmlns="http://schemas.openxmlformats.org/spreadsheetml/2006/main" count="37" uniqueCount="35">
  <si>
    <t>CARLOW</t>
  </si>
  <si>
    <t>CORK</t>
  </si>
  <si>
    <t>WATERFORD</t>
  </si>
  <si>
    <t>GALWAY</t>
  </si>
  <si>
    <t>LOUTH</t>
  </si>
  <si>
    <t>MAYO</t>
  </si>
  <si>
    <t>KILKENNY</t>
  </si>
  <si>
    <t>SLIGO</t>
  </si>
  <si>
    <t>LEITRIM</t>
  </si>
  <si>
    <t>ROSCOMMON</t>
  </si>
  <si>
    <t>MEATH</t>
  </si>
  <si>
    <t>MONAGHAN</t>
  </si>
  <si>
    <t>KERRY</t>
  </si>
  <si>
    <t>WICKLOW</t>
  </si>
  <si>
    <t>LAOIS</t>
  </si>
  <si>
    <t>OFFALY</t>
  </si>
  <si>
    <t>WESTMEATH</t>
  </si>
  <si>
    <t>DONEGAL</t>
  </si>
  <si>
    <t>LIMERICK</t>
  </si>
  <si>
    <t>COUNTY</t>
  </si>
  <si>
    <t>KILDARE</t>
  </si>
  <si>
    <t>LONGFORD</t>
  </si>
  <si>
    <t>NORTH TIPP</t>
  </si>
  <si>
    <t>CLARE</t>
  </si>
  <si>
    <t>SOUTH TIPP</t>
  </si>
  <si>
    <t>Average</t>
  </si>
  <si>
    <t>Call Out Fee</t>
  </si>
  <si>
    <t>TB per head</t>
  </si>
  <si>
    <t>Highest</t>
  </si>
  <si>
    <t>Lowest</t>
  </si>
  <si>
    <t>BASED ON AVERAGE HERD SIZE OF 57 ANIMALS</t>
  </si>
  <si>
    <t>TB/€HEAD</t>
  </si>
  <si>
    <t>CALL OUT FEE</t>
  </si>
  <si>
    <t>TOTAL COST</t>
  </si>
  <si>
    <t>RANGE WITHIN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</si>
</sst>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2" fillId="0" borderId="9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 vertical="center"/>
    </xf>
    <xf numFmtId="4" fontId="0" fillId="2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1" fillId="0" borderId="26" xfId="0" applyFont="1" applyFill="1" applyBorder="1" applyAlignment="1">
      <alignment horizontal="center" vertical="center"/>
    </xf>
    <xf numFmtId="0" fontId="0" fillId="0" borderId="0" xfId="0" applyBorder="1"/>
    <xf numFmtId="0" fontId="3" fillId="0" borderId="2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/>
    <xf numFmtId="2" fontId="0" fillId="0" borderId="16" xfId="0" applyNumberFormat="1" applyBorder="1" applyAlignment="1">
      <alignment horizontal="center"/>
    </xf>
    <xf numFmtId="2" fontId="3" fillId="0" borderId="23" xfId="0" applyNumberFormat="1" applyFont="1" applyBorder="1" applyAlignment="1">
      <alignment horizontal="center" vertical="center"/>
    </xf>
    <xf numFmtId="2" fontId="0" fillId="0" borderId="2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zoomScaleNormal="100" workbookViewId="0">
      <selection activeCell="C12" sqref="C12"/>
    </sheetView>
  </sheetViews>
  <sheetFormatPr defaultRowHeight="15" x14ac:dyDescent="0.25"/>
  <cols>
    <col min="1" max="1" width="17.28515625" style="9" customWidth="1"/>
    <col min="2" max="2" width="13.28515625" customWidth="1"/>
    <col min="3" max="3" width="14" customWidth="1"/>
    <col min="4" max="4" width="13.85546875" style="6" customWidth="1"/>
    <col min="5" max="5" width="13.28515625" style="6" customWidth="1"/>
    <col min="6" max="6" width="12.28515625" style="6" customWidth="1"/>
  </cols>
  <sheetData>
    <row r="1" spans="1:6" ht="26.25" customHeight="1" thickBot="1" x14ac:dyDescent="0.3">
      <c r="A1" s="45" t="s">
        <v>30</v>
      </c>
      <c r="B1" s="46"/>
      <c r="C1" s="46"/>
      <c r="D1" s="46"/>
      <c r="E1" s="46"/>
      <c r="F1" s="47"/>
    </row>
    <row r="2" spans="1:6" ht="19.5" customHeight="1" thickBot="1" x14ac:dyDescent="0.3">
      <c r="A2" s="24"/>
      <c r="B2" s="18">
        <v>57</v>
      </c>
      <c r="C2" s="5"/>
      <c r="D2" s="19"/>
      <c r="E2" s="43" t="s">
        <v>34</v>
      </c>
      <c r="F2" s="44"/>
    </row>
    <row r="3" spans="1:6" s="13" customFormat="1" ht="27.75" customHeight="1" thickBot="1" x14ac:dyDescent="0.3">
      <c r="A3" s="20" t="s">
        <v>19</v>
      </c>
      <c r="B3" s="21" t="s">
        <v>31</v>
      </c>
      <c r="C3" s="22" t="s">
        <v>32</v>
      </c>
      <c r="D3" s="31" t="s">
        <v>33</v>
      </c>
      <c r="E3" s="23" t="s">
        <v>29</v>
      </c>
      <c r="F3" s="42" t="s">
        <v>28</v>
      </c>
    </row>
    <row r="4" spans="1:6" x14ac:dyDescent="0.25">
      <c r="A4" s="51" t="s">
        <v>0</v>
      </c>
      <c r="B4" s="11">
        <v>3.41</v>
      </c>
      <c r="C4" s="11">
        <v>54</v>
      </c>
      <c r="D4" s="32">
        <f>B4*$B$2+C4</f>
        <v>248.37</v>
      </c>
      <c r="E4" s="36"/>
      <c r="F4" s="37"/>
    </row>
    <row r="5" spans="1:6" x14ac:dyDescent="0.25">
      <c r="A5" s="52"/>
      <c r="B5" s="1">
        <v>2.8</v>
      </c>
      <c r="C5" s="1">
        <v>50</v>
      </c>
      <c r="D5" s="33">
        <f t="shared" ref="D5:D67" si="0">B5*$B$2+C5</f>
        <v>209.6</v>
      </c>
      <c r="E5" s="38">
        <v>209.6</v>
      </c>
      <c r="F5" s="39">
        <v>248.37</v>
      </c>
    </row>
    <row r="6" spans="1:6" ht="15.75" thickBot="1" x14ac:dyDescent="0.3">
      <c r="A6" s="53"/>
      <c r="B6" s="12">
        <v>3.18</v>
      </c>
      <c r="C6" s="12">
        <v>50</v>
      </c>
      <c r="D6" s="34">
        <f t="shared" si="0"/>
        <v>231.26000000000002</v>
      </c>
      <c r="E6" s="40"/>
      <c r="F6" s="41"/>
    </row>
    <row r="7" spans="1:6" x14ac:dyDescent="0.25">
      <c r="A7" s="54" t="s">
        <v>23</v>
      </c>
      <c r="B7" s="10">
        <v>4.0999999999999996</v>
      </c>
      <c r="C7" s="10">
        <v>62</v>
      </c>
      <c r="D7" s="35">
        <f t="shared" si="0"/>
        <v>295.7</v>
      </c>
      <c r="E7" s="38"/>
      <c r="F7" s="39"/>
    </row>
    <row r="8" spans="1:6" x14ac:dyDescent="0.25">
      <c r="A8" s="52"/>
      <c r="B8" s="1">
        <v>3.92</v>
      </c>
      <c r="C8" s="1">
        <v>62.5</v>
      </c>
      <c r="D8" s="33">
        <f t="shared" si="0"/>
        <v>285.94</v>
      </c>
      <c r="E8" s="38"/>
      <c r="F8" s="39"/>
    </row>
    <row r="9" spans="1:6" x14ac:dyDescent="0.25">
      <c r="A9" s="52"/>
      <c r="B9" s="1">
        <v>3.9</v>
      </c>
      <c r="C9" s="1">
        <v>66</v>
      </c>
      <c r="D9" s="33">
        <f t="shared" si="0"/>
        <v>288.29999999999995</v>
      </c>
      <c r="E9" s="38">
        <v>244.87</v>
      </c>
      <c r="F9" s="39">
        <v>295.7</v>
      </c>
    </row>
    <row r="10" spans="1:6" x14ac:dyDescent="0.25">
      <c r="A10" s="52"/>
      <c r="B10" s="1">
        <v>3.97</v>
      </c>
      <c r="C10" s="1">
        <v>68.099999999999994</v>
      </c>
      <c r="D10" s="33">
        <f t="shared" si="0"/>
        <v>294.39</v>
      </c>
      <c r="E10" s="38"/>
      <c r="F10" s="39"/>
    </row>
    <row r="11" spans="1:6" x14ac:dyDescent="0.25">
      <c r="A11" s="52"/>
      <c r="B11" s="1">
        <v>3.4</v>
      </c>
      <c r="C11" s="1">
        <v>51.07</v>
      </c>
      <c r="D11" s="33">
        <f t="shared" si="0"/>
        <v>244.86999999999998</v>
      </c>
      <c r="E11" s="38"/>
      <c r="F11" s="39"/>
    </row>
    <row r="12" spans="1:6" ht="15.75" thickBot="1" x14ac:dyDescent="0.3">
      <c r="A12" s="53"/>
      <c r="B12" s="12">
        <v>4.08</v>
      </c>
      <c r="C12" s="12">
        <v>56.75</v>
      </c>
      <c r="D12" s="34">
        <f t="shared" si="0"/>
        <v>289.31</v>
      </c>
      <c r="E12" s="40"/>
      <c r="F12" s="41"/>
    </row>
    <row r="13" spans="1:6" x14ac:dyDescent="0.25">
      <c r="A13" s="51" t="s">
        <v>1</v>
      </c>
      <c r="B13" s="11">
        <v>4.07</v>
      </c>
      <c r="C13" s="11">
        <v>51.07</v>
      </c>
      <c r="D13" s="32">
        <f t="shared" si="0"/>
        <v>283.06</v>
      </c>
      <c r="E13" s="36"/>
      <c r="F13" s="37"/>
    </row>
    <row r="14" spans="1:6" x14ac:dyDescent="0.25">
      <c r="A14" s="52"/>
      <c r="B14" s="1">
        <v>5.78</v>
      </c>
      <c r="C14" s="1">
        <v>0</v>
      </c>
      <c r="D14" s="33">
        <f t="shared" si="0"/>
        <v>329.46000000000004</v>
      </c>
      <c r="E14" s="38"/>
      <c r="F14" s="39"/>
    </row>
    <row r="15" spans="1:6" x14ac:dyDescent="0.25">
      <c r="A15" s="52"/>
      <c r="B15" s="1">
        <v>3</v>
      </c>
      <c r="C15" s="1">
        <v>60</v>
      </c>
      <c r="D15" s="33">
        <f t="shared" si="0"/>
        <v>231</v>
      </c>
      <c r="E15" s="38"/>
      <c r="F15" s="39"/>
    </row>
    <row r="16" spans="1:6" x14ac:dyDescent="0.25">
      <c r="A16" s="52"/>
      <c r="B16" s="1">
        <v>3</v>
      </c>
      <c r="C16" s="1">
        <v>50</v>
      </c>
      <c r="D16" s="33">
        <f t="shared" si="0"/>
        <v>221</v>
      </c>
      <c r="E16" s="38">
        <v>212.25</v>
      </c>
      <c r="F16" s="39">
        <v>329.46</v>
      </c>
    </row>
    <row r="17" spans="1:6" x14ac:dyDescent="0.25">
      <c r="A17" s="52"/>
      <c r="B17" s="1">
        <v>3.25</v>
      </c>
      <c r="C17" s="1">
        <v>27</v>
      </c>
      <c r="D17" s="33">
        <f t="shared" si="0"/>
        <v>212.25</v>
      </c>
      <c r="E17" s="38"/>
      <c r="F17" s="39"/>
    </row>
    <row r="18" spans="1:6" x14ac:dyDescent="0.25">
      <c r="A18" s="52"/>
      <c r="B18" s="1">
        <v>3.5</v>
      </c>
      <c r="C18" s="1">
        <v>60</v>
      </c>
      <c r="D18" s="33">
        <f t="shared" si="0"/>
        <v>259.5</v>
      </c>
      <c r="E18" s="38"/>
      <c r="F18" s="39"/>
    </row>
    <row r="19" spans="1:6" ht="15.75" thickBot="1" x14ac:dyDescent="0.3">
      <c r="A19" s="53"/>
      <c r="B19" s="14">
        <v>3.75</v>
      </c>
      <c r="C19" s="14">
        <v>100</v>
      </c>
      <c r="D19" s="34">
        <f t="shared" si="0"/>
        <v>313.75</v>
      </c>
      <c r="E19" s="40"/>
      <c r="F19" s="41"/>
    </row>
    <row r="20" spans="1:6" x14ac:dyDescent="0.25">
      <c r="A20" s="51" t="s">
        <v>17</v>
      </c>
      <c r="B20" s="11">
        <v>3</v>
      </c>
      <c r="C20" s="11">
        <v>50</v>
      </c>
      <c r="D20" s="32">
        <f t="shared" si="0"/>
        <v>221</v>
      </c>
      <c r="E20" s="36"/>
      <c r="F20" s="37"/>
    </row>
    <row r="21" spans="1:6" x14ac:dyDescent="0.25">
      <c r="A21" s="52"/>
      <c r="B21" s="1">
        <v>3.7</v>
      </c>
      <c r="C21" s="1">
        <v>38.5</v>
      </c>
      <c r="D21" s="33">
        <f t="shared" si="0"/>
        <v>249.4</v>
      </c>
      <c r="E21" s="38"/>
      <c r="F21" s="39"/>
    </row>
    <row r="22" spans="1:6" x14ac:dyDescent="0.25">
      <c r="A22" s="52"/>
      <c r="B22" s="1">
        <v>3.5</v>
      </c>
      <c r="C22" s="1">
        <v>30</v>
      </c>
      <c r="D22" s="33">
        <f t="shared" si="0"/>
        <v>229.5</v>
      </c>
      <c r="E22" s="38">
        <v>114</v>
      </c>
      <c r="F22" s="39">
        <v>328</v>
      </c>
    </row>
    <row r="23" spans="1:6" x14ac:dyDescent="0.25">
      <c r="A23" s="52"/>
      <c r="B23" s="1">
        <v>4</v>
      </c>
      <c r="C23" s="1">
        <v>100</v>
      </c>
      <c r="D23" s="33">
        <f t="shared" si="0"/>
        <v>328</v>
      </c>
      <c r="E23" s="38"/>
      <c r="F23" s="39"/>
    </row>
    <row r="24" spans="1:6" x14ac:dyDescent="0.25">
      <c r="A24" s="52"/>
      <c r="B24" s="1">
        <v>4.43</v>
      </c>
      <c r="C24" s="1">
        <v>50</v>
      </c>
      <c r="D24" s="33">
        <f t="shared" si="0"/>
        <v>302.51</v>
      </c>
      <c r="E24" s="38"/>
      <c r="F24" s="39"/>
    </row>
    <row r="25" spans="1:6" ht="15.75" thickBot="1" x14ac:dyDescent="0.3">
      <c r="A25" s="53"/>
      <c r="B25" s="14">
        <v>2</v>
      </c>
      <c r="C25" s="14">
        <v>0</v>
      </c>
      <c r="D25" s="34">
        <f t="shared" si="0"/>
        <v>114</v>
      </c>
      <c r="E25" s="40"/>
      <c r="F25" s="41"/>
    </row>
    <row r="26" spans="1:6" x14ac:dyDescent="0.25">
      <c r="A26" s="54" t="s">
        <v>3</v>
      </c>
      <c r="B26" s="10">
        <v>3.97</v>
      </c>
      <c r="C26" s="10">
        <v>68.099999999999994</v>
      </c>
      <c r="D26" s="35">
        <f t="shared" si="0"/>
        <v>294.39</v>
      </c>
      <c r="E26" s="38"/>
      <c r="F26" s="39"/>
    </row>
    <row r="27" spans="1:6" x14ac:dyDescent="0.25">
      <c r="A27" s="52"/>
      <c r="B27" s="1">
        <v>4</v>
      </c>
      <c r="C27" s="1">
        <v>80</v>
      </c>
      <c r="D27" s="33">
        <f t="shared" si="0"/>
        <v>308</v>
      </c>
      <c r="E27" s="38"/>
      <c r="F27" s="39"/>
    </row>
    <row r="28" spans="1:6" x14ac:dyDescent="0.25">
      <c r="A28" s="52"/>
      <c r="B28" s="1">
        <v>3</v>
      </c>
      <c r="C28" s="1">
        <v>60</v>
      </c>
      <c r="D28" s="33">
        <f t="shared" si="0"/>
        <v>231</v>
      </c>
      <c r="E28" s="38"/>
      <c r="F28" s="39"/>
    </row>
    <row r="29" spans="1:6" x14ac:dyDescent="0.25">
      <c r="A29" s="52"/>
      <c r="B29" s="1">
        <v>3</v>
      </c>
      <c r="C29" s="1">
        <v>60</v>
      </c>
      <c r="D29" s="33">
        <f t="shared" si="0"/>
        <v>231</v>
      </c>
      <c r="E29" s="38">
        <v>231</v>
      </c>
      <c r="F29" s="39">
        <v>337.64</v>
      </c>
    </row>
    <row r="30" spans="1:6" x14ac:dyDescent="0.25">
      <c r="A30" s="52"/>
      <c r="B30" s="2">
        <v>4.54</v>
      </c>
      <c r="C30" s="2">
        <v>71.91</v>
      </c>
      <c r="D30" s="33">
        <f t="shared" si="0"/>
        <v>330.69000000000005</v>
      </c>
      <c r="E30" s="38"/>
      <c r="F30" s="39"/>
    </row>
    <row r="31" spans="1:6" x14ac:dyDescent="0.25">
      <c r="A31" s="52"/>
      <c r="B31" s="2">
        <v>3.97</v>
      </c>
      <c r="C31" s="2">
        <v>45.4</v>
      </c>
      <c r="D31" s="33">
        <f t="shared" si="0"/>
        <v>271.69</v>
      </c>
      <c r="E31" s="38"/>
      <c r="F31" s="39"/>
    </row>
    <row r="32" spans="1:6" x14ac:dyDescent="0.25">
      <c r="A32" s="52"/>
      <c r="B32" s="2">
        <v>4.4800000000000004</v>
      </c>
      <c r="C32" s="1">
        <v>55.62</v>
      </c>
      <c r="D32" s="33">
        <f t="shared" si="0"/>
        <v>310.98</v>
      </c>
      <c r="E32" s="38"/>
      <c r="F32" s="39"/>
    </row>
    <row r="33" spans="1:6" ht="15.75" thickBot="1" x14ac:dyDescent="0.3">
      <c r="A33" s="53"/>
      <c r="B33" s="12">
        <v>4.43</v>
      </c>
      <c r="C33" s="14">
        <v>85.13</v>
      </c>
      <c r="D33" s="34">
        <f t="shared" si="0"/>
        <v>337.64</v>
      </c>
      <c r="E33" s="40"/>
      <c r="F33" s="41"/>
    </row>
    <row r="34" spans="1:6" x14ac:dyDescent="0.25">
      <c r="A34" s="48" t="s">
        <v>12</v>
      </c>
      <c r="B34" s="11">
        <v>4</v>
      </c>
      <c r="C34" s="11">
        <v>60</v>
      </c>
      <c r="D34" s="32">
        <f t="shared" si="0"/>
        <v>288</v>
      </c>
      <c r="E34" s="36"/>
      <c r="F34" s="37"/>
    </row>
    <row r="35" spans="1:6" x14ac:dyDescent="0.25">
      <c r="A35" s="49"/>
      <c r="B35" s="1">
        <v>3.96</v>
      </c>
      <c r="C35" s="1">
        <v>80</v>
      </c>
      <c r="D35" s="33">
        <f t="shared" si="0"/>
        <v>305.72000000000003</v>
      </c>
      <c r="E35" s="38">
        <v>249.5</v>
      </c>
      <c r="F35" s="39">
        <v>305.72000000000003</v>
      </c>
    </row>
    <row r="36" spans="1:6" x14ac:dyDescent="0.25">
      <c r="A36" s="49"/>
      <c r="B36" s="1">
        <v>3.5</v>
      </c>
      <c r="C36" s="1">
        <v>50</v>
      </c>
      <c r="D36" s="33">
        <f t="shared" si="0"/>
        <v>249.5</v>
      </c>
      <c r="E36" s="38"/>
      <c r="F36" s="39"/>
    </row>
    <row r="37" spans="1:6" ht="15.75" thickBot="1" x14ac:dyDescent="0.3">
      <c r="A37" s="50"/>
      <c r="B37" s="1">
        <v>3.96</v>
      </c>
      <c r="C37" s="1">
        <v>70</v>
      </c>
      <c r="D37" s="33">
        <f t="shared" si="0"/>
        <v>295.72000000000003</v>
      </c>
      <c r="E37" s="38"/>
      <c r="F37" s="39"/>
    </row>
    <row r="38" spans="1:6" x14ac:dyDescent="0.25">
      <c r="A38" s="51" t="s">
        <v>20</v>
      </c>
      <c r="B38" s="11">
        <v>3.75</v>
      </c>
      <c r="C38" s="11">
        <v>68.099999999999994</v>
      </c>
      <c r="D38" s="32">
        <f t="shared" si="0"/>
        <v>281.85000000000002</v>
      </c>
      <c r="E38" s="36"/>
      <c r="F38" s="37"/>
    </row>
    <row r="39" spans="1:6" x14ac:dyDescent="0.25">
      <c r="A39" s="52"/>
      <c r="B39" s="1">
        <v>3.2</v>
      </c>
      <c r="C39" s="1">
        <v>39.729999999999997</v>
      </c>
      <c r="D39" s="33">
        <f t="shared" si="0"/>
        <v>222.13</v>
      </c>
      <c r="E39" s="38">
        <v>171</v>
      </c>
      <c r="F39" s="39">
        <v>281.85000000000002</v>
      </c>
    </row>
    <row r="40" spans="1:6" ht="15.75" thickBot="1" x14ac:dyDescent="0.3">
      <c r="A40" s="53"/>
      <c r="B40" s="14">
        <v>3</v>
      </c>
      <c r="C40" s="14">
        <v>0</v>
      </c>
      <c r="D40" s="34">
        <f t="shared" si="0"/>
        <v>171</v>
      </c>
      <c r="E40" s="40"/>
      <c r="F40" s="41"/>
    </row>
    <row r="41" spans="1:6" x14ac:dyDescent="0.25">
      <c r="A41" s="51" t="s">
        <v>6</v>
      </c>
      <c r="B41" s="11">
        <v>3.98</v>
      </c>
      <c r="C41" s="11">
        <v>56.75</v>
      </c>
      <c r="D41" s="32">
        <f t="shared" si="0"/>
        <v>283.61</v>
      </c>
      <c r="E41" s="36"/>
      <c r="F41" s="37"/>
    </row>
    <row r="42" spans="1:6" x14ac:dyDescent="0.25">
      <c r="A42" s="52"/>
      <c r="B42" s="1">
        <v>3.57</v>
      </c>
      <c r="C42" s="1">
        <v>0</v>
      </c>
      <c r="D42" s="33">
        <f t="shared" si="0"/>
        <v>203.48999999999998</v>
      </c>
      <c r="E42" s="38"/>
      <c r="F42" s="39"/>
    </row>
    <row r="43" spans="1:6" x14ac:dyDescent="0.25">
      <c r="A43" s="52"/>
      <c r="B43" s="1">
        <v>3.75</v>
      </c>
      <c r="C43" s="1">
        <v>75</v>
      </c>
      <c r="D43" s="33">
        <f t="shared" si="0"/>
        <v>288.75</v>
      </c>
      <c r="E43" s="38"/>
      <c r="F43" s="39"/>
    </row>
    <row r="44" spans="1:6" x14ac:dyDescent="0.25">
      <c r="A44" s="52"/>
      <c r="B44" s="1">
        <v>3.98</v>
      </c>
      <c r="C44" s="1">
        <v>56.75</v>
      </c>
      <c r="D44" s="33">
        <f t="shared" si="0"/>
        <v>283.61</v>
      </c>
      <c r="E44" s="38">
        <v>203.49</v>
      </c>
      <c r="F44" s="39">
        <v>424</v>
      </c>
    </row>
    <row r="45" spans="1:6" x14ac:dyDescent="0.25">
      <c r="A45" s="52"/>
      <c r="B45" s="1">
        <v>3.69</v>
      </c>
      <c r="C45" s="1">
        <v>79.45</v>
      </c>
      <c r="D45" s="33">
        <f t="shared" si="0"/>
        <v>289.77999999999997</v>
      </c>
      <c r="E45" s="38"/>
      <c r="F45" s="39"/>
    </row>
    <row r="46" spans="1:6" x14ac:dyDescent="0.25">
      <c r="A46" s="52"/>
      <c r="B46" s="1">
        <v>4.03</v>
      </c>
      <c r="C46" s="1">
        <v>70.37</v>
      </c>
      <c r="D46" s="33">
        <f t="shared" si="0"/>
        <v>300.08000000000004</v>
      </c>
      <c r="E46" s="38"/>
      <c r="F46" s="39"/>
    </row>
    <row r="47" spans="1:6" x14ac:dyDescent="0.25">
      <c r="A47" s="52"/>
      <c r="B47" s="1">
        <v>2</v>
      </c>
      <c r="C47" s="1">
        <v>310</v>
      </c>
      <c r="D47" s="33">
        <f t="shared" si="0"/>
        <v>424</v>
      </c>
      <c r="E47" s="38"/>
      <c r="F47" s="39"/>
    </row>
    <row r="48" spans="1:6" ht="15.75" thickBot="1" x14ac:dyDescent="0.3">
      <c r="A48" s="53"/>
      <c r="B48" s="12">
        <v>3.97</v>
      </c>
      <c r="C48" s="14">
        <v>50</v>
      </c>
      <c r="D48" s="34">
        <f t="shared" si="0"/>
        <v>276.29000000000002</v>
      </c>
      <c r="E48" s="40"/>
      <c r="F48" s="41"/>
    </row>
    <row r="49" spans="1:6" x14ac:dyDescent="0.25">
      <c r="A49" s="51" t="s">
        <v>14</v>
      </c>
      <c r="B49" s="11">
        <v>2.75</v>
      </c>
      <c r="C49" s="11">
        <v>102.15</v>
      </c>
      <c r="D49" s="32">
        <f t="shared" si="0"/>
        <v>258.89999999999998</v>
      </c>
      <c r="E49" s="36"/>
      <c r="F49" s="37"/>
    </row>
    <row r="50" spans="1:6" x14ac:dyDescent="0.25">
      <c r="A50" s="52"/>
      <c r="B50" s="1">
        <v>3</v>
      </c>
      <c r="C50" s="1">
        <v>70</v>
      </c>
      <c r="D50" s="33">
        <f t="shared" si="0"/>
        <v>241</v>
      </c>
      <c r="E50" s="38"/>
      <c r="F50" s="39"/>
    </row>
    <row r="51" spans="1:6" x14ac:dyDescent="0.25">
      <c r="A51" s="52"/>
      <c r="B51" s="1">
        <v>3</v>
      </c>
      <c r="C51" s="1">
        <v>60</v>
      </c>
      <c r="D51" s="33">
        <f t="shared" si="0"/>
        <v>231</v>
      </c>
      <c r="E51" s="38">
        <v>231</v>
      </c>
      <c r="F51" s="39">
        <v>294.39</v>
      </c>
    </row>
    <row r="52" spans="1:6" x14ac:dyDescent="0.25">
      <c r="A52" s="52"/>
      <c r="B52" s="2">
        <v>3.97</v>
      </c>
      <c r="C52" s="1">
        <v>56.75</v>
      </c>
      <c r="D52" s="33">
        <f t="shared" si="0"/>
        <v>283.04000000000002</v>
      </c>
      <c r="E52" s="38"/>
      <c r="F52" s="39"/>
    </row>
    <row r="53" spans="1:6" ht="15.75" thickBot="1" x14ac:dyDescent="0.3">
      <c r="A53" s="53"/>
      <c r="B53" s="12">
        <v>3.97</v>
      </c>
      <c r="C53" s="14">
        <v>68.099999999999994</v>
      </c>
      <c r="D53" s="34">
        <f t="shared" si="0"/>
        <v>294.39</v>
      </c>
      <c r="E53" s="40"/>
      <c r="F53" s="41"/>
    </row>
    <row r="54" spans="1:6" x14ac:dyDescent="0.25">
      <c r="A54" s="51" t="s">
        <v>8</v>
      </c>
      <c r="B54" s="11">
        <v>2.75</v>
      </c>
      <c r="C54" s="11">
        <v>70</v>
      </c>
      <c r="D54" s="32">
        <f t="shared" si="0"/>
        <v>226.75</v>
      </c>
      <c r="E54" s="36"/>
      <c r="F54" s="37"/>
    </row>
    <row r="55" spans="1:6" x14ac:dyDescent="0.25">
      <c r="A55" s="52"/>
      <c r="B55" s="1">
        <v>3.5</v>
      </c>
      <c r="C55" s="1">
        <v>50</v>
      </c>
      <c r="D55" s="33">
        <f t="shared" si="0"/>
        <v>249.5</v>
      </c>
      <c r="E55" s="38"/>
      <c r="F55" s="39"/>
    </row>
    <row r="56" spans="1:6" x14ac:dyDescent="0.25">
      <c r="A56" s="52"/>
      <c r="B56" s="1">
        <v>3.5</v>
      </c>
      <c r="C56" s="1">
        <v>25</v>
      </c>
      <c r="D56" s="33">
        <f t="shared" si="0"/>
        <v>224.5</v>
      </c>
      <c r="E56" s="38"/>
      <c r="F56" s="39"/>
    </row>
    <row r="57" spans="1:6" x14ac:dyDescent="0.25">
      <c r="A57" s="52"/>
      <c r="B57" s="1">
        <v>3.5</v>
      </c>
      <c r="C57" s="1">
        <v>25</v>
      </c>
      <c r="D57" s="33">
        <f t="shared" si="0"/>
        <v>224.5</v>
      </c>
      <c r="E57" s="38">
        <v>189.24</v>
      </c>
      <c r="F57" s="39">
        <v>308.77999999999997</v>
      </c>
    </row>
    <row r="58" spans="1:6" x14ac:dyDescent="0.25">
      <c r="A58" s="52"/>
      <c r="B58" s="2">
        <v>3.75</v>
      </c>
      <c r="C58" s="1">
        <v>56.75</v>
      </c>
      <c r="D58" s="33">
        <f t="shared" si="0"/>
        <v>270.5</v>
      </c>
      <c r="E58" s="38"/>
      <c r="F58" s="39"/>
    </row>
    <row r="59" spans="1:6" x14ac:dyDescent="0.25">
      <c r="A59" s="52"/>
      <c r="B59" s="2">
        <v>3.32</v>
      </c>
      <c r="C59" s="1">
        <v>0</v>
      </c>
      <c r="D59" s="33">
        <f t="shared" si="0"/>
        <v>189.23999999999998</v>
      </c>
      <c r="E59" s="38"/>
      <c r="F59" s="39"/>
    </row>
    <row r="60" spans="1:6" x14ac:dyDescent="0.25">
      <c r="A60" s="52"/>
      <c r="B60" s="4">
        <v>4.54</v>
      </c>
      <c r="C60" s="3">
        <v>50</v>
      </c>
      <c r="D60" s="33">
        <f t="shared" si="0"/>
        <v>308.78000000000003</v>
      </c>
      <c r="E60" s="38"/>
      <c r="F60" s="39"/>
    </row>
    <row r="61" spans="1:6" ht="15.75" thickBot="1" x14ac:dyDescent="0.3">
      <c r="A61" s="53"/>
      <c r="B61" s="12">
        <v>3.75</v>
      </c>
      <c r="C61" s="14">
        <v>79.45</v>
      </c>
      <c r="D61" s="34">
        <f t="shared" si="0"/>
        <v>293.2</v>
      </c>
      <c r="E61" s="40"/>
      <c r="F61" s="41"/>
    </row>
    <row r="62" spans="1:6" x14ac:dyDescent="0.25">
      <c r="A62" s="51" t="s">
        <v>18</v>
      </c>
      <c r="B62" s="11">
        <v>3.41</v>
      </c>
      <c r="C62" s="11">
        <v>51.08</v>
      </c>
      <c r="D62" s="32">
        <f t="shared" si="0"/>
        <v>245.45</v>
      </c>
      <c r="E62" s="36"/>
      <c r="F62" s="37"/>
    </row>
    <row r="63" spans="1:6" x14ac:dyDescent="0.25">
      <c r="A63" s="52"/>
      <c r="B63" s="1">
        <v>3.2</v>
      </c>
      <c r="C63" s="1">
        <v>47.5</v>
      </c>
      <c r="D63" s="33">
        <f t="shared" si="0"/>
        <v>229.9</v>
      </c>
      <c r="E63" s="38"/>
      <c r="F63" s="39"/>
    </row>
    <row r="64" spans="1:6" x14ac:dyDescent="0.25">
      <c r="A64" s="52"/>
      <c r="B64" s="1">
        <v>3.6</v>
      </c>
      <c r="C64" s="1">
        <v>60</v>
      </c>
      <c r="D64" s="33">
        <f t="shared" si="0"/>
        <v>265.20000000000005</v>
      </c>
      <c r="E64" s="38"/>
      <c r="F64" s="39"/>
    </row>
    <row r="65" spans="1:6" x14ac:dyDescent="0.25">
      <c r="A65" s="52"/>
      <c r="B65" s="1">
        <v>3.6</v>
      </c>
      <c r="C65" s="1">
        <v>68.099999999999994</v>
      </c>
      <c r="D65" s="33">
        <f t="shared" si="0"/>
        <v>273.3</v>
      </c>
      <c r="E65" s="38">
        <v>214.32</v>
      </c>
      <c r="F65" s="39">
        <v>282.95</v>
      </c>
    </row>
    <row r="66" spans="1:6" x14ac:dyDescent="0.25">
      <c r="A66" s="52"/>
      <c r="B66" s="1">
        <v>4.3499999999999996</v>
      </c>
      <c r="C66" s="1">
        <v>30</v>
      </c>
      <c r="D66" s="33">
        <f t="shared" si="0"/>
        <v>277.95</v>
      </c>
      <c r="E66" s="38"/>
      <c r="F66" s="39"/>
    </row>
    <row r="67" spans="1:6" x14ac:dyDescent="0.25">
      <c r="A67" s="52"/>
      <c r="B67" s="1">
        <v>3.76</v>
      </c>
      <c r="C67" s="1">
        <v>0</v>
      </c>
      <c r="D67" s="33">
        <f t="shared" si="0"/>
        <v>214.32</v>
      </c>
      <c r="E67" s="38"/>
      <c r="F67" s="39"/>
    </row>
    <row r="68" spans="1:6" ht="15.75" thickBot="1" x14ac:dyDescent="0.3">
      <c r="A68" s="53"/>
      <c r="B68" s="14">
        <v>4.3499999999999996</v>
      </c>
      <c r="C68" s="14">
        <v>35</v>
      </c>
      <c r="D68" s="34">
        <f t="shared" ref="D68:D131" si="1">B68*$B$2+C68</f>
        <v>282.95</v>
      </c>
      <c r="E68" s="40"/>
      <c r="F68" s="41"/>
    </row>
    <row r="69" spans="1:6" x14ac:dyDescent="0.25">
      <c r="A69" s="51" t="s">
        <v>21</v>
      </c>
      <c r="B69" s="15">
        <v>3.97</v>
      </c>
      <c r="C69" s="11">
        <v>80</v>
      </c>
      <c r="D69" s="32">
        <f t="shared" si="1"/>
        <v>306.29000000000002</v>
      </c>
      <c r="E69" s="36"/>
      <c r="F69" s="37"/>
    </row>
    <row r="70" spans="1:6" x14ac:dyDescent="0.25">
      <c r="A70" s="52"/>
      <c r="B70" s="4">
        <v>3.97</v>
      </c>
      <c r="C70" s="3">
        <v>100</v>
      </c>
      <c r="D70" s="33">
        <f t="shared" si="1"/>
        <v>326.29000000000002</v>
      </c>
      <c r="E70" s="38"/>
      <c r="F70" s="39"/>
    </row>
    <row r="71" spans="1:6" x14ac:dyDescent="0.25">
      <c r="A71" s="52"/>
      <c r="B71" s="1">
        <v>3.41</v>
      </c>
      <c r="C71" s="1">
        <v>50</v>
      </c>
      <c r="D71" s="33">
        <f t="shared" si="1"/>
        <v>244.37</v>
      </c>
      <c r="E71" s="38"/>
      <c r="F71" s="39"/>
    </row>
    <row r="72" spans="1:6" x14ac:dyDescent="0.25">
      <c r="A72" s="52"/>
      <c r="B72" s="1">
        <v>4.2</v>
      </c>
      <c r="C72" s="1">
        <v>54</v>
      </c>
      <c r="D72" s="33">
        <f t="shared" si="1"/>
        <v>293.39999999999998</v>
      </c>
      <c r="E72" s="38"/>
      <c r="F72" s="39"/>
    </row>
    <row r="73" spans="1:6" x14ac:dyDescent="0.25">
      <c r="A73" s="52"/>
      <c r="B73" s="1">
        <v>3.75</v>
      </c>
      <c r="C73" s="1">
        <v>70</v>
      </c>
      <c r="D73" s="33">
        <f t="shared" si="1"/>
        <v>283.75</v>
      </c>
      <c r="E73" s="38">
        <v>244.37</v>
      </c>
      <c r="F73" s="39">
        <v>326.29000000000002</v>
      </c>
    </row>
    <row r="74" spans="1:6" x14ac:dyDescent="0.25">
      <c r="A74" s="52"/>
      <c r="B74" s="1">
        <v>4.2</v>
      </c>
      <c r="C74" s="1">
        <v>70</v>
      </c>
      <c r="D74" s="33">
        <f t="shared" si="1"/>
        <v>309.39999999999998</v>
      </c>
      <c r="E74" s="38"/>
      <c r="F74" s="39"/>
    </row>
    <row r="75" spans="1:6" x14ac:dyDescent="0.25">
      <c r="A75" s="52"/>
      <c r="B75" s="1">
        <v>3.97</v>
      </c>
      <c r="C75" s="1">
        <v>40</v>
      </c>
      <c r="D75" s="33">
        <f t="shared" si="1"/>
        <v>266.29000000000002</v>
      </c>
      <c r="E75" s="38"/>
      <c r="F75" s="39"/>
    </row>
    <row r="76" spans="1:6" x14ac:dyDescent="0.25">
      <c r="A76" s="52"/>
      <c r="B76" s="1">
        <v>4.2</v>
      </c>
      <c r="C76" s="1">
        <v>50</v>
      </c>
      <c r="D76" s="33">
        <f t="shared" si="1"/>
        <v>289.39999999999998</v>
      </c>
      <c r="E76" s="38"/>
      <c r="F76" s="39"/>
    </row>
    <row r="77" spans="1:6" ht="15.75" thickBot="1" x14ac:dyDescent="0.3">
      <c r="A77" s="53"/>
      <c r="B77" s="14">
        <v>3.97</v>
      </c>
      <c r="C77" s="14">
        <v>56.75</v>
      </c>
      <c r="D77" s="34">
        <f t="shared" si="1"/>
        <v>283.04000000000002</v>
      </c>
      <c r="E77" s="40"/>
      <c r="F77" s="41"/>
    </row>
    <row r="78" spans="1:6" x14ac:dyDescent="0.25">
      <c r="A78" s="51" t="s">
        <v>4</v>
      </c>
      <c r="B78" s="11">
        <v>3.5</v>
      </c>
      <c r="C78" s="11">
        <v>70</v>
      </c>
      <c r="D78" s="32">
        <f t="shared" si="1"/>
        <v>269.5</v>
      </c>
      <c r="E78" s="36"/>
      <c r="F78" s="37"/>
    </row>
    <row r="79" spans="1:6" x14ac:dyDescent="0.25">
      <c r="A79" s="52"/>
      <c r="B79" s="1">
        <v>3.69</v>
      </c>
      <c r="C79" s="1">
        <v>79.45</v>
      </c>
      <c r="D79" s="33">
        <f t="shared" si="1"/>
        <v>289.77999999999997</v>
      </c>
      <c r="E79" s="38">
        <v>266.60000000000002</v>
      </c>
      <c r="F79" s="39">
        <v>289.77999999999997</v>
      </c>
    </row>
    <row r="80" spans="1:6" ht="15.75" thickBot="1" x14ac:dyDescent="0.3">
      <c r="A80" s="53"/>
      <c r="B80" s="14">
        <v>3.8</v>
      </c>
      <c r="C80" s="14">
        <v>50</v>
      </c>
      <c r="D80" s="34">
        <f t="shared" si="1"/>
        <v>266.60000000000002</v>
      </c>
      <c r="E80" s="40"/>
      <c r="F80" s="41"/>
    </row>
    <row r="81" spans="1:6" x14ac:dyDescent="0.25">
      <c r="A81" s="51" t="s">
        <v>5</v>
      </c>
      <c r="B81" s="11">
        <v>4.5</v>
      </c>
      <c r="C81" s="11">
        <v>45.4</v>
      </c>
      <c r="D81" s="32">
        <f t="shared" si="1"/>
        <v>301.89999999999998</v>
      </c>
      <c r="E81" s="36"/>
      <c r="F81" s="37"/>
    </row>
    <row r="82" spans="1:6" x14ac:dyDescent="0.25">
      <c r="A82" s="52"/>
      <c r="B82" s="1">
        <v>3.41</v>
      </c>
      <c r="C82" s="1">
        <v>40.630000000000003</v>
      </c>
      <c r="D82" s="33">
        <f t="shared" si="1"/>
        <v>235</v>
      </c>
      <c r="E82" s="38"/>
      <c r="F82" s="39"/>
    </row>
    <row r="83" spans="1:6" x14ac:dyDescent="0.25">
      <c r="A83" s="52"/>
      <c r="B83" s="1">
        <v>4.5</v>
      </c>
      <c r="C83" s="1">
        <v>45.4</v>
      </c>
      <c r="D83" s="33">
        <f t="shared" si="1"/>
        <v>301.89999999999998</v>
      </c>
      <c r="E83" s="38"/>
      <c r="F83" s="39"/>
    </row>
    <row r="84" spans="1:6" x14ac:dyDescent="0.25">
      <c r="A84" s="52"/>
      <c r="B84" s="1">
        <v>3</v>
      </c>
      <c r="C84" s="1">
        <v>25</v>
      </c>
      <c r="D84" s="33">
        <f t="shared" si="1"/>
        <v>196</v>
      </c>
      <c r="E84" s="38"/>
      <c r="F84" s="39"/>
    </row>
    <row r="85" spans="1:6" x14ac:dyDescent="0.25">
      <c r="A85" s="52"/>
      <c r="B85" s="1">
        <v>3.2</v>
      </c>
      <c r="C85" s="1">
        <v>0</v>
      </c>
      <c r="D85" s="33">
        <f t="shared" si="1"/>
        <v>182.4</v>
      </c>
      <c r="E85" s="38">
        <v>171</v>
      </c>
      <c r="F85" s="39">
        <v>361.78</v>
      </c>
    </row>
    <row r="86" spans="1:6" x14ac:dyDescent="0.25">
      <c r="A86" s="52"/>
      <c r="B86" s="1">
        <v>3</v>
      </c>
      <c r="C86" s="1">
        <v>0</v>
      </c>
      <c r="D86" s="33">
        <f t="shared" si="1"/>
        <v>171</v>
      </c>
      <c r="E86" s="38"/>
      <c r="F86" s="39"/>
    </row>
    <row r="87" spans="1:6" x14ac:dyDescent="0.25">
      <c r="A87" s="52"/>
      <c r="B87" s="1">
        <v>3</v>
      </c>
      <c r="C87" s="1">
        <v>40</v>
      </c>
      <c r="D87" s="33">
        <f t="shared" si="1"/>
        <v>211</v>
      </c>
      <c r="E87" s="38"/>
      <c r="F87" s="39"/>
    </row>
    <row r="88" spans="1:6" x14ac:dyDescent="0.25">
      <c r="A88" s="52"/>
      <c r="B88" s="1">
        <v>5.65</v>
      </c>
      <c r="C88" s="1">
        <v>39.729999999999997</v>
      </c>
      <c r="D88" s="33">
        <f t="shared" si="1"/>
        <v>361.78000000000003</v>
      </c>
      <c r="E88" s="38"/>
      <c r="F88" s="39"/>
    </row>
    <row r="89" spans="1:6" ht="15.75" thickBot="1" x14ac:dyDescent="0.3">
      <c r="A89" s="53"/>
      <c r="B89" s="14">
        <v>3.41</v>
      </c>
      <c r="C89" s="14">
        <v>56.75</v>
      </c>
      <c r="D89" s="34">
        <f t="shared" si="1"/>
        <v>251.12</v>
      </c>
      <c r="E89" s="40"/>
      <c r="F89" s="41"/>
    </row>
    <row r="90" spans="1:6" x14ac:dyDescent="0.25">
      <c r="A90" s="51" t="s">
        <v>10</v>
      </c>
      <c r="B90" s="11">
        <v>3</v>
      </c>
      <c r="C90" s="11">
        <v>45</v>
      </c>
      <c r="D90" s="32">
        <f t="shared" si="1"/>
        <v>216</v>
      </c>
      <c r="E90" s="36"/>
      <c r="F90" s="37"/>
    </row>
    <row r="91" spans="1:6" x14ac:dyDescent="0.25">
      <c r="A91" s="52"/>
      <c r="B91" s="1">
        <v>3</v>
      </c>
      <c r="C91" s="1">
        <v>90</v>
      </c>
      <c r="D91" s="33">
        <f t="shared" si="1"/>
        <v>261</v>
      </c>
      <c r="E91" s="38"/>
      <c r="F91" s="39"/>
    </row>
    <row r="92" spans="1:6" x14ac:dyDescent="0.25">
      <c r="A92" s="52"/>
      <c r="B92" s="1">
        <v>3.98</v>
      </c>
      <c r="C92" s="1">
        <v>0</v>
      </c>
      <c r="D92" s="33">
        <f t="shared" si="1"/>
        <v>226.85999999999999</v>
      </c>
      <c r="E92" s="38">
        <v>167.5</v>
      </c>
      <c r="F92" s="39">
        <v>261</v>
      </c>
    </row>
    <row r="93" spans="1:6" x14ac:dyDescent="0.25">
      <c r="A93" s="52"/>
      <c r="B93" s="1">
        <v>2.5</v>
      </c>
      <c r="C93" s="1">
        <v>25</v>
      </c>
      <c r="D93" s="33">
        <f t="shared" si="1"/>
        <v>167.5</v>
      </c>
      <c r="E93" s="38"/>
      <c r="F93" s="39"/>
    </row>
    <row r="94" spans="1:6" ht="15.75" thickBot="1" x14ac:dyDescent="0.3">
      <c r="A94" s="53"/>
      <c r="B94" s="14">
        <v>3</v>
      </c>
      <c r="C94" s="14">
        <v>45</v>
      </c>
      <c r="D94" s="34">
        <f t="shared" si="1"/>
        <v>216</v>
      </c>
      <c r="E94" s="40"/>
      <c r="F94" s="41"/>
    </row>
    <row r="95" spans="1:6" x14ac:dyDescent="0.25">
      <c r="A95" s="51" t="s">
        <v>11</v>
      </c>
      <c r="B95" s="11">
        <v>3</v>
      </c>
      <c r="C95" s="11">
        <v>0</v>
      </c>
      <c r="D95" s="32">
        <f t="shared" si="1"/>
        <v>171</v>
      </c>
      <c r="E95" s="36">
        <v>171</v>
      </c>
      <c r="F95" s="37">
        <v>244.9</v>
      </c>
    </row>
    <row r="96" spans="1:6" ht="15.75" thickBot="1" x14ac:dyDescent="0.3">
      <c r="A96" s="53"/>
      <c r="B96" s="14">
        <v>3.5</v>
      </c>
      <c r="C96" s="12">
        <v>45.4</v>
      </c>
      <c r="D96" s="34">
        <f t="shared" si="1"/>
        <v>244.9</v>
      </c>
      <c r="E96" s="40"/>
      <c r="F96" s="41"/>
    </row>
    <row r="97" spans="1:6" x14ac:dyDescent="0.25">
      <c r="A97" s="51" t="s">
        <v>22</v>
      </c>
      <c r="B97" s="11">
        <v>3.88</v>
      </c>
      <c r="C97" s="11">
        <v>84</v>
      </c>
      <c r="D97" s="32">
        <f t="shared" si="1"/>
        <v>305.15999999999997</v>
      </c>
      <c r="E97" s="36"/>
      <c r="F97" s="37"/>
    </row>
    <row r="98" spans="1:6" x14ac:dyDescent="0.25">
      <c r="A98" s="52"/>
      <c r="B98" s="1">
        <v>4.25</v>
      </c>
      <c r="C98" s="1">
        <v>0</v>
      </c>
      <c r="D98" s="33">
        <f t="shared" si="1"/>
        <v>242.25</v>
      </c>
      <c r="E98" s="38"/>
      <c r="F98" s="39"/>
    </row>
    <row r="99" spans="1:6" x14ac:dyDescent="0.25">
      <c r="A99" s="52"/>
      <c r="B99" s="1">
        <v>3.92</v>
      </c>
      <c r="C99" s="1">
        <v>77</v>
      </c>
      <c r="D99" s="33">
        <f t="shared" si="1"/>
        <v>300.44</v>
      </c>
      <c r="E99" s="38">
        <v>242.25</v>
      </c>
      <c r="F99" s="39">
        <v>433.54</v>
      </c>
    </row>
    <row r="100" spans="1:6" x14ac:dyDescent="0.25">
      <c r="A100" s="52"/>
      <c r="B100" s="1">
        <v>3.29</v>
      </c>
      <c r="C100" s="1">
        <v>84</v>
      </c>
      <c r="D100" s="33">
        <f t="shared" si="1"/>
        <v>271.52999999999997</v>
      </c>
      <c r="E100" s="38"/>
      <c r="F100" s="39"/>
    </row>
    <row r="101" spans="1:6" x14ac:dyDescent="0.25">
      <c r="A101" s="52"/>
      <c r="B101" s="1">
        <v>4.42</v>
      </c>
      <c r="C101" s="1">
        <v>181.6</v>
      </c>
      <c r="D101" s="33">
        <f t="shared" si="1"/>
        <v>433.53999999999996</v>
      </c>
      <c r="E101" s="38"/>
      <c r="F101" s="39"/>
    </row>
    <row r="102" spans="1:6" ht="15.75" thickBot="1" x14ac:dyDescent="0.3">
      <c r="A102" s="53"/>
      <c r="B102" s="14">
        <v>4.05</v>
      </c>
      <c r="C102" s="14">
        <v>60.75</v>
      </c>
      <c r="D102" s="34">
        <f t="shared" si="1"/>
        <v>291.60000000000002</v>
      </c>
      <c r="E102" s="40"/>
      <c r="F102" s="41"/>
    </row>
    <row r="103" spans="1:6" x14ac:dyDescent="0.25">
      <c r="A103" s="51" t="s">
        <v>15</v>
      </c>
      <c r="B103" s="11">
        <v>3</v>
      </c>
      <c r="C103" s="11">
        <v>90</v>
      </c>
      <c r="D103" s="32">
        <f t="shared" si="1"/>
        <v>261</v>
      </c>
      <c r="E103" s="36"/>
      <c r="F103" s="37"/>
    </row>
    <row r="104" spans="1:6" x14ac:dyDescent="0.25">
      <c r="A104" s="52"/>
      <c r="B104" s="1">
        <v>3.5</v>
      </c>
      <c r="C104" s="1">
        <v>90</v>
      </c>
      <c r="D104" s="33">
        <f t="shared" si="1"/>
        <v>289.5</v>
      </c>
      <c r="E104" s="38">
        <v>197.5</v>
      </c>
      <c r="F104" s="39">
        <v>289.5</v>
      </c>
    </row>
    <row r="105" spans="1:6" x14ac:dyDescent="0.25">
      <c r="A105" s="52"/>
      <c r="B105" s="1">
        <v>2.5</v>
      </c>
      <c r="C105" s="1">
        <v>55</v>
      </c>
      <c r="D105" s="33">
        <f t="shared" si="1"/>
        <v>197.5</v>
      </c>
      <c r="E105" s="38"/>
      <c r="F105" s="39"/>
    </row>
    <row r="106" spans="1:6" ht="15.75" thickBot="1" x14ac:dyDescent="0.3">
      <c r="A106" s="53"/>
      <c r="B106" s="14">
        <v>3</v>
      </c>
      <c r="C106" s="14">
        <v>90</v>
      </c>
      <c r="D106" s="34">
        <f t="shared" si="1"/>
        <v>261</v>
      </c>
      <c r="E106" s="40"/>
      <c r="F106" s="41"/>
    </row>
    <row r="107" spans="1:6" x14ac:dyDescent="0.25">
      <c r="A107" s="51" t="s">
        <v>9</v>
      </c>
      <c r="B107" s="11">
        <v>4.2</v>
      </c>
      <c r="C107" s="11">
        <v>56.74</v>
      </c>
      <c r="D107" s="32">
        <f t="shared" si="1"/>
        <v>296.14</v>
      </c>
      <c r="E107" s="36"/>
      <c r="F107" s="37"/>
    </row>
    <row r="108" spans="1:6" x14ac:dyDescent="0.25">
      <c r="A108" s="52"/>
      <c r="B108" s="1">
        <v>3.75</v>
      </c>
      <c r="C108" s="1">
        <v>50</v>
      </c>
      <c r="D108" s="33">
        <f t="shared" si="1"/>
        <v>263.75</v>
      </c>
      <c r="E108" s="38"/>
      <c r="F108" s="39"/>
    </row>
    <row r="109" spans="1:6" x14ac:dyDescent="0.25">
      <c r="A109" s="52"/>
      <c r="B109" s="1">
        <v>4.5</v>
      </c>
      <c r="C109" s="1">
        <v>80</v>
      </c>
      <c r="D109" s="33">
        <f t="shared" si="1"/>
        <v>336.5</v>
      </c>
      <c r="E109" s="38"/>
      <c r="F109" s="39"/>
    </row>
    <row r="110" spans="1:6" x14ac:dyDescent="0.25">
      <c r="A110" s="52"/>
      <c r="B110" s="1">
        <v>4.3600000000000003</v>
      </c>
      <c r="C110" s="1">
        <v>57</v>
      </c>
      <c r="D110" s="33">
        <f t="shared" si="1"/>
        <v>305.52</v>
      </c>
      <c r="E110" s="38">
        <v>248.37</v>
      </c>
      <c r="F110" s="39">
        <v>336.5</v>
      </c>
    </row>
    <row r="111" spans="1:6" x14ac:dyDescent="0.25">
      <c r="A111" s="52"/>
      <c r="B111" s="1">
        <v>3.41</v>
      </c>
      <c r="C111" s="1">
        <v>54</v>
      </c>
      <c r="D111" s="33">
        <f t="shared" si="1"/>
        <v>248.37</v>
      </c>
      <c r="E111" s="38"/>
      <c r="F111" s="39"/>
    </row>
    <row r="112" spans="1:6" x14ac:dyDescent="0.25">
      <c r="A112" s="52"/>
      <c r="B112" s="1">
        <v>3.97</v>
      </c>
      <c r="C112" s="1">
        <v>60</v>
      </c>
      <c r="D112" s="33">
        <f t="shared" si="1"/>
        <v>286.29000000000002</v>
      </c>
      <c r="E112" s="38"/>
      <c r="F112" s="39"/>
    </row>
    <row r="113" spans="1:6" ht="15.75" thickBot="1" x14ac:dyDescent="0.3">
      <c r="A113" s="53"/>
      <c r="B113" s="14">
        <v>4.4800000000000004</v>
      </c>
      <c r="C113" s="14">
        <v>50</v>
      </c>
      <c r="D113" s="34">
        <f t="shared" si="1"/>
        <v>305.36</v>
      </c>
      <c r="E113" s="40"/>
      <c r="F113" s="41"/>
    </row>
    <row r="114" spans="1:6" x14ac:dyDescent="0.25">
      <c r="A114" s="51" t="s">
        <v>7</v>
      </c>
      <c r="B114" s="11">
        <v>3.25</v>
      </c>
      <c r="C114" s="11">
        <v>65</v>
      </c>
      <c r="D114" s="32">
        <f t="shared" si="1"/>
        <v>250.25</v>
      </c>
      <c r="E114" s="36"/>
      <c r="F114" s="37"/>
    </row>
    <row r="115" spans="1:6" x14ac:dyDescent="0.25">
      <c r="A115" s="52"/>
      <c r="B115" s="2">
        <v>3.41</v>
      </c>
      <c r="C115" s="2">
        <v>70</v>
      </c>
      <c r="D115" s="33">
        <f t="shared" si="1"/>
        <v>264.37</v>
      </c>
      <c r="E115" s="38"/>
      <c r="F115" s="39"/>
    </row>
    <row r="116" spans="1:6" x14ac:dyDescent="0.25">
      <c r="A116" s="52"/>
      <c r="B116" s="1">
        <v>3.97</v>
      </c>
      <c r="C116" s="1">
        <v>50</v>
      </c>
      <c r="D116" s="33">
        <f t="shared" si="1"/>
        <v>276.29000000000002</v>
      </c>
      <c r="E116" s="38"/>
      <c r="F116" s="39"/>
    </row>
    <row r="117" spans="1:6" x14ac:dyDescent="0.25">
      <c r="A117" s="52"/>
      <c r="B117" s="1">
        <v>3.97</v>
      </c>
      <c r="C117" s="1">
        <v>60</v>
      </c>
      <c r="D117" s="33">
        <f t="shared" si="1"/>
        <v>286.29000000000002</v>
      </c>
      <c r="E117" s="38">
        <v>233.1</v>
      </c>
      <c r="F117" s="39">
        <v>286.29000000000002</v>
      </c>
    </row>
    <row r="118" spans="1:6" x14ac:dyDescent="0.25">
      <c r="A118" s="52"/>
      <c r="B118" s="1">
        <v>3.3</v>
      </c>
      <c r="C118" s="1">
        <v>45</v>
      </c>
      <c r="D118" s="33">
        <f t="shared" si="1"/>
        <v>233.1</v>
      </c>
      <c r="E118" s="38"/>
      <c r="F118" s="39"/>
    </row>
    <row r="119" spans="1:6" x14ac:dyDescent="0.25">
      <c r="A119" s="52"/>
      <c r="B119" s="1">
        <v>3.5</v>
      </c>
      <c r="C119" s="1">
        <v>79</v>
      </c>
      <c r="D119" s="33">
        <f t="shared" si="1"/>
        <v>278.5</v>
      </c>
      <c r="E119" s="38"/>
      <c r="F119" s="39"/>
    </row>
    <row r="120" spans="1:6" ht="15.75" thickBot="1" x14ac:dyDescent="0.3">
      <c r="A120" s="53"/>
      <c r="B120" s="14">
        <v>3.25</v>
      </c>
      <c r="C120" s="14">
        <v>65</v>
      </c>
      <c r="D120" s="34">
        <f t="shared" si="1"/>
        <v>250.25</v>
      </c>
      <c r="E120" s="40"/>
      <c r="F120" s="41"/>
    </row>
    <row r="121" spans="1:6" x14ac:dyDescent="0.25">
      <c r="A121" s="51" t="s">
        <v>24</v>
      </c>
      <c r="B121" s="11">
        <v>3.63</v>
      </c>
      <c r="C121" s="11">
        <v>68.099999999999994</v>
      </c>
      <c r="D121" s="32">
        <f t="shared" si="1"/>
        <v>275.01</v>
      </c>
      <c r="E121" s="36"/>
      <c r="F121" s="37"/>
    </row>
    <row r="122" spans="1:6" x14ac:dyDescent="0.25">
      <c r="A122" s="52"/>
      <c r="B122" s="1">
        <v>3.96</v>
      </c>
      <c r="C122" s="1">
        <v>77</v>
      </c>
      <c r="D122" s="33">
        <f t="shared" si="1"/>
        <v>302.72000000000003</v>
      </c>
      <c r="E122" s="38">
        <v>275.01</v>
      </c>
      <c r="F122" s="39">
        <v>302.72000000000003</v>
      </c>
    </row>
    <row r="123" spans="1:6" x14ac:dyDescent="0.25">
      <c r="A123" s="52"/>
      <c r="B123" s="1">
        <v>3.95</v>
      </c>
      <c r="C123" s="1">
        <v>64</v>
      </c>
      <c r="D123" s="33">
        <f t="shared" si="1"/>
        <v>289.14999999999998</v>
      </c>
      <c r="E123" s="38"/>
      <c r="F123" s="39"/>
    </row>
    <row r="124" spans="1:6" ht="15.75" thickBot="1" x14ac:dyDescent="0.3">
      <c r="A124" s="53"/>
      <c r="B124" s="14">
        <v>3.74</v>
      </c>
      <c r="C124" s="14">
        <v>71.55</v>
      </c>
      <c r="D124" s="34">
        <f t="shared" si="1"/>
        <v>284.73</v>
      </c>
      <c r="E124" s="40"/>
      <c r="F124" s="41"/>
    </row>
    <row r="125" spans="1:6" x14ac:dyDescent="0.25">
      <c r="A125" s="51" t="s">
        <v>2</v>
      </c>
      <c r="B125" s="11">
        <v>3.87</v>
      </c>
      <c r="C125" s="11">
        <v>0</v>
      </c>
      <c r="D125" s="32">
        <f t="shared" si="1"/>
        <v>220.59</v>
      </c>
      <c r="E125" s="36"/>
      <c r="F125" s="37"/>
    </row>
    <row r="126" spans="1:6" x14ac:dyDescent="0.25">
      <c r="A126" s="52"/>
      <c r="B126" s="1">
        <v>4.2300000000000004</v>
      </c>
      <c r="C126" s="1">
        <v>45</v>
      </c>
      <c r="D126" s="33">
        <f t="shared" si="1"/>
        <v>286.11</v>
      </c>
      <c r="E126" s="38"/>
      <c r="F126" s="39"/>
    </row>
    <row r="127" spans="1:6" x14ac:dyDescent="0.25">
      <c r="A127" s="52"/>
      <c r="B127" s="1">
        <v>4</v>
      </c>
      <c r="C127" s="1">
        <v>60</v>
      </c>
      <c r="D127" s="33">
        <f t="shared" si="1"/>
        <v>288</v>
      </c>
      <c r="E127" s="38">
        <v>220.59</v>
      </c>
      <c r="F127" s="39">
        <v>288</v>
      </c>
    </row>
    <row r="128" spans="1:6" x14ac:dyDescent="0.25">
      <c r="A128" s="52"/>
      <c r="B128" s="1">
        <v>3.7</v>
      </c>
      <c r="C128" s="1">
        <v>60</v>
      </c>
      <c r="D128" s="33">
        <f t="shared" si="1"/>
        <v>270.89999999999998</v>
      </c>
      <c r="E128" s="38"/>
      <c r="F128" s="39"/>
    </row>
    <row r="129" spans="1:6" ht="15.75" thickBot="1" x14ac:dyDescent="0.3">
      <c r="A129" s="53"/>
      <c r="B129" s="14">
        <v>4</v>
      </c>
      <c r="C129" s="14">
        <v>50</v>
      </c>
      <c r="D129" s="34">
        <f t="shared" si="1"/>
        <v>278</v>
      </c>
      <c r="E129" s="40"/>
      <c r="F129" s="41"/>
    </row>
    <row r="130" spans="1:6" x14ac:dyDescent="0.25">
      <c r="A130" s="51" t="s">
        <v>16</v>
      </c>
      <c r="B130" s="11">
        <v>3.15</v>
      </c>
      <c r="C130" s="11">
        <v>50</v>
      </c>
      <c r="D130" s="32">
        <f t="shared" si="1"/>
        <v>229.54999999999998</v>
      </c>
      <c r="E130" s="36"/>
      <c r="F130" s="37"/>
    </row>
    <row r="131" spans="1:6" x14ac:dyDescent="0.25">
      <c r="A131" s="52"/>
      <c r="B131" s="1">
        <v>3.3</v>
      </c>
      <c r="C131" s="1">
        <v>70</v>
      </c>
      <c r="D131" s="33">
        <f t="shared" si="1"/>
        <v>258.10000000000002</v>
      </c>
      <c r="E131" s="38">
        <v>222.4</v>
      </c>
      <c r="F131" s="39">
        <v>259.55</v>
      </c>
    </row>
    <row r="132" spans="1:6" x14ac:dyDescent="0.25">
      <c r="A132" s="52"/>
      <c r="B132" s="1">
        <v>3.15</v>
      </c>
      <c r="C132" s="1">
        <v>80</v>
      </c>
      <c r="D132" s="33">
        <f>B132*$B$2+C132</f>
        <v>259.54999999999995</v>
      </c>
      <c r="E132" s="38"/>
      <c r="F132" s="39"/>
    </row>
    <row r="133" spans="1:6" ht="15.75" thickBot="1" x14ac:dyDescent="0.3">
      <c r="A133" s="53"/>
      <c r="B133" s="14">
        <v>3.2</v>
      </c>
      <c r="C133" s="14">
        <v>40</v>
      </c>
      <c r="D133" s="34">
        <f>B133*$B$2+C133</f>
        <v>222.4</v>
      </c>
      <c r="E133" s="40"/>
      <c r="F133" s="41"/>
    </row>
    <row r="134" spans="1:6" x14ac:dyDescent="0.25">
      <c r="A134" s="51" t="s">
        <v>13</v>
      </c>
      <c r="B134" s="11">
        <v>3.43</v>
      </c>
      <c r="C134" s="11">
        <v>0</v>
      </c>
      <c r="D134" s="32">
        <f>B134*$B$2+C134</f>
        <v>195.51000000000002</v>
      </c>
      <c r="E134" s="36">
        <v>195.51</v>
      </c>
      <c r="F134" s="37">
        <v>229.98</v>
      </c>
    </row>
    <row r="135" spans="1:6" ht="15.75" thickBot="1" x14ac:dyDescent="0.3">
      <c r="A135" s="53"/>
      <c r="B135" s="14">
        <v>2.84</v>
      </c>
      <c r="C135" s="14">
        <v>68.099999999999994</v>
      </c>
      <c r="D135" s="34">
        <f>B135*$B$2+C135</f>
        <v>229.98</v>
      </c>
      <c r="E135" s="40"/>
      <c r="F135" s="41"/>
    </row>
    <row r="136" spans="1:6" ht="18" customHeight="1" x14ac:dyDescent="0.25">
      <c r="A136" s="25" t="s">
        <v>25</v>
      </c>
      <c r="B136" s="16">
        <f>AVERAGE(B4:B135)</f>
        <v>3.6560606060606071</v>
      </c>
      <c r="C136" s="16">
        <f>AVERAGE(C4:C135)</f>
        <v>56.86007575757575</v>
      </c>
      <c r="D136" s="17">
        <f>B136*$B$2+C136</f>
        <v>265.25553030303035</v>
      </c>
      <c r="E136" s="19"/>
      <c r="F136" s="39"/>
    </row>
    <row r="137" spans="1:6" x14ac:dyDescent="0.25">
      <c r="A137" s="24"/>
      <c r="B137" s="26"/>
      <c r="C137" s="26"/>
      <c r="D137" s="19"/>
      <c r="E137" s="19"/>
      <c r="F137" s="39"/>
    </row>
    <row r="138" spans="1:6" x14ac:dyDescent="0.25">
      <c r="A138" s="24"/>
      <c r="B138" s="26"/>
      <c r="C138" s="26"/>
      <c r="D138" s="19"/>
      <c r="E138" s="19"/>
      <c r="F138" s="39"/>
    </row>
    <row r="139" spans="1:6" x14ac:dyDescent="0.25">
      <c r="A139" s="24"/>
      <c r="B139" s="26"/>
      <c r="C139" s="26"/>
      <c r="D139" s="19"/>
      <c r="E139" s="19"/>
      <c r="F139" s="39"/>
    </row>
    <row r="140" spans="1:6" x14ac:dyDescent="0.25">
      <c r="A140" s="24"/>
      <c r="B140" s="7" t="s">
        <v>29</v>
      </c>
      <c r="C140" s="7" t="s">
        <v>28</v>
      </c>
      <c r="D140" s="19"/>
      <c r="E140" s="19"/>
      <c r="F140" s="39"/>
    </row>
    <row r="141" spans="1:6" x14ac:dyDescent="0.25">
      <c r="A141" s="27" t="s">
        <v>27</v>
      </c>
      <c r="B141" s="8">
        <v>2</v>
      </c>
      <c r="C141" s="8">
        <v>5.78</v>
      </c>
      <c r="D141" s="19"/>
      <c r="E141" s="19"/>
      <c r="F141" s="39"/>
    </row>
    <row r="142" spans="1:6" x14ac:dyDescent="0.25">
      <c r="A142" s="27" t="s">
        <v>26</v>
      </c>
      <c r="B142" s="8">
        <v>0</v>
      </c>
      <c r="C142" s="8">
        <v>310</v>
      </c>
      <c r="D142" s="19"/>
      <c r="E142" s="19"/>
      <c r="F142" s="39"/>
    </row>
    <row r="143" spans="1:6" x14ac:dyDescent="0.25">
      <c r="A143" s="24"/>
      <c r="B143" s="26"/>
      <c r="C143" s="26"/>
      <c r="D143" s="19"/>
      <c r="E143" s="19"/>
      <c r="F143" s="39"/>
    </row>
    <row r="144" spans="1:6" x14ac:dyDescent="0.25">
      <c r="A144" s="24"/>
      <c r="B144" s="26"/>
      <c r="C144" s="26"/>
      <c r="D144" s="19"/>
      <c r="E144" s="19"/>
      <c r="F144" s="39"/>
    </row>
    <row r="145" spans="1:6" ht="15.75" thickBot="1" x14ac:dyDescent="0.3">
      <c r="A145" s="28"/>
      <c r="B145" s="29"/>
      <c r="C145" s="29"/>
      <c r="D145" s="30"/>
      <c r="E145" s="30"/>
      <c r="F145" s="41"/>
    </row>
  </sheetData>
  <mergeCells count="26">
    <mergeCell ref="A13:A19"/>
    <mergeCell ref="A20:A25"/>
    <mergeCell ref="A26:A33"/>
    <mergeCell ref="A130:A133"/>
    <mergeCell ref="A134:A135"/>
    <mergeCell ref="A95:A96"/>
    <mergeCell ref="A97:A102"/>
    <mergeCell ref="A103:A106"/>
    <mergeCell ref="A107:A113"/>
    <mergeCell ref="A114:A120"/>
    <mergeCell ref="E2:F2"/>
    <mergeCell ref="A1:F1"/>
    <mergeCell ref="A34:A37"/>
    <mergeCell ref="A121:A124"/>
    <mergeCell ref="A125:A129"/>
    <mergeCell ref="A62:A68"/>
    <mergeCell ref="A69:A77"/>
    <mergeCell ref="A78:A80"/>
    <mergeCell ref="A81:A89"/>
    <mergeCell ref="A90:A94"/>
    <mergeCell ref="A38:A40"/>
    <mergeCell ref="A41:A48"/>
    <mergeCell ref="A49:A53"/>
    <mergeCell ref="A54:A61"/>
    <mergeCell ref="A4:A6"/>
    <mergeCell ref="A7:A12"/>
  </mergeCells>
  <pageMargins left="0.7" right="0.7" top="0.75" bottom="0.75" header="0.3" footer="0.3"/>
  <pageSetup paperSize="9" orientation="portrait" r:id="rId1"/>
  <rowBreaks count="1" manualBreakCount="1">
    <brk id="9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Survey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Jenner</dc:creator>
  <cp:lastModifiedBy>Mary Jenner</cp:lastModifiedBy>
  <cp:lastPrinted>2011-03-23T10:59:17Z</cp:lastPrinted>
  <dcterms:created xsi:type="dcterms:W3CDTF">2011-01-27T16:20:30Z</dcterms:created>
  <dcterms:modified xsi:type="dcterms:W3CDTF">2011-04-01T15:50:09Z</dcterms:modified>
</cp:coreProperties>
</file>