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1075" windowHeight="10290" tabRatio="714"/>
  </bookViews>
  <sheets>
    <sheet name="power" sheetId="1" r:id="rId1"/>
    <sheet name="Sando" sheetId="2" r:id="rId2"/>
    <sheet name="Clayton" sheetId="3" r:id="rId3"/>
    <sheet name="Graziano" sheetId="4" r:id="rId4"/>
    <sheet name="Hensley" sheetId="5" r:id="rId5"/>
    <sheet name="Fox" sheetId="6" r:id="rId6"/>
    <sheet name="powerflaws" sheetId="7" r:id="rId7"/>
    <sheet name="Power by Week" sheetId="8" r:id="rId8"/>
    <sheet name="divisions" sheetId="9" r:id="rId9"/>
    <sheet name="howfared" sheetId="10" r:id="rId10"/>
    <sheet name="skedlookup" sheetId="11" r:id="rId11"/>
  </sheets>
  <definedNames>
    <definedName name="_xlnm._FilterDatabase" localSheetId="2" hidden="1">Clayton!$A$1:$X$1</definedName>
    <definedName name="_xlnm._FilterDatabase" localSheetId="8" hidden="1">divisions!$A$1:$J$1</definedName>
    <definedName name="_xlnm._FilterDatabase" localSheetId="5" hidden="1">Fox!$A$1:$X$1</definedName>
    <definedName name="_xlnm._FilterDatabase" localSheetId="3" hidden="1">Graziano!$A$1:$X$1</definedName>
    <definedName name="_xlnm._FilterDatabase" localSheetId="4" hidden="1">Hensley!$A$1:$X$1</definedName>
    <definedName name="_xlnm._FilterDatabase" localSheetId="9" hidden="1">howfared!$A$1:$W$1</definedName>
    <definedName name="_xlnm._FilterDatabase" localSheetId="0" hidden="1">power!$A$1:$AU$33</definedName>
    <definedName name="_xlnm._FilterDatabase" localSheetId="7" hidden="1">'Power by Week'!$A$1:$Y$1</definedName>
    <definedName name="_xlnm._FilterDatabase" localSheetId="6" hidden="1">powerflaws!$A$2:$Y$34</definedName>
    <definedName name="_xlnm._FilterDatabase" localSheetId="1" hidden="1">Sando!$A$1:$X$1</definedName>
    <definedName name="_xlnm._FilterDatabase" localSheetId="10" hidden="1">skedlookup!$A$1:$E$1</definedName>
    <definedName name="standings?category_league_season_2008_REG_split_Overall" localSheetId="6">powerflaws!$A$1:$T$34</definedName>
  </definedNames>
  <calcPr calcId="145621"/>
</workbook>
</file>

<file path=xl/calcChain.xml><?xml version="1.0" encoding="utf-8"?>
<calcChain xmlns="http://schemas.openxmlformats.org/spreadsheetml/2006/main">
  <c r="B33" i="11" l="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2" i="11"/>
  <c r="A2" i="11"/>
  <c r="C1" i="11"/>
  <c r="B1" i="11"/>
  <c r="A1" i="1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AE8" i="9"/>
  <c r="AE7" i="9"/>
  <c r="AE6" i="9"/>
  <c r="I6" i="9"/>
  <c r="H6" i="9"/>
  <c r="G6" i="9"/>
  <c r="F6" i="9"/>
  <c r="E6" i="9"/>
  <c r="D6" i="9"/>
  <c r="C6" i="9"/>
  <c r="B6" i="9"/>
  <c r="AE5" i="9"/>
  <c r="I5" i="9"/>
  <c r="H5" i="9"/>
  <c r="G5" i="9"/>
  <c r="F5" i="9"/>
  <c r="E5" i="9"/>
  <c r="D5" i="9"/>
  <c r="C5" i="9"/>
  <c r="B5" i="9"/>
  <c r="AE4" i="9"/>
  <c r="I4" i="9"/>
  <c r="H4" i="9"/>
  <c r="G4" i="9"/>
  <c r="F4" i="9"/>
  <c r="E4" i="9"/>
  <c r="D4" i="9"/>
  <c r="C4" i="9"/>
  <c r="B4" i="9"/>
  <c r="AE3" i="9"/>
  <c r="I3" i="9"/>
  <c r="H3" i="9"/>
  <c r="G3" i="9"/>
  <c r="F3" i="9"/>
  <c r="E3" i="9"/>
  <c r="D3" i="9"/>
  <c r="C3" i="9"/>
  <c r="B3" i="9"/>
  <c r="AE2" i="9"/>
  <c r="I2" i="9"/>
  <c r="H2" i="9"/>
  <c r="G2" i="9"/>
  <c r="F2" i="9"/>
  <c r="E2" i="9"/>
  <c r="D2" i="9"/>
  <c r="C2" i="9"/>
  <c r="B2" i="9"/>
  <c r="Y33" i="8"/>
  <c r="X33" i="8"/>
  <c r="W33" i="8" s="1"/>
  <c r="U33" i="8"/>
  <c r="V33" i="8" s="1"/>
  <c r="T33" i="8"/>
  <c r="S33" i="8"/>
  <c r="Y32" i="8"/>
  <c r="X32" i="8"/>
  <c r="W32" i="8" s="1"/>
  <c r="U32" i="8"/>
  <c r="V32" i="8" s="1"/>
  <c r="T32" i="8"/>
  <c r="S32" i="8"/>
  <c r="Y31" i="8"/>
  <c r="X31" i="8"/>
  <c r="W31" i="8"/>
  <c r="U31" i="8"/>
  <c r="V31" i="8" s="1"/>
  <c r="T31" i="8"/>
  <c r="S31" i="8"/>
  <c r="Y30" i="8"/>
  <c r="X30" i="8"/>
  <c r="W30" i="8"/>
  <c r="V30" i="8"/>
  <c r="U30" i="8"/>
  <c r="T30" i="8"/>
  <c r="S30" i="8"/>
  <c r="Y29" i="8"/>
  <c r="X29" i="8"/>
  <c r="W29" i="8" s="1"/>
  <c r="U29" i="8"/>
  <c r="V29" i="8" s="1"/>
  <c r="T29" i="8"/>
  <c r="S29" i="8"/>
  <c r="Y28" i="8"/>
  <c r="X28" i="8"/>
  <c r="W28" i="8"/>
  <c r="U28" i="8"/>
  <c r="V28" i="8" s="1"/>
  <c r="T28" i="8"/>
  <c r="S28" i="8"/>
  <c r="Y27" i="8"/>
  <c r="X27" i="8"/>
  <c r="W27" i="8"/>
  <c r="V27" i="8"/>
  <c r="U27" i="8"/>
  <c r="T27" i="8"/>
  <c r="S27" i="8"/>
  <c r="Y26" i="8"/>
  <c r="X26" i="8"/>
  <c r="W26" i="8"/>
  <c r="U26" i="8"/>
  <c r="V26" i="8" s="1"/>
  <c r="T26" i="8"/>
  <c r="S26" i="8"/>
  <c r="Y25" i="8"/>
  <c r="X25" i="8"/>
  <c r="W25" i="8" s="1"/>
  <c r="U25" i="8"/>
  <c r="V25" i="8" s="1"/>
  <c r="T25" i="8"/>
  <c r="S25" i="8"/>
  <c r="Y24" i="8"/>
  <c r="X24" i="8"/>
  <c r="W24" i="8" s="1"/>
  <c r="U24" i="8"/>
  <c r="V24" i="8" s="1"/>
  <c r="T24" i="8"/>
  <c r="S24" i="8"/>
  <c r="Y23" i="8"/>
  <c r="X23" i="8"/>
  <c r="W23" i="8"/>
  <c r="U23" i="8"/>
  <c r="V23" i="8" s="1"/>
  <c r="T23" i="8"/>
  <c r="S23" i="8"/>
  <c r="Y22" i="8"/>
  <c r="X22" i="8"/>
  <c r="W22" i="8"/>
  <c r="V22" i="8"/>
  <c r="U22" i="8"/>
  <c r="T22" i="8"/>
  <c r="S22" i="8"/>
  <c r="Y21" i="8"/>
  <c r="X21" i="8"/>
  <c r="W21" i="8" s="1"/>
  <c r="U21" i="8"/>
  <c r="V21" i="8" s="1"/>
  <c r="T21" i="8"/>
  <c r="S21" i="8"/>
  <c r="Y20" i="8"/>
  <c r="X20" i="8"/>
  <c r="W20" i="8"/>
  <c r="U20" i="8"/>
  <c r="V20" i="8" s="1"/>
  <c r="T20" i="8"/>
  <c r="S20" i="8"/>
  <c r="Y19" i="8"/>
  <c r="X19" i="8"/>
  <c r="W19" i="8"/>
  <c r="V19" i="8"/>
  <c r="U19" i="8"/>
  <c r="T19" i="8"/>
  <c r="S19" i="8"/>
  <c r="Y18" i="8"/>
  <c r="X18" i="8"/>
  <c r="W18" i="8"/>
  <c r="U18" i="8"/>
  <c r="V18" i="8" s="1"/>
  <c r="T18" i="8"/>
  <c r="S18" i="8"/>
  <c r="Y17" i="8"/>
  <c r="X17" i="8"/>
  <c r="W17" i="8" s="1"/>
  <c r="U17" i="8"/>
  <c r="V17" i="8" s="1"/>
  <c r="T17" i="8"/>
  <c r="S17" i="8"/>
  <c r="Y16" i="8"/>
  <c r="X16" i="8"/>
  <c r="W16" i="8" s="1"/>
  <c r="U16" i="8"/>
  <c r="V16" i="8" s="1"/>
  <c r="T16" i="8"/>
  <c r="S16" i="8"/>
  <c r="Y15" i="8"/>
  <c r="X15" i="8"/>
  <c r="W15" i="8"/>
  <c r="U15" i="8"/>
  <c r="V15" i="8" s="1"/>
  <c r="T15" i="8"/>
  <c r="S15" i="8"/>
  <c r="Y14" i="8"/>
  <c r="X14" i="8"/>
  <c r="W14" i="8"/>
  <c r="V14" i="8"/>
  <c r="U14" i="8"/>
  <c r="T14" i="8"/>
  <c r="S14" i="8"/>
  <c r="Y13" i="8"/>
  <c r="X13" i="8"/>
  <c r="W13" i="8" s="1"/>
  <c r="U13" i="8"/>
  <c r="V13" i="8" s="1"/>
  <c r="T13" i="8"/>
  <c r="S13" i="8"/>
  <c r="Y12" i="8"/>
  <c r="X12" i="8"/>
  <c r="W12" i="8"/>
  <c r="U12" i="8"/>
  <c r="V12" i="8" s="1"/>
  <c r="T12" i="8"/>
  <c r="S12" i="8"/>
  <c r="Y11" i="8"/>
  <c r="X11" i="8"/>
  <c r="W11" i="8"/>
  <c r="V11" i="8"/>
  <c r="U11" i="8"/>
  <c r="T11" i="8"/>
  <c r="S11" i="8"/>
  <c r="Y10" i="8"/>
  <c r="X10" i="8"/>
  <c r="W10" i="8"/>
  <c r="U10" i="8"/>
  <c r="V10" i="8" s="1"/>
  <c r="T10" i="8"/>
  <c r="S10" i="8"/>
  <c r="Y9" i="8"/>
  <c r="X9" i="8"/>
  <c r="W9" i="8" s="1"/>
  <c r="U9" i="8"/>
  <c r="V9" i="8" s="1"/>
  <c r="T9" i="8"/>
  <c r="S9" i="8"/>
  <c r="Y8" i="8"/>
  <c r="X8" i="8"/>
  <c r="W8" i="8" s="1"/>
  <c r="U8" i="8"/>
  <c r="V8" i="8" s="1"/>
  <c r="T8" i="8"/>
  <c r="S8" i="8"/>
  <c r="Y7" i="8"/>
  <c r="X7" i="8"/>
  <c r="W7" i="8"/>
  <c r="U7" i="8"/>
  <c r="T7" i="8"/>
  <c r="S7" i="8"/>
  <c r="Y6" i="8"/>
  <c r="X6" i="8"/>
  <c r="W6" i="8"/>
  <c r="V6" i="8"/>
  <c r="U6" i="8"/>
  <c r="T6" i="8"/>
  <c r="S6" i="8"/>
  <c r="Y5" i="8"/>
  <c r="X5" i="8"/>
  <c r="W5" i="8" s="1"/>
  <c r="U5" i="8"/>
  <c r="V5" i="8" s="1"/>
  <c r="T5" i="8"/>
  <c r="S5" i="8"/>
  <c r="Y4" i="8"/>
  <c r="X4" i="8"/>
  <c r="W4" i="8"/>
  <c r="U4" i="8"/>
  <c r="T4" i="8"/>
  <c r="S4" i="8"/>
  <c r="Y3" i="8"/>
  <c r="X3" i="8"/>
  <c r="W3" i="8"/>
  <c r="V3" i="8"/>
  <c r="U3" i="8"/>
  <c r="T3" i="8"/>
  <c r="S3" i="8"/>
  <c r="Y2" i="8"/>
  <c r="X2" i="8"/>
  <c r="W2" i="8"/>
  <c r="U2" i="8"/>
  <c r="V2" i="8" s="1"/>
  <c r="T2" i="8"/>
  <c r="S2" i="8"/>
  <c r="AU34" i="7"/>
  <c r="AT34" i="7"/>
  <c r="AN34" i="7"/>
  <c r="AH34" i="7"/>
  <c r="AA34" i="7"/>
  <c r="X34" i="7"/>
  <c r="V34" i="7"/>
  <c r="W34" i="7" s="1"/>
  <c r="U34" i="7"/>
  <c r="AU33" i="7"/>
  <c r="AT33" i="7"/>
  <c r="AS33" i="7"/>
  <c r="AR33" i="7"/>
  <c r="AP33" i="7"/>
  <c r="AO33" i="7"/>
  <c r="AL33" i="7"/>
  <c r="AK33" i="7"/>
  <c r="AJ33" i="7"/>
  <c r="AH33" i="7"/>
  <c r="AG33" i="7"/>
  <c r="AD33" i="7"/>
  <c r="AC33" i="7"/>
  <c r="AB33" i="7"/>
  <c r="AA33" i="7"/>
  <c r="AN33" i="7" s="1"/>
  <c r="X33" i="7"/>
  <c r="V33" i="7"/>
  <c r="U33" i="7"/>
  <c r="W33" i="7" s="1"/>
  <c r="AU32" i="7"/>
  <c r="AT32" i="7"/>
  <c r="AR32" i="7"/>
  <c r="AQ32" i="7"/>
  <c r="AL32" i="7"/>
  <c r="AJ32" i="7"/>
  <c r="AI32" i="7"/>
  <c r="AF32" i="7"/>
  <c r="AE32" i="7"/>
  <c r="AD32" i="7"/>
  <c r="AA32" i="7"/>
  <c r="X32" i="7"/>
  <c r="W32" i="7"/>
  <c r="V32" i="7"/>
  <c r="U32" i="7"/>
  <c r="AU31" i="7"/>
  <c r="AT31" i="7"/>
  <c r="AS31" i="7"/>
  <c r="AP31" i="7"/>
  <c r="AO31" i="7"/>
  <c r="AN31" i="7"/>
  <c r="AL31" i="7"/>
  <c r="AK31" i="7"/>
  <c r="AH31" i="7"/>
  <c r="AG31" i="7"/>
  <c r="AF31" i="7"/>
  <c r="AD31" i="7"/>
  <c r="AC31" i="7"/>
  <c r="AA31" i="7"/>
  <c r="AR31" i="7" s="1"/>
  <c r="X31" i="7"/>
  <c r="W31" i="7"/>
  <c r="V31" i="7"/>
  <c r="U31" i="7"/>
  <c r="AU30" i="7"/>
  <c r="AT30" i="7"/>
  <c r="AR30" i="7"/>
  <c r="AQ30" i="7"/>
  <c r="AM30" i="7"/>
  <c r="AF30" i="7"/>
  <c r="AE30" i="7"/>
  <c r="AA30" i="7"/>
  <c r="X30" i="7"/>
  <c r="V30" i="7"/>
  <c r="W30" i="7" s="1"/>
  <c r="U30" i="7"/>
  <c r="AU29" i="7"/>
  <c r="AT29" i="7"/>
  <c r="AS29" i="7"/>
  <c r="AR29" i="7"/>
  <c r="AP29" i="7"/>
  <c r="AO29" i="7"/>
  <c r="AL29" i="7"/>
  <c r="AK29" i="7"/>
  <c r="AJ29" i="7"/>
  <c r="AH29" i="7"/>
  <c r="AG29" i="7"/>
  <c r="AD29" i="7"/>
  <c r="AC29" i="7"/>
  <c r="AB29" i="7"/>
  <c r="AA29" i="7"/>
  <c r="AN29" i="7" s="1"/>
  <c r="X29" i="7"/>
  <c r="V29" i="7"/>
  <c r="U29" i="7"/>
  <c r="W29" i="7" s="1"/>
  <c r="AU28" i="7"/>
  <c r="AT28" i="7"/>
  <c r="AN28" i="7"/>
  <c r="AM28" i="7"/>
  <c r="AI28" i="7"/>
  <c r="AB28" i="7"/>
  <c r="AA28" i="7"/>
  <c r="X28" i="7"/>
  <c r="V28" i="7"/>
  <c r="W28" i="7" s="1"/>
  <c r="U28" i="7"/>
  <c r="AU27" i="7"/>
  <c r="AT27" i="7"/>
  <c r="AS27" i="7"/>
  <c r="AP27" i="7"/>
  <c r="AO27" i="7"/>
  <c r="AN27" i="7"/>
  <c r="AL27" i="7"/>
  <c r="AK27" i="7"/>
  <c r="AH27" i="7"/>
  <c r="AG27" i="7"/>
  <c r="AF27" i="7"/>
  <c r="AD27" i="7"/>
  <c r="AC27" i="7"/>
  <c r="AA27" i="7"/>
  <c r="AR27" i="7" s="1"/>
  <c r="X27" i="7"/>
  <c r="V27" i="7"/>
  <c r="U27" i="7"/>
  <c r="W27" i="7" s="1"/>
  <c r="AU26" i="7"/>
  <c r="AT26" i="7"/>
  <c r="AR26" i="7"/>
  <c r="AQ26" i="7"/>
  <c r="AM26" i="7"/>
  <c r="AJ26" i="7"/>
  <c r="AI26" i="7"/>
  <c r="AH26" i="7"/>
  <c r="AF26" i="7"/>
  <c r="AE26" i="7"/>
  <c r="AA26" i="7"/>
  <c r="X26" i="7"/>
  <c r="W26" i="7"/>
  <c r="V26" i="7"/>
  <c r="U26" i="7"/>
  <c r="AU25" i="7"/>
  <c r="AT25" i="7"/>
  <c r="AS25" i="7"/>
  <c r="AR25" i="7"/>
  <c r="AP25" i="7"/>
  <c r="AO25" i="7"/>
  <c r="AL25" i="7"/>
  <c r="AK25" i="7"/>
  <c r="AJ25" i="7"/>
  <c r="AH25" i="7"/>
  <c r="AG25" i="7"/>
  <c r="AD25" i="7"/>
  <c r="AC25" i="7"/>
  <c r="AB25" i="7"/>
  <c r="AA25" i="7"/>
  <c r="AN25" i="7" s="1"/>
  <c r="X25" i="7"/>
  <c r="V25" i="7"/>
  <c r="U25" i="7"/>
  <c r="W25" i="7" s="1"/>
  <c r="AU24" i="7"/>
  <c r="AT24" i="7"/>
  <c r="AA24" i="7"/>
  <c r="AM24" i="7" s="1"/>
  <c r="X24" i="7"/>
  <c r="V24" i="7"/>
  <c r="U24" i="7"/>
  <c r="W24" i="7" s="1"/>
  <c r="AU23" i="7"/>
  <c r="AT23" i="7"/>
  <c r="AS23" i="7"/>
  <c r="AP23" i="7"/>
  <c r="AO23" i="7"/>
  <c r="AN23" i="7"/>
  <c r="AL23" i="7"/>
  <c r="AK23" i="7"/>
  <c r="AH23" i="7"/>
  <c r="AG23" i="7"/>
  <c r="AF23" i="7"/>
  <c r="AD23" i="7"/>
  <c r="AC23" i="7"/>
  <c r="AA23" i="7"/>
  <c r="AR23" i="7" s="1"/>
  <c r="X23" i="7"/>
  <c r="W23" i="7"/>
  <c r="V23" i="7"/>
  <c r="U23" i="7"/>
  <c r="AU22" i="7"/>
  <c r="AT22" i="7"/>
  <c r="AP22" i="7"/>
  <c r="AA22" i="7"/>
  <c r="AI22" i="7" s="1"/>
  <c r="X22" i="7"/>
  <c r="W22" i="7"/>
  <c r="V22" i="7"/>
  <c r="U22" i="7"/>
  <c r="AU21" i="7"/>
  <c r="AT21" i="7"/>
  <c r="AS21" i="7"/>
  <c r="AR21" i="7"/>
  <c r="AP21" i="7"/>
  <c r="AO21" i="7"/>
  <c r="AL21" i="7"/>
  <c r="AK21" i="7"/>
  <c r="AJ21" i="7"/>
  <c r="AH21" i="7"/>
  <c r="AG21" i="7"/>
  <c r="AD21" i="7"/>
  <c r="AC21" i="7"/>
  <c r="AB21" i="7"/>
  <c r="AA21" i="7"/>
  <c r="AN21" i="7" s="1"/>
  <c r="X21" i="7"/>
  <c r="V21" i="7"/>
  <c r="U21" i="7"/>
  <c r="W21" i="7" s="1"/>
  <c r="AU20" i="7"/>
  <c r="AT20" i="7"/>
  <c r="AR20" i="7"/>
  <c r="AL20" i="7"/>
  <c r="AJ20" i="7"/>
  <c r="AE20" i="7"/>
  <c r="AA20" i="7"/>
  <c r="AI20" i="7" s="1"/>
  <c r="X20" i="7"/>
  <c r="W20" i="7"/>
  <c r="V20" i="7"/>
  <c r="U20" i="7"/>
  <c r="AU19" i="7"/>
  <c r="AT19" i="7"/>
  <c r="AS19" i="7"/>
  <c r="AP19" i="7"/>
  <c r="AO19" i="7"/>
  <c r="AN19" i="7"/>
  <c r="AL19" i="7"/>
  <c r="AK19" i="7"/>
  <c r="AH19" i="7"/>
  <c r="AG19" i="7"/>
  <c r="AF19" i="7"/>
  <c r="AD19" i="7"/>
  <c r="AC19" i="7"/>
  <c r="AA19" i="7"/>
  <c r="AR19" i="7" s="1"/>
  <c r="X19" i="7"/>
  <c r="W19" i="7"/>
  <c r="V19" i="7"/>
  <c r="U19" i="7"/>
  <c r="AU18" i="7"/>
  <c r="AT18" i="7"/>
  <c r="AA18" i="7"/>
  <c r="X18" i="7"/>
  <c r="W18" i="7"/>
  <c r="V18" i="7"/>
  <c r="U18" i="7"/>
  <c r="AU17" i="7"/>
  <c r="AT17" i="7"/>
  <c r="AS17" i="7"/>
  <c r="AP17" i="7"/>
  <c r="AJ17" i="7"/>
  <c r="AB17" i="7"/>
  <c r="AA17" i="7"/>
  <c r="X17" i="7"/>
  <c r="V17" i="7"/>
  <c r="U17" i="7"/>
  <c r="AU16" i="7"/>
  <c r="AT16" i="7"/>
  <c r="AS16" i="7"/>
  <c r="AR16" i="7"/>
  <c r="AN16" i="7"/>
  <c r="AJ16" i="7"/>
  <c r="AI16" i="7"/>
  <c r="AE16" i="7"/>
  <c r="AA16" i="7"/>
  <c r="X16" i="7"/>
  <c r="V16" i="7"/>
  <c r="U16" i="7"/>
  <c r="W16" i="7" s="1"/>
  <c r="AU15" i="7"/>
  <c r="AT15" i="7"/>
  <c r="AS15" i="7"/>
  <c r="AQ15" i="7"/>
  <c r="AP15" i="7"/>
  <c r="AN15" i="7"/>
  <c r="AM15" i="7"/>
  <c r="AI15" i="7"/>
  <c r="AH15" i="7"/>
  <c r="AG15" i="7"/>
  <c r="AE15" i="7"/>
  <c r="AD15" i="7"/>
  <c r="AA15" i="7"/>
  <c r="AO15" i="7" s="1"/>
  <c r="X15" i="7"/>
  <c r="W15" i="7"/>
  <c r="V15" i="7"/>
  <c r="U15" i="7"/>
  <c r="AU14" i="7"/>
  <c r="AT14" i="7"/>
  <c r="AR14" i="7"/>
  <c r="AQ14" i="7"/>
  <c r="AP14" i="7"/>
  <c r="AN14" i="7"/>
  <c r="AM14" i="7"/>
  <c r="AI14" i="7"/>
  <c r="AH14" i="7"/>
  <c r="AG14" i="7"/>
  <c r="AE14" i="7"/>
  <c r="AC14" i="7"/>
  <c r="AA14" i="7"/>
  <c r="AO14" i="7" s="1"/>
  <c r="X14" i="7"/>
  <c r="W14" i="7"/>
  <c r="V14" i="7"/>
  <c r="U14" i="7"/>
  <c r="AU13" i="7"/>
  <c r="AT13" i="7"/>
  <c r="AR13" i="7"/>
  <c r="AQ13" i="7"/>
  <c r="AP13" i="7"/>
  <c r="AM13" i="7"/>
  <c r="AL13" i="7"/>
  <c r="AI13" i="7"/>
  <c r="AH13" i="7"/>
  <c r="AG13" i="7"/>
  <c r="AD13" i="7"/>
  <c r="AC13" i="7"/>
  <c r="AA13" i="7"/>
  <c r="AO13" i="7" s="1"/>
  <c r="X13" i="7"/>
  <c r="V13" i="7"/>
  <c r="U13" i="7"/>
  <c r="AU12" i="7"/>
  <c r="AT12" i="7"/>
  <c r="AR12" i="7"/>
  <c r="AQ12" i="7"/>
  <c r="AO12" i="7"/>
  <c r="AN12" i="7"/>
  <c r="AM12" i="7"/>
  <c r="AL12" i="7"/>
  <c r="AK12" i="7"/>
  <c r="AI12" i="7"/>
  <c r="AG12" i="7"/>
  <c r="AF12" i="7"/>
  <c r="AE12" i="7"/>
  <c r="AD12" i="7"/>
  <c r="AC12" i="7"/>
  <c r="AB12" i="7"/>
  <c r="AA12" i="7"/>
  <c r="X12" i="7"/>
  <c r="V12" i="7"/>
  <c r="W12" i="7" s="1"/>
  <c r="U12" i="7"/>
  <c r="AU11" i="7"/>
  <c r="AT11" i="7"/>
  <c r="AP11" i="7"/>
  <c r="AO11" i="7"/>
  <c r="AL11" i="7"/>
  <c r="AH11" i="7"/>
  <c r="AG11" i="7"/>
  <c r="AD11" i="7"/>
  <c r="AA11" i="7"/>
  <c r="AS11" i="7" s="1"/>
  <c r="X11" i="7"/>
  <c r="V11" i="7"/>
  <c r="U11" i="7"/>
  <c r="W11" i="7" s="1"/>
  <c r="AU10" i="7"/>
  <c r="AT10" i="7"/>
  <c r="AQ10" i="7"/>
  <c r="AJ10" i="7"/>
  <c r="AI10" i="7"/>
  <c r="AF10" i="7"/>
  <c r="AA10" i="7"/>
  <c r="AR10" i="7" s="1"/>
  <c r="X10" i="7"/>
  <c r="W10" i="7"/>
  <c r="V10" i="7"/>
  <c r="U10" i="7"/>
  <c r="AU9" i="7"/>
  <c r="AT9" i="7"/>
  <c r="AS9" i="7"/>
  <c r="AP9" i="7"/>
  <c r="AM9" i="7"/>
  <c r="AL9" i="7"/>
  <c r="AK9" i="7"/>
  <c r="AH9" i="7"/>
  <c r="AE9" i="7"/>
  <c r="AD9" i="7"/>
  <c r="AC9" i="7"/>
  <c r="AA9" i="7"/>
  <c r="AO9" i="7" s="1"/>
  <c r="X9" i="7"/>
  <c r="V9" i="7"/>
  <c r="U9" i="7"/>
  <c r="W9" i="7" s="1"/>
  <c r="AU8" i="7"/>
  <c r="AT8" i="7"/>
  <c r="AS8" i="7"/>
  <c r="AR8" i="7"/>
  <c r="AP8" i="7"/>
  <c r="AO8" i="7"/>
  <c r="AN8" i="7"/>
  <c r="AM8" i="7"/>
  <c r="AL8" i="7"/>
  <c r="AK8" i="7"/>
  <c r="AJ8" i="7"/>
  <c r="AH8" i="7"/>
  <c r="AG8" i="7"/>
  <c r="AF8" i="7"/>
  <c r="AE8" i="7"/>
  <c r="AD8" i="7"/>
  <c r="AC8" i="7"/>
  <c r="AB8" i="7"/>
  <c r="AA8" i="7"/>
  <c r="AQ8" i="7" s="1"/>
  <c r="X8" i="7"/>
  <c r="V8" i="7"/>
  <c r="W8" i="7" s="1"/>
  <c r="U8" i="7"/>
  <c r="AU7" i="7"/>
  <c r="AT7" i="7"/>
  <c r="AP7" i="7"/>
  <c r="AO7" i="7"/>
  <c r="AL7" i="7"/>
  <c r="AH7" i="7"/>
  <c r="AG7" i="7"/>
  <c r="AD7" i="7"/>
  <c r="AA7" i="7"/>
  <c r="AS7" i="7" s="1"/>
  <c r="X7" i="7"/>
  <c r="V7" i="7"/>
  <c r="U7" i="7"/>
  <c r="W7" i="7" s="1"/>
  <c r="AU6" i="7"/>
  <c r="AT6" i="7"/>
  <c r="AN6" i="7"/>
  <c r="AJ6" i="7"/>
  <c r="AA6" i="7"/>
  <c r="AF6" i="7" s="1"/>
  <c r="X6" i="7"/>
  <c r="W6" i="7"/>
  <c r="V6" i="7"/>
  <c r="U6" i="7"/>
  <c r="AU5" i="7"/>
  <c r="AT5" i="7"/>
  <c r="AS5" i="7"/>
  <c r="AP5" i="7"/>
  <c r="AM5" i="7"/>
  <c r="AL5" i="7"/>
  <c r="AK5" i="7"/>
  <c r="AH5" i="7"/>
  <c r="AE5" i="7"/>
  <c r="AD5" i="7"/>
  <c r="AC5" i="7"/>
  <c r="AA5" i="7"/>
  <c r="AO5" i="7" s="1"/>
  <c r="X5" i="7"/>
  <c r="V5" i="7"/>
  <c r="U5" i="7"/>
  <c r="W5" i="7" s="1"/>
  <c r="AU4" i="7"/>
  <c r="AT4" i="7"/>
  <c r="AS4" i="7"/>
  <c r="AR4" i="7"/>
  <c r="AP4" i="7"/>
  <c r="AO4" i="7"/>
  <c r="AN4" i="7"/>
  <c r="AM4" i="7"/>
  <c r="AL4" i="7"/>
  <c r="AK4" i="7"/>
  <c r="AJ4" i="7"/>
  <c r="AH4" i="7"/>
  <c r="AG4" i="7"/>
  <c r="AF4" i="7"/>
  <c r="AE4" i="7"/>
  <c r="AD4" i="7"/>
  <c r="AC4" i="7"/>
  <c r="AB4" i="7"/>
  <c r="AA4" i="7"/>
  <c r="AQ4" i="7" s="1"/>
  <c r="X4" i="7"/>
  <c r="V4" i="7"/>
  <c r="W4" i="7" s="1"/>
  <c r="U4" i="7"/>
  <c r="AU3" i="7"/>
  <c r="AT3" i="7"/>
  <c r="AP3" i="7"/>
  <c r="AO3" i="7"/>
  <c r="AL3" i="7"/>
  <c r="AH3" i="7"/>
  <c r="AG3" i="7"/>
  <c r="AD3" i="7"/>
  <c r="AA3" i="7"/>
  <c r="AS3" i="7" s="1"/>
  <c r="X3" i="7"/>
  <c r="W3" i="7"/>
  <c r="V3" i="7"/>
  <c r="U3" i="7"/>
  <c r="V33" i="6"/>
  <c r="W33" i="6" s="1"/>
  <c r="U33" i="6"/>
  <c r="T33" i="6"/>
  <c r="W32" i="6"/>
  <c r="V32" i="6"/>
  <c r="U32" i="6"/>
  <c r="T32" i="6"/>
  <c r="V31" i="6"/>
  <c r="W31" i="6" s="1"/>
  <c r="U31" i="6"/>
  <c r="T31" i="6"/>
  <c r="W30" i="6"/>
  <c r="V30" i="6"/>
  <c r="U30" i="6"/>
  <c r="T30" i="6"/>
  <c r="V29" i="6"/>
  <c r="W29" i="6" s="1"/>
  <c r="U29" i="6"/>
  <c r="T29" i="6"/>
  <c r="W28" i="6"/>
  <c r="V28" i="6"/>
  <c r="U28" i="6"/>
  <c r="T28" i="6"/>
  <c r="V27" i="6"/>
  <c r="W27" i="6" s="1"/>
  <c r="U27" i="6"/>
  <c r="T27" i="6"/>
  <c r="W26" i="6"/>
  <c r="V26" i="6"/>
  <c r="U26" i="6"/>
  <c r="T26" i="6"/>
  <c r="V25" i="6"/>
  <c r="W25" i="6" s="1"/>
  <c r="U25" i="6"/>
  <c r="T25" i="6"/>
  <c r="W24" i="6"/>
  <c r="V24" i="6"/>
  <c r="U24" i="6"/>
  <c r="T24" i="6"/>
  <c r="V23" i="6"/>
  <c r="W23" i="6" s="1"/>
  <c r="U23" i="6"/>
  <c r="T23" i="6"/>
  <c r="W22" i="6"/>
  <c r="V22" i="6"/>
  <c r="U22" i="6"/>
  <c r="T22" i="6"/>
  <c r="V21" i="6"/>
  <c r="W21" i="6" s="1"/>
  <c r="U21" i="6"/>
  <c r="T21" i="6"/>
  <c r="W20" i="6"/>
  <c r="V20" i="6"/>
  <c r="U20" i="6"/>
  <c r="T20" i="6"/>
  <c r="V19" i="6"/>
  <c r="W19" i="6" s="1"/>
  <c r="U19" i="6"/>
  <c r="T19" i="6"/>
  <c r="W18" i="6"/>
  <c r="V18" i="6"/>
  <c r="U18" i="6"/>
  <c r="T18" i="6"/>
  <c r="V17" i="6"/>
  <c r="W17" i="6" s="1"/>
  <c r="U17" i="6"/>
  <c r="T17" i="6"/>
  <c r="W16" i="6"/>
  <c r="V16" i="6"/>
  <c r="U16" i="6"/>
  <c r="T16" i="6"/>
  <c r="V15" i="6"/>
  <c r="W15" i="6" s="1"/>
  <c r="U15" i="6"/>
  <c r="T15" i="6"/>
  <c r="W14" i="6"/>
  <c r="V14" i="6"/>
  <c r="U14" i="6"/>
  <c r="T14" i="6"/>
  <c r="V13" i="6"/>
  <c r="W13" i="6" s="1"/>
  <c r="U13" i="6"/>
  <c r="T13" i="6"/>
  <c r="W12" i="6"/>
  <c r="V12" i="6"/>
  <c r="U12" i="6"/>
  <c r="T12" i="6"/>
  <c r="V11" i="6"/>
  <c r="W11" i="6" s="1"/>
  <c r="U11" i="6"/>
  <c r="T11" i="6"/>
  <c r="W10" i="6"/>
  <c r="V10" i="6"/>
  <c r="U10" i="6"/>
  <c r="T10" i="6"/>
  <c r="V9" i="6"/>
  <c r="W9" i="6" s="1"/>
  <c r="U9" i="6"/>
  <c r="T9" i="6"/>
  <c r="W8" i="6"/>
  <c r="V8" i="6"/>
  <c r="U8" i="6"/>
  <c r="T8" i="6"/>
  <c r="V7" i="6"/>
  <c r="W7" i="6" s="1"/>
  <c r="U7" i="6"/>
  <c r="T7" i="6"/>
  <c r="W6" i="6"/>
  <c r="V6" i="6"/>
  <c r="U6" i="6"/>
  <c r="T6" i="6"/>
  <c r="V5" i="6"/>
  <c r="W5" i="6" s="1"/>
  <c r="U5" i="6"/>
  <c r="T5" i="6"/>
  <c r="W4" i="6"/>
  <c r="V4" i="6"/>
  <c r="U4" i="6"/>
  <c r="T4" i="6"/>
  <c r="V3" i="6"/>
  <c r="W3" i="6" s="1"/>
  <c r="U3" i="6"/>
  <c r="T3" i="6"/>
  <c r="W2" i="6"/>
  <c r="V2" i="6"/>
  <c r="U2" i="6"/>
  <c r="T2" i="6"/>
  <c r="V33" i="5"/>
  <c r="W33" i="5" s="1"/>
  <c r="U33" i="5"/>
  <c r="T33" i="5"/>
  <c r="W32" i="5"/>
  <c r="V32" i="5"/>
  <c r="U32" i="5"/>
  <c r="T32" i="5"/>
  <c r="V31" i="5"/>
  <c r="W31" i="5" s="1"/>
  <c r="U31" i="5"/>
  <c r="T31" i="5"/>
  <c r="W30" i="5"/>
  <c r="V30" i="5"/>
  <c r="U30" i="5"/>
  <c r="T30" i="5"/>
  <c r="V29" i="5"/>
  <c r="W29" i="5" s="1"/>
  <c r="U29" i="5"/>
  <c r="T29" i="5"/>
  <c r="W28" i="5"/>
  <c r="V28" i="5"/>
  <c r="U28" i="5"/>
  <c r="T28" i="5"/>
  <c r="V27" i="5"/>
  <c r="W27" i="5" s="1"/>
  <c r="U27" i="5"/>
  <c r="T27" i="5"/>
  <c r="W26" i="5"/>
  <c r="V26" i="5"/>
  <c r="U26" i="5"/>
  <c r="T26" i="5"/>
  <c r="V25" i="5"/>
  <c r="W25" i="5" s="1"/>
  <c r="U25" i="5"/>
  <c r="T25" i="5"/>
  <c r="W24" i="5"/>
  <c r="V24" i="5"/>
  <c r="U24" i="5"/>
  <c r="T24" i="5"/>
  <c r="V23" i="5"/>
  <c r="W23" i="5" s="1"/>
  <c r="U23" i="5"/>
  <c r="T23" i="5"/>
  <c r="W22" i="5"/>
  <c r="V22" i="5"/>
  <c r="U22" i="5"/>
  <c r="T22" i="5"/>
  <c r="V21" i="5"/>
  <c r="W21" i="5" s="1"/>
  <c r="U21" i="5"/>
  <c r="T21" i="5"/>
  <c r="W20" i="5"/>
  <c r="V20" i="5"/>
  <c r="U20" i="5"/>
  <c r="T20" i="5"/>
  <c r="V19" i="5"/>
  <c r="W19" i="5" s="1"/>
  <c r="U19" i="5"/>
  <c r="T19" i="5"/>
  <c r="W18" i="5"/>
  <c r="V18" i="5"/>
  <c r="U18" i="5"/>
  <c r="T18" i="5"/>
  <c r="V17" i="5"/>
  <c r="W17" i="5" s="1"/>
  <c r="U17" i="5"/>
  <c r="T17" i="5"/>
  <c r="W16" i="5"/>
  <c r="V16" i="5"/>
  <c r="U16" i="5"/>
  <c r="T16" i="5"/>
  <c r="V15" i="5"/>
  <c r="W15" i="5" s="1"/>
  <c r="U15" i="5"/>
  <c r="T15" i="5"/>
  <c r="W14" i="5"/>
  <c r="V14" i="5"/>
  <c r="U14" i="5"/>
  <c r="T14" i="5"/>
  <c r="V13" i="5"/>
  <c r="W13" i="5" s="1"/>
  <c r="U13" i="5"/>
  <c r="T13" i="5"/>
  <c r="W12" i="5"/>
  <c r="V12" i="5"/>
  <c r="U12" i="5"/>
  <c r="T12" i="5"/>
  <c r="V11" i="5"/>
  <c r="W11" i="5" s="1"/>
  <c r="U11" i="5"/>
  <c r="T11" i="5"/>
  <c r="W10" i="5"/>
  <c r="V10" i="5"/>
  <c r="U10" i="5"/>
  <c r="T10" i="5"/>
  <c r="V9" i="5"/>
  <c r="W9" i="5" s="1"/>
  <c r="U9" i="5"/>
  <c r="T9" i="5"/>
  <c r="W8" i="5"/>
  <c r="V8" i="5"/>
  <c r="U8" i="5"/>
  <c r="T8" i="5"/>
  <c r="V7" i="5"/>
  <c r="W7" i="5" s="1"/>
  <c r="U7" i="5"/>
  <c r="T7" i="5"/>
  <c r="W6" i="5"/>
  <c r="V6" i="5"/>
  <c r="U6" i="5"/>
  <c r="T6" i="5"/>
  <c r="V5" i="5"/>
  <c r="W5" i="5" s="1"/>
  <c r="U5" i="5"/>
  <c r="T5" i="5"/>
  <c r="W4" i="5"/>
  <c r="V4" i="5"/>
  <c r="U4" i="5"/>
  <c r="T4" i="5"/>
  <c r="V3" i="5"/>
  <c r="W3" i="5" s="1"/>
  <c r="U3" i="5"/>
  <c r="T3" i="5"/>
  <c r="W2" i="5"/>
  <c r="V2" i="5"/>
  <c r="U2" i="5"/>
  <c r="T2" i="5"/>
  <c r="V33" i="4"/>
  <c r="W33" i="4" s="1"/>
  <c r="U33" i="4"/>
  <c r="T33" i="4"/>
  <c r="W32" i="4"/>
  <c r="V32" i="4"/>
  <c r="U32" i="4"/>
  <c r="T32" i="4"/>
  <c r="V31" i="4"/>
  <c r="W31" i="4" s="1"/>
  <c r="U31" i="4"/>
  <c r="T31" i="4"/>
  <c r="W30" i="4"/>
  <c r="V30" i="4"/>
  <c r="U30" i="4"/>
  <c r="T30" i="4"/>
  <c r="V29" i="4"/>
  <c r="W29" i="4" s="1"/>
  <c r="U29" i="4"/>
  <c r="T29" i="4"/>
  <c r="W28" i="4"/>
  <c r="V28" i="4"/>
  <c r="U28" i="4"/>
  <c r="T28" i="4"/>
  <c r="V27" i="4"/>
  <c r="W27" i="4" s="1"/>
  <c r="U27" i="4"/>
  <c r="T27" i="4"/>
  <c r="W26" i="4"/>
  <c r="V26" i="4"/>
  <c r="U26" i="4"/>
  <c r="T26" i="4"/>
  <c r="V25" i="4"/>
  <c r="W25" i="4" s="1"/>
  <c r="U25" i="4"/>
  <c r="T25" i="4"/>
  <c r="W24" i="4"/>
  <c r="V24" i="4"/>
  <c r="U24" i="4"/>
  <c r="T24" i="4"/>
  <c r="V23" i="4"/>
  <c r="W23" i="4" s="1"/>
  <c r="U23" i="4"/>
  <c r="T23" i="4"/>
  <c r="W22" i="4"/>
  <c r="V22" i="4"/>
  <c r="U22" i="4"/>
  <c r="T22" i="4"/>
  <c r="V21" i="4"/>
  <c r="W21" i="4" s="1"/>
  <c r="U21" i="4"/>
  <c r="T21" i="4"/>
  <c r="W20" i="4"/>
  <c r="V20" i="4"/>
  <c r="U20" i="4"/>
  <c r="T20" i="4"/>
  <c r="V19" i="4"/>
  <c r="W19" i="4" s="1"/>
  <c r="U19" i="4"/>
  <c r="T19" i="4"/>
  <c r="W18" i="4"/>
  <c r="V18" i="4"/>
  <c r="U18" i="4"/>
  <c r="T18" i="4"/>
  <c r="V17" i="4"/>
  <c r="W17" i="4" s="1"/>
  <c r="U17" i="4"/>
  <c r="T17" i="4"/>
  <c r="W16" i="4"/>
  <c r="V16" i="4"/>
  <c r="U16" i="4"/>
  <c r="T16" i="4"/>
  <c r="V15" i="4"/>
  <c r="W15" i="4" s="1"/>
  <c r="U15" i="4"/>
  <c r="T15" i="4"/>
  <c r="W14" i="4"/>
  <c r="V14" i="4"/>
  <c r="U14" i="4"/>
  <c r="T14" i="4"/>
  <c r="V13" i="4"/>
  <c r="W13" i="4" s="1"/>
  <c r="U13" i="4"/>
  <c r="T13" i="4"/>
  <c r="W12" i="4"/>
  <c r="V12" i="4"/>
  <c r="U12" i="4"/>
  <c r="T12" i="4"/>
  <c r="V11" i="4"/>
  <c r="W11" i="4" s="1"/>
  <c r="U11" i="4"/>
  <c r="T11" i="4"/>
  <c r="W10" i="4"/>
  <c r="V10" i="4"/>
  <c r="U10" i="4"/>
  <c r="T10" i="4"/>
  <c r="V9" i="4"/>
  <c r="W9" i="4" s="1"/>
  <c r="U9" i="4"/>
  <c r="T9" i="4"/>
  <c r="W8" i="4"/>
  <c r="V8" i="4"/>
  <c r="U8" i="4"/>
  <c r="T8" i="4"/>
  <c r="V7" i="4"/>
  <c r="W7" i="4" s="1"/>
  <c r="U7" i="4"/>
  <c r="T7" i="4"/>
  <c r="W6" i="4"/>
  <c r="V6" i="4"/>
  <c r="U6" i="4"/>
  <c r="T6" i="4"/>
  <c r="V5" i="4"/>
  <c r="W5" i="4" s="1"/>
  <c r="U5" i="4"/>
  <c r="T5" i="4"/>
  <c r="W4" i="4"/>
  <c r="V4" i="4"/>
  <c r="U4" i="4"/>
  <c r="T4" i="4"/>
  <c r="V3" i="4"/>
  <c r="W3" i="4" s="1"/>
  <c r="U3" i="4"/>
  <c r="T3" i="4"/>
  <c r="W2" i="4"/>
  <c r="V2" i="4"/>
  <c r="U2" i="4"/>
  <c r="T2" i="4"/>
  <c r="V33" i="3"/>
  <c r="W33" i="3" s="1"/>
  <c r="U33" i="3"/>
  <c r="T33" i="3"/>
  <c r="W32" i="3"/>
  <c r="V32" i="3"/>
  <c r="U32" i="3"/>
  <c r="T32" i="3"/>
  <c r="V31" i="3"/>
  <c r="W31" i="3" s="1"/>
  <c r="U31" i="3"/>
  <c r="T31" i="3"/>
  <c r="W30" i="3"/>
  <c r="V30" i="3"/>
  <c r="U30" i="3"/>
  <c r="T30" i="3"/>
  <c r="V29" i="3"/>
  <c r="W29" i="3" s="1"/>
  <c r="U29" i="3"/>
  <c r="T29" i="3"/>
  <c r="W28" i="3"/>
  <c r="V28" i="3"/>
  <c r="U28" i="3"/>
  <c r="T28" i="3"/>
  <c r="V27" i="3"/>
  <c r="W27" i="3" s="1"/>
  <c r="U27" i="3"/>
  <c r="T27" i="3"/>
  <c r="W26" i="3"/>
  <c r="V26" i="3"/>
  <c r="U26" i="3"/>
  <c r="T26" i="3"/>
  <c r="V25" i="3"/>
  <c r="W25" i="3" s="1"/>
  <c r="U25" i="3"/>
  <c r="T25" i="3"/>
  <c r="W24" i="3"/>
  <c r="V24" i="3"/>
  <c r="U24" i="3"/>
  <c r="T24" i="3"/>
  <c r="V23" i="3"/>
  <c r="W23" i="3" s="1"/>
  <c r="U23" i="3"/>
  <c r="T23" i="3"/>
  <c r="W22" i="3"/>
  <c r="V22" i="3"/>
  <c r="U22" i="3"/>
  <c r="T22" i="3"/>
  <c r="V21" i="3"/>
  <c r="W21" i="3" s="1"/>
  <c r="U21" i="3"/>
  <c r="T21" i="3"/>
  <c r="W20" i="3"/>
  <c r="V20" i="3"/>
  <c r="U20" i="3"/>
  <c r="T20" i="3"/>
  <c r="V19" i="3"/>
  <c r="W19" i="3" s="1"/>
  <c r="U19" i="3"/>
  <c r="T19" i="3"/>
  <c r="W18" i="3"/>
  <c r="V18" i="3"/>
  <c r="U18" i="3"/>
  <c r="T18" i="3"/>
  <c r="V17" i="3"/>
  <c r="W17" i="3" s="1"/>
  <c r="U17" i="3"/>
  <c r="T17" i="3"/>
  <c r="W16" i="3"/>
  <c r="V16" i="3"/>
  <c r="U16" i="3"/>
  <c r="T16" i="3"/>
  <c r="V15" i="3"/>
  <c r="W15" i="3" s="1"/>
  <c r="U15" i="3"/>
  <c r="T15" i="3"/>
  <c r="W14" i="3"/>
  <c r="V14" i="3"/>
  <c r="U14" i="3"/>
  <c r="T14" i="3"/>
  <c r="V13" i="3"/>
  <c r="W13" i="3" s="1"/>
  <c r="U13" i="3"/>
  <c r="T13" i="3"/>
  <c r="W12" i="3"/>
  <c r="V12" i="3"/>
  <c r="U12" i="3"/>
  <c r="T12" i="3"/>
  <c r="V11" i="3"/>
  <c r="W11" i="3" s="1"/>
  <c r="U11" i="3"/>
  <c r="T11" i="3"/>
  <c r="W10" i="3"/>
  <c r="V10" i="3"/>
  <c r="U10" i="3"/>
  <c r="T10" i="3"/>
  <c r="V9" i="3"/>
  <c r="W9" i="3" s="1"/>
  <c r="U9" i="3"/>
  <c r="T9" i="3"/>
  <c r="W8" i="3"/>
  <c r="V8" i="3"/>
  <c r="U8" i="3"/>
  <c r="T8" i="3"/>
  <c r="V7" i="3"/>
  <c r="W7" i="3" s="1"/>
  <c r="U7" i="3"/>
  <c r="T7" i="3"/>
  <c r="W6" i="3"/>
  <c r="V6" i="3"/>
  <c r="U6" i="3"/>
  <c r="T6" i="3"/>
  <c r="V5" i="3"/>
  <c r="W5" i="3" s="1"/>
  <c r="U5" i="3"/>
  <c r="T5" i="3"/>
  <c r="W4" i="3"/>
  <c r="V4" i="3"/>
  <c r="U4" i="3"/>
  <c r="T4" i="3"/>
  <c r="V3" i="3"/>
  <c r="W3" i="3" s="1"/>
  <c r="U3" i="3"/>
  <c r="T3" i="3"/>
  <c r="W2" i="3"/>
  <c r="V2" i="3"/>
  <c r="U2" i="3"/>
  <c r="T2" i="3"/>
  <c r="V33" i="2"/>
  <c r="W33" i="2" s="1"/>
  <c r="U33" i="2"/>
  <c r="T33" i="2"/>
  <c r="W32" i="2"/>
  <c r="V32" i="2"/>
  <c r="U32" i="2"/>
  <c r="T32" i="2"/>
  <c r="V31" i="2"/>
  <c r="W31" i="2" s="1"/>
  <c r="U31" i="2"/>
  <c r="T31" i="2"/>
  <c r="W30" i="2"/>
  <c r="V30" i="2"/>
  <c r="U30" i="2"/>
  <c r="T30" i="2"/>
  <c r="V29" i="2"/>
  <c r="W29" i="2" s="1"/>
  <c r="U29" i="2"/>
  <c r="T29" i="2"/>
  <c r="W28" i="2"/>
  <c r="V28" i="2"/>
  <c r="U28" i="2"/>
  <c r="T28" i="2"/>
  <c r="V27" i="2"/>
  <c r="W27" i="2" s="1"/>
  <c r="U27" i="2"/>
  <c r="T27" i="2"/>
  <c r="W26" i="2"/>
  <c r="V26" i="2"/>
  <c r="U26" i="2"/>
  <c r="T26" i="2"/>
  <c r="V25" i="2"/>
  <c r="W25" i="2" s="1"/>
  <c r="U25" i="2"/>
  <c r="T25" i="2"/>
  <c r="W24" i="2"/>
  <c r="V24" i="2"/>
  <c r="U24" i="2"/>
  <c r="T24" i="2"/>
  <c r="V23" i="2"/>
  <c r="W23" i="2" s="1"/>
  <c r="U23" i="2"/>
  <c r="T23" i="2"/>
  <c r="W22" i="2"/>
  <c r="V22" i="2"/>
  <c r="U22" i="2"/>
  <c r="T22" i="2"/>
  <c r="V21" i="2"/>
  <c r="W21" i="2" s="1"/>
  <c r="U21" i="2"/>
  <c r="T21" i="2"/>
  <c r="W20" i="2"/>
  <c r="V20" i="2"/>
  <c r="U20" i="2"/>
  <c r="T20" i="2"/>
  <c r="V19" i="2"/>
  <c r="W19" i="2" s="1"/>
  <c r="U19" i="2"/>
  <c r="T19" i="2"/>
  <c r="W18" i="2"/>
  <c r="V18" i="2"/>
  <c r="U18" i="2"/>
  <c r="T18" i="2"/>
  <c r="V17" i="2"/>
  <c r="W17" i="2" s="1"/>
  <c r="U17" i="2"/>
  <c r="T17" i="2"/>
  <c r="W16" i="2"/>
  <c r="V16" i="2"/>
  <c r="U16" i="2"/>
  <c r="T16" i="2"/>
  <c r="V15" i="2"/>
  <c r="W15" i="2" s="1"/>
  <c r="U15" i="2"/>
  <c r="T15" i="2"/>
  <c r="W14" i="2"/>
  <c r="V14" i="2"/>
  <c r="U14" i="2"/>
  <c r="T14" i="2"/>
  <c r="V13" i="2"/>
  <c r="W13" i="2" s="1"/>
  <c r="U13" i="2"/>
  <c r="T13" i="2"/>
  <c r="W12" i="2"/>
  <c r="V12" i="2"/>
  <c r="U12" i="2"/>
  <c r="T12" i="2"/>
  <c r="V11" i="2"/>
  <c r="W11" i="2" s="1"/>
  <c r="U11" i="2"/>
  <c r="T11" i="2"/>
  <c r="W10" i="2"/>
  <c r="V10" i="2"/>
  <c r="U10" i="2"/>
  <c r="T10" i="2"/>
  <c r="V9" i="2"/>
  <c r="W9" i="2" s="1"/>
  <c r="U9" i="2"/>
  <c r="T9" i="2"/>
  <c r="AE8" i="2"/>
  <c r="V8" i="2"/>
  <c r="U8" i="2"/>
  <c r="T8" i="2"/>
  <c r="AE7" i="2"/>
  <c r="V7" i="2"/>
  <c r="W7" i="2" s="1"/>
  <c r="U7" i="2"/>
  <c r="T7" i="2"/>
  <c r="AE6" i="2"/>
  <c r="W6" i="2"/>
  <c r="V6" i="2"/>
  <c r="U6" i="2"/>
  <c r="T6" i="2"/>
  <c r="AE5" i="2"/>
  <c r="W5" i="2"/>
  <c r="V5" i="2"/>
  <c r="U5" i="2"/>
  <c r="T5" i="2"/>
  <c r="AE4" i="2"/>
  <c r="V4" i="2"/>
  <c r="W4" i="2" s="1"/>
  <c r="U4" i="2"/>
  <c r="T4" i="2"/>
  <c r="AE3" i="2"/>
  <c r="V3" i="2"/>
  <c r="W3" i="2" s="1"/>
  <c r="U3" i="2"/>
  <c r="T3" i="2"/>
  <c r="AE2" i="2"/>
  <c r="W2" i="2"/>
  <c r="V2" i="2"/>
  <c r="U2" i="2"/>
  <c r="T2" i="2"/>
  <c r="F8" i="9" l="1"/>
  <c r="J6" i="9"/>
  <c r="G8" i="9"/>
  <c r="I8" i="9"/>
  <c r="D9" i="9" s="1"/>
  <c r="J2" i="9"/>
  <c r="C4" i="11"/>
  <c r="D8" i="9"/>
  <c r="C29" i="11"/>
  <c r="C18" i="11"/>
  <c r="C8" i="11"/>
  <c r="C6" i="11"/>
  <c r="C21" i="11"/>
  <c r="B8" i="9"/>
  <c r="E8" i="11"/>
  <c r="E3" i="11"/>
  <c r="D7" i="11"/>
  <c r="E21" i="11"/>
  <c r="D3" i="11"/>
  <c r="AL18" i="7"/>
  <c r="AD18" i="7"/>
  <c r="AO18" i="7"/>
  <c r="AF18" i="7"/>
  <c r="AN18" i="7"/>
  <c r="AE18" i="7"/>
  <c r="AM18" i="7"/>
  <c r="AC18" i="7"/>
  <c r="AR18" i="7"/>
  <c r="AI18" i="7"/>
  <c r="AQ18" i="7"/>
  <c r="AH18" i="7"/>
  <c r="AE24" i="7"/>
  <c r="W8" i="2"/>
  <c r="AQ6" i="7"/>
  <c r="AG18" i="7"/>
  <c r="AF24" i="7"/>
  <c r="D11" i="11"/>
  <c r="AR6" i="7"/>
  <c r="AN10" i="7"/>
  <c r="AN17" i="7"/>
  <c r="AF17" i="7"/>
  <c r="AO17" i="7"/>
  <c r="AE17" i="7"/>
  <c r="AM17" i="7"/>
  <c r="AD17" i="7"/>
  <c r="AL17" i="7"/>
  <c r="AC17" i="7"/>
  <c r="Z17" i="7" s="1"/>
  <c r="AR17" i="7"/>
  <c r="AI17" i="7"/>
  <c r="AQ17" i="7"/>
  <c r="AH17" i="7"/>
  <c r="AJ18" i="7"/>
  <c r="AL34" i="7"/>
  <c r="AD34" i="7"/>
  <c r="AS34" i="7"/>
  <c r="AK34" i="7"/>
  <c r="AC34" i="7"/>
  <c r="AO34" i="7"/>
  <c r="AG34" i="7"/>
  <c r="AR34" i="7"/>
  <c r="AF34" i="7"/>
  <c r="AQ34" i="7"/>
  <c r="AE34" i="7"/>
  <c r="AP34" i="7"/>
  <c r="AB34" i="7"/>
  <c r="AJ34" i="7"/>
  <c r="AI34" i="7"/>
  <c r="E2" i="11"/>
  <c r="D2" i="11"/>
  <c r="E5" i="11"/>
  <c r="E9" i="11"/>
  <c r="D9" i="11"/>
  <c r="AK18" i="7"/>
  <c r="E22" i="11"/>
  <c r="AB6" i="7"/>
  <c r="AG17" i="7"/>
  <c r="AP18" i="7"/>
  <c r="AB22" i="7"/>
  <c r="AP28" i="7"/>
  <c r="AH28" i="7"/>
  <c r="AO28" i="7"/>
  <c r="AG28" i="7"/>
  <c r="AS28" i="7"/>
  <c r="AK28" i="7"/>
  <c r="AC28" i="7"/>
  <c r="AF28" i="7"/>
  <c r="AR28" i="7"/>
  <c r="AE28" i="7"/>
  <c r="AQ28" i="7"/>
  <c r="AD28" i="7"/>
  <c r="Z28" i="7" s="1"/>
  <c r="AL28" i="7"/>
  <c r="AJ28" i="7"/>
  <c r="AM34" i="7"/>
  <c r="D10" i="11"/>
  <c r="AP24" i="7"/>
  <c r="AH24" i="7"/>
  <c r="AO24" i="7"/>
  <c r="AG24" i="7"/>
  <c r="AS24" i="7"/>
  <c r="AK24" i="7"/>
  <c r="AC24" i="7"/>
  <c r="AL24" i="7"/>
  <c r="AJ24" i="7"/>
  <c r="AI24" i="7"/>
  <c r="AQ24" i="7"/>
  <c r="AD24" i="7"/>
  <c r="AN24" i="7"/>
  <c r="AB24" i="7"/>
  <c r="AB18" i="7"/>
  <c r="Z4" i="7"/>
  <c r="AM10" i="7"/>
  <c r="AE10" i="7"/>
  <c r="AL10" i="7"/>
  <c r="AD10" i="7"/>
  <c r="AS10" i="7"/>
  <c r="AK10" i="7"/>
  <c r="AC10" i="7"/>
  <c r="AP10" i="7"/>
  <c r="AH10" i="7"/>
  <c r="AO10" i="7"/>
  <c r="AG10" i="7"/>
  <c r="AS18" i="7"/>
  <c r="C8" i="9"/>
  <c r="J3" i="9"/>
  <c r="AM6" i="7"/>
  <c r="AE6" i="7"/>
  <c r="AL6" i="7"/>
  <c r="AD6" i="7"/>
  <c r="AS6" i="7"/>
  <c r="D5" i="11" s="1"/>
  <c r="AK6" i="7"/>
  <c r="AC6" i="7"/>
  <c r="AP6" i="7"/>
  <c r="AH6" i="7"/>
  <c r="AO6" i="7"/>
  <c r="AG6" i="7"/>
  <c r="AL22" i="7"/>
  <c r="AD22" i="7"/>
  <c r="AS22" i="7"/>
  <c r="AK22" i="7"/>
  <c r="AC22" i="7"/>
  <c r="AO22" i="7"/>
  <c r="AG22" i="7"/>
  <c r="AH22" i="7"/>
  <c r="AR22" i="7"/>
  <c r="AF22" i="7"/>
  <c r="AQ22" i="7"/>
  <c r="AE22" i="7"/>
  <c r="AM22" i="7"/>
  <c r="AJ22" i="7"/>
  <c r="AR24" i="7"/>
  <c r="AI6" i="7"/>
  <c r="AB10" i="7"/>
  <c r="AP16" i="7"/>
  <c r="AH16" i="7"/>
  <c r="AM16" i="7"/>
  <c r="AD16" i="7"/>
  <c r="AL16" i="7"/>
  <c r="AC16" i="7"/>
  <c r="AK16" i="7"/>
  <c r="AB16" i="7"/>
  <c r="AQ16" i="7"/>
  <c r="AG16" i="7"/>
  <c r="AO16" i="7"/>
  <c r="AF16" i="7"/>
  <c r="AK17" i="7"/>
  <c r="AN22" i="7"/>
  <c r="E4" i="11"/>
  <c r="E7" i="11"/>
  <c r="E10" i="11"/>
  <c r="AE3" i="7"/>
  <c r="AM3" i="7"/>
  <c r="AI5" i="7"/>
  <c r="AQ5" i="7"/>
  <c r="AE7" i="7"/>
  <c r="AM7" i="7"/>
  <c r="AI9" i="7"/>
  <c r="AQ9" i="7"/>
  <c r="AE11" i="7"/>
  <c r="AM11" i="7"/>
  <c r="AF20" i="7"/>
  <c r="AL30" i="7"/>
  <c r="AD30" i="7"/>
  <c r="AS30" i="7"/>
  <c r="AK30" i="7"/>
  <c r="AC30" i="7"/>
  <c r="AO30" i="7"/>
  <c r="AG30" i="7"/>
  <c r="AN30" i="7"/>
  <c r="H8" i="9"/>
  <c r="D6" i="11"/>
  <c r="C11" i="11"/>
  <c r="AF3" i="7"/>
  <c r="AN3" i="7"/>
  <c r="AB5" i="7"/>
  <c r="Z5" i="7" s="1"/>
  <c r="AJ5" i="7"/>
  <c r="AR5" i="7"/>
  <c r="AF7" i="7"/>
  <c r="AN7" i="7"/>
  <c r="AB9" i="7"/>
  <c r="AJ9" i="7"/>
  <c r="AR9" i="7"/>
  <c r="AF11" i="7"/>
  <c r="AN11" i="7"/>
  <c r="W13" i="7"/>
  <c r="AE13" i="7"/>
  <c r="AF14" i="7"/>
  <c r="AF15" i="7"/>
  <c r="AB30" i="7"/>
  <c r="AP30" i="7"/>
  <c r="V4" i="8"/>
  <c r="AI3" i="7"/>
  <c r="AQ3" i="7"/>
  <c r="AI7" i="7"/>
  <c r="AQ7" i="7"/>
  <c r="AI11" i="7"/>
  <c r="AQ11" i="7"/>
  <c r="AP20" i="7"/>
  <c r="AH20" i="7"/>
  <c r="AO20" i="7"/>
  <c r="AG20" i="7"/>
  <c r="AS20" i="7"/>
  <c r="AK20" i="7"/>
  <c r="AC20" i="7"/>
  <c r="AM20" i="7"/>
  <c r="AH30" i="7"/>
  <c r="V7" i="8"/>
  <c r="D25" i="11"/>
  <c r="C2" i="11"/>
  <c r="C7" i="11"/>
  <c r="C9" i="11"/>
  <c r="C27" i="11"/>
  <c r="C33" i="11"/>
  <c r="C12" i="11"/>
  <c r="C25" i="11"/>
  <c r="C14" i="11"/>
  <c r="C17" i="11"/>
  <c r="C10" i="11"/>
  <c r="C23" i="11"/>
  <c r="C16" i="11"/>
  <c r="AB3" i="7"/>
  <c r="AJ3" i="7"/>
  <c r="AR3" i="7"/>
  <c r="AF5" i="7"/>
  <c r="AN5" i="7"/>
  <c r="AB7" i="7"/>
  <c r="AJ7" i="7"/>
  <c r="AR7" i="7"/>
  <c r="AF9" i="7"/>
  <c r="AN9" i="7"/>
  <c r="AB11" i="7"/>
  <c r="AJ11" i="7"/>
  <c r="AR11" i="7"/>
  <c r="AN13" i="7"/>
  <c r="AF13" i="7"/>
  <c r="AJ13" i="7"/>
  <c r="AS13" i="7"/>
  <c r="AL14" i="7"/>
  <c r="AD14" i="7"/>
  <c r="AJ14" i="7"/>
  <c r="AS14" i="7"/>
  <c r="AR15" i="7"/>
  <c r="AJ15" i="7"/>
  <c r="AB15" i="7"/>
  <c r="AK15" i="7"/>
  <c r="AB20" i="7"/>
  <c r="AN20" i="7"/>
  <c r="AL26" i="7"/>
  <c r="AD26" i="7"/>
  <c r="AS26" i="7"/>
  <c r="AK26" i="7"/>
  <c r="AC26" i="7"/>
  <c r="AO26" i="7"/>
  <c r="AG26" i="7"/>
  <c r="AN26" i="7"/>
  <c r="AI30" i="7"/>
  <c r="AP32" i="7"/>
  <c r="AH32" i="7"/>
  <c r="AO32" i="7"/>
  <c r="AG32" i="7"/>
  <c r="AS32" i="7"/>
  <c r="AK32" i="7"/>
  <c r="AC32" i="7"/>
  <c r="AM32" i="7"/>
  <c r="E8" i="9"/>
  <c r="J4" i="9"/>
  <c r="D33" i="11"/>
  <c r="C26" i="11"/>
  <c r="AC3" i="7"/>
  <c r="AK3" i="7"/>
  <c r="AI4" i="7"/>
  <c r="AG5" i="7"/>
  <c r="AC7" i="7"/>
  <c r="AK7" i="7"/>
  <c r="AI8" i="7"/>
  <c r="Z8" i="7" s="1"/>
  <c r="AG9" i="7"/>
  <c r="AC11" i="7"/>
  <c r="AK11" i="7"/>
  <c r="AP12" i="7"/>
  <c r="AH12" i="7"/>
  <c r="Z12" i="7" s="1"/>
  <c r="AJ12" i="7"/>
  <c r="AS12" i="7"/>
  <c r="D20" i="11" s="1"/>
  <c r="AB13" i="7"/>
  <c r="Z13" i="7" s="1"/>
  <c r="AK13" i="7"/>
  <c r="AB14" i="7"/>
  <c r="AK14" i="7"/>
  <c r="AC15" i="7"/>
  <c r="AL15" i="7"/>
  <c r="W17" i="7"/>
  <c r="AD20" i="7"/>
  <c r="AQ20" i="7"/>
  <c r="AB26" i="7"/>
  <c r="AP26" i="7"/>
  <c r="AJ30" i="7"/>
  <c r="AB32" i="7"/>
  <c r="AN32" i="7"/>
  <c r="J5" i="9"/>
  <c r="E31" i="11"/>
  <c r="D32" i="11"/>
  <c r="AE19" i="7"/>
  <c r="AM19" i="7"/>
  <c r="AI21" i="7"/>
  <c r="AQ21" i="7"/>
  <c r="AE23" i="7"/>
  <c r="AM23" i="7"/>
  <c r="AI25" i="7"/>
  <c r="Z25" i="7" s="1"/>
  <c r="AQ25" i="7"/>
  <c r="AE27" i="7"/>
  <c r="AM27" i="7"/>
  <c r="AI29" i="7"/>
  <c r="AQ29" i="7"/>
  <c r="AE31" i="7"/>
  <c r="AM31" i="7"/>
  <c r="AI33" i="7"/>
  <c r="AQ33" i="7"/>
  <c r="D4" i="11"/>
  <c r="AI19" i="7"/>
  <c r="AQ19" i="7"/>
  <c r="AE21" i="7"/>
  <c r="Z21" i="7" s="1"/>
  <c r="AM21" i="7"/>
  <c r="AI23" i="7"/>
  <c r="AQ23" i="7"/>
  <c r="AE25" i="7"/>
  <c r="AM25" i="7"/>
  <c r="AI27" i="7"/>
  <c r="AQ27" i="7"/>
  <c r="AE29" i="7"/>
  <c r="Z29" i="7" s="1"/>
  <c r="AM29" i="7"/>
  <c r="AI31" i="7"/>
  <c r="AQ31" i="7"/>
  <c r="AE33" i="7"/>
  <c r="Z33" i="7" s="1"/>
  <c r="AM33" i="7"/>
  <c r="AB19" i="7"/>
  <c r="AJ19" i="7"/>
  <c r="AF21" i="7"/>
  <c r="AB23" i="7"/>
  <c r="Z23" i="7" s="1"/>
  <c r="AJ23" i="7"/>
  <c r="AF25" i="7"/>
  <c r="AB27" i="7"/>
  <c r="AJ27" i="7"/>
  <c r="AF29" i="7"/>
  <c r="AB31" i="7"/>
  <c r="AJ31" i="7"/>
  <c r="AF33" i="7"/>
  <c r="G9" i="9" l="1"/>
  <c r="B9" i="9"/>
  <c r="C32" i="11"/>
  <c r="C9" i="9"/>
  <c r="C3" i="11"/>
  <c r="C20" i="11"/>
  <c r="I9" i="9"/>
  <c r="C31" i="11"/>
  <c r="C19" i="11"/>
  <c r="C13" i="11"/>
  <c r="C24" i="11"/>
  <c r="C28" i="11"/>
  <c r="C22" i="11"/>
  <c r="C5" i="11"/>
  <c r="C15" i="11"/>
  <c r="C30" i="11"/>
  <c r="Z20" i="7"/>
  <c r="E33" i="11"/>
  <c r="Z18" i="7"/>
  <c r="Z31" i="7"/>
  <c r="E28" i="11"/>
  <c r="Z15" i="7"/>
  <c r="E20" i="11"/>
  <c r="Z30" i="7"/>
  <c r="D17" i="11"/>
  <c r="Z22" i="7"/>
  <c r="D31" i="11"/>
  <c r="E16" i="11"/>
  <c r="Z19" i="7"/>
  <c r="E23" i="11"/>
  <c r="E15" i="11"/>
  <c r="Z9" i="7"/>
  <c r="E29" i="11"/>
  <c r="E17" i="11"/>
  <c r="D27" i="11"/>
  <c r="D21" i="11"/>
  <c r="D22" i="11"/>
  <c r="E26" i="11"/>
  <c r="Z32" i="7"/>
  <c r="D19" i="11"/>
  <c r="E14" i="11"/>
  <c r="E9" i="9"/>
  <c r="D24" i="11"/>
  <c r="E11" i="11"/>
  <c r="F9" i="9"/>
  <c r="Z6" i="7"/>
  <c r="Z1" i="7" s="1"/>
  <c r="E30" i="11"/>
  <c r="E18" i="11"/>
  <c r="D29" i="11"/>
  <c r="Z7" i="7"/>
  <c r="Z24" i="7"/>
  <c r="E13" i="11"/>
  <c r="D12" i="11"/>
  <c r="Z14" i="7"/>
  <c r="E19" i="11"/>
  <c r="E32" i="11"/>
  <c r="D26" i="11"/>
  <c r="D30" i="11"/>
  <c r="D23" i="11"/>
  <c r="D8" i="11"/>
  <c r="E25" i="11"/>
  <c r="D13" i="11"/>
  <c r="D28" i="11"/>
  <c r="D16" i="11"/>
  <c r="D18" i="11"/>
  <c r="E24" i="11"/>
  <c r="Z27" i="7"/>
  <c r="Z26" i="7"/>
  <c r="Z11" i="7"/>
  <c r="D14" i="11"/>
  <c r="H9" i="9"/>
  <c r="Z16" i="7"/>
  <c r="Z10" i="7"/>
  <c r="D15" i="11"/>
  <c r="E6" i="11"/>
  <c r="E12" i="11"/>
  <c r="Z34" i="7"/>
  <c r="E27" i="11"/>
</calcChain>
</file>

<file path=xl/comments1.xml><?xml version="1.0" encoding="utf-8"?>
<comments xmlns="http://schemas.openxmlformats.org/spreadsheetml/2006/main">
  <authors>
    <author>mikelaptop</author>
  </authors>
  <commentList>
    <comment ref="F61" authorId="0">
      <text>
        <r>
          <rPr>
            <b/>
            <sz val="9"/>
            <color indexed="81"/>
            <rFont val="Tahoma"/>
            <family val="2"/>
          </rPr>
          <t>Previous ranking</t>
        </r>
      </text>
    </comment>
    <comment ref="G61" authorId="0">
      <text>
        <r>
          <rPr>
            <b/>
            <sz val="9"/>
            <color indexed="81"/>
            <rFont val="Tahoma"/>
            <family val="2"/>
          </rPr>
          <t>Better record</t>
        </r>
      </text>
    </comment>
    <comment ref="H61" authorId="0">
      <text>
        <r>
          <rPr>
            <b/>
            <sz val="9"/>
            <color indexed="81"/>
            <rFont val="Tahoma"/>
            <family val="2"/>
          </rPr>
          <t>Better record</t>
        </r>
      </text>
    </comment>
    <comment ref="I61" authorId="0">
      <text>
        <r>
          <rPr>
            <b/>
            <sz val="9"/>
            <color indexed="81"/>
            <rFont val="Tahoma"/>
            <family val="2"/>
          </rPr>
          <t>Better record</t>
        </r>
      </text>
    </comment>
  </commentList>
</comments>
</file>

<file path=xl/connections.xml><?xml version="1.0" encoding="utf-8"?>
<connections xmlns="http://schemas.openxmlformats.org/spreadsheetml/2006/main">
  <connection id="1" name="Connection" type="4" refreshedVersion="3" background="1" saveData="1">
    <webPr sourceData="1" parsePre="1" consecutive="1" textDates="1" xl2000="1" url="http://www.nfl.com/standings?category=league&amp;season=2008-REG&amp;split=Overall"/>
  </connection>
</connections>
</file>

<file path=xl/sharedStrings.xml><?xml version="1.0" encoding="utf-8"?>
<sst xmlns="http://schemas.openxmlformats.org/spreadsheetml/2006/main" count="1207" uniqueCount="325">
  <si>
    <t>Rank</t>
  </si>
  <si>
    <t>Team</t>
  </si>
  <si>
    <t>W</t>
  </si>
  <si>
    <t>L</t>
  </si>
  <si>
    <t>W-L</t>
  </si>
  <si>
    <t>Team Code</t>
  </si>
  <si>
    <t>Sando</t>
  </si>
  <si>
    <t>Clayton</t>
  </si>
  <si>
    <t>Graziano</t>
  </si>
  <si>
    <t>Hensley</t>
  </si>
  <si>
    <t>Fox</t>
  </si>
  <si>
    <t>Average</t>
  </si>
  <si>
    <t>High</t>
  </si>
  <si>
    <t>Low</t>
  </si>
  <si>
    <t>Biggest Gap</t>
  </si>
  <si>
    <t>Division</t>
  </si>
  <si>
    <t>Sando High Vote</t>
  </si>
  <si>
    <t>Clayton High Vote</t>
  </si>
  <si>
    <t>Kuharsky High Vote</t>
  </si>
  <si>
    <t>Walker High Vote</t>
  </si>
  <si>
    <t>Fox High Vote</t>
  </si>
  <si>
    <t>Sando Low Vote</t>
  </si>
  <si>
    <t>Clayton Low Vote</t>
  </si>
  <si>
    <t>Kuharsky Low Vote</t>
  </si>
  <si>
    <t>Walker Low Vote</t>
  </si>
  <si>
    <t>Fox Low Vote</t>
  </si>
  <si>
    <t>Week1</t>
  </si>
  <si>
    <t>Week 2</t>
  </si>
  <si>
    <t>Week 3</t>
  </si>
  <si>
    <t>Week 4</t>
  </si>
  <si>
    <t>Week 5</t>
  </si>
  <si>
    <t>Week 6</t>
  </si>
  <si>
    <t>Week 7</t>
  </si>
  <si>
    <t>x</t>
  </si>
  <si>
    <t>Arizona Cardinals</t>
  </si>
  <si>
    <t>ARI</t>
  </si>
  <si>
    <t>NFC West</t>
  </si>
  <si>
    <t>Atlanta Falcons</t>
  </si>
  <si>
    <t>ATL</t>
  </si>
  <si>
    <t>NFC South</t>
  </si>
  <si>
    <t>Baltimore Ravens</t>
  </si>
  <si>
    <t>BAL</t>
  </si>
  <si>
    <t>AFC North</t>
  </si>
  <si>
    <t>Buffalo Bills</t>
  </si>
  <si>
    <t>BUF</t>
  </si>
  <si>
    <t>AFC East</t>
  </si>
  <si>
    <t>Carolina Panthers</t>
  </si>
  <si>
    <t>CAR</t>
  </si>
  <si>
    <t>Chicago Bears</t>
  </si>
  <si>
    <t>CHI</t>
  </si>
  <si>
    <t>NFC North</t>
  </si>
  <si>
    <t>Cincinnati Bengals</t>
  </si>
  <si>
    <t>CIN</t>
  </si>
  <si>
    <t>Cleveland Browns</t>
  </si>
  <si>
    <t>CLE</t>
  </si>
  <si>
    <t>Dallas Cowboys</t>
  </si>
  <si>
    <t>DAL</t>
  </si>
  <si>
    <t>NFC East</t>
  </si>
  <si>
    <t>Denver Broncos</t>
  </si>
  <si>
    <t>DEN</t>
  </si>
  <si>
    <t>AFC West</t>
  </si>
  <si>
    <t>Detroit Lions</t>
  </si>
  <si>
    <t>DET</t>
  </si>
  <si>
    <t>Green Bay Packers</t>
  </si>
  <si>
    <t>GB</t>
  </si>
  <si>
    <t>Houston Texans</t>
  </si>
  <si>
    <t>HOU</t>
  </si>
  <si>
    <t>AFC South</t>
  </si>
  <si>
    <t>Indianapolis Colts</t>
  </si>
  <si>
    <t>IND</t>
  </si>
  <si>
    <t>Jacksonville Jaguars</t>
  </si>
  <si>
    <t>JAC</t>
  </si>
  <si>
    <t>Kansas City Chiefs</t>
  </si>
  <si>
    <t>KC</t>
  </si>
  <si>
    <t>Miami Dolphins</t>
  </si>
  <si>
    <t>MIA</t>
  </si>
  <si>
    <t>Minnesota Vikings</t>
  </si>
  <si>
    <t>MIN</t>
  </si>
  <si>
    <t>New England Patriots</t>
  </si>
  <si>
    <t>NE</t>
  </si>
  <si>
    <t>New Orleans Saints</t>
  </si>
  <si>
    <t>NO</t>
  </si>
  <si>
    <t>New York Giants</t>
  </si>
  <si>
    <t>NYG</t>
  </si>
  <si>
    <t>New York Jets</t>
  </si>
  <si>
    <t>NYJ</t>
  </si>
  <si>
    <t>Oakland Raiders</t>
  </si>
  <si>
    <t>OAK</t>
  </si>
  <si>
    <t>Philadelphia Eagles</t>
  </si>
  <si>
    <t>PHI</t>
  </si>
  <si>
    <t>Pittsburgh Steelers</t>
  </si>
  <si>
    <t>PIT</t>
  </si>
  <si>
    <t>San Diego Chargers</t>
  </si>
  <si>
    <t>SD</t>
  </si>
  <si>
    <t>San Francisco 49ers</t>
  </si>
  <si>
    <t>SF</t>
  </si>
  <si>
    <t>Seattle Seahawks</t>
  </si>
  <si>
    <t>SEA</t>
  </si>
  <si>
    <t>St. Louis Rams</t>
  </si>
  <si>
    <t>STL</t>
  </si>
  <si>
    <t>Tampa Bay Bucs</t>
  </si>
  <si>
    <t>TB</t>
  </si>
  <si>
    <t>Tennessee Titans</t>
  </si>
  <si>
    <t>TEN</t>
  </si>
  <si>
    <t>Washington Redskins</t>
  </si>
  <si>
    <t>WAS</t>
  </si>
  <si>
    <t>high votes</t>
  </si>
  <si>
    <t>low votes</t>
  </si>
  <si>
    <t>Repeats</t>
  </si>
  <si>
    <t>Correlation</t>
  </si>
  <si>
    <t>7-NE</t>
  </si>
  <si>
    <t>4-BAL</t>
  </si>
  <si>
    <t>2-HOU</t>
  </si>
  <si>
    <t>12-DEN</t>
  </si>
  <si>
    <t>17-MIA</t>
  </si>
  <si>
    <t>14-PIT</t>
  </si>
  <si>
    <t>26-IND</t>
  </si>
  <si>
    <t>16-SD</t>
  </si>
  <si>
    <t>23-NYJ</t>
  </si>
  <si>
    <t>21-CIN</t>
  </si>
  <si>
    <t>27-TEN</t>
  </si>
  <si>
    <t>29-OAK</t>
  </si>
  <si>
    <t>25-BUF</t>
  </si>
  <si>
    <t>30-CLE</t>
  </si>
  <si>
    <t>31-JAC</t>
  </si>
  <si>
    <t>32-KC</t>
  </si>
  <si>
    <t>3-NYG</t>
  </si>
  <si>
    <t>6-CHI</t>
  </si>
  <si>
    <t>1-ATL</t>
  </si>
  <si>
    <t>5-SF</t>
  </si>
  <si>
    <t>Tiebreakers</t>
  </si>
  <si>
    <t>13-PHI</t>
  </si>
  <si>
    <t>8-GB</t>
  </si>
  <si>
    <t>22-TB</t>
  </si>
  <si>
    <t>9-SEA</t>
  </si>
  <si>
    <t>Head to head</t>
  </si>
  <si>
    <t>15-WAS</t>
  </si>
  <si>
    <t>10-MIN</t>
  </si>
  <si>
    <t>24-NO</t>
  </si>
  <si>
    <t>11-ARI</t>
  </si>
  <si>
    <t>Overall record</t>
  </si>
  <si>
    <t>18-DAL</t>
  </si>
  <si>
    <t>19-DET</t>
  </si>
  <si>
    <t>28-CAR</t>
  </si>
  <si>
    <t>20-STL</t>
  </si>
  <si>
    <t>Won most recently</t>
  </si>
  <si>
    <t>Previous Ranking</t>
  </si>
  <si>
    <t>Date</t>
  </si>
  <si>
    <t>Tiebreak</t>
  </si>
  <si>
    <t>Week 1</t>
  </si>
  <si>
    <t>BAL&gt;PHI</t>
  </si>
  <si>
    <t>TEN&gt;BUF</t>
  </si>
  <si>
    <t>MIA&gt;STL</t>
  </si>
  <si>
    <t>NE&gt;SF</t>
  </si>
  <si>
    <t>CIN&gt;KC</t>
  </si>
  <si>
    <t>TEN&gt;CAR&gt;BUF</t>
  </si>
  <si>
    <t>ARI&gt;DAL</t>
  </si>
  <si>
    <t>SEA&gt;NYJ</t>
  </si>
  <si>
    <t>PHI&gt;GB</t>
  </si>
  <si>
    <t>SD&gt;CIN</t>
  </si>
  <si>
    <t>MIA&gt;DET</t>
  </si>
  <si>
    <t>IND&gt;TB</t>
  </si>
  <si>
    <t>NYJ&gt;CAR</t>
  </si>
  <si>
    <t>HOU&gt;NYG</t>
  </si>
  <si>
    <t>MIN&gt;ARI</t>
  </si>
  <si>
    <t>JAC&gt;KC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</si>
  <si>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</si>
  <si>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</si>
  <si>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</si>
  <si>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</si>
  <si>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</si>
  <si>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</si>
  <si>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</si>
  <si>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</si>
  <si>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</si>
  <si>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</si>
  <si>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</si>
  <si>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Highest</t>
  </si>
  <si>
    <t>Lowest</t>
  </si>
  <si>
    <t>Gap</t>
  </si>
  <si>
    <t>NFL Team</t>
  </si>
  <si>
    <t>Conf</t>
  </si>
  <si>
    <t>Div</t>
  </si>
  <si>
    <t>T</t>
  </si>
  <si>
    <t>Pct</t>
  </si>
  <si>
    <t>PF</t>
  </si>
  <si>
    <t>PA</t>
  </si>
  <si>
    <t>Net Pts</t>
  </si>
  <si>
    <t>TD</t>
  </si>
  <si>
    <t>Home</t>
  </si>
  <si>
    <t>Road</t>
  </si>
  <si>
    <t>Non-Conf</t>
  </si>
  <si>
    <t>Streak</t>
  </si>
  <si>
    <t>Last 5</t>
  </si>
  <si>
    <t>PPG</t>
  </si>
  <si>
    <t>PPG Allowed</t>
  </si>
  <si>
    <t>PPG Differential</t>
  </si>
  <si>
    <t>Total Games Played</t>
  </si>
  <si>
    <t>Power Ranking</t>
  </si>
  <si>
    <t>Higher Ranked Teams Beaten</t>
  </si>
  <si>
    <t>Beat</t>
  </si>
  <si>
    <t>Wins</t>
  </si>
  <si>
    <t>Losses</t>
  </si>
  <si>
    <t xml:space="preserve">Atlanta Falcons </t>
  </si>
  <si>
    <t>NFC</t>
  </si>
  <si>
    <t>NCS</t>
  </si>
  <si>
    <t>3-0</t>
  </si>
  <si>
    <t>1-0</t>
  </si>
  <si>
    <t>2-0</t>
  </si>
  <si>
    <t>4-0</t>
  </si>
  <si>
    <t>6W</t>
  </si>
  <si>
    <t>5-0</t>
  </si>
  <si>
    <t xml:space="preserve">Houston Texans </t>
  </si>
  <si>
    <t>ACS</t>
  </si>
  <si>
    <t>2-1</t>
  </si>
  <si>
    <t>0-1</t>
  </si>
  <si>
    <t>1L</t>
  </si>
  <si>
    <t>4-1</t>
  </si>
  <si>
    <t xml:space="preserve">New York Giants </t>
  </si>
  <si>
    <t>NCE</t>
  </si>
  <si>
    <t>0-2</t>
  </si>
  <si>
    <t>3-2</t>
  </si>
  <si>
    <t>2W</t>
  </si>
  <si>
    <t xml:space="preserve">Baltimore Ravens </t>
  </si>
  <si>
    <t>AFC</t>
  </si>
  <si>
    <t>ACN</t>
  </si>
  <si>
    <t>1-1</t>
  </si>
  <si>
    <t>4W</t>
  </si>
  <si>
    <t xml:space="preserve">San Francisco 49ers </t>
  </si>
  <si>
    <t>NCW</t>
  </si>
  <si>
    <t>0-0</t>
  </si>
  <si>
    <t>2-2</t>
  </si>
  <si>
    <t xml:space="preserve">Chicago Bears </t>
  </si>
  <si>
    <t>NCN</t>
  </si>
  <si>
    <t>3W</t>
  </si>
  <si>
    <t xml:space="preserve">New England Patriots </t>
  </si>
  <si>
    <t>ACE</t>
  </si>
  <si>
    <t>3-1</t>
  </si>
  <si>
    <t>2-3</t>
  </si>
  <si>
    <t xml:space="preserve">Green Bay Packers </t>
  </si>
  <si>
    <t>1-2</t>
  </si>
  <si>
    <t>1W</t>
  </si>
  <si>
    <t xml:space="preserve">Seattle Seahawks </t>
  </si>
  <si>
    <t xml:space="preserve">Minnesota Vikings </t>
  </si>
  <si>
    <t xml:space="preserve">Arizona Cardinals </t>
  </si>
  <si>
    <t>2L</t>
  </si>
  <si>
    <t xml:space="preserve">Denver Broncos </t>
  </si>
  <si>
    <t>ACW</t>
  </si>
  <si>
    <t xml:space="preserve">Philadelphia Eagles </t>
  </si>
  <si>
    <t xml:space="preserve">Pittsburgh Steelers </t>
  </si>
  <si>
    <t>0-3</t>
  </si>
  <si>
    <t>1-3</t>
  </si>
  <si>
    <t xml:space="preserve">Washington Redskins </t>
  </si>
  <si>
    <t xml:space="preserve">San Diego Chargers </t>
  </si>
  <si>
    <t xml:space="preserve">Miami Dolphins </t>
  </si>
  <si>
    <t xml:space="preserve">Dallas Cowboys </t>
  </si>
  <si>
    <t xml:space="preserve">Detroit Lions </t>
  </si>
  <si>
    <t xml:space="preserve">St. Louis Rams </t>
  </si>
  <si>
    <t xml:space="preserve">Cincinnati Bengals </t>
  </si>
  <si>
    <t xml:space="preserve">Tampa Bay Buccaneers </t>
  </si>
  <si>
    <t xml:space="preserve">New York Jets </t>
  </si>
  <si>
    <t xml:space="preserve">New Orleans Saints </t>
  </si>
  <si>
    <t>1-4</t>
  </si>
  <si>
    <t xml:space="preserve">Buffalo Bills </t>
  </si>
  <si>
    <t xml:space="preserve">Indianapolis Colts </t>
  </si>
  <si>
    <t xml:space="preserve">Tennessee Titans </t>
  </si>
  <si>
    <t xml:space="preserve">Carolina Panthers </t>
  </si>
  <si>
    <t>3L</t>
  </si>
  <si>
    <t xml:space="preserve">Oakland Raiders </t>
  </si>
  <si>
    <t xml:space="preserve">Cleveland Browns </t>
  </si>
  <si>
    <t xml:space="preserve">Jacksonville Jaguars </t>
  </si>
  <si>
    <t xml:space="preserve">Kansas City Chiefs </t>
  </si>
  <si>
    <t>Team Change Code</t>
  </si>
  <si>
    <t>Change from Last Week</t>
  </si>
  <si>
    <t>Change from Week 1</t>
  </si>
  <si>
    <t>Voter</t>
  </si>
  <si>
    <t>Average (should equal 16.5)</t>
  </si>
  <si>
    <t>Mike Sando</t>
  </si>
  <si>
    <t>John Clayton</t>
  </si>
  <si>
    <t>Dan Graziano</t>
  </si>
  <si>
    <t>Jamison Hensley</t>
  </si>
  <si>
    <t>Ashley Fox</t>
  </si>
  <si>
    <t>Code</t>
  </si>
  <si>
    <t>Total Wins</t>
  </si>
  <si>
    <t>Playoffs</t>
  </si>
  <si>
    <t>Wins vs Playoff Teams</t>
  </si>
  <si>
    <t>Losses vs Playoff Teams</t>
  </si>
  <si>
    <t>6-0</t>
  </si>
  <si>
    <t xml:space="preserve">Atlanta Falcons (+2), </t>
  </si>
  <si>
    <t>5-1</t>
  </si>
  <si>
    <t xml:space="preserve">Houston Texans (+1), </t>
  </si>
  <si>
    <t>4-2</t>
  </si>
  <si>
    <t xml:space="preserve">New York Giants (+7), </t>
  </si>
  <si>
    <t xml:space="preserve">Baltimore Ravens (+4), </t>
  </si>
  <si>
    <t xml:space="preserve">San Francisco 49ers (+3), </t>
  </si>
  <si>
    <t xml:space="preserve">Chicago Bears (+6), </t>
  </si>
  <si>
    <t>3-3</t>
  </si>
  <si>
    <t xml:space="preserve">New England Patriots (+5), </t>
  </si>
  <si>
    <t xml:space="preserve">Green Bay Packers (+12), </t>
  </si>
  <si>
    <t xml:space="preserve">Seattle Seahawks (+16), </t>
  </si>
  <si>
    <t xml:space="preserve">Minnesota Vikings (+8), </t>
  </si>
  <si>
    <t xml:space="preserve">Arizona Cardinals (+9), </t>
  </si>
  <si>
    <t xml:space="preserve">Denver Broncos (+17), </t>
  </si>
  <si>
    <t xml:space="preserve">Philadelphia Eagles (+11), </t>
  </si>
  <si>
    <t xml:space="preserve">Pittsburgh Steelers (+10), </t>
  </si>
  <si>
    <t xml:space="preserve">Washington Redskins (+21), </t>
  </si>
  <si>
    <t xml:space="preserve">San Diego Chargers (+14), </t>
  </si>
  <si>
    <t xml:space="preserve">Miami Dolphins (+19), </t>
  </si>
  <si>
    <t xml:space="preserve">Dallas Cowboys (+13), </t>
  </si>
  <si>
    <t xml:space="preserve">Detroit Lions (+20), </t>
  </si>
  <si>
    <t xml:space="preserve">St. Louis Rams (+18), </t>
  </si>
  <si>
    <t xml:space="preserve">Cincinnati Bengals (+15), </t>
  </si>
  <si>
    <t xml:space="preserve">Tampa Bay Bucs (+23), </t>
  </si>
  <si>
    <t xml:space="preserve">New York Jets (+25), </t>
  </si>
  <si>
    <t xml:space="preserve">New Orleans Saints (+24), </t>
  </si>
  <si>
    <t xml:space="preserve">Buffalo Bills (+27), </t>
  </si>
  <si>
    <t xml:space="preserve">Indianapolis Colts (+22), </t>
  </si>
  <si>
    <t>2-4</t>
  </si>
  <si>
    <t xml:space="preserve">Tennessee Titans (+28), </t>
  </si>
  <si>
    <t xml:space="preserve">Carolina Panthers (+26), </t>
  </si>
  <si>
    <t xml:space="preserve">Oakland Raiders (+29), </t>
  </si>
  <si>
    <t>1-5</t>
  </si>
  <si>
    <t xml:space="preserve">Cleveland Browns (+32), </t>
  </si>
  <si>
    <t xml:space="preserve">Jacksonville Jaguars (+31), </t>
  </si>
  <si>
    <t xml:space="preserve">Kansas City Chiefs (+30),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</si>
</sst>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m/d;@"/>
    <numFmt numFmtId="167" formatCode=".000"/>
  </numFmts>
  <fonts count="12" x14ac:knownFonts="1"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b/>
      <sz val="8"/>
      <color theme="1"/>
      <name val="Tahoma"/>
      <family val="2"/>
    </font>
    <font>
      <sz val="8"/>
      <color theme="0" tint="-0.34998626667073579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9"/>
      <color indexed="81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name val="Tahoma"/>
      <family val="2"/>
    </font>
    <font>
      <b/>
      <sz val="8"/>
      <color theme="0" tint="-0.249977111117893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4" fillId="0" borderId="0" xfId="0" applyNumberFormat="1" applyFont="1" applyFill="1" applyAlignment="1">
      <alignment horizontal="center" vertical="center" wrapText="1"/>
    </xf>
    <xf numFmtId="0" fontId="6" fillId="0" borderId="0" xfId="1" applyNumberFormat="1" applyFont="1" applyFill="1" applyBorder="1" applyAlignment="1">
      <alignment horizontal="center" wrapText="1"/>
    </xf>
    <xf numFmtId="164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165" fontId="0" fillId="0" borderId="1" xfId="0" applyNumberForma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">
    <cellStyle name="Normal" xfId="0" builtinId="0"/>
    <cellStyle name="Normal 2" xfId="1"/>
    <cellStyle name="Normal 2 2" xfId="2"/>
    <cellStyle name="Normal 3" xfId="3"/>
  </cellStyles>
  <dxfs count="1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tandings?category=league&amp;season=2008-REG&amp;split=Overal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V2999"/>
  <sheetViews>
    <sheetView tabSelected="1" zoomScaleNormal="100" workbookViewId="0">
      <pane ySplit="1" topLeftCell="A2" activePane="bottomLeft" state="frozen"/>
      <selection activeCell="AG2" sqref="AG2:AG33"/>
      <selection pane="bottomLeft"/>
    </sheetView>
  </sheetViews>
  <sheetFormatPr defaultRowHeight="10.5" x14ac:dyDescent="0.15"/>
  <cols>
    <col min="1" max="1" width="9.33203125" style="11"/>
    <col min="2" max="2" width="26.1640625" style="11" customWidth="1"/>
    <col min="3" max="3" width="9.6640625" style="11" hidden="1" customWidth="1"/>
    <col min="4" max="4" width="8" style="11" hidden="1" customWidth="1"/>
    <col min="5" max="5" width="9.83203125" style="11" customWidth="1"/>
    <col min="6" max="6" width="11.6640625" style="11" customWidth="1"/>
    <col min="7" max="11" width="9.83203125" style="11" customWidth="1"/>
    <col min="12" max="12" width="9.33203125" style="24" customWidth="1"/>
    <col min="13" max="15" width="9.33203125" style="11" customWidth="1"/>
    <col min="16" max="16" width="13.83203125" style="11" bestFit="1" customWidth="1"/>
    <col min="17" max="26" width="12.83203125" style="11" hidden="1" customWidth="1"/>
    <col min="27" max="37" width="8.83203125" style="11" customWidth="1"/>
    <col min="38" max="46" width="11.5" style="11" customWidth="1"/>
    <col min="47" max="47" width="11.83203125" style="11" bestFit="1" customWidth="1"/>
    <col min="48" max="48" width="35.83203125" style="11" customWidth="1"/>
    <col min="49" max="16384" width="9.33203125" style="11"/>
  </cols>
  <sheetData>
    <row r="1" spans="1:48" s="5" customFormat="1" ht="36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4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33</v>
      </c>
      <c r="AJ1" s="3" t="s">
        <v>33</v>
      </c>
      <c r="AK1" s="3" t="s">
        <v>33</v>
      </c>
      <c r="AL1" s="3" t="s">
        <v>33</v>
      </c>
      <c r="AM1" s="3" t="s">
        <v>33</v>
      </c>
      <c r="AN1" s="3" t="s">
        <v>33</v>
      </c>
      <c r="AO1" s="3" t="s">
        <v>33</v>
      </c>
      <c r="AP1" s="3" t="s">
        <v>33</v>
      </c>
      <c r="AQ1" s="3" t="s">
        <v>33</v>
      </c>
      <c r="AR1" s="3" t="s">
        <v>33</v>
      </c>
      <c r="AS1" s="3" t="s">
        <v>33</v>
      </c>
      <c r="AT1" s="3" t="s">
        <v>33</v>
      </c>
      <c r="AU1" s="3" t="s">
        <v>11</v>
      </c>
    </row>
    <row r="2" spans="1:48" s="5" customFormat="1" x14ac:dyDescent="0.15">
      <c r="A2" s="5">
        <v>1</v>
      </c>
      <c r="B2" s="5" t="s">
        <v>37</v>
      </c>
      <c r="C2" s="5">
        <v>6</v>
      </c>
      <c r="D2" s="5">
        <v>0</v>
      </c>
      <c r="E2" s="5" t="s">
        <v>287</v>
      </c>
      <c r="F2" s="5" t="s">
        <v>38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7">
        <v>1</v>
      </c>
      <c r="M2" s="5">
        <v>1</v>
      </c>
      <c r="N2" s="5">
        <v>1</v>
      </c>
      <c r="O2" s="5">
        <v>0</v>
      </c>
      <c r="P2" s="5" t="s">
        <v>39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8">
        <v>10</v>
      </c>
      <c r="AB2" s="5">
        <v>6</v>
      </c>
      <c r="AC2" s="5">
        <v>3</v>
      </c>
      <c r="AD2" s="5">
        <v>2</v>
      </c>
      <c r="AE2" s="5">
        <v>2</v>
      </c>
      <c r="AF2" s="5">
        <v>2</v>
      </c>
      <c r="AG2" s="5">
        <v>1</v>
      </c>
      <c r="AU2" s="9">
        <v>3.7142857142857144</v>
      </c>
      <c r="AV2" s="5" t="s">
        <v>288</v>
      </c>
    </row>
    <row r="3" spans="1:48" s="5" customFormat="1" x14ac:dyDescent="0.15">
      <c r="A3" s="5">
        <v>2</v>
      </c>
      <c r="B3" s="5" t="s">
        <v>65</v>
      </c>
      <c r="C3" s="5">
        <v>5</v>
      </c>
      <c r="D3" s="5">
        <v>1</v>
      </c>
      <c r="E3" s="5" t="s">
        <v>289</v>
      </c>
      <c r="F3" s="5" t="s">
        <v>66</v>
      </c>
      <c r="G3" s="6">
        <v>3</v>
      </c>
      <c r="H3" s="6">
        <v>3</v>
      </c>
      <c r="I3" s="6">
        <v>3</v>
      </c>
      <c r="J3" s="6">
        <v>3</v>
      </c>
      <c r="K3" s="6">
        <v>3</v>
      </c>
      <c r="L3" s="7">
        <v>3</v>
      </c>
      <c r="M3" s="5">
        <v>3</v>
      </c>
      <c r="N3" s="5">
        <v>3</v>
      </c>
      <c r="O3" s="5">
        <v>0</v>
      </c>
      <c r="P3" s="5" t="s">
        <v>67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8">
        <v>5</v>
      </c>
      <c r="AB3" s="5">
        <v>4</v>
      </c>
      <c r="AC3" s="5">
        <v>2</v>
      </c>
      <c r="AD3" s="5">
        <v>1</v>
      </c>
      <c r="AE3" s="5">
        <v>1</v>
      </c>
      <c r="AF3" s="5">
        <v>1</v>
      </c>
      <c r="AG3" s="5">
        <v>2</v>
      </c>
      <c r="AU3" s="9">
        <v>2.2857142857142856</v>
      </c>
      <c r="AV3" s="5" t="s">
        <v>290</v>
      </c>
    </row>
    <row r="4" spans="1:48" s="5" customFormat="1" x14ac:dyDescent="0.15">
      <c r="A4" s="5">
        <v>2</v>
      </c>
      <c r="B4" s="5" t="s">
        <v>82</v>
      </c>
      <c r="C4" s="5">
        <v>4</v>
      </c>
      <c r="D4" s="5">
        <v>2</v>
      </c>
      <c r="E4" s="5" t="s">
        <v>291</v>
      </c>
      <c r="F4" s="5" t="s">
        <v>83</v>
      </c>
      <c r="G4" s="6">
        <v>2</v>
      </c>
      <c r="H4" s="6">
        <v>5</v>
      </c>
      <c r="I4" s="6">
        <v>2</v>
      </c>
      <c r="J4" s="6">
        <v>4</v>
      </c>
      <c r="K4" s="6">
        <v>2</v>
      </c>
      <c r="L4" s="7">
        <v>3</v>
      </c>
      <c r="M4" s="5">
        <v>2</v>
      </c>
      <c r="N4" s="5">
        <v>5</v>
      </c>
      <c r="O4" s="5">
        <v>3</v>
      </c>
      <c r="P4" s="5" t="s">
        <v>57</v>
      </c>
      <c r="Q4" s="5">
        <v>1</v>
      </c>
      <c r="R4" s="5">
        <v>0</v>
      </c>
      <c r="S4" s="5">
        <v>1</v>
      </c>
      <c r="T4" s="5">
        <v>0</v>
      </c>
      <c r="U4" s="5">
        <v>1</v>
      </c>
      <c r="V4" s="5">
        <v>0</v>
      </c>
      <c r="W4" s="5">
        <v>1</v>
      </c>
      <c r="X4" s="5">
        <v>0</v>
      </c>
      <c r="Y4" s="5">
        <v>0</v>
      </c>
      <c r="Z4" s="5">
        <v>0</v>
      </c>
      <c r="AA4" s="8">
        <v>3</v>
      </c>
      <c r="AB4" s="5">
        <v>7</v>
      </c>
      <c r="AC4" s="5">
        <v>8</v>
      </c>
      <c r="AD4" s="5">
        <v>6</v>
      </c>
      <c r="AE4" s="5">
        <v>10</v>
      </c>
      <c r="AF4" s="5">
        <v>7</v>
      </c>
      <c r="AG4" s="5">
        <v>3</v>
      </c>
      <c r="AU4" s="9">
        <v>6.2857142857142856</v>
      </c>
      <c r="AV4" s="5" t="s">
        <v>292</v>
      </c>
    </row>
    <row r="5" spans="1:48" s="5" customFormat="1" x14ac:dyDescent="0.15">
      <c r="A5" s="5">
        <v>4</v>
      </c>
      <c r="B5" s="5" t="s">
        <v>40</v>
      </c>
      <c r="C5" s="5">
        <v>5</v>
      </c>
      <c r="D5" s="5">
        <v>1</v>
      </c>
      <c r="E5" s="5" t="s">
        <v>289</v>
      </c>
      <c r="F5" s="5" t="s">
        <v>41</v>
      </c>
      <c r="G5" s="6">
        <v>4</v>
      </c>
      <c r="H5" s="6">
        <v>2</v>
      </c>
      <c r="I5" s="6">
        <v>4</v>
      </c>
      <c r="J5" s="6">
        <v>2</v>
      </c>
      <c r="K5" s="6">
        <v>4</v>
      </c>
      <c r="L5" s="7">
        <v>3.2</v>
      </c>
      <c r="M5" s="5">
        <v>2</v>
      </c>
      <c r="N5" s="5">
        <v>4</v>
      </c>
      <c r="O5" s="5">
        <v>2</v>
      </c>
      <c r="P5" s="5" t="s">
        <v>42</v>
      </c>
      <c r="Q5" s="5">
        <v>0</v>
      </c>
      <c r="R5" s="5">
        <v>1</v>
      </c>
      <c r="S5" s="5">
        <v>0</v>
      </c>
      <c r="T5" s="5">
        <v>1</v>
      </c>
      <c r="U5" s="5">
        <v>0</v>
      </c>
      <c r="V5" s="5">
        <v>1</v>
      </c>
      <c r="W5" s="5">
        <v>0</v>
      </c>
      <c r="X5" s="5">
        <v>1</v>
      </c>
      <c r="Y5" s="5">
        <v>0</v>
      </c>
      <c r="Z5" s="5">
        <v>1</v>
      </c>
      <c r="AA5" s="8">
        <v>6</v>
      </c>
      <c r="AB5" s="5">
        <v>3</v>
      </c>
      <c r="AC5" s="5">
        <v>6</v>
      </c>
      <c r="AD5" s="5">
        <v>3</v>
      </c>
      <c r="AE5" s="5">
        <v>3</v>
      </c>
      <c r="AF5" s="5">
        <v>4</v>
      </c>
      <c r="AG5" s="5">
        <v>4</v>
      </c>
      <c r="AU5" s="9">
        <v>4.1428571428571432</v>
      </c>
      <c r="AV5" s="5" t="s">
        <v>293</v>
      </c>
    </row>
    <row r="6" spans="1:48" s="5" customFormat="1" x14ac:dyDescent="0.15">
      <c r="A6" s="5">
        <v>5</v>
      </c>
      <c r="B6" s="5" t="s">
        <v>94</v>
      </c>
      <c r="C6" s="5">
        <v>4</v>
      </c>
      <c r="D6" s="5">
        <v>2</v>
      </c>
      <c r="E6" s="5" t="s">
        <v>291</v>
      </c>
      <c r="F6" s="5" t="s">
        <v>95</v>
      </c>
      <c r="G6" s="6">
        <v>5</v>
      </c>
      <c r="H6" s="6">
        <v>6</v>
      </c>
      <c r="I6" s="6">
        <v>5</v>
      </c>
      <c r="J6" s="6">
        <v>5</v>
      </c>
      <c r="K6" s="6">
        <v>6</v>
      </c>
      <c r="L6" s="7">
        <v>5.4</v>
      </c>
      <c r="M6" s="5">
        <v>5</v>
      </c>
      <c r="N6" s="5">
        <v>6</v>
      </c>
      <c r="O6" s="5">
        <v>1</v>
      </c>
      <c r="P6" s="5" t="s">
        <v>36</v>
      </c>
      <c r="Q6" s="5">
        <v>1</v>
      </c>
      <c r="R6" s="5">
        <v>0</v>
      </c>
      <c r="S6" s="5">
        <v>1</v>
      </c>
      <c r="T6" s="5">
        <v>1</v>
      </c>
      <c r="U6" s="5">
        <v>0</v>
      </c>
      <c r="V6" s="5">
        <v>0</v>
      </c>
      <c r="W6" s="5">
        <v>1</v>
      </c>
      <c r="X6" s="5">
        <v>0</v>
      </c>
      <c r="Y6" s="5">
        <v>0</v>
      </c>
      <c r="Z6" s="5">
        <v>1</v>
      </c>
      <c r="AA6" s="8">
        <v>4</v>
      </c>
      <c r="AB6" s="5">
        <v>2</v>
      </c>
      <c r="AC6" s="5">
        <v>1</v>
      </c>
      <c r="AD6" s="5">
        <v>4</v>
      </c>
      <c r="AE6" s="5">
        <v>4</v>
      </c>
      <c r="AF6" s="5">
        <v>3</v>
      </c>
      <c r="AG6" s="5">
        <v>5</v>
      </c>
      <c r="AU6" s="9">
        <v>3.2857142857142856</v>
      </c>
      <c r="AV6" s="5" t="s">
        <v>294</v>
      </c>
    </row>
    <row r="7" spans="1:48" s="5" customFormat="1" x14ac:dyDescent="0.15">
      <c r="A7" s="5">
        <v>6</v>
      </c>
      <c r="B7" s="5" t="s">
        <v>48</v>
      </c>
      <c r="C7" s="5">
        <v>4</v>
      </c>
      <c r="D7" s="5">
        <v>1</v>
      </c>
      <c r="E7" s="5" t="s">
        <v>217</v>
      </c>
      <c r="F7" s="5" t="s">
        <v>49</v>
      </c>
      <c r="G7" s="6">
        <v>6</v>
      </c>
      <c r="H7" s="6">
        <v>4</v>
      </c>
      <c r="I7" s="6">
        <v>7</v>
      </c>
      <c r="J7" s="6">
        <v>6</v>
      </c>
      <c r="K7" s="6">
        <v>5</v>
      </c>
      <c r="L7" s="7">
        <v>5.6</v>
      </c>
      <c r="M7" s="5">
        <v>4</v>
      </c>
      <c r="N7" s="5">
        <v>7</v>
      </c>
      <c r="O7" s="5">
        <v>3</v>
      </c>
      <c r="P7" s="5" t="s">
        <v>50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  <c r="Y7" s="5">
        <v>0</v>
      </c>
      <c r="Z7" s="5">
        <v>0</v>
      </c>
      <c r="AA7" s="8">
        <v>9</v>
      </c>
      <c r="AB7" s="5">
        <v>8</v>
      </c>
      <c r="AC7" s="5">
        <v>12</v>
      </c>
      <c r="AD7" s="5">
        <v>11</v>
      </c>
      <c r="AE7" s="5">
        <v>9</v>
      </c>
      <c r="AF7" s="5">
        <v>6</v>
      </c>
      <c r="AG7" s="5">
        <v>6</v>
      </c>
      <c r="AU7" s="9">
        <v>8.7142857142857135</v>
      </c>
      <c r="AV7" s="5" t="s">
        <v>295</v>
      </c>
    </row>
    <row r="8" spans="1:48" s="5" customFormat="1" x14ac:dyDescent="0.15">
      <c r="A8" s="5">
        <v>7</v>
      </c>
      <c r="B8" s="5" t="s">
        <v>78</v>
      </c>
      <c r="C8" s="5">
        <v>3</v>
      </c>
      <c r="D8" s="5">
        <v>3</v>
      </c>
      <c r="E8" s="5" t="s">
        <v>296</v>
      </c>
      <c r="F8" s="5" t="s">
        <v>79</v>
      </c>
      <c r="G8" s="6">
        <v>9</v>
      </c>
      <c r="H8" s="6">
        <v>7</v>
      </c>
      <c r="I8" s="6">
        <v>8</v>
      </c>
      <c r="J8" s="6">
        <v>8</v>
      </c>
      <c r="K8" s="6">
        <v>8</v>
      </c>
      <c r="L8" s="7">
        <v>8</v>
      </c>
      <c r="M8" s="5">
        <v>7</v>
      </c>
      <c r="N8" s="5">
        <v>9</v>
      </c>
      <c r="O8" s="5">
        <v>2</v>
      </c>
      <c r="P8" s="5" t="s">
        <v>45</v>
      </c>
      <c r="Q8" s="5">
        <v>0</v>
      </c>
      <c r="R8" s="5">
        <v>1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  <c r="Y8" s="5">
        <v>0</v>
      </c>
      <c r="Z8" s="5">
        <v>0</v>
      </c>
      <c r="AA8" s="8">
        <v>2</v>
      </c>
      <c r="AB8" s="5">
        <v>1</v>
      </c>
      <c r="AC8" s="5">
        <v>5</v>
      </c>
      <c r="AD8" s="5">
        <v>8</v>
      </c>
      <c r="AE8" s="5">
        <v>6</v>
      </c>
      <c r="AF8" s="5">
        <v>5</v>
      </c>
      <c r="AG8" s="5">
        <v>7</v>
      </c>
      <c r="AU8" s="9">
        <v>4.8571428571428568</v>
      </c>
      <c r="AV8" s="5" t="s">
        <v>297</v>
      </c>
    </row>
    <row r="9" spans="1:48" s="5" customFormat="1" x14ac:dyDescent="0.15">
      <c r="A9" s="5">
        <v>8</v>
      </c>
      <c r="B9" s="5" t="s">
        <v>63</v>
      </c>
      <c r="C9" s="5">
        <v>3</v>
      </c>
      <c r="D9" s="5">
        <v>3</v>
      </c>
      <c r="E9" s="5" t="s">
        <v>296</v>
      </c>
      <c r="F9" s="5" t="s">
        <v>64</v>
      </c>
      <c r="G9" s="6">
        <v>8</v>
      </c>
      <c r="H9" s="6">
        <v>12</v>
      </c>
      <c r="I9" s="6">
        <v>6</v>
      </c>
      <c r="J9" s="6">
        <v>7</v>
      </c>
      <c r="K9" s="6">
        <v>9</v>
      </c>
      <c r="L9" s="7">
        <v>8.4</v>
      </c>
      <c r="M9" s="5">
        <v>6</v>
      </c>
      <c r="N9" s="5">
        <v>12</v>
      </c>
      <c r="O9" s="5">
        <v>6</v>
      </c>
      <c r="P9" s="5" t="s">
        <v>50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1</v>
      </c>
      <c r="X9" s="5">
        <v>0</v>
      </c>
      <c r="Y9" s="5">
        <v>0</v>
      </c>
      <c r="Z9" s="5">
        <v>0</v>
      </c>
      <c r="AA9" s="8">
        <v>1</v>
      </c>
      <c r="AB9" s="5">
        <v>5</v>
      </c>
      <c r="AC9" s="5">
        <v>4</v>
      </c>
      <c r="AD9" s="5">
        <v>7</v>
      </c>
      <c r="AE9" s="5">
        <v>8</v>
      </c>
      <c r="AF9" s="5">
        <v>12</v>
      </c>
      <c r="AG9" s="5">
        <v>8</v>
      </c>
      <c r="AU9" s="9">
        <v>6.4285714285714288</v>
      </c>
      <c r="AV9" s="5" t="s">
        <v>298</v>
      </c>
    </row>
    <row r="10" spans="1:48" s="5" customFormat="1" x14ac:dyDescent="0.15">
      <c r="A10" s="5">
        <v>9</v>
      </c>
      <c r="B10" s="5" t="s">
        <v>96</v>
      </c>
      <c r="C10" s="5">
        <v>4</v>
      </c>
      <c r="D10" s="5">
        <v>2</v>
      </c>
      <c r="E10" s="5" t="s">
        <v>291</v>
      </c>
      <c r="F10" s="5" t="s">
        <v>97</v>
      </c>
      <c r="G10" s="6">
        <v>7</v>
      </c>
      <c r="H10" s="6">
        <v>10</v>
      </c>
      <c r="I10" s="6">
        <v>16</v>
      </c>
      <c r="J10" s="6">
        <v>11</v>
      </c>
      <c r="K10" s="6">
        <v>7</v>
      </c>
      <c r="L10" s="7">
        <v>10.199999999999999</v>
      </c>
      <c r="M10" s="5">
        <v>7</v>
      </c>
      <c r="N10" s="5">
        <v>16</v>
      </c>
      <c r="O10" s="5">
        <v>9</v>
      </c>
      <c r="P10" s="5" t="s">
        <v>36</v>
      </c>
      <c r="Q10" s="5">
        <v>1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1</v>
      </c>
      <c r="Y10" s="5">
        <v>0</v>
      </c>
      <c r="Z10" s="5">
        <v>0</v>
      </c>
      <c r="AA10" s="8">
        <v>20</v>
      </c>
      <c r="AB10" s="5">
        <v>26</v>
      </c>
      <c r="AC10" s="5">
        <v>17</v>
      </c>
      <c r="AD10" s="5">
        <v>10</v>
      </c>
      <c r="AE10" s="5">
        <v>17</v>
      </c>
      <c r="AF10" s="5">
        <v>16</v>
      </c>
      <c r="AG10" s="5">
        <v>9</v>
      </c>
      <c r="AU10" s="9">
        <v>16.428571428571427</v>
      </c>
      <c r="AV10" s="5" t="s">
        <v>299</v>
      </c>
    </row>
    <row r="11" spans="1:48" s="5" customFormat="1" x14ac:dyDescent="0.15">
      <c r="A11" s="5">
        <v>10</v>
      </c>
      <c r="B11" s="5" t="s">
        <v>76</v>
      </c>
      <c r="C11" s="5">
        <v>4</v>
      </c>
      <c r="D11" s="5">
        <v>2</v>
      </c>
      <c r="E11" s="5" t="s">
        <v>291</v>
      </c>
      <c r="F11" s="5" t="s">
        <v>77</v>
      </c>
      <c r="G11" s="6">
        <v>11</v>
      </c>
      <c r="H11" s="6">
        <v>8</v>
      </c>
      <c r="I11" s="6">
        <v>17</v>
      </c>
      <c r="J11" s="6">
        <v>9</v>
      </c>
      <c r="K11" s="6">
        <v>10</v>
      </c>
      <c r="L11" s="7">
        <v>11</v>
      </c>
      <c r="M11" s="5">
        <v>8</v>
      </c>
      <c r="N11" s="5">
        <v>17</v>
      </c>
      <c r="O11" s="5">
        <v>9</v>
      </c>
      <c r="P11" s="5" t="s">
        <v>50</v>
      </c>
      <c r="Q11" s="5">
        <v>0</v>
      </c>
      <c r="R11" s="5">
        <v>1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  <c r="Y11" s="5">
        <v>0</v>
      </c>
      <c r="Z11" s="5">
        <v>0</v>
      </c>
      <c r="AA11" s="8">
        <v>30</v>
      </c>
      <c r="AB11" s="5">
        <v>28</v>
      </c>
      <c r="AC11" s="5">
        <v>29</v>
      </c>
      <c r="AD11" s="5">
        <v>21</v>
      </c>
      <c r="AE11" s="5">
        <v>14</v>
      </c>
      <c r="AF11" s="5">
        <v>8</v>
      </c>
      <c r="AG11" s="5">
        <v>10</v>
      </c>
      <c r="AU11" s="9">
        <v>20</v>
      </c>
      <c r="AV11" s="5" t="s">
        <v>300</v>
      </c>
    </row>
    <row r="12" spans="1:48" s="5" customFormat="1" x14ac:dyDescent="0.15">
      <c r="A12" s="5">
        <v>10</v>
      </c>
      <c r="B12" s="5" t="s">
        <v>34</v>
      </c>
      <c r="C12" s="5">
        <v>4</v>
      </c>
      <c r="D12" s="5">
        <v>2</v>
      </c>
      <c r="E12" s="5" t="s">
        <v>291</v>
      </c>
      <c r="F12" s="5" t="s">
        <v>35</v>
      </c>
      <c r="G12" s="6">
        <v>14</v>
      </c>
      <c r="H12" s="6">
        <v>9</v>
      </c>
      <c r="I12" s="6">
        <v>11</v>
      </c>
      <c r="J12" s="6">
        <v>10</v>
      </c>
      <c r="K12" s="6">
        <v>11</v>
      </c>
      <c r="L12" s="7">
        <v>11</v>
      </c>
      <c r="M12" s="5">
        <v>9</v>
      </c>
      <c r="N12" s="5">
        <v>14</v>
      </c>
      <c r="O12" s="5">
        <v>5</v>
      </c>
      <c r="P12" s="5" t="s">
        <v>36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  <c r="Y12" s="5">
        <v>0</v>
      </c>
      <c r="Z12" s="5">
        <v>0</v>
      </c>
      <c r="AA12" s="8">
        <v>23</v>
      </c>
      <c r="AB12" s="5">
        <v>20</v>
      </c>
      <c r="AC12" s="5">
        <v>14</v>
      </c>
      <c r="AD12" s="5">
        <v>5</v>
      </c>
      <c r="AE12" s="5">
        <v>5</v>
      </c>
      <c r="AF12" s="5">
        <v>9</v>
      </c>
      <c r="AG12" s="5">
        <v>11</v>
      </c>
      <c r="AU12" s="9">
        <v>12.428571428571429</v>
      </c>
      <c r="AV12" s="5" t="s">
        <v>301</v>
      </c>
    </row>
    <row r="13" spans="1:48" s="5" customFormat="1" x14ac:dyDescent="0.15">
      <c r="A13" s="5">
        <v>12</v>
      </c>
      <c r="B13" s="5" t="s">
        <v>58</v>
      </c>
      <c r="C13" s="5">
        <v>3</v>
      </c>
      <c r="D13" s="5">
        <v>3</v>
      </c>
      <c r="E13" s="5" t="s">
        <v>296</v>
      </c>
      <c r="F13" s="5" t="s">
        <v>59</v>
      </c>
      <c r="G13" s="6">
        <v>10</v>
      </c>
      <c r="H13" s="6">
        <v>15</v>
      </c>
      <c r="I13" s="6">
        <v>9</v>
      </c>
      <c r="J13" s="6">
        <v>12</v>
      </c>
      <c r="K13" s="6">
        <v>14</v>
      </c>
      <c r="L13" s="7">
        <v>12</v>
      </c>
      <c r="M13" s="5">
        <v>9</v>
      </c>
      <c r="N13" s="5">
        <v>15</v>
      </c>
      <c r="O13" s="5">
        <v>6</v>
      </c>
      <c r="P13" s="5" t="s">
        <v>60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  <c r="Y13" s="5">
        <v>0</v>
      </c>
      <c r="Z13" s="5">
        <v>0</v>
      </c>
      <c r="AA13" s="8">
        <v>13</v>
      </c>
      <c r="AB13" s="5">
        <v>9</v>
      </c>
      <c r="AC13" s="5">
        <v>10</v>
      </c>
      <c r="AD13" s="5">
        <v>14</v>
      </c>
      <c r="AE13" s="5">
        <v>13</v>
      </c>
      <c r="AF13" s="5">
        <v>17</v>
      </c>
      <c r="AG13" s="5">
        <v>12</v>
      </c>
      <c r="AU13" s="9">
        <v>12.571428571428571</v>
      </c>
      <c r="AV13" s="5" t="s">
        <v>302</v>
      </c>
    </row>
    <row r="14" spans="1:48" s="5" customFormat="1" x14ac:dyDescent="0.15">
      <c r="A14" s="5">
        <v>13</v>
      </c>
      <c r="B14" s="5" t="s">
        <v>88</v>
      </c>
      <c r="C14" s="5">
        <v>3</v>
      </c>
      <c r="D14" s="5">
        <v>3</v>
      </c>
      <c r="E14" s="5" t="s">
        <v>296</v>
      </c>
      <c r="F14" s="5" t="s">
        <v>89</v>
      </c>
      <c r="G14" s="6">
        <v>13</v>
      </c>
      <c r="H14" s="6">
        <v>13</v>
      </c>
      <c r="I14" s="6">
        <v>10</v>
      </c>
      <c r="J14" s="6">
        <v>16</v>
      </c>
      <c r="K14" s="6">
        <v>12</v>
      </c>
      <c r="L14" s="7">
        <v>12.8</v>
      </c>
      <c r="M14" s="5">
        <v>10</v>
      </c>
      <c r="N14" s="5">
        <v>16</v>
      </c>
      <c r="O14" s="5">
        <v>6</v>
      </c>
      <c r="P14" s="5" t="s">
        <v>57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1</v>
      </c>
      <c r="Z14" s="5">
        <v>0</v>
      </c>
      <c r="AA14" s="8">
        <v>7</v>
      </c>
      <c r="AB14" s="5">
        <v>12</v>
      </c>
      <c r="AC14" s="5">
        <v>7</v>
      </c>
      <c r="AD14" s="5">
        <v>9</v>
      </c>
      <c r="AE14" s="5">
        <v>7</v>
      </c>
      <c r="AF14" s="5">
        <v>11</v>
      </c>
      <c r="AG14" s="5">
        <v>13</v>
      </c>
      <c r="AU14" s="9">
        <v>9.4285714285714288</v>
      </c>
      <c r="AV14" s="5" t="s">
        <v>303</v>
      </c>
    </row>
    <row r="15" spans="1:48" s="5" customFormat="1" x14ac:dyDescent="0.15">
      <c r="A15" s="5">
        <v>14</v>
      </c>
      <c r="B15" s="5" t="s">
        <v>90</v>
      </c>
      <c r="C15" s="5">
        <v>2</v>
      </c>
      <c r="D15" s="5">
        <v>3</v>
      </c>
      <c r="E15" s="5" t="s">
        <v>238</v>
      </c>
      <c r="F15" s="5" t="s">
        <v>91</v>
      </c>
      <c r="G15" s="6">
        <v>12</v>
      </c>
      <c r="H15" s="6">
        <v>11</v>
      </c>
      <c r="I15" s="6">
        <v>15</v>
      </c>
      <c r="J15" s="6">
        <v>15</v>
      </c>
      <c r="K15" s="6">
        <v>17</v>
      </c>
      <c r="L15" s="7">
        <v>14</v>
      </c>
      <c r="M15" s="5">
        <v>11</v>
      </c>
      <c r="N15" s="5">
        <v>17</v>
      </c>
      <c r="O15" s="5">
        <v>6</v>
      </c>
      <c r="P15" s="5" t="s">
        <v>42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1</v>
      </c>
      <c r="AA15" s="8">
        <v>8</v>
      </c>
      <c r="AB15" s="5">
        <v>11</v>
      </c>
      <c r="AC15" s="5">
        <v>9</v>
      </c>
      <c r="AD15" s="5">
        <v>16</v>
      </c>
      <c r="AE15" s="5">
        <v>16</v>
      </c>
      <c r="AF15" s="5">
        <v>10</v>
      </c>
      <c r="AG15" s="5">
        <v>14</v>
      </c>
      <c r="AU15" s="9">
        <v>12</v>
      </c>
      <c r="AV15" s="5" t="s">
        <v>304</v>
      </c>
    </row>
    <row r="16" spans="1:48" s="5" customFormat="1" x14ac:dyDescent="0.15">
      <c r="A16" s="5">
        <v>15</v>
      </c>
      <c r="B16" s="5" t="s">
        <v>104</v>
      </c>
      <c r="C16" s="5">
        <v>3</v>
      </c>
      <c r="D16" s="5">
        <v>3</v>
      </c>
      <c r="E16" s="5" t="s">
        <v>296</v>
      </c>
      <c r="F16" s="5" t="s">
        <v>105</v>
      </c>
      <c r="G16" s="6">
        <v>20</v>
      </c>
      <c r="H16" s="6">
        <v>22</v>
      </c>
      <c r="I16" s="6">
        <v>12</v>
      </c>
      <c r="J16" s="6">
        <v>13</v>
      </c>
      <c r="K16" s="6">
        <v>13</v>
      </c>
      <c r="L16" s="7">
        <v>16</v>
      </c>
      <c r="M16" s="5">
        <v>12</v>
      </c>
      <c r="N16" s="5">
        <v>22</v>
      </c>
      <c r="O16" s="5">
        <v>10</v>
      </c>
      <c r="P16" s="5" t="s">
        <v>57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  <c r="Y16" s="5">
        <v>0</v>
      </c>
      <c r="Z16" s="5">
        <v>0</v>
      </c>
      <c r="AA16" s="8">
        <v>24</v>
      </c>
      <c r="AB16" s="5">
        <v>15</v>
      </c>
      <c r="AC16" s="5">
        <v>20</v>
      </c>
      <c r="AD16" s="5">
        <v>22</v>
      </c>
      <c r="AE16" s="5">
        <v>18</v>
      </c>
      <c r="AF16" s="5">
        <v>21</v>
      </c>
      <c r="AG16" s="5">
        <v>15</v>
      </c>
      <c r="AU16" s="9">
        <v>19.285714285714285</v>
      </c>
      <c r="AV16" s="5" t="s">
        <v>305</v>
      </c>
    </row>
    <row r="17" spans="1:48" s="5" customFormat="1" x14ac:dyDescent="0.15">
      <c r="A17" s="5">
        <v>16</v>
      </c>
      <c r="B17" s="5" t="s">
        <v>92</v>
      </c>
      <c r="C17" s="5">
        <v>3</v>
      </c>
      <c r="D17" s="5">
        <v>3</v>
      </c>
      <c r="E17" s="5" t="s">
        <v>296</v>
      </c>
      <c r="F17" s="5" t="s">
        <v>93</v>
      </c>
      <c r="G17" s="6">
        <v>17</v>
      </c>
      <c r="H17" s="6">
        <v>16</v>
      </c>
      <c r="I17" s="6">
        <v>18</v>
      </c>
      <c r="J17" s="6">
        <v>17</v>
      </c>
      <c r="K17" s="6">
        <v>15</v>
      </c>
      <c r="L17" s="7">
        <v>16.600000000000001</v>
      </c>
      <c r="M17" s="5">
        <v>15</v>
      </c>
      <c r="N17" s="5">
        <v>18</v>
      </c>
      <c r="O17" s="5">
        <v>3</v>
      </c>
      <c r="P17" s="5" t="s">
        <v>60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5">
        <v>1</v>
      </c>
      <c r="Y17" s="5">
        <v>0</v>
      </c>
      <c r="Z17" s="5">
        <v>0</v>
      </c>
      <c r="AA17" s="8">
        <v>15</v>
      </c>
      <c r="AB17" s="5">
        <v>14</v>
      </c>
      <c r="AC17" s="5">
        <v>11</v>
      </c>
      <c r="AD17" s="5">
        <v>13</v>
      </c>
      <c r="AE17" s="5">
        <v>11</v>
      </c>
      <c r="AF17" s="5">
        <v>14</v>
      </c>
      <c r="AG17" s="5">
        <v>16</v>
      </c>
      <c r="AU17" s="9">
        <v>13.428571428571429</v>
      </c>
      <c r="AV17" s="5" t="s">
        <v>306</v>
      </c>
    </row>
    <row r="18" spans="1:48" s="5" customFormat="1" x14ac:dyDescent="0.15">
      <c r="A18" s="5">
        <v>17</v>
      </c>
      <c r="B18" s="5" t="s">
        <v>74</v>
      </c>
      <c r="C18" s="5">
        <v>3</v>
      </c>
      <c r="D18" s="5">
        <v>3</v>
      </c>
      <c r="E18" s="5" t="s">
        <v>296</v>
      </c>
      <c r="F18" s="5" t="s">
        <v>75</v>
      </c>
      <c r="G18" s="6">
        <v>15</v>
      </c>
      <c r="H18" s="6">
        <v>19</v>
      </c>
      <c r="I18" s="6">
        <v>21</v>
      </c>
      <c r="J18" s="6">
        <v>14</v>
      </c>
      <c r="K18" s="6">
        <v>16</v>
      </c>
      <c r="L18" s="7">
        <v>17</v>
      </c>
      <c r="M18" s="5">
        <v>14</v>
      </c>
      <c r="N18" s="5">
        <v>21</v>
      </c>
      <c r="O18" s="5">
        <v>7</v>
      </c>
      <c r="P18" s="5" t="s">
        <v>45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1</v>
      </c>
      <c r="Y18" s="5">
        <v>0</v>
      </c>
      <c r="Z18" s="5">
        <v>0</v>
      </c>
      <c r="AA18" s="8">
        <v>27</v>
      </c>
      <c r="AB18" s="5">
        <v>30</v>
      </c>
      <c r="AC18" s="5">
        <v>25</v>
      </c>
      <c r="AD18" s="5">
        <v>29</v>
      </c>
      <c r="AE18" s="5">
        <v>26</v>
      </c>
      <c r="AF18" s="5">
        <v>19</v>
      </c>
      <c r="AG18" s="5">
        <v>17</v>
      </c>
      <c r="AU18" s="9">
        <v>24.714285714285715</v>
      </c>
      <c r="AV18" s="5" t="s">
        <v>307</v>
      </c>
    </row>
    <row r="19" spans="1:48" s="5" customFormat="1" x14ac:dyDescent="0.15">
      <c r="A19" s="5">
        <v>18</v>
      </c>
      <c r="B19" s="5" t="s">
        <v>55</v>
      </c>
      <c r="C19" s="5">
        <v>2</v>
      </c>
      <c r="D19" s="5">
        <v>3</v>
      </c>
      <c r="E19" s="5" t="s">
        <v>238</v>
      </c>
      <c r="F19" s="5" t="s">
        <v>56</v>
      </c>
      <c r="G19" s="6">
        <v>21</v>
      </c>
      <c r="H19" s="6">
        <v>14</v>
      </c>
      <c r="I19" s="6">
        <v>13</v>
      </c>
      <c r="J19" s="6">
        <v>19</v>
      </c>
      <c r="K19" s="6">
        <v>20</v>
      </c>
      <c r="L19" s="7">
        <v>17.399999999999999</v>
      </c>
      <c r="M19" s="5">
        <v>13</v>
      </c>
      <c r="N19" s="5">
        <v>21</v>
      </c>
      <c r="O19" s="5">
        <v>8</v>
      </c>
      <c r="P19" s="5" t="s">
        <v>57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  <c r="Y19" s="5">
        <v>0</v>
      </c>
      <c r="Z19" s="5">
        <v>0</v>
      </c>
      <c r="AA19" s="8">
        <v>14</v>
      </c>
      <c r="AB19" s="5">
        <v>10</v>
      </c>
      <c r="AC19" s="5">
        <v>15</v>
      </c>
      <c r="AD19" s="5">
        <v>12</v>
      </c>
      <c r="AE19" s="5">
        <v>15</v>
      </c>
      <c r="AF19" s="5">
        <v>13</v>
      </c>
      <c r="AG19" s="5">
        <v>18</v>
      </c>
      <c r="AU19" s="9">
        <v>13.857142857142858</v>
      </c>
      <c r="AV19" s="5" t="s">
        <v>308</v>
      </c>
    </row>
    <row r="20" spans="1:48" s="5" customFormat="1" x14ac:dyDescent="0.15">
      <c r="A20" s="5">
        <v>19</v>
      </c>
      <c r="B20" s="5" t="s">
        <v>61</v>
      </c>
      <c r="C20" s="5">
        <v>2</v>
      </c>
      <c r="D20" s="5">
        <v>3</v>
      </c>
      <c r="E20" s="5" t="s">
        <v>238</v>
      </c>
      <c r="F20" s="5" t="s">
        <v>62</v>
      </c>
      <c r="G20" s="6">
        <v>16</v>
      </c>
      <c r="H20" s="6">
        <v>17</v>
      </c>
      <c r="I20" s="6">
        <v>14</v>
      </c>
      <c r="J20" s="6">
        <v>25</v>
      </c>
      <c r="K20" s="6">
        <v>21</v>
      </c>
      <c r="L20" s="7">
        <v>18.600000000000001</v>
      </c>
      <c r="M20" s="5">
        <v>14</v>
      </c>
      <c r="N20" s="5">
        <v>25</v>
      </c>
      <c r="O20" s="5">
        <v>11</v>
      </c>
      <c r="P20" s="5" t="s">
        <v>50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1</v>
      </c>
      <c r="Z20" s="5">
        <v>0</v>
      </c>
      <c r="AA20" s="8">
        <v>12</v>
      </c>
      <c r="AB20" s="5">
        <v>13</v>
      </c>
      <c r="AC20" s="5">
        <v>13</v>
      </c>
      <c r="AD20" s="5">
        <v>18</v>
      </c>
      <c r="AE20" s="5">
        <v>20</v>
      </c>
      <c r="AF20" s="5">
        <v>20</v>
      </c>
      <c r="AG20" s="5">
        <v>19</v>
      </c>
      <c r="AU20" s="9">
        <v>16.428571428571427</v>
      </c>
      <c r="AV20" s="5" t="s">
        <v>309</v>
      </c>
    </row>
    <row r="21" spans="1:48" s="5" customFormat="1" x14ac:dyDescent="0.15">
      <c r="A21" s="5">
        <v>20</v>
      </c>
      <c r="B21" s="5" t="s">
        <v>98</v>
      </c>
      <c r="C21" s="5">
        <v>3</v>
      </c>
      <c r="D21" s="5">
        <v>3</v>
      </c>
      <c r="E21" s="5" t="s">
        <v>296</v>
      </c>
      <c r="F21" s="5" t="s">
        <v>99</v>
      </c>
      <c r="G21" s="6">
        <v>19</v>
      </c>
      <c r="H21" s="6">
        <v>21</v>
      </c>
      <c r="I21" s="6">
        <v>23</v>
      </c>
      <c r="J21" s="6">
        <v>18</v>
      </c>
      <c r="K21" s="6">
        <v>18</v>
      </c>
      <c r="L21" s="7">
        <v>19.8</v>
      </c>
      <c r="M21" s="5">
        <v>18</v>
      </c>
      <c r="N21" s="5">
        <v>23</v>
      </c>
      <c r="O21" s="5">
        <v>5</v>
      </c>
      <c r="P21" s="5" t="s">
        <v>36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0</v>
      </c>
      <c r="W21" s="5">
        <v>0</v>
      </c>
      <c r="X21" s="5">
        <v>1</v>
      </c>
      <c r="Y21" s="5">
        <v>0</v>
      </c>
      <c r="Z21" s="5">
        <v>0</v>
      </c>
      <c r="AA21" s="8">
        <v>28</v>
      </c>
      <c r="AB21" s="5">
        <v>27</v>
      </c>
      <c r="AC21" s="5">
        <v>23</v>
      </c>
      <c r="AD21" s="5">
        <v>25</v>
      </c>
      <c r="AE21" s="5">
        <v>19</v>
      </c>
      <c r="AF21" s="5">
        <v>18</v>
      </c>
      <c r="AG21" s="5">
        <v>20</v>
      </c>
      <c r="AU21" s="9">
        <v>22.857142857142858</v>
      </c>
      <c r="AV21" s="5" t="s">
        <v>310</v>
      </c>
    </row>
    <row r="22" spans="1:48" s="5" customFormat="1" x14ac:dyDescent="0.15">
      <c r="A22" s="5">
        <v>21</v>
      </c>
      <c r="B22" s="5" t="s">
        <v>51</v>
      </c>
      <c r="C22" s="5">
        <v>3</v>
      </c>
      <c r="D22" s="5">
        <v>3</v>
      </c>
      <c r="E22" s="5" t="s">
        <v>296</v>
      </c>
      <c r="F22" s="5" t="s">
        <v>52</v>
      </c>
      <c r="G22" s="6">
        <v>18</v>
      </c>
      <c r="H22" s="6">
        <v>18</v>
      </c>
      <c r="I22" s="6">
        <v>22</v>
      </c>
      <c r="J22" s="6">
        <v>23</v>
      </c>
      <c r="K22" s="6">
        <v>19</v>
      </c>
      <c r="L22" s="7">
        <v>20</v>
      </c>
      <c r="M22" s="5">
        <v>18</v>
      </c>
      <c r="N22" s="5">
        <v>23</v>
      </c>
      <c r="O22" s="5">
        <v>5</v>
      </c>
      <c r="P22" s="5" t="s">
        <v>42</v>
      </c>
      <c r="Q22" s="5">
        <v>1</v>
      </c>
      <c r="R22" s="5">
        <v>1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1</v>
      </c>
      <c r="Z22" s="5">
        <v>0</v>
      </c>
      <c r="AA22" s="8">
        <v>16</v>
      </c>
      <c r="AB22" s="5">
        <v>18</v>
      </c>
      <c r="AC22" s="5">
        <v>16</v>
      </c>
      <c r="AD22" s="5">
        <v>15</v>
      </c>
      <c r="AE22" s="5">
        <v>12</v>
      </c>
      <c r="AF22" s="5">
        <v>15</v>
      </c>
      <c r="AG22" s="5">
        <v>21</v>
      </c>
      <c r="AU22" s="9">
        <v>16.142857142857142</v>
      </c>
      <c r="AV22" s="5" t="s">
        <v>311</v>
      </c>
    </row>
    <row r="23" spans="1:48" s="5" customFormat="1" x14ac:dyDescent="0.15">
      <c r="A23" s="5">
        <v>22</v>
      </c>
      <c r="B23" s="5" t="s">
        <v>100</v>
      </c>
      <c r="C23" s="5">
        <v>2</v>
      </c>
      <c r="D23" s="5">
        <v>3</v>
      </c>
      <c r="E23" s="5" t="s">
        <v>238</v>
      </c>
      <c r="F23" s="5" t="s">
        <v>101</v>
      </c>
      <c r="G23" s="6">
        <v>22</v>
      </c>
      <c r="H23" s="6">
        <v>20</v>
      </c>
      <c r="I23" s="6">
        <v>19</v>
      </c>
      <c r="J23" s="6">
        <v>20</v>
      </c>
      <c r="K23" s="6">
        <v>25</v>
      </c>
      <c r="L23" s="7">
        <v>21.2</v>
      </c>
      <c r="M23" s="5">
        <v>19</v>
      </c>
      <c r="N23" s="5">
        <v>25</v>
      </c>
      <c r="O23" s="5">
        <v>6</v>
      </c>
      <c r="P23" s="5" t="s">
        <v>39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1</v>
      </c>
      <c r="AA23" s="8">
        <v>25</v>
      </c>
      <c r="AB23" s="5">
        <v>21</v>
      </c>
      <c r="AC23" s="5">
        <v>21</v>
      </c>
      <c r="AD23" s="5">
        <v>20</v>
      </c>
      <c r="AE23" s="5">
        <v>22</v>
      </c>
      <c r="AF23" s="5">
        <v>23</v>
      </c>
      <c r="AG23" s="5">
        <v>22</v>
      </c>
      <c r="AU23" s="9">
        <v>22</v>
      </c>
      <c r="AV23" s="5" t="s">
        <v>312</v>
      </c>
    </row>
    <row r="24" spans="1:48" s="5" customFormat="1" x14ac:dyDescent="0.15">
      <c r="A24" s="5">
        <v>23</v>
      </c>
      <c r="B24" s="5" t="s">
        <v>84</v>
      </c>
      <c r="C24" s="5">
        <v>3</v>
      </c>
      <c r="D24" s="5">
        <v>3</v>
      </c>
      <c r="E24" s="5" t="s">
        <v>296</v>
      </c>
      <c r="F24" s="5" t="s">
        <v>85</v>
      </c>
      <c r="G24" s="6">
        <v>25</v>
      </c>
      <c r="H24" s="6">
        <v>23</v>
      </c>
      <c r="I24" s="6">
        <v>24</v>
      </c>
      <c r="J24" s="6">
        <v>21</v>
      </c>
      <c r="K24" s="6">
        <v>23</v>
      </c>
      <c r="L24" s="7">
        <v>23.2</v>
      </c>
      <c r="M24" s="5">
        <v>21</v>
      </c>
      <c r="N24" s="5">
        <v>25</v>
      </c>
      <c r="O24" s="5">
        <v>4</v>
      </c>
      <c r="P24" s="5" t="s">
        <v>45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1</v>
      </c>
      <c r="W24" s="5">
        <v>0</v>
      </c>
      <c r="X24" s="5">
        <v>0</v>
      </c>
      <c r="Y24" s="5">
        <v>0</v>
      </c>
      <c r="Z24" s="5">
        <v>0</v>
      </c>
      <c r="AA24" s="8">
        <v>21</v>
      </c>
      <c r="AB24" s="5">
        <v>17</v>
      </c>
      <c r="AC24" s="5">
        <v>18</v>
      </c>
      <c r="AD24" s="5">
        <v>17</v>
      </c>
      <c r="AE24" s="5">
        <v>23</v>
      </c>
      <c r="AF24" s="5">
        <v>25</v>
      </c>
      <c r="AG24" s="5">
        <v>23</v>
      </c>
      <c r="AU24" s="9">
        <v>20.571428571428573</v>
      </c>
      <c r="AV24" s="5" t="s">
        <v>313</v>
      </c>
    </row>
    <row r="25" spans="1:48" s="5" customFormat="1" x14ac:dyDescent="0.15">
      <c r="A25" s="5">
        <v>24</v>
      </c>
      <c r="B25" s="5" t="s">
        <v>80</v>
      </c>
      <c r="C25" s="5">
        <v>1</v>
      </c>
      <c r="D25" s="5">
        <v>4</v>
      </c>
      <c r="E25" s="5" t="s">
        <v>262</v>
      </c>
      <c r="F25" s="5" t="s">
        <v>81</v>
      </c>
      <c r="G25" s="6">
        <v>23</v>
      </c>
      <c r="H25" s="6">
        <v>28</v>
      </c>
      <c r="I25" s="6">
        <v>20</v>
      </c>
      <c r="J25" s="6">
        <v>27</v>
      </c>
      <c r="K25" s="6">
        <v>22</v>
      </c>
      <c r="L25" s="7">
        <v>24</v>
      </c>
      <c r="M25" s="5">
        <v>20</v>
      </c>
      <c r="N25" s="5">
        <v>28</v>
      </c>
      <c r="O25" s="5">
        <v>8</v>
      </c>
      <c r="P25" s="5" t="s">
        <v>39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  <c r="Y25" s="5">
        <v>0</v>
      </c>
      <c r="Z25" s="5">
        <v>0</v>
      </c>
      <c r="AA25" s="8">
        <v>11</v>
      </c>
      <c r="AB25" s="5">
        <v>16</v>
      </c>
      <c r="AC25" s="5">
        <v>24</v>
      </c>
      <c r="AD25" s="5">
        <v>28</v>
      </c>
      <c r="AE25" s="5">
        <v>28</v>
      </c>
      <c r="AF25" s="5">
        <v>24</v>
      </c>
      <c r="AG25" s="5">
        <v>24</v>
      </c>
      <c r="AU25" s="9">
        <v>22.142857142857142</v>
      </c>
      <c r="AV25" s="5" t="s">
        <v>314</v>
      </c>
    </row>
    <row r="26" spans="1:48" s="5" customFormat="1" x14ac:dyDescent="0.15">
      <c r="A26" s="5">
        <v>25</v>
      </c>
      <c r="B26" s="5" t="s">
        <v>43</v>
      </c>
      <c r="C26" s="5">
        <v>3</v>
      </c>
      <c r="D26" s="5">
        <v>3</v>
      </c>
      <c r="E26" s="5" t="s">
        <v>296</v>
      </c>
      <c r="F26" s="5" t="s">
        <v>44</v>
      </c>
      <c r="G26" s="6">
        <v>27</v>
      </c>
      <c r="H26" s="6">
        <v>24</v>
      </c>
      <c r="I26" s="6">
        <v>25</v>
      </c>
      <c r="J26" s="6">
        <v>26</v>
      </c>
      <c r="K26" s="6">
        <v>24</v>
      </c>
      <c r="L26" s="7">
        <v>25.2</v>
      </c>
      <c r="M26" s="5">
        <v>24</v>
      </c>
      <c r="N26" s="5">
        <v>27</v>
      </c>
      <c r="O26" s="5">
        <v>3</v>
      </c>
      <c r="P26" s="5" t="s">
        <v>45</v>
      </c>
      <c r="Q26" s="5">
        <v>0</v>
      </c>
      <c r="R26" s="5">
        <v>1</v>
      </c>
      <c r="S26" s="5">
        <v>0</v>
      </c>
      <c r="T26" s="5">
        <v>0</v>
      </c>
      <c r="U26" s="5">
        <v>1</v>
      </c>
      <c r="V26" s="5">
        <v>1</v>
      </c>
      <c r="W26" s="5">
        <v>0</v>
      </c>
      <c r="X26" s="5">
        <v>0</v>
      </c>
      <c r="Y26" s="5">
        <v>0</v>
      </c>
      <c r="Z26" s="5">
        <v>0</v>
      </c>
      <c r="AA26" s="8">
        <v>19</v>
      </c>
      <c r="AB26" s="5">
        <v>24</v>
      </c>
      <c r="AC26" s="5">
        <v>22</v>
      </c>
      <c r="AD26" s="5">
        <v>19</v>
      </c>
      <c r="AE26" s="5">
        <v>21</v>
      </c>
      <c r="AF26" s="5">
        <v>27</v>
      </c>
      <c r="AG26" s="5">
        <v>25</v>
      </c>
      <c r="AU26" s="9">
        <v>22.428571428571427</v>
      </c>
      <c r="AV26" s="5" t="s">
        <v>315</v>
      </c>
    </row>
    <row r="27" spans="1:48" s="5" customFormat="1" x14ac:dyDescent="0.15">
      <c r="A27" s="5">
        <v>26</v>
      </c>
      <c r="B27" s="5" t="s">
        <v>68</v>
      </c>
      <c r="C27" s="5">
        <v>2</v>
      </c>
      <c r="D27" s="5">
        <v>3</v>
      </c>
      <c r="E27" s="5" t="s">
        <v>238</v>
      </c>
      <c r="F27" s="5" t="s">
        <v>69</v>
      </c>
      <c r="G27" s="6">
        <v>24</v>
      </c>
      <c r="H27" s="6">
        <v>26</v>
      </c>
      <c r="I27" s="6">
        <v>27</v>
      </c>
      <c r="J27" s="6">
        <v>22</v>
      </c>
      <c r="K27" s="6">
        <v>28</v>
      </c>
      <c r="L27" s="7">
        <v>25.4</v>
      </c>
      <c r="M27" s="5">
        <v>22</v>
      </c>
      <c r="N27" s="5">
        <v>28</v>
      </c>
      <c r="O27" s="5">
        <v>6</v>
      </c>
      <c r="P27" s="5" t="s">
        <v>67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1</v>
      </c>
      <c r="AA27" s="8">
        <v>32</v>
      </c>
      <c r="AB27" s="5">
        <v>32</v>
      </c>
      <c r="AC27" s="5">
        <v>27</v>
      </c>
      <c r="AD27" s="5">
        <v>31</v>
      </c>
      <c r="AE27" s="5">
        <v>31</v>
      </c>
      <c r="AF27" s="5">
        <v>22</v>
      </c>
      <c r="AG27" s="5">
        <v>26</v>
      </c>
      <c r="AU27" s="9">
        <v>28.714285714285715</v>
      </c>
      <c r="AV27" s="5" t="s">
        <v>316</v>
      </c>
    </row>
    <row r="28" spans="1:48" s="5" customFormat="1" x14ac:dyDescent="0.15">
      <c r="A28" s="5">
        <v>27</v>
      </c>
      <c r="B28" s="5" t="s">
        <v>102</v>
      </c>
      <c r="C28" s="5">
        <v>2</v>
      </c>
      <c r="D28" s="5">
        <v>4</v>
      </c>
      <c r="E28" s="5" t="s">
        <v>317</v>
      </c>
      <c r="F28" s="5" t="s">
        <v>103</v>
      </c>
      <c r="G28" s="6">
        <v>26</v>
      </c>
      <c r="H28" s="6">
        <v>25</v>
      </c>
      <c r="I28" s="6">
        <v>29</v>
      </c>
      <c r="J28" s="6">
        <v>24</v>
      </c>
      <c r="K28" s="6">
        <v>27</v>
      </c>
      <c r="L28" s="7">
        <v>26.2</v>
      </c>
      <c r="M28" s="5">
        <v>24</v>
      </c>
      <c r="N28" s="5">
        <v>29</v>
      </c>
      <c r="O28" s="5">
        <v>5</v>
      </c>
      <c r="P28" s="5" t="s">
        <v>67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1</v>
      </c>
      <c r="Y28" s="5">
        <v>0</v>
      </c>
      <c r="Z28" s="5">
        <v>0</v>
      </c>
      <c r="AA28" s="8">
        <v>18</v>
      </c>
      <c r="AB28" s="5">
        <v>22</v>
      </c>
      <c r="AC28" s="5">
        <v>26</v>
      </c>
      <c r="AD28" s="5">
        <v>24</v>
      </c>
      <c r="AE28" s="5">
        <v>25</v>
      </c>
      <c r="AF28" s="5">
        <v>28</v>
      </c>
      <c r="AG28" s="5">
        <v>27</v>
      </c>
      <c r="AU28" s="9">
        <v>24.285714285714285</v>
      </c>
      <c r="AV28" s="5" t="s">
        <v>318</v>
      </c>
    </row>
    <row r="29" spans="1:48" s="5" customFormat="1" x14ac:dyDescent="0.15">
      <c r="A29" s="5">
        <v>28</v>
      </c>
      <c r="B29" s="5" t="s">
        <v>46</v>
      </c>
      <c r="C29" s="5">
        <v>1</v>
      </c>
      <c r="D29" s="5">
        <v>4</v>
      </c>
      <c r="E29" s="5" t="s">
        <v>262</v>
      </c>
      <c r="F29" s="5" t="s">
        <v>47</v>
      </c>
      <c r="G29" s="6">
        <v>28</v>
      </c>
      <c r="H29" s="6">
        <v>27</v>
      </c>
      <c r="I29" s="6">
        <v>26</v>
      </c>
      <c r="J29" s="6">
        <v>28</v>
      </c>
      <c r="K29" s="6">
        <v>26</v>
      </c>
      <c r="L29" s="7">
        <v>27</v>
      </c>
      <c r="M29" s="5">
        <v>26</v>
      </c>
      <c r="N29" s="5">
        <v>28</v>
      </c>
      <c r="O29" s="5">
        <v>2</v>
      </c>
      <c r="P29" s="5" t="s">
        <v>39</v>
      </c>
      <c r="Q29" s="5">
        <v>0</v>
      </c>
      <c r="R29" s="5">
        <v>0</v>
      </c>
      <c r="S29" s="5">
        <v>1</v>
      </c>
      <c r="T29" s="5">
        <v>0</v>
      </c>
      <c r="U29" s="5">
        <v>1</v>
      </c>
      <c r="V29" s="5">
        <v>1</v>
      </c>
      <c r="W29" s="5">
        <v>0</v>
      </c>
      <c r="X29" s="5">
        <v>0</v>
      </c>
      <c r="Y29" s="5">
        <v>1</v>
      </c>
      <c r="Z29" s="5">
        <v>0</v>
      </c>
      <c r="AA29" s="8">
        <v>22</v>
      </c>
      <c r="AB29" s="5">
        <v>23</v>
      </c>
      <c r="AC29" s="5">
        <v>19</v>
      </c>
      <c r="AD29" s="5">
        <v>23</v>
      </c>
      <c r="AE29" s="5">
        <v>24</v>
      </c>
      <c r="AF29" s="5">
        <v>26</v>
      </c>
      <c r="AG29" s="5">
        <v>28</v>
      </c>
      <c r="AU29" s="9">
        <v>23.571428571428573</v>
      </c>
      <c r="AV29" s="5" t="s">
        <v>319</v>
      </c>
    </row>
    <row r="30" spans="1:48" s="5" customFormat="1" x14ac:dyDescent="0.15">
      <c r="A30" s="5">
        <v>29</v>
      </c>
      <c r="B30" s="5" t="s">
        <v>86</v>
      </c>
      <c r="C30" s="5">
        <v>1</v>
      </c>
      <c r="D30" s="5">
        <v>4</v>
      </c>
      <c r="E30" s="5" t="s">
        <v>262</v>
      </c>
      <c r="F30" s="5" t="s">
        <v>87</v>
      </c>
      <c r="G30" s="6">
        <v>30</v>
      </c>
      <c r="H30" s="6">
        <v>30</v>
      </c>
      <c r="I30" s="6">
        <v>28</v>
      </c>
      <c r="J30" s="6">
        <v>29</v>
      </c>
      <c r="K30" s="6">
        <v>29</v>
      </c>
      <c r="L30" s="7">
        <v>29.2</v>
      </c>
      <c r="M30" s="5">
        <v>28</v>
      </c>
      <c r="N30" s="5">
        <v>30</v>
      </c>
      <c r="O30" s="5">
        <v>2</v>
      </c>
      <c r="P30" s="5" t="s">
        <v>60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1</v>
      </c>
      <c r="W30" s="5">
        <v>1</v>
      </c>
      <c r="X30" s="5">
        <v>0</v>
      </c>
      <c r="Y30" s="5">
        <v>0</v>
      </c>
      <c r="Z30" s="5">
        <v>0</v>
      </c>
      <c r="AA30" s="8">
        <v>26</v>
      </c>
      <c r="AB30" s="5">
        <v>25</v>
      </c>
      <c r="AC30" s="5">
        <v>30</v>
      </c>
      <c r="AD30" s="5">
        <v>27</v>
      </c>
      <c r="AE30" s="5">
        <v>29</v>
      </c>
      <c r="AF30" s="5">
        <v>29</v>
      </c>
      <c r="AG30" s="5">
        <v>29</v>
      </c>
      <c r="AU30" s="9">
        <v>27.857142857142858</v>
      </c>
      <c r="AV30" s="5" t="s">
        <v>320</v>
      </c>
    </row>
    <row r="31" spans="1:48" s="5" customFormat="1" x14ac:dyDescent="0.15">
      <c r="A31" s="5">
        <v>30</v>
      </c>
      <c r="B31" s="5" t="s">
        <v>53</v>
      </c>
      <c r="C31" s="5">
        <v>1</v>
      </c>
      <c r="D31" s="5">
        <v>5</v>
      </c>
      <c r="E31" s="5" t="s">
        <v>321</v>
      </c>
      <c r="F31" s="5" t="s">
        <v>54</v>
      </c>
      <c r="G31" s="6">
        <v>29</v>
      </c>
      <c r="H31" s="6">
        <v>29</v>
      </c>
      <c r="I31" s="6">
        <v>31</v>
      </c>
      <c r="J31" s="6">
        <v>30</v>
      </c>
      <c r="K31" s="6">
        <v>30</v>
      </c>
      <c r="L31" s="7">
        <v>29.8</v>
      </c>
      <c r="M31" s="5">
        <v>29</v>
      </c>
      <c r="N31" s="5">
        <v>31</v>
      </c>
      <c r="O31" s="5">
        <v>2</v>
      </c>
      <c r="P31" s="5" t="s">
        <v>42</v>
      </c>
      <c r="Q31" s="5">
        <v>1</v>
      </c>
      <c r="R31" s="5">
        <v>1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  <c r="Y31" s="5">
        <v>0</v>
      </c>
      <c r="Z31" s="5">
        <v>0</v>
      </c>
      <c r="AA31" s="8">
        <v>31</v>
      </c>
      <c r="AB31" s="5">
        <v>31</v>
      </c>
      <c r="AC31" s="5">
        <v>32</v>
      </c>
      <c r="AD31" s="5">
        <v>32</v>
      </c>
      <c r="AE31" s="5">
        <v>32</v>
      </c>
      <c r="AF31" s="5">
        <v>32</v>
      </c>
      <c r="AG31" s="5">
        <v>30</v>
      </c>
      <c r="AU31" s="9">
        <v>31.428571428571427</v>
      </c>
      <c r="AV31" s="5" t="s">
        <v>322</v>
      </c>
    </row>
    <row r="32" spans="1:48" s="5" customFormat="1" x14ac:dyDescent="0.15">
      <c r="A32" s="5">
        <v>31</v>
      </c>
      <c r="B32" s="5" t="s">
        <v>70</v>
      </c>
      <c r="C32" s="5">
        <v>1</v>
      </c>
      <c r="D32" s="5">
        <v>4</v>
      </c>
      <c r="E32" s="5" t="s">
        <v>262</v>
      </c>
      <c r="F32" s="5" t="s">
        <v>71</v>
      </c>
      <c r="G32" s="6">
        <v>32</v>
      </c>
      <c r="H32" s="6">
        <v>31</v>
      </c>
      <c r="I32" s="6">
        <v>32</v>
      </c>
      <c r="J32" s="6">
        <v>31</v>
      </c>
      <c r="K32" s="6">
        <v>31</v>
      </c>
      <c r="L32" s="7">
        <v>31.4</v>
      </c>
      <c r="M32" s="5">
        <v>31</v>
      </c>
      <c r="N32" s="5">
        <v>32</v>
      </c>
      <c r="O32" s="5">
        <v>1</v>
      </c>
      <c r="P32" s="5" t="s">
        <v>67</v>
      </c>
      <c r="Q32" s="5">
        <v>0</v>
      </c>
      <c r="R32" s="5">
        <v>1</v>
      </c>
      <c r="S32" s="5">
        <v>0</v>
      </c>
      <c r="T32" s="5">
        <v>1</v>
      </c>
      <c r="U32" s="5">
        <v>1</v>
      </c>
      <c r="V32" s="5">
        <v>1</v>
      </c>
      <c r="W32" s="5">
        <v>0</v>
      </c>
      <c r="X32" s="5">
        <v>1</v>
      </c>
      <c r="Y32" s="5">
        <v>0</v>
      </c>
      <c r="Z32" s="5">
        <v>0</v>
      </c>
      <c r="AA32" s="8">
        <v>29</v>
      </c>
      <c r="AB32" s="5">
        <v>29</v>
      </c>
      <c r="AC32" s="5">
        <v>31</v>
      </c>
      <c r="AD32" s="5">
        <v>30</v>
      </c>
      <c r="AE32" s="5">
        <v>30</v>
      </c>
      <c r="AF32" s="5">
        <v>31</v>
      </c>
      <c r="AG32" s="5">
        <v>31</v>
      </c>
      <c r="AU32" s="9">
        <v>30.142857142857142</v>
      </c>
      <c r="AV32" s="5" t="s">
        <v>323</v>
      </c>
    </row>
    <row r="33" spans="1:48" s="5" customFormat="1" x14ac:dyDescent="0.15">
      <c r="A33" s="5">
        <v>31</v>
      </c>
      <c r="B33" s="5" t="s">
        <v>72</v>
      </c>
      <c r="C33" s="5">
        <v>1</v>
      </c>
      <c r="D33" s="5">
        <v>5</v>
      </c>
      <c r="E33" s="5" t="s">
        <v>321</v>
      </c>
      <c r="F33" s="5" t="s">
        <v>73</v>
      </c>
      <c r="G33" s="6">
        <v>31</v>
      </c>
      <c r="H33" s="6">
        <v>32</v>
      </c>
      <c r="I33" s="6">
        <v>30</v>
      </c>
      <c r="J33" s="6">
        <v>32</v>
      </c>
      <c r="K33" s="6">
        <v>32</v>
      </c>
      <c r="L33" s="7">
        <v>31.4</v>
      </c>
      <c r="M33" s="5">
        <v>30</v>
      </c>
      <c r="N33" s="5">
        <v>32</v>
      </c>
      <c r="O33" s="5">
        <v>2</v>
      </c>
      <c r="P33" s="5" t="s">
        <v>60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  <c r="Y33" s="5">
        <v>1</v>
      </c>
      <c r="Z33" s="5">
        <v>1</v>
      </c>
      <c r="AA33" s="8">
        <v>17</v>
      </c>
      <c r="AB33" s="5">
        <v>19</v>
      </c>
      <c r="AC33" s="5">
        <v>28</v>
      </c>
      <c r="AD33" s="5">
        <v>26</v>
      </c>
      <c r="AE33" s="5">
        <v>27</v>
      </c>
      <c r="AF33" s="5">
        <v>30</v>
      </c>
      <c r="AG33" s="5">
        <v>32</v>
      </c>
      <c r="AU33" s="9">
        <v>25.571428571428573</v>
      </c>
      <c r="AV33" s="5" t="s">
        <v>324</v>
      </c>
    </row>
    <row r="34" spans="1:48" s="5" customFormat="1" x14ac:dyDescent="0.15">
      <c r="L34" s="10"/>
    </row>
    <row r="35" spans="1:48" s="5" customFormat="1" x14ac:dyDescent="0.15">
      <c r="A35" s="11"/>
      <c r="B35" s="11"/>
      <c r="C35" s="11"/>
      <c r="D35" s="11"/>
      <c r="E35" s="11"/>
      <c r="F35" s="11"/>
      <c r="G35" s="11"/>
      <c r="I35" s="12"/>
      <c r="L35" s="10"/>
    </row>
    <row r="36" spans="1:48" s="5" customFormat="1" x14ac:dyDescent="0.15">
      <c r="L36" s="10"/>
    </row>
    <row r="37" spans="1:48" s="5" customFormat="1" x14ac:dyDescent="0.15">
      <c r="F37" s="13" t="s">
        <v>106</v>
      </c>
      <c r="G37" s="13">
        <v>7</v>
      </c>
      <c r="H37" s="13">
        <v>12</v>
      </c>
      <c r="I37" s="13">
        <v>15</v>
      </c>
      <c r="J37" s="13">
        <v>10</v>
      </c>
      <c r="K37" s="13">
        <v>9</v>
      </c>
      <c r="L37" s="10"/>
    </row>
    <row r="38" spans="1:48" s="5" customFormat="1" x14ac:dyDescent="0.15">
      <c r="F38" s="14" t="s">
        <v>107</v>
      </c>
      <c r="G38" s="14">
        <v>11</v>
      </c>
      <c r="H38" s="14">
        <v>10</v>
      </c>
      <c r="I38" s="14">
        <v>12</v>
      </c>
      <c r="J38" s="14">
        <v>7</v>
      </c>
      <c r="K38" s="14">
        <v>8</v>
      </c>
      <c r="L38" s="10"/>
    </row>
    <row r="39" spans="1:48" s="5" customFormat="1" x14ac:dyDescent="0.15">
      <c r="L39" s="10"/>
    </row>
    <row r="40" spans="1:48" s="5" customFormat="1" x14ac:dyDescent="0.15">
      <c r="F40" s="5" t="s">
        <v>108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10"/>
    </row>
    <row r="41" spans="1:48" s="5" customFormat="1" ht="21" x14ac:dyDescent="0.15">
      <c r="L41" s="10"/>
      <c r="AB41" s="5" t="s">
        <v>45</v>
      </c>
      <c r="AC41" s="5" t="s">
        <v>42</v>
      </c>
      <c r="AD41" s="5" t="s">
        <v>67</v>
      </c>
      <c r="AE41" s="5" t="s">
        <v>60</v>
      </c>
    </row>
    <row r="42" spans="1:48" s="5" customFormat="1" x14ac:dyDescent="0.15">
      <c r="F42" s="3" t="s">
        <v>109</v>
      </c>
      <c r="G42" s="3" t="s">
        <v>6</v>
      </c>
      <c r="H42" s="3" t="s">
        <v>7</v>
      </c>
      <c r="I42" s="3" t="s">
        <v>8</v>
      </c>
      <c r="J42" s="3" t="s">
        <v>9</v>
      </c>
      <c r="K42" s="3" t="s">
        <v>10</v>
      </c>
      <c r="L42" s="10"/>
      <c r="AB42" s="5" t="s">
        <v>110</v>
      </c>
      <c r="AC42" s="5" t="s">
        <v>111</v>
      </c>
      <c r="AD42" s="5" t="s">
        <v>112</v>
      </c>
      <c r="AE42" s="5" t="s">
        <v>113</v>
      </c>
    </row>
    <row r="43" spans="1:48" s="5" customFormat="1" x14ac:dyDescent="0.15">
      <c r="F43" s="3" t="s">
        <v>6</v>
      </c>
      <c r="G43" s="15"/>
      <c r="H43" s="16">
        <v>0.95747800586510268</v>
      </c>
      <c r="I43" s="16">
        <v>0.92558651026392957</v>
      </c>
      <c r="J43" s="16">
        <v>0.94904692082111441</v>
      </c>
      <c r="K43" s="16">
        <v>0.96590909090909094</v>
      </c>
      <c r="L43" s="10"/>
      <c r="AB43" s="5" t="s">
        <v>114</v>
      </c>
      <c r="AC43" s="5" t="s">
        <v>115</v>
      </c>
      <c r="AD43" s="5" t="s">
        <v>116</v>
      </c>
      <c r="AE43" s="5" t="s">
        <v>117</v>
      </c>
    </row>
    <row r="44" spans="1:48" s="5" customFormat="1" x14ac:dyDescent="0.15">
      <c r="F44" s="3" t="s">
        <v>7</v>
      </c>
      <c r="G44" s="16">
        <v>0.95747800586510268</v>
      </c>
      <c r="H44" s="15"/>
      <c r="I44" s="16">
        <v>0.91239002932551316</v>
      </c>
      <c r="J44" s="16">
        <v>0.93988269794721413</v>
      </c>
      <c r="K44" s="16">
        <v>0.94428152492668627</v>
      </c>
      <c r="L44" s="10"/>
      <c r="AB44" s="5" t="s">
        <v>118</v>
      </c>
      <c r="AC44" s="5" t="s">
        <v>119</v>
      </c>
      <c r="AD44" s="5" t="s">
        <v>120</v>
      </c>
      <c r="AE44" s="5" t="s">
        <v>121</v>
      </c>
    </row>
    <row r="45" spans="1:48" s="5" customFormat="1" x14ac:dyDescent="0.15">
      <c r="F45" s="3" t="s">
        <v>8</v>
      </c>
      <c r="G45" s="16">
        <v>0.92558651026392957</v>
      </c>
      <c r="H45" s="16">
        <v>0.91239002932551316</v>
      </c>
      <c r="I45" s="15"/>
      <c r="J45" s="16">
        <v>0.90835777126099704</v>
      </c>
      <c r="K45" s="16">
        <v>0.92705278592375362</v>
      </c>
      <c r="L45" s="10"/>
      <c r="AB45" s="5" t="s">
        <v>122</v>
      </c>
      <c r="AC45" s="5" t="s">
        <v>123</v>
      </c>
      <c r="AD45" s="5" t="s">
        <v>124</v>
      </c>
      <c r="AE45" s="5" t="s">
        <v>125</v>
      </c>
    </row>
    <row r="46" spans="1:48" s="5" customFormat="1" x14ac:dyDescent="0.15">
      <c r="F46" s="3" t="s">
        <v>9</v>
      </c>
      <c r="G46" s="16">
        <v>0.94904692082111441</v>
      </c>
      <c r="H46" s="16">
        <v>0.93988269794721413</v>
      </c>
      <c r="I46" s="16">
        <v>0.92705278592375362</v>
      </c>
      <c r="J46" s="15"/>
      <c r="K46" s="16">
        <v>0.96260997067448684</v>
      </c>
      <c r="L46" s="10"/>
    </row>
    <row r="47" spans="1:48" s="5" customFormat="1" ht="21" x14ac:dyDescent="0.15">
      <c r="F47" s="3" t="s">
        <v>10</v>
      </c>
      <c r="G47" s="16">
        <v>0.96590909090909094</v>
      </c>
      <c r="H47" s="16">
        <v>0.94428152492668627</v>
      </c>
      <c r="I47" s="16">
        <v>0.92705278592375362</v>
      </c>
      <c r="J47" s="16">
        <v>0.96260997067448684</v>
      </c>
      <c r="K47" s="15"/>
      <c r="L47" s="10"/>
      <c r="AB47" s="5" t="s">
        <v>57</v>
      </c>
      <c r="AC47" s="5" t="s">
        <v>50</v>
      </c>
      <c r="AD47" s="5" t="s">
        <v>39</v>
      </c>
      <c r="AE47" s="5" t="s">
        <v>36</v>
      </c>
    </row>
    <row r="48" spans="1:48" s="5" customFormat="1" x14ac:dyDescent="0.15">
      <c r="L48" s="10"/>
      <c r="AB48" s="5" t="s">
        <v>126</v>
      </c>
      <c r="AC48" s="5" t="s">
        <v>127</v>
      </c>
      <c r="AD48" s="5" t="s">
        <v>128</v>
      </c>
      <c r="AE48" s="5" t="s">
        <v>129</v>
      </c>
    </row>
    <row r="49" spans="2:31" s="5" customFormat="1" x14ac:dyDescent="0.15">
      <c r="B49" s="17" t="s">
        <v>130</v>
      </c>
      <c r="C49" s="18"/>
      <c r="D49" s="18"/>
      <c r="E49" s="19"/>
      <c r="L49" s="10"/>
      <c r="AB49" s="5" t="s">
        <v>131</v>
      </c>
      <c r="AC49" s="5" t="s">
        <v>132</v>
      </c>
      <c r="AD49" s="5" t="s">
        <v>133</v>
      </c>
      <c r="AE49" s="5" t="s">
        <v>134</v>
      </c>
    </row>
    <row r="50" spans="2:31" s="5" customFormat="1" x14ac:dyDescent="0.15">
      <c r="B50" s="20" t="s">
        <v>135</v>
      </c>
      <c r="C50" s="21"/>
      <c r="D50" s="21"/>
      <c r="E50" s="22"/>
      <c r="L50" s="10"/>
      <c r="P50"/>
      <c r="AB50" s="5" t="s">
        <v>136</v>
      </c>
      <c r="AC50" s="5" t="s">
        <v>137</v>
      </c>
      <c r="AD50" s="5" t="s">
        <v>138</v>
      </c>
      <c r="AE50" s="5" t="s">
        <v>139</v>
      </c>
    </row>
    <row r="51" spans="2:31" s="5" customFormat="1" x14ac:dyDescent="0.15">
      <c r="B51" s="20" t="s">
        <v>140</v>
      </c>
      <c r="C51" s="21"/>
      <c r="D51" s="21"/>
      <c r="E51" s="22"/>
      <c r="L51" s="10"/>
      <c r="P51"/>
      <c r="AB51" s="5" t="s">
        <v>141</v>
      </c>
      <c r="AC51" s="5" t="s">
        <v>142</v>
      </c>
      <c r="AD51" s="5" t="s">
        <v>143</v>
      </c>
      <c r="AE51" s="5" t="s">
        <v>144</v>
      </c>
    </row>
    <row r="52" spans="2:31" s="5" customFormat="1" x14ac:dyDescent="0.15">
      <c r="B52" s="20" t="s">
        <v>145</v>
      </c>
      <c r="C52" s="21"/>
      <c r="D52" s="21"/>
      <c r="E52" s="22"/>
      <c r="L52" s="10"/>
      <c r="P52"/>
    </row>
    <row r="53" spans="2:31" s="5" customFormat="1" x14ac:dyDescent="0.15">
      <c r="B53" s="20" t="s">
        <v>146</v>
      </c>
      <c r="C53" s="21"/>
      <c r="D53" s="21"/>
      <c r="E53" s="22"/>
      <c r="L53" s="10"/>
      <c r="P53"/>
    </row>
    <row r="54" spans="2:31" s="5" customFormat="1" x14ac:dyDescent="0.15">
      <c r="L54" s="10"/>
      <c r="P54"/>
    </row>
    <row r="55" spans="2:31" s="5" customFormat="1" x14ac:dyDescent="0.15">
      <c r="B55" s="5" t="s">
        <v>147</v>
      </c>
      <c r="F55" s="5" t="s">
        <v>148</v>
      </c>
      <c r="G55" s="5" t="s">
        <v>148</v>
      </c>
      <c r="H55" s="5" t="s">
        <v>148</v>
      </c>
      <c r="I55" s="5" t="s">
        <v>148</v>
      </c>
      <c r="J55" s="10"/>
      <c r="P55"/>
    </row>
    <row r="56" spans="2:31" s="5" customFormat="1" x14ac:dyDescent="0.15">
      <c r="B56" s="5" t="s">
        <v>149</v>
      </c>
      <c r="F56" s="5" t="s">
        <v>150</v>
      </c>
      <c r="G56" s="5" t="s">
        <v>151</v>
      </c>
      <c r="H56" s="5" t="s">
        <v>152</v>
      </c>
      <c r="J56" s="10"/>
      <c r="P56"/>
    </row>
    <row r="57" spans="2:31" s="5" customFormat="1" ht="21" x14ac:dyDescent="0.15">
      <c r="B57" s="5" t="s">
        <v>27</v>
      </c>
      <c r="F57" s="5" t="s">
        <v>153</v>
      </c>
      <c r="G57" s="5" t="s">
        <v>154</v>
      </c>
      <c r="H57" s="5" t="s">
        <v>155</v>
      </c>
      <c r="I57" s="10"/>
      <c r="P57"/>
    </row>
    <row r="58" spans="2:31" s="5" customFormat="1" x14ac:dyDescent="0.15">
      <c r="B58" s="5" t="s">
        <v>28</v>
      </c>
      <c r="F58" s="5" t="s">
        <v>156</v>
      </c>
      <c r="G58" s="5" t="s">
        <v>157</v>
      </c>
      <c r="I58" s="10"/>
      <c r="P58"/>
    </row>
    <row r="59" spans="2:31" s="5" customFormat="1" x14ac:dyDescent="0.15">
      <c r="B59" s="5" t="s">
        <v>29</v>
      </c>
      <c r="I59" s="10"/>
      <c r="P59"/>
    </row>
    <row r="60" spans="2:31" s="5" customFormat="1" x14ac:dyDescent="0.15">
      <c r="B60" s="5" t="s">
        <v>30</v>
      </c>
      <c r="F60" s="5" t="s">
        <v>158</v>
      </c>
      <c r="G60" s="5" t="s">
        <v>159</v>
      </c>
      <c r="I60" s="10"/>
      <c r="P60"/>
    </row>
    <row r="61" spans="2:31" s="5" customFormat="1" x14ac:dyDescent="0.15">
      <c r="B61" s="5" t="s">
        <v>31</v>
      </c>
      <c r="F61" s="5" t="s">
        <v>159</v>
      </c>
      <c r="G61" s="5" t="s">
        <v>160</v>
      </c>
      <c r="H61" s="5" t="s">
        <v>161</v>
      </c>
      <c r="I61" s="10" t="s">
        <v>162</v>
      </c>
      <c r="P61"/>
    </row>
    <row r="62" spans="2:31" s="5" customFormat="1" x14ac:dyDescent="0.15">
      <c r="B62" s="5" t="s">
        <v>32</v>
      </c>
      <c r="F62" s="5" t="s">
        <v>163</v>
      </c>
      <c r="G62" s="5" t="s">
        <v>164</v>
      </c>
      <c r="H62" s="5" t="s">
        <v>165</v>
      </c>
      <c r="I62" s="10"/>
      <c r="P62"/>
    </row>
    <row r="63" spans="2:31" s="5" customFormat="1" x14ac:dyDescent="0.15">
      <c r="B63" s="5" t="s">
        <v>166</v>
      </c>
      <c r="I63" s="10"/>
      <c r="P63"/>
    </row>
    <row r="64" spans="2:31" s="5" customFormat="1" x14ac:dyDescent="0.15">
      <c r="B64" s="5" t="s">
        <v>167</v>
      </c>
      <c r="I64" s="10"/>
      <c r="P64"/>
    </row>
    <row r="65" spans="2:16" s="5" customFormat="1" x14ac:dyDescent="0.15">
      <c r="B65" s="5" t="s">
        <v>168</v>
      </c>
      <c r="I65" s="10"/>
      <c r="P65"/>
    </row>
    <row r="66" spans="2:16" s="5" customFormat="1" x14ac:dyDescent="0.15">
      <c r="B66" s="5" t="s">
        <v>169</v>
      </c>
      <c r="I66" s="10"/>
      <c r="P66"/>
    </row>
    <row r="67" spans="2:16" s="5" customFormat="1" x14ac:dyDescent="0.15">
      <c r="B67" s="5" t="s">
        <v>170</v>
      </c>
      <c r="I67" s="10"/>
      <c r="P67"/>
    </row>
    <row r="68" spans="2:16" s="5" customFormat="1" x14ac:dyDescent="0.15">
      <c r="B68" s="5" t="s">
        <v>171</v>
      </c>
      <c r="I68" s="10"/>
      <c r="P68"/>
    </row>
    <row r="69" spans="2:16" s="5" customFormat="1" x14ac:dyDescent="0.15">
      <c r="B69" s="5" t="s">
        <v>172</v>
      </c>
      <c r="I69" s="10"/>
      <c r="P69"/>
    </row>
    <row r="70" spans="2:16" s="5" customFormat="1" x14ac:dyDescent="0.15">
      <c r="B70" s="5" t="s">
        <v>173</v>
      </c>
      <c r="I70" s="10"/>
      <c r="P70"/>
    </row>
    <row r="71" spans="2:16" s="5" customFormat="1" x14ac:dyDescent="0.15">
      <c r="B71" s="5" t="s">
        <v>174</v>
      </c>
      <c r="I71" s="10"/>
      <c r="P71"/>
    </row>
    <row r="72" spans="2:16" s="5" customFormat="1" x14ac:dyDescent="0.15">
      <c r="B72" s="5" t="s">
        <v>175</v>
      </c>
      <c r="I72" s="10"/>
      <c r="P72"/>
    </row>
    <row r="73" spans="2:16" s="5" customFormat="1" x14ac:dyDescent="0.15">
      <c r="B73" s="5" t="s">
        <v>176</v>
      </c>
      <c r="I73" s="10"/>
      <c r="P73"/>
    </row>
    <row r="74" spans="2:16" s="5" customFormat="1" x14ac:dyDescent="0.15">
      <c r="L74" s="10"/>
    </row>
    <row r="75" spans="2:16" s="5" customFormat="1" x14ac:dyDescent="0.15">
      <c r="L75" s="10"/>
    </row>
    <row r="76" spans="2:16" s="5" customFormat="1" x14ac:dyDescent="0.15">
      <c r="L76" s="10"/>
    </row>
    <row r="77" spans="2:16" s="5" customFormat="1" x14ac:dyDescent="0.15">
      <c r="L77" s="10"/>
    </row>
    <row r="78" spans="2:16" s="5" customFormat="1" x14ac:dyDescent="0.15">
      <c r="L78" s="10"/>
    </row>
    <row r="79" spans="2:16" s="5" customFormat="1" x14ac:dyDescent="0.15">
      <c r="L79" s="10"/>
    </row>
    <row r="80" spans="2:16" s="5" customFormat="1" x14ac:dyDescent="0.15">
      <c r="L80" s="10"/>
    </row>
    <row r="81" spans="12:12" s="5" customFormat="1" x14ac:dyDescent="0.15">
      <c r="L81" s="10"/>
    </row>
    <row r="82" spans="12:12" s="5" customFormat="1" x14ac:dyDescent="0.15">
      <c r="L82" s="10"/>
    </row>
    <row r="83" spans="12:12" s="5" customFormat="1" x14ac:dyDescent="0.15">
      <c r="L83" s="10"/>
    </row>
    <row r="84" spans="12:12" s="5" customFormat="1" x14ac:dyDescent="0.15">
      <c r="L84" s="10"/>
    </row>
    <row r="85" spans="12:12" s="5" customFormat="1" x14ac:dyDescent="0.15">
      <c r="L85" s="10"/>
    </row>
    <row r="86" spans="12:12" s="5" customFormat="1" x14ac:dyDescent="0.15">
      <c r="L86" s="10"/>
    </row>
    <row r="87" spans="12:12" s="5" customFormat="1" x14ac:dyDescent="0.15">
      <c r="L87" s="10"/>
    </row>
    <row r="88" spans="12:12" s="5" customFormat="1" x14ac:dyDescent="0.15">
      <c r="L88" s="10"/>
    </row>
    <row r="89" spans="12:12" s="5" customFormat="1" x14ac:dyDescent="0.15">
      <c r="L89" s="10"/>
    </row>
    <row r="90" spans="12:12" s="5" customFormat="1" x14ac:dyDescent="0.15">
      <c r="L90" s="10"/>
    </row>
    <row r="91" spans="12:12" s="5" customFormat="1" x14ac:dyDescent="0.15">
      <c r="L91" s="10"/>
    </row>
    <row r="92" spans="12:12" s="5" customFormat="1" x14ac:dyDescent="0.15">
      <c r="L92" s="10"/>
    </row>
    <row r="93" spans="12:12" s="5" customFormat="1" x14ac:dyDescent="0.15">
      <c r="L93" s="10"/>
    </row>
    <row r="94" spans="12:12" s="5" customFormat="1" x14ac:dyDescent="0.15">
      <c r="L94" s="10"/>
    </row>
    <row r="95" spans="12:12" s="5" customFormat="1" x14ac:dyDescent="0.15">
      <c r="L95" s="10"/>
    </row>
    <row r="96" spans="12:12" s="5" customFormat="1" x14ac:dyDescent="0.15">
      <c r="L96" s="10"/>
    </row>
    <row r="97" spans="12:12" s="5" customFormat="1" x14ac:dyDescent="0.15">
      <c r="L97" s="10"/>
    </row>
    <row r="98" spans="12:12" s="5" customFormat="1" x14ac:dyDescent="0.15">
      <c r="L98" s="10"/>
    </row>
    <row r="99" spans="12:12" s="5" customFormat="1" x14ac:dyDescent="0.15">
      <c r="L99" s="10"/>
    </row>
    <row r="100" spans="12:12" s="5" customFormat="1" x14ac:dyDescent="0.15">
      <c r="L100" s="10"/>
    </row>
    <row r="101" spans="12:12" s="5" customFormat="1" x14ac:dyDescent="0.15">
      <c r="L101" s="10"/>
    </row>
    <row r="102" spans="12:12" s="5" customFormat="1" x14ac:dyDescent="0.15">
      <c r="L102" s="10"/>
    </row>
    <row r="103" spans="12:12" s="5" customFormat="1" x14ac:dyDescent="0.15">
      <c r="L103" s="10"/>
    </row>
    <row r="104" spans="12:12" s="5" customFormat="1" x14ac:dyDescent="0.15">
      <c r="L104" s="10"/>
    </row>
    <row r="105" spans="12:12" s="5" customFormat="1" x14ac:dyDescent="0.15">
      <c r="L105" s="10"/>
    </row>
    <row r="106" spans="12:12" s="5" customFormat="1" x14ac:dyDescent="0.15">
      <c r="L106" s="10"/>
    </row>
    <row r="107" spans="12:12" s="5" customFormat="1" x14ac:dyDescent="0.15">
      <c r="L107" s="10"/>
    </row>
    <row r="108" spans="12:12" s="5" customFormat="1" x14ac:dyDescent="0.15">
      <c r="L108" s="10"/>
    </row>
    <row r="109" spans="12:12" s="5" customFormat="1" x14ac:dyDescent="0.15">
      <c r="L109" s="10"/>
    </row>
    <row r="110" spans="12:12" s="5" customFormat="1" x14ac:dyDescent="0.15">
      <c r="L110" s="10"/>
    </row>
    <row r="111" spans="12:12" s="5" customFormat="1" x14ac:dyDescent="0.15">
      <c r="L111" s="10"/>
    </row>
    <row r="112" spans="12:12" s="5" customFormat="1" x14ac:dyDescent="0.15">
      <c r="L112" s="10"/>
    </row>
    <row r="113" spans="12:12" s="5" customFormat="1" x14ac:dyDescent="0.15">
      <c r="L113" s="10"/>
    </row>
    <row r="114" spans="12:12" s="5" customFormat="1" x14ac:dyDescent="0.15">
      <c r="L114" s="10"/>
    </row>
    <row r="115" spans="12:12" s="5" customFormat="1" x14ac:dyDescent="0.15">
      <c r="L115" s="10"/>
    </row>
    <row r="116" spans="12:12" s="5" customFormat="1" x14ac:dyDescent="0.15">
      <c r="L116" s="10"/>
    </row>
    <row r="117" spans="12:12" s="5" customFormat="1" x14ac:dyDescent="0.15">
      <c r="L117" s="10"/>
    </row>
    <row r="118" spans="12:12" s="5" customFormat="1" x14ac:dyDescent="0.15">
      <c r="L118" s="10"/>
    </row>
    <row r="119" spans="12:12" s="5" customFormat="1" x14ac:dyDescent="0.15">
      <c r="L119" s="10"/>
    </row>
    <row r="120" spans="12:12" s="5" customFormat="1" x14ac:dyDescent="0.15">
      <c r="L120" s="10"/>
    </row>
    <row r="121" spans="12:12" s="5" customFormat="1" x14ac:dyDescent="0.15">
      <c r="L121" s="10"/>
    </row>
    <row r="122" spans="12:12" s="5" customFormat="1" x14ac:dyDescent="0.15">
      <c r="L122" s="10"/>
    </row>
    <row r="123" spans="12:12" s="5" customFormat="1" x14ac:dyDescent="0.15">
      <c r="L123" s="10"/>
    </row>
    <row r="124" spans="12:12" s="5" customFormat="1" x14ac:dyDescent="0.15">
      <c r="L124" s="10"/>
    </row>
    <row r="125" spans="12:12" s="5" customFormat="1" x14ac:dyDescent="0.15">
      <c r="L125" s="10"/>
    </row>
    <row r="126" spans="12:12" s="5" customFormat="1" x14ac:dyDescent="0.15">
      <c r="L126" s="10"/>
    </row>
    <row r="127" spans="12:12" s="5" customFormat="1" x14ac:dyDescent="0.15">
      <c r="L127" s="10"/>
    </row>
    <row r="128" spans="12:12" s="5" customFormat="1" x14ac:dyDescent="0.15">
      <c r="L128" s="10"/>
    </row>
    <row r="129" spans="12:12" s="5" customFormat="1" x14ac:dyDescent="0.15">
      <c r="L129" s="10"/>
    </row>
    <row r="130" spans="12:12" s="5" customFormat="1" x14ac:dyDescent="0.15">
      <c r="L130" s="10"/>
    </row>
    <row r="131" spans="12:12" s="5" customFormat="1" x14ac:dyDescent="0.15">
      <c r="L131" s="10"/>
    </row>
    <row r="132" spans="12:12" s="5" customFormat="1" x14ac:dyDescent="0.15">
      <c r="L132" s="10"/>
    </row>
    <row r="133" spans="12:12" s="5" customFormat="1" x14ac:dyDescent="0.15">
      <c r="L133" s="10"/>
    </row>
    <row r="134" spans="12:12" s="5" customFormat="1" x14ac:dyDescent="0.15">
      <c r="L134" s="10"/>
    </row>
    <row r="135" spans="12:12" s="5" customFormat="1" x14ac:dyDescent="0.15">
      <c r="L135" s="10"/>
    </row>
    <row r="136" spans="12:12" s="5" customFormat="1" x14ac:dyDescent="0.15">
      <c r="L136" s="10"/>
    </row>
    <row r="137" spans="12:12" s="5" customFormat="1" x14ac:dyDescent="0.15">
      <c r="L137" s="10"/>
    </row>
    <row r="138" spans="12:12" s="5" customFormat="1" x14ac:dyDescent="0.15">
      <c r="L138" s="10"/>
    </row>
    <row r="139" spans="12:12" s="5" customFormat="1" x14ac:dyDescent="0.15">
      <c r="L139" s="10"/>
    </row>
    <row r="140" spans="12:12" s="5" customFormat="1" x14ac:dyDescent="0.15">
      <c r="L140" s="10"/>
    </row>
    <row r="141" spans="12:12" s="5" customFormat="1" x14ac:dyDescent="0.15">
      <c r="L141" s="10"/>
    </row>
    <row r="142" spans="12:12" s="5" customFormat="1" x14ac:dyDescent="0.15">
      <c r="L142" s="10"/>
    </row>
    <row r="143" spans="12:12" s="5" customFormat="1" x14ac:dyDescent="0.15">
      <c r="L143" s="10"/>
    </row>
    <row r="144" spans="12:12" s="5" customFormat="1" x14ac:dyDescent="0.15">
      <c r="L144" s="10"/>
    </row>
    <row r="145" spans="12:12" s="5" customFormat="1" x14ac:dyDescent="0.15">
      <c r="L145" s="10"/>
    </row>
    <row r="146" spans="12:12" s="5" customFormat="1" x14ac:dyDescent="0.15">
      <c r="L146" s="10"/>
    </row>
    <row r="147" spans="12:12" s="5" customFormat="1" x14ac:dyDescent="0.15">
      <c r="L147" s="10"/>
    </row>
    <row r="148" spans="12:12" s="5" customFormat="1" x14ac:dyDescent="0.15">
      <c r="L148" s="10"/>
    </row>
    <row r="149" spans="12:12" s="5" customFormat="1" x14ac:dyDescent="0.15">
      <c r="L149" s="10"/>
    </row>
    <row r="150" spans="12:12" s="5" customFormat="1" x14ac:dyDescent="0.15">
      <c r="L150" s="10"/>
    </row>
    <row r="151" spans="12:12" s="5" customFormat="1" x14ac:dyDescent="0.15">
      <c r="L151" s="10"/>
    </row>
    <row r="152" spans="12:12" s="5" customFormat="1" x14ac:dyDescent="0.15">
      <c r="L152" s="10"/>
    </row>
    <row r="153" spans="12:12" s="5" customFormat="1" x14ac:dyDescent="0.15">
      <c r="L153" s="10"/>
    </row>
    <row r="154" spans="12:12" s="5" customFormat="1" x14ac:dyDescent="0.15">
      <c r="L154" s="10"/>
    </row>
    <row r="155" spans="12:12" s="5" customFormat="1" x14ac:dyDescent="0.15">
      <c r="L155" s="10"/>
    </row>
    <row r="156" spans="12:12" s="5" customFormat="1" x14ac:dyDescent="0.15">
      <c r="L156" s="10"/>
    </row>
    <row r="157" spans="12:12" s="5" customFormat="1" x14ac:dyDescent="0.15">
      <c r="L157" s="10"/>
    </row>
    <row r="158" spans="12:12" s="5" customFormat="1" x14ac:dyDescent="0.15">
      <c r="L158" s="10"/>
    </row>
    <row r="159" spans="12:12" s="5" customFormat="1" x14ac:dyDescent="0.15">
      <c r="L159" s="10"/>
    </row>
    <row r="160" spans="12:12" s="5" customFormat="1" x14ac:dyDescent="0.15">
      <c r="L160" s="10"/>
    </row>
    <row r="161" spans="12:12" s="5" customFormat="1" x14ac:dyDescent="0.15">
      <c r="L161" s="10"/>
    </row>
    <row r="162" spans="12:12" s="5" customFormat="1" x14ac:dyDescent="0.15">
      <c r="L162" s="10"/>
    </row>
    <row r="163" spans="12:12" s="5" customFormat="1" x14ac:dyDescent="0.15">
      <c r="L163" s="10"/>
    </row>
    <row r="164" spans="12:12" s="5" customFormat="1" x14ac:dyDescent="0.15">
      <c r="L164" s="10"/>
    </row>
    <row r="165" spans="12:12" s="5" customFormat="1" x14ac:dyDescent="0.15">
      <c r="L165" s="10"/>
    </row>
    <row r="166" spans="12:12" s="5" customFormat="1" x14ac:dyDescent="0.15">
      <c r="L166" s="10"/>
    </row>
    <row r="167" spans="12:12" s="5" customFormat="1" x14ac:dyDescent="0.15">
      <c r="L167" s="10"/>
    </row>
    <row r="168" spans="12:12" s="5" customFormat="1" x14ac:dyDescent="0.15">
      <c r="L168" s="10"/>
    </row>
    <row r="169" spans="12:12" s="5" customFormat="1" x14ac:dyDescent="0.15">
      <c r="L169" s="10"/>
    </row>
    <row r="170" spans="12:12" s="5" customFormat="1" x14ac:dyDescent="0.15">
      <c r="L170" s="10"/>
    </row>
    <row r="171" spans="12:12" s="5" customFormat="1" x14ac:dyDescent="0.15">
      <c r="L171" s="10"/>
    </row>
    <row r="172" spans="12:12" s="5" customFormat="1" x14ac:dyDescent="0.15">
      <c r="L172" s="10"/>
    </row>
    <row r="173" spans="12:12" s="5" customFormat="1" x14ac:dyDescent="0.15">
      <c r="L173" s="10"/>
    </row>
    <row r="174" spans="12:12" s="5" customFormat="1" x14ac:dyDescent="0.15">
      <c r="L174" s="10"/>
    </row>
    <row r="175" spans="12:12" s="5" customFormat="1" x14ac:dyDescent="0.15">
      <c r="L175" s="10"/>
    </row>
    <row r="176" spans="12:12" s="5" customFormat="1" x14ac:dyDescent="0.15">
      <c r="L176" s="10"/>
    </row>
    <row r="177" spans="12:12" s="5" customFormat="1" x14ac:dyDescent="0.15">
      <c r="L177" s="10"/>
    </row>
    <row r="178" spans="12:12" s="5" customFormat="1" x14ac:dyDescent="0.15">
      <c r="L178" s="10"/>
    </row>
    <row r="179" spans="12:12" s="5" customFormat="1" x14ac:dyDescent="0.15">
      <c r="L179" s="10"/>
    </row>
    <row r="180" spans="12:12" s="5" customFormat="1" x14ac:dyDescent="0.15">
      <c r="L180" s="10"/>
    </row>
    <row r="181" spans="12:12" s="5" customFormat="1" x14ac:dyDescent="0.15">
      <c r="L181" s="10"/>
    </row>
    <row r="182" spans="12:12" s="5" customFormat="1" x14ac:dyDescent="0.15">
      <c r="L182" s="10"/>
    </row>
    <row r="183" spans="12:12" s="5" customFormat="1" x14ac:dyDescent="0.15">
      <c r="L183" s="10"/>
    </row>
    <row r="184" spans="12:12" s="5" customFormat="1" x14ac:dyDescent="0.15">
      <c r="L184" s="10"/>
    </row>
    <row r="185" spans="12:12" s="5" customFormat="1" x14ac:dyDescent="0.15">
      <c r="L185" s="10"/>
    </row>
    <row r="186" spans="12:12" s="5" customFormat="1" x14ac:dyDescent="0.15">
      <c r="L186" s="10"/>
    </row>
    <row r="187" spans="12:12" s="5" customFormat="1" x14ac:dyDescent="0.15">
      <c r="L187" s="10"/>
    </row>
    <row r="188" spans="12:12" s="5" customFormat="1" x14ac:dyDescent="0.15">
      <c r="L188" s="10"/>
    </row>
    <row r="189" spans="12:12" s="5" customFormat="1" x14ac:dyDescent="0.15">
      <c r="L189" s="10"/>
    </row>
    <row r="190" spans="12:12" s="5" customFormat="1" x14ac:dyDescent="0.15">
      <c r="L190" s="10"/>
    </row>
    <row r="191" spans="12:12" s="5" customFormat="1" x14ac:dyDescent="0.15">
      <c r="L191" s="10"/>
    </row>
    <row r="192" spans="12:12" s="5" customFormat="1" x14ac:dyDescent="0.15">
      <c r="L192" s="10"/>
    </row>
    <row r="193" spans="12:12" s="5" customFormat="1" x14ac:dyDescent="0.15">
      <c r="L193" s="10"/>
    </row>
    <row r="194" spans="12:12" s="5" customFormat="1" x14ac:dyDescent="0.15">
      <c r="L194" s="10"/>
    </row>
    <row r="195" spans="12:12" s="5" customFormat="1" x14ac:dyDescent="0.15">
      <c r="L195" s="10"/>
    </row>
    <row r="196" spans="12:12" s="5" customFormat="1" x14ac:dyDescent="0.15">
      <c r="L196" s="10"/>
    </row>
    <row r="197" spans="12:12" s="5" customFormat="1" x14ac:dyDescent="0.15">
      <c r="L197" s="10"/>
    </row>
    <row r="198" spans="12:12" s="5" customFormat="1" x14ac:dyDescent="0.15">
      <c r="L198" s="10"/>
    </row>
    <row r="199" spans="12:12" s="5" customFormat="1" x14ac:dyDescent="0.15">
      <c r="L199" s="10"/>
    </row>
    <row r="200" spans="12:12" s="5" customFormat="1" x14ac:dyDescent="0.15">
      <c r="L200" s="10"/>
    </row>
    <row r="201" spans="12:12" s="5" customFormat="1" x14ac:dyDescent="0.15">
      <c r="L201" s="10"/>
    </row>
    <row r="202" spans="12:12" s="5" customFormat="1" x14ac:dyDescent="0.15">
      <c r="L202" s="10"/>
    </row>
    <row r="203" spans="12:12" s="5" customFormat="1" x14ac:dyDescent="0.15">
      <c r="L203" s="10"/>
    </row>
    <row r="204" spans="12:12" s="5" customFormat="1" x14ac:dyDescent="0.15">
      <c r="L204" s="10"/>
    </row>
    <row r="205" spans="12:12" s="5" customFormat="1" x14ac:dyDescent="0.15">
      <c r="L205" s="10"/>
    </row>
    <row r="206" spans="12:12" s="5" customFormat="1" x14ac:dyDescent="0.15">
      <c r="L206" s="10"/>
    </row>
    <row r="207" spans="12:12" s="5" customFormat="1" x14ac:dyDescent="0.15">
      <c r="L207" s="10"/>
    </row>
    <row r="208" spans="12:12" s="5" customFormat="1" x14ac:dyDescent="0.15">
      <c r="L208" s="10"/>
    </row>
    <row r="209" spans="12:12" s="5" customFormat="1" x14ac:dyDescent="0.15">
      <c r="L209" s="10"/>
    </row>
    <row r="210" spans="12:12" s="5" customFormat="1" x14ac:dyDescent="0.15">
      <c r="L210" s="10"/>
    </row>
    <row r="211" spans="12:12" s="5" customFormat="1" x14ac:dyDescent="0.15">
      <c r="L211" s="10"/>
    </row>
    <row r="212" spans="12:12" s="5" customFormat="1" x14ac:dyDescent="0.15">
      <c r="L212" s="10"/>
    </row>
    <row r="213" spans="12:12" s="5" customFormat="1" x14ac:dyDescent="0.15">
      <c r="L213" s="10"/>
    </row>
    <row r="214" spans="12:12" s="5" customFormat="1" x14ac:dyDescent="0.15">
      <c r="L214" s="10"/>
    </row>
    <row r="215" spans="12:12" s="5" customFormat="1" x14ac:dyDescent="0.15">
      <c r="L215" s="10"/>
    </row>
    <row r="216" spans="12:12" s="5" customFormat="1" x14ac:dyDescent="0.15">
      <c r="L216" s="10"/>
    </row>
    <row r="217" spans="12:12" s="5" customFormat="1" x14ac:dyDescent="0.15">
      <c r="L217" s="10"/>
    </row>
    <row r="218" spans="12:12" s="5" customFormat="1" x14ac:dyDescent="0.15">
      <c r="L218" s="10"/>
    </row>
    <row r="219" spans="12:12" s="5" customFormat="1" x14ac:dyDescent="0.15">
      <c r="L219" s="10"/>
    </row>
    <row r="220" spans="12:12" s="5" customFormat="1" x14ac:dyDescent="0.15">
      <c r="L220" s="10"/>
    </row>
    <row r="221" spans="12:12" s="5" customFormat="1" x14ac:dyDescent="0.15">
      <c r="L221" s="10"/>
    </row>
    <row r="222" spans="12:12" s="5" customFormat="1" x14ac:dyDescent="0.15">
      <c r="L222" s="10"/>
    </row>
    <row r="223" spans="12:12" s="5" customFormat="1" x14ac:dyDescent="0.15">
      <c r="L223" s="10"/>
    </row>
    <row r="224" spans="12:12" s="5" customFormat="1" x14ac:dyDescent="0.15">
      <c r="L224" s="10"/>
    </row>
    <row r="225" spans="12:12" s="5" customFormat="1" x14ac:dyDescent="0.15">
      <c r="L225" s="10"/>
    </row>
    <row r="226" spans="12:12" s="5" customFormat="1" x14ac:dyDescent="0.15">
      <c r="L226" s="10"/>
    </row>
    <row r="227" spans="12:12" x14ac:dyDescent="0.15">
      <c r="L227" s="23"/>
    </row>
    <row r="228" spans="12:12" x14ac:dyDescent="0.15">
      <c r="L228" s="23"/>
    </row>
    <row r="229" spans="12:12" x14ac:dyDescent="0.15">
      <c r="L229" s="23"/>
    </row>
    <row r="230" spans="12:12" x14ac:dyDescent="0.15">
      <c r="L230" s="23"/>
    </row>
    <row r="231" spans="12:12" x14ac:dyDescent="0.15">
      <c r="L231" s="23"/>
    </row>
    <row r="232" spans="12:12" x14ac:dyDescent="0.15">
      <c r="L232" s="23"/>
    </row>
    <row r="233" spans="12:12" x14ac:dyDescent="0.15">
      <c r="L233" s="23"/>
    </row>
    <row r="234" spans="12:12" x14ac:dyDescent="0.15">
      <c r="L234" s="23"/>
    </row>
    <row r="235" spans="12:12" x14ac:dyDescent="0.15">
      <c r="L235" s="23"/>
    </row>
    <row r="236" spans="12:12" x14ac:dyDescent="0.15">
      <c r="L236" s="23"/>
    </row>
    <row r="237" spans="12:12" x14ac:dyDescent="0.15">
      <c r="L237" s="23"/>
    </row>
    <row r="238" spans="12:12" x14ac:dyDescent="0.15">
      <c r="L238" s="23"/>
    </row>
    <row r="239" spans="12:12" x14ac:dyDescent="0.15">
      <c r="L239" s="23"/>
    </row>
    <row r="240" spans="12:12" x14ac:dyDescent="0.15">
      <c r="L240" s="23"/>
    </row>
    <row r="241" spans="12:12" x14ac:dyDescent="0.15">
      <c r="L241" s="23"/>
    </row>
    <row r="242" spans="12:12" x14ac:dyDescent="0.15">
      <c r="L242" s="23"/>
    </row>
    <row r="243" spans="12:12" x14ac:dyDescent="0.15">
      <c r="L243" s="23"/>
    </row>
    <row r="244" spans="12:12" x14ac:dyDescent="0.15">
      <c r="L244" s="23"/>
    </row>
    <row r="245" spans="12:12" x14ac:dyDescent="0.15">
      <c r="L245" s="23"/>
    </row>
    <row r="246" spans="12:12" x14ac:dyDescent="0.15">
      <c r="L246" s="23"/>
    </row>
    <row r="247" spans="12:12" x14ac:dyDescent="0.15">
      <c r="L247" s="23"/>
    </row>
    <row r="248" spans="12:12" x14ac:dyDescent="0.15">
      <c r="L248" s="23"/>
    </row>
    <row r="249" spans="12:12" x14ac:dyDescent="0.15">
      <c r="L249" s="23"/>
    </row>
    <row r="250" spans="12:12" x14ac:dyDescent="0.15">
      <c r="L250" s="23"/>
    </row>
    <row r="251" spans="12:12" x14ac:dyDescent="0.15">
      <c r="L251" s="23"/>
    </row>
    <row r="252" spans="12:12" x14ac:dyDescent="0.15">
      <c r="L252" s="23"/>
    </row>
    <row r="253" spans="12:12" x14ac:dyDescent="0.15">
      <c r="L253" s="23"/>
    </row>
    <row r="254" spans="12:12" x14ac:dyDescent="0.15">
      <c r="L254" s="23"/>
    </row>
    <row r="255" spans="12:12" x14ac:dyDescent="0.15">
      <c r="L255" s="23"/>
    </row>
    <row r="256" spans="12:12" x14ac:dyDescent="0.15">
      <c r="L256" s="23"/>
    </row>
    <row r="257" spans="12:12" x14ac:dyDescent="0.15">
      <c r="L257" s="23"/>
    </row>
    <row r="258" spans="12:12" x14ac:dyDescent="0.15">
      <c r="L258" s="23"/>
    </row>
    <row r="259" spans="12:12" x14ac:dyDescent="0.15">
      <c r="L259" s="23"/>
    </row>
    <row r="260" spans="12:12" x14ac:dyDescent="0.15">
      <c r="L260" s="23"/>
    </row>
    <row r="261" spans="12:12" x14ac:dyDescent="0.15">
      <c r="L261" s="23"/>
    </row>
    <row r="262" spans="12:12" x14ac:dyDescent="0.15">
      <c r="L262" s="23"/>
    </row>
    <row r="263" spans="12:12" x14ac:dyDescent="0.15">
      <c r="L263" s="23"/>
    </row>
    <row r="264" spans="12:12" x14ac:dyDescent="0.15">
      <c r="L264" s="23"/>
    </row>
    <row r="265" spans="12:12" x14ac:dyDescent="0.15">
      <c r="L265" s="23"/>
    </row>
    <row r="266" spans="12:12" x14ac:dyDescent="0.15">
      <c r="L266" s="23"/>
    </row>
    <row r="267" spans="12:12" x14ac:dyDescent="0.15">
      <c r="L267" s="23"/>
    </row>
    <row r="268" spans="12:12" x14ac:dyDescent="0.15">
      <c r="L268" s="23"/>
    </row>
    <row r="269" spans="12:12" x14ac:dyDescent="0.15">
      <c r="L269" s="23"/>
    </row>
    <row r="270" spans="12:12" x14ac:dyDescent="0.15">
      <c r="L270" s="23"/>
    </row>
    <row r="271" spans="12:12" x14ac:dyDescent="0.15">
      <c r="L271" s="23"/>
    </row>
    <row r="272" spans="12:12" x14ac:dyDescent="0.15">
      <c r="L272" s="23"/>
    </row>
    <row r="273" spans="12:12" x14ac:dyDescent="0.15">
      <c r="L273" s="23"/>
    </row>
    <row r="274" spans="12:12" x14ac:dyDescent="0.15">
      <c r="L274" s="23"/>
    </row>
    <row r="275" spans="12:12" x14ac:dyDescent="0.15">
      <c r="L275" s="23"/>
    </row>
    <row r="276" spans="12:12" x14ac:dyDescent="0.15">
      <c r="L276" s="23"/>
    </row>
    <row r="277" spans="12:12" x14ac:dyDescent="0.15">
      <c r="L277" s="23"/>
    </row>
    <row r="278" spans="12:12" x14ac:dyDescent="0.15">
      <c r="L278" s="23"/>
    </row>
    <row r="279" spans="12:12" x14ac:dyDescent="0.15">
      <c r="L279" s="23"/>
    </row>
    <row r="280" spans="12:12" x14ac:dyDescent="0.15">
      <c r="L280" s="23"/>
    </row>
    <row r="281" spans="12:12" x14ac:dyDescent="0.15">
      <c r="L281" s="23"/>
    </row>
    <row r="282" spans="12:12" x14ac:dyDescent="0.15">
      <c r="L282" s="23"/>
    </row>
    <row r="283" spans="12:12" x14ac:dyDescent="0.15">
      <c r="L283" s="23"/>
    </row>
    <row r="284" spans="12:12" x14ac:dyDescent="0.15">
      <c r="L284" s="23"/>
    </row>
    <row r="285" spans="12:12" x14ac:dyDescent="0.15">
      <c r="L285" s="23"/>
    </row>
    <row r="286" spans="12:12" x14ac:dyDescent="0.15">
      <c r="L286" s="23"/>
    </row>
    <row r="287" spans="12:12" x14ac:dyDescent="0.15">
      <c r="L287" s="23"/>
    </row>
    <row r="288" spans="12:12" x14ac:dyDescent="0.15">
      <c r="L288" s="23"/>
    </row>
    <row r="289" spans="12:12" x14ac:dyDescent="0.15">
      <c r="L289" s="23"/>
    </row>
    <row r="290" spans="12:12" x14ac:dyDescent="0.15">
      <c r="L290" s="23"/>
    </row>
    <row r="291" spans="12:12" x14ac:dyDescent="0.15">
      <c r="L291" s="23"/>
    </row>
    <row r="292" spans="12:12" x14ac:dyDescent="0.15">
      <c r="L292" s="23"/>
    </row>
    <row r="293" spans="12:12" x14ac:dyDescent="0.15">
      <c r="L293" s="23"/>
    </row>
    <row r="294" spans="12:12" x14ac:dyDescent="0.15">
      <c r="L294" s="23"/>
    </row>
    <row r="295" spans="12:12" x14ac:dyDescent="0.15">
      <c r="L295" s="23"/>
    </row>
    <row r="296" spans="12:12" x14ac:dyDescent="0.15">
      <c r="L296" s="23"/>
    </row>
    <row r="297" spans="12:12" x14ac:dyDescent="0.15">
      <c r="L297" s="23"/>
    </row>
    <row r="298" spans="12:12" x14ac:dyDescent="0.15">
      <c r="L298" s="23"/>
    </row>
    <row r="299" spans="12:12" x14ac:dyDescent="0.15">
      <c r="L299" s="23"/>
    </row>
    <row r="300" spans="12:12" x14ac:dyDescent="0.15">
      <c r="L300" s="23"/>
    </row>
    <row r="301" spans="12:12" x14ac:dyDescent="0.15">
      <c r="L301" s="23"/>
    </row>
    <row r="302" spans="12:12" x14ac:dyDescent="0.15">
      <c r="L302" s="23"/>
    </row>
    <row r="303" spans="12:12" x14ac:dyDescent="0.15">
      <c r="L303" s="23"/>
    </row>
    <row r="304" spans="12:12" x14ac:dyDescent="0.15">
      <c r="L304" s="23"/>
    </row>
    <row r="305" spans="12:12" x14ac:dyDescent="0.15">
      <c r="L305" s="23"/>
    </row>
    <row r="306" spans="12:12" x14ac:dyDescent="0.15">
      <c r="L306" s="23"/>
    </row>
    <row r="307" spans="12:12" x14ac:dyDescent="0.15">
      <c r="L307" s="23"/>
    </row>
    <row r="308" spans="12:12" x14ac:dyDescent="0.15">
      <c r="L308" s="23"/>
    </row>
    <row r="309" spans="12:12" x14ac:dyDescent="0.15">
      <c r="L309" s="23"/>
    </row>
    <row r="310" spans="12:12" x14ac:dyDescent="0.15">
      <c r="L310" s="23"/>
    </row>
    <row r="311" spans="12:12" x14ac:dyDescent="0.15">
      <c r="L311" s="23"/>
    </row>
    <row r="312" spans="12:12" x14ac:dyDescent="0.15">
      <c r="L312" s="23"/>
    </row>
    <row r="313" spans="12:12" x14ac:dyDescent="0.15">
      <c r="L313" s="23"/>
    </row>
    <row r="314" spans="12:12" x14ac:dyDescent="0.15">
      <c r="L314" s="23"/>
    </row>
    <row r="315" spans="12:12" x14ac:dyDescent="0.15">
      <c r="L315" s="23"/>
    </row>
    <row r="316" spans="12:12" x14ac:dyDescent="0.15">
      <c r="L316" s="23"/>
    </row>
    <row r="317" spans="12:12" x14ac:dyDescent="0.15">
      <c r="L317" s="23"/>
    </row>
    <row r="318" spans="12:12" x14ac:dyDescent="0.15">
      <c r="L318" s="23"/>
    </row>
    <row r="319" spans="12:12" x14ac:dyDescent="0.15">
      <c r="L319" s="23"/>
    </row>
    <row r="320" spans="12:12" x14ac:dyDescent="0.15">
      <c r="L320" s="23"/>
    </row>
    <row r="321" spans="12:12" x14ac:dyDescent="0.15">
      <c r="L321" s="23"/>
    </row>
    <row r="322" spans="12:12" x14ac:dyDescent="0.15">
      <c r="L322" s="23"/>
    </row>
    <row r="323" spans="12:12" x14ac:dyDescent="0.15">
      <c r="L323" s="23"/>
    </row>
    <row r="324" spans="12:12" x14ac:dyDescent="0.15">
      <c r="L324" s="23"/>
    </row>
    <row r="325" spans="12:12" x14ac:dyDescent="0.15">
      <c r="L325" s="23"/>
    </row>
    <row r="326" spans="12:12" x14ac:dyDescent="0.15">
      <c r="L326" s="23"/>
    </row>
    <row r="327" spans="12:12" x14ac:dyDescent="0.15">
      <c r="L327" s="23"/>
    </row>
    <row r="328" spans="12:12" x14ac:dyDescent="0.15">
      <c r="L328" s="23"/>
    </row>
    <row r="329" spans="12:12" x14ac:dyDescent="0.15">
      <c r="L329" s="23"/>
    </row>
    <row r="330" spans="12:12" x14ac:dyDescent="0.15">
      <c r="L330" s="23"/>
    </row>
    <row r="331" spans="12:12" x14ac:dyDescent="0.15">
      <c r="L331" s="23"/>
    </row>
    <row r="332" spans="12:12" x14ac:dyDescent="0.15">
      <c r="L332" s="23"/>
    </row>
    <row r="333" spans="12:12" x14ac:dyDescent="0.15">
      <c r="L333" s="23"/>
    </row>
    <row r="334" spans="12:12" x14ac:dyDescent="0.15">
      <c r="L334" s="23"/>
    </row>
    <row r="335" spans="12:12" x14ac:dyDescent="0.15">
      <c r="L335" s="23"/>
    </row>
    <row r="336" spans="12:12" x14ac:dyDescent="0.15">
      <c r="L336" s="23"/>
    </row>
    <row r="337" spans="12:12" x14ac:dyDescent="0.15">
      <c r="L337" s="23"/>
    </row>
    <row r="338" spans="12:12" x14ac:dyDescent="0.15">
      <c r="L338" s="23"/>
    </row>
    <row r="339" spans="12:12" x14ac:dyDescent="0.15">
      <c r="L339" s="23"/>
    </row>
    <row r="340" spans="12:12" x14ac:dyDescent="0.15">
      <c r="L340" s="23"/>
    </row>
    <row r="341" spans="12:12" x14ac:dyDescent="0.15">
      <c r="L341" s="23"/>
    </row>
    <row r="342" spans="12:12" x14ac:dyDescent="0.15">
      <c r="L342" s="23"/>
    </row>
    <row r="343" spans="12:12" x14ac:dyDescent="0.15">
      <c r="L343" s="23"/>
    </row>
    <row r="344" spans="12:12" x14ac:dyDescent="0.15">
      <c r="L344" s="23"/>
    </row>
    <row r="345" spans="12:12" x14ac:dyDescent="0.15">
      <c r="L345" s="23"/>
    </row>
    <row r="346" spans="12:12" x14ac:dyDescent="0.15">
      <c r="L346" s="23"/>
    </row>
    <row r="347" spans="12:12" x14ac:dyDescent="0.15">
      <c r="L347" s="23"/>
    </row>
    <row r="348" spans="12:12" x14ac:dyDescent="0.15">
      <c r="L348" s="23"/>
    </row>
    <row r="349" spans="12:12" x14ac:dyDescent="0.15">
      <c r="L349" s="23"/>
    </row>
    <row r="350" spans="12:12" x14ac:dyDescent="0.15">
      <c r="L350" s="23"/>
    </row>
    <row r="351" spans="12:12" x14ac:dyDescent="0.15">
      <c r="L351" s="23"/>
    </row>
    <row r="352" spans="12:12" x14ac:dyDescent="0.15">
      <c r="L352" s="23"/>
    </row>
    <row r="353" spans="12:12" x14ac:dyDescent="0.15">
      <c r="L353" s="23"/>
    </row>
    <row r="354" spans="12:12" x14ac:dyDescent="0.15">
      <c r="L354" s="23"/>
    </row>
    <row r="355" spans="12:12" x14ac:dyDescent="0.15">
      <c r="L355" s="23"/>
    </row>
    <row r="356" spans="12:12" x14ac:dyDescent="0.15">
      <c r="L356" s="23"/>
    </row>
    <row r="357" spans="12:12" x14ac:dyDescent="0.15">
      <c r="L357" s="23"/>
    </row>
    <row r="358" spans="12:12" x14ac:dyDescent="0.15">
      <c r="L358" s="23"/>
    </row>
    <row r="359" spans="12:12" x14ac:dyDescent="0.15">
      <c r="L359" s="23"/>
    </row>
    <row r="360" spans="12:12" x14ac:dyDescent="0.15">
      <c r="L360" s="23"/>
    </row>
    <row r="361" spans="12:12" x14ac:dyDescent="0.15">
      <c r="L361" s="23"/>
    </row>
    <row r="362" spans="12:12" x14ac:dyDescent="0.15">
      <c r="L362" s="23"/>
    </row>
    <row r="363" spans="12:12" x14ac:dyDescent="0.15">
      <c r="L363" s="23"/>
    </row>
    <row r="364" spans="12:12" x14ac:dyDescent="0.15">
      <c r="L364" s="23"/>
    </row>
    <row r="365" spans="12:12" x14ac:dyDescent="0.15">
      <c r="L365" s="23"/>
    </row>
    <row r="366" spans="12:12" x14ac:dyDescent="0.15">
      <c r="L366" s="23"/>
    </row>
    <row r="367" spans="12:12" x14ac:dyDescent="0.15">
      <c r="L367" s="23"/>
    </row>
    <row r="368" spans="12:12" x14ac:dyDescent="0.15">
      <c r="L368" s="23"/>
    </row>
    <row r="369" spans="12:12" x14ac:dyDescent="0.15">
      <c r="L369" s="23"/>
    </row>
    <row r="370" spans="12:12" x14ac:dyDescent="0.15">
      <c r="L370" s="23"/>
    </row>
    <row r="371" spans="12:12" x14ac:dyDescent="0.15">
      <c r="L371" s="23"/>
    </row>
    <row r="372" spans="12:12" x14ac:dyDescent="0.15">
      <c r="L372" s="23"/>
    </row>
    <row r="373" spans="12:12" x14ac:dyDescent="0.15">
      <c r="L373" s="23"/>
    </row>
    <row r="374" spans="12:12" x14ac:dyDescent="0.15">
      <c r="L374" s="23"/>
    </row>
    <row r="375" spans="12:12" x14ac:dyDescent="0.15">
      <c r="L375" s="23"/>
    </row>
    <row r="376" spans="12:12" x14ac:dyDescent="0.15">
      <c r="L376" s="23"/>
    </row>
    <row r="377" spans="12:12" x14ac:dyDescent="0.15">
      <c r="L377" s="23"/>
    </row>
    <row r="378" spans="12:12" x14ac:dyDescent="0.15">
      <c r="L378" s="23"/>
    </row>
    <row r="379" spans="12:12" x14ac:dyDescent="0.15">
      <c r="L379" s="23"/>
    </row>
    <row r="380" spans="12:12" x14ac:dyDescent="0.15">
      <c r="L380" s="23"/>
    </row>
    <row r="381" spans="12:12" x14ac:dyDescent="0.15">
      <c r="L381" s="23"/>
    </row>
    <row r="382" spans="12:12" x14ac:dyDescent="0.15">
      <c r="L382" s="23"/>
    </row>
    <row r="383" spans="12:12" x14ac:dyDescent="0.15">
      <c r="L383" s="23"/>
    </row>
    <row r="384" spans="12:12" x14ac:dyDescent="0.15">
      <c r="L384" s="23"/>
    </row>
    <row r="385" spans="12:12" x14ac:dyDescent="0.15">
      <c r="L385" s="23"/>
    </row>
    <row r="386" spans="12:12" x14ac:dyDescent="0.15">
      <c r="L386" s="23"/>
    </row>
    <row r="387" spans="12:12" x14ac:dyDescent="0.15">
      <c r="L387" s="23"/>
    </row>
    <row r="388" spans="12:12" x14ac:dyDescent="0.15">
      <c r="L388" s="23"/>
    </row>
    <row r="389" spans="12:12" x14ac:dyDescent="0.15">
      <c r="L389" s="23"/>
    </row>
    <row r="390" spans="12:12" x14ac:dyDescent="0.15">
      <c r="L390" s="23"/>
    </row>
    <row r="391" spans="12:12" x14ac:dyDescent="0.15">
      <c r="L391" s="23"/>
    </row>
    <row r="392" spans="12:12" x14ac:dyDescent="0.15">
      <c r="L392" s="23"/>
    </row>
    <row r="393" spans="12:12" x14ac:dyDescent="0.15">
      <c r="L393" s="23"/>
    </row>
    <row r="394" spans="12:12" x14ac:dyDescent="0.15">
      <c r="L394" s="23"/>
    </row>
    <row r="395" spans="12:12" x14ac:dyDescent="0.15">
      <c r="L395" s="23"/>
    </row>
    <row r="396" spans="12:12" x14ac:dyDescent="0.15">
      <c r="L396" s="23"/>
    </row>
    <row r="397" spans="12:12" x14ac:dyDescent="0.15">
      <c r="L397" s="23"/>
    </row>
    <row r="398" spans="12:12" x14ac:dyDescent="0.15">
      <c r="L398" s="23"/>
    </row>
    <row r="399" spans="12:12" x14ac:dyDescent="0.15">
      <c r="L399" s="23"/>
    </row>
    <row r="400" spans="12:12" x14ac:dyDescent="0.15">
      <c r="L400" s="23"/>
    </row>
    <row r="401" spans="12:12" x14ac:dyDescent="0.15">
      <c r="L401" s="23"/>
    </row>
    <row r="402" spans="12:12" x14ac:dyDescent="0.15">
      <c r="L402" s="23"/>
    </row>
    <row r="403" spans="12:12" x14ac:dyDescent="0.15">
      <c r="L403" s="23"/>
    </row>
    <row r="404" spans="12:12" x14ac:dyDescent="0.15">
      <c r="L404" s="23"/>
    </row>
    <row r="405" spans="12:12" x14ac:dyDescent="0.15">
      <c r="L405" s="23"/>
    </row>
    <row r="406" spans="12:12" x14ac:dyDescent="0.15">
      <c r="L406" s="23"/>
    </row>
    <row r="407" spans="12:12" x14ac:dyDescent="0.15">
      <c r="L407" s="23"/>
    </row>
    <row r="408" spans="12:12" x14ac:dyDescent="0.15">
      <c r="L408" s="23"/>
    </row>
    <row r="409" spans="12:12" x14ac:dyDescent="0.15">
      <c r="L409" s="23"/>
    </row>
    <row r="410" spans="12:12" x14ac:dyDescent="0.15">
      <c r="L410" s="23"/>
    </row>
    <row r="411" spans="12:12" x14ac:dyDescent="0.15">
      <c r="L411" s="23"/>
    </row>
    <row r="412" spans="12:12" x14ac:dyDescent="0.15">
      <c r="L412" s="23"/>
    </row>
    <row r="413" spans="12:12" x14ac:dyDescent="0.15">
      <c r="L413" s="23"/>
    </row>
    <row r="414" spans="12:12" x14ac:dyDescent="0.15">
      <c r="L414" s="23"/>
    </row>
    <row r="415" spans="12:12" x14ac:dyDescent="0.15">
      <c r="L415" s="23"/>
    </row>
    <row r="416" spans="12:12" x14ac:dyDescent="0.15">
      <c r="L416" s="23"/>
    </row>
    <row r="417" spans="12:12" x14ac:dyDescent="0.15">
      <c r="L417" s="23"/>
    </row>
    <row r="418" spans="12:12" x14ac:dyDescent="0.15">
      <c r="L418" s="23"/>
    </row>
    <row r="419" spans="12:12" x14ac:dyDescent="0.15">
      <c r="L419" s="23"/>
    </row>
    <row r="420" spans="12:12" x14ac:dyDescent="0.15">
      <c r="L420" s="23"/>
    </row>
    <row r="421" spans="12:12" x14ac:dyDescent="0.15">
      <c r="L421" s="23"/>
    </row>
    <row r="422" spans="12:12" x14ac:dyDescent="0.15">
      <c r="L422" s="23"/>
    </row>
    <row r="423" spans="12:12" x14ac:dyDescent="0.15">
      <c r="L423" s="23"/>
    </row>
    <row r="424" spans="12:12" x14ac:dyDescent="0.15">
      <c r="L424" s="23"/>
    </row>
    <row r="425" spans="12:12" x14ac:dyDescent="0.15">
      <c r="L425" s="23"/>
    </row>
    <row r="426" spans="12:12" x14ac:dyDescent="0.15">
      <c r="L426" s="23"/>
    </row>
    <row r="427" spans="12:12" x14ac:dyDescent="0.15">
      <c r="L427" s="23"/>
    </row>
    <row r="428" spans="12:12" x14ac:dyDescent="0.15">
      <c r="L428" s="23"/>
    </row>
    <row r="429" spans="12:12" x14ac:dyDescent="0.15">
      <c r="L429" s="23"/>
    </row>
    <row r="430" spans="12:12" x14ac:dyDescent="0.15">
      <c r="L430" s="23"/>
    </row>
    <row r="431" spans="12:12" x14ac:dyDescent="0.15">
      <c r="L431" s="23"/>
    </row>
    <row r="432" spans="12:12" x14ac:dyDescent="0.15">
      <c r="L432" s="23"/>
    </row>
    <row r="433" spans="12:12" x14ac:dyDescent="0.15">
      <c r="L433" s="23"/>
    </row>
    <row r="434" spans="12:12" x14ac:dyDescent="0.15">
      <c r="L434" s="23"/>
    </row>
    <row r="435" spans="12:12" x14ac:dyDescent="0.15">
      <c r="L435" s="23"/>
    </row>
    <row r="436" spans="12:12" x14ac:dyDescent="0.15">
      <c r="L436" s="23"/>
    </row>
    <row r="437" spans="12:12" x14ac:dyDescent="0.15">
      <c r="L437" s="23"/>
    </row>
    <row r="438" spans="12:12" x14ac:dyDescent="0.15">
      <c r="L438" s="23"/>
    </row>
    <row r="439" spans="12:12" x14ac:dyDescent="0.15">
      <c r="L439" s="23"/>
    </row>
    <row r="440" spans="12:12" x14ac:dyDescent="0.15">
      <c r="L440" s="23"/>
    </row>
    <row r="441" spans="12:12" x14ac:dyDescent="0.15">
      <c r="L441" s="23"/>
    </row>
    <row r="442" spans="12:12" x14ac:dyDescent="0.15">
      <c r="L442" s="23"/>
    </row>
    <row r="443" spans="12:12" x14ac:dyDescent="0.15">
      <c r="L443" s="23"/>
    </row>
    <row r="444" spans="12:12" x14ac:dyDescent="0.15">
      <c r="L444" s="23"/>
    </row>
    <row r="445" spans="12:12" x14ac:dyDescent="0.15">
      <c r="L445" s="23"/>
    </row>
    <row r="446" spans="12:12" x14ac:dyDescent="0.15">
      <c r="L446" s="23"/>
    </row>
    <row r="447" spans="12:12" x14ac:dyDescent="0.15">
      <c r="L447" s="23"/>
    </row>
    <row r="448" spans="12:12" x14ac:dyDescent="0.15">
      <c r="L448" s="23"/>
    </row>
    <row r="449" spans="12:12" x14ac:dyDescent="0.15">
      <c r="L449" s="23"/>
    </row>
    <row r="450" spans="12:12" x14ac:dyDescent="0.15">
      <c r="L450" s="23"/>
    </row>
    <row r="451" spans="12:12" x14ac:dyDescent="0.15">
      <c r="L451" s="23"/>
    </row>
    <row r="452" spans="12:12" x14ac:dyDescent="0.15">
      <c r="L452" s="23"/>
    </row>
    <row r="453" spans="12:12" x14ac:dyDescent="0.15">
      <c r="L453" s="23"/>
    </row>
    <row r="454" spans="12:12" x14ac:dyDescent="0.15">
      <c r="L454" s="23"/>
    </row>
    <row r="455" spans="12:12" x14ac:dyDescent="0.15">
      <c r="L455" s="23"/>
    </row>
    <row r="456" spans="12:12" x14ac:dyDescent="0.15">
      <c r="L456" s="23"/>
    </row>
    <row r="457" spans="12:12" x14ac:dyDescent="0.15">
      <c r="L457" s="23"/>
    </row>
    <row r="458" spans="12:12" x14ac:dyDescent="0.15">
      <c r="L458" s="23"/>
    </row>
    <row r="459" spans="12:12" x14ac:dyDescent="0.15">
      <c r="L459" s="23"/>
    </row>
    <row r="460" spans="12:12" x14ac:dyDescent="0.15">
      <c r="L460" s="23"/>
    </row>
    <row r="461" spans="12:12" x14ac:dyDescent="0.15">
      <c r="L461" s="23"/>
    </row>
    <row r="462" spans="12:12" x14ac:dyDescent="0.15">
      <c r="L462" s="23"/>
    </row>
    <row r="463" spans="12:12" x14ac:dyDescent="0.15">
      <c r="L463" s="23"/>
    </row>
    <row r="464" spans="12:12" x14ac:dyDescent="0.15">
      <c r="L464" s="23"/>
    </row>
    <row r="465" spans="12:12" x14ac:dyDescent="0.15">
      <c r="L465" s="23"/>
    </row>
    <row r="466" spans="12:12" x14ac:dyDescent="0.15">
      <c r="L466" s="23"/>
    </row>
    <row r="467" spans="12:12" x14ac:dyDescent="0.15">
      <c r="L467" s="23"/>
    </row>
    <row r="468" spans="12:12" x14ac:dyDescent="0.15">
      <c r="L468" s="23"/>
    </row>
    <row r="469" spans="12:12" x14ac:dyDescent="0.15">
      <c r="L469" s="23"/>
    </row>
    <row r="470" spans="12:12" x14ac:dyDescent="0.15">
      <c r="L470" s="23"/>
    </row>
    <row r="471" spans="12:12" x14ac:dyDescent="0.15">
      <c r="L471" s="23"/>
    </row>
    <row r="472" spans="12:12" x14ac:dyDescent="0.15">
      <c r="L472" s="23"/>
    </row>
    <row r="473" spans="12:12" x14ac:dyDescent="0.15">
      <c r="L473" s="23"/>
    </row>
    <row r="474" spans="12:12" x14ac:dyDescent="0.15">
      <c r="L474" s="23"/>
    </row>
    <row r="475" spans="12:12" x14ac:dyDescent="0.15">
      <c r="L475" s="23"/>
    </row>
    <row r="476" spans="12:12" x14ac:dyDescent="0.15">
      <c r="L476" s="23"/>
    </row>
    <row r="477" spans="12:12" x14ac:dyDescent="0.15">
      <c r="L477" s="23"/>
    </row>
    <row r="478" spans="12:12" x14ac:dyDescent="0.15">
      <c r="L478" s="23"/>
    </row>
    <row r="479" spans="12:12" x14ac:dyDescent="0.15">
      <c r="L479" s="23"/>
    </row>
    <row r="480" spans="12:12" x14ac:dyDescent="0.15">
      <c r="L480" s="23"/>
    </row>
    <row r="481" spans="12:12" x14ac:dyDescent="0.15">
      <c r="L481" s="23"/>
    </row>
    <row r="482" spans="12:12" x14ac:dyDescent="0.15">
      <c r="L482" s="23"/>
    </row>
    <row r="483" spans="12:12" x14ac:dyDescent="0.15">
      <c r="L483" s="23"/>
    </row>
    <row r="484" spans="12:12" x14ac:dyDescent="0.15">
      <c r="L484" s="23"/>
    </row>
    <row r="485" spans="12:12" x14ac:dyDescent="0.15">
      <c r="L485" s="23"/>
    </row>
    <row r="486" spans="12:12" x14ac:dyDescent="0.15">
      <c r="L486" s="23"/>
    </row>
    <row r="487" spans="12:12" x14ac:dyDescent="0.15">
      <c r="L487" s="23"/>
    </row>
    <row r="488" spans="12:12" x14ac:dyDescent="0.15">
      <c r="L488" s="23"/>
    </row>
    <row r="489" spans="12:12" x14ac:dyDescent="0.15">
      <c r="L489" s="23"/>
    </row>
    <row r="490" spans="12:12" x14ac:dyDescent="0.15">
      <c r="L490" s="23"/>
    </row>
    <row r="491" spans="12:12" x14ac:dyDescent="0.15">
      <c r="L491" s="23"/>
    </row>
    <row r="492" spans="12:12" x14ac:dyDescent="0.15">
      <c r="L492" s="23"/>
    </row>
    <row r="493" spans="12:12" x14ac:dyDescent="0.15">
      <c r="L493" s="23"/>
    </row>
    <row r="494" spans="12:12" x14ac:dyDescent="0.15">
      <c r="L494" s="23"/>
    </row>
    <row r="495" spans="12:12" x14ac:dyDescent="0.15">
      <c r="L495" s="23"/>
    </row>
    <row r="496" spans="12:12" x14ac:dyDescent="0.15">
      <c r="L496" s="23"/>
    </row>
    <row r="497" spans="12:12" x14ac:dyDescent="0.15">
      <c r="L497" s="23"/>
    </row>
    <row r="498" spans="12:12" x14ac:dyDescent="0.15">
      <c r="L498" s="23"/>
    </row>
    <row r="499" spans="12:12" x14ac:dyDescent="0.15">
      <c r="L499" s="23"/>
    </row>
    <row r="500" spans="12:12" x14ac:dyDescent="0.15">
      <c r="L500" s="23"/>
    </row>
    <row r="501" spans="12:12" x14ac:dyDescent="0.15">
      <c r="L501" s="23"/>
    </row>
    <row r="502" spans="12:12" x14ac:dyDescent="0.15">
      <c r="L502" s="23"/>
    </row>
    <row r="503" spans="12:12" x14ac:dyDescent="0.15">
      <c r="L503" s="23"/>
    </row>
    <row r="504" spans="12:12" x14ac:dyDescent="0.15">
      <c r="L504" s="23"/>
    </row>
    <row r="505" spans="12:12" x14ac:dyDescent="0.15">
      <c r="L505" s="23"/>
    </row>
    <row r="506" spans="12:12" x14ac:dyDescent="0.15">
      <c r="L506" s="23"/>
    </row>
    <row r="507" spans="12:12" x14ac:dyDescent="0.15">
      <c r="L507" s="23"/>
    </row>
    <row r="508" spans="12:12" x14ac:dyDescent="0.15">
      <c r="L508" s="23"/>
    </row>
    <row r="509" spans="12:12" x14ac:dyDescent="0.15">
      <c r="L509" s="23"/>
    </row>
    <row r="510" spans="12:12" x14ac:dyDescent="0.15">
      <c r="L510" s="23"/>
    </row>
    <row r="511" spans="12:12" x14ac:dyDescent="0.15">
      <c r="L511" s="23"/>
    </row>
    <row r="512" spans="12:12" x14ac:dyDescent="0.15">
      <c r="L512" s="23"/>
    </row>
    <row r="513" spans="12:12" x14ac:dyDescent="0.15">
      <c r="L513" s="23"/>
    </row>
    <row r="514" spans="12:12" x14ac:dyDescent="0.15">
      <c r="L514" s="23"/>
    </row>
    <row r="515" spans="12:12" x14ac:dyDescent="0.15">
      <c r="L515" s="23"/>
    </row>
    <row r="516" spans="12:12" x14ac:dyDescent="0.15">
      <c r="L516" s="23"/>
    </row>
    <row r="517" spans="12:12" x14ac:dyDescent="0.15">
      <c r="L517" s="23"/>
    </row>
    <row r="518" spans="12:12" x14ac:dyDescent="0.15">
      <c r="L518" s="23"/>
    </row>
    <row r="519" spans="12:12" x14ac:dyDescent="0.15">
      <c r="L519" s="23"/>
    </row>
    <row r="520" spans="12:12" x14ac:dyDescent="0.15">
      <c r="L520" s="23"/>
    </row>
    <row r="521" spans="12:12" x14ac:dyDescent="0.15">
      <c r="L521" s="23"/>
    </row>
    <row r="522" spans="12:12" x14ac:dyDescent="0.15">
      <c r="L522" s="23"/>
    </row>
    <row r="523" spans="12:12" x14ac:dyDescent="0.15">
      <c r="L523" s="23"/>
    </row>
    <row r="524" spans="12:12" x14ac:dyDescent="0.15">
      <c r="L524" s="23"/>
    </row>
    <row r="525" spans="12:12" x14ac:dyDescent="0.15">
      <c r="L525" s="23"/>
    </row>
    <row r="526" spans="12:12" x14ac:dyDescent="0.15">
      <c r="L526" s="23"/>
    </row>
    <row r="527" spans="12:12" x14ac:dyDescent="0.15">
      <c r="L527" s="23"/>
    </row>
    <row r="528" spans="12:12" x14ac:dyDescent="0.15">
      <c r="L528" s="23"/>
    </row>
    <row r="529" spans="12:12" x14ac:dyDescent="0.15">
      <c r="L529" s="23"/>
    </row>
    <row r="530" spans="12:12" x14ac:dyDescent="0.15">
      <c r="L530" s="23"/>
    </row>
    <row r="531" spans="12:12" x14ac:dyDescent="0.15">
      <c r="L531" s="23"/>
    </row>
    <row r="532" spans="12:12" x14ac:dyDescent="0.15">
      <c r="L532" s="23"/>
    </row>
    <row r="533" spans="12:12" x14ac:dyDescent="0.15">
      <c r="L533" s="23"/>
    </row>
    <row r="534" spans="12:12" x14ac:dyDescent="0.15">
      <c r="L534" s="23"/>
    </row>
    <row r="535" spans="12:12" x14ac:dyDescent="0.15">
      <c r="L535" s="23"/>
    </row>
    <row r="536" spans="12:12" x14ac:dyDescent="0.15">
      <c r="L536" s="23"/>
    </row>
    <row r="537" spans="12:12" x14ac:dyDescent="0.15">
      <c r="L537" s="23"/>
    </row>
    <row r="538" spans="12:12" x14ac:dyDescent="0.15">
      <c r="L538" s="23"/>
    </row>
    <row r="539" spans="12:12" x14ac:dyDescent="0.15">
      <c r="L539" s="23"/>
    </row>
    <row r="540" spans="12:12" x14ac:dyDescent="0.15">
      <c r="L540" s="23"/>
    </row>
    <row r="541" spans="12:12" x14ac:dyDescent="0.15">
      <c r="L541" s="23"/>
    </row>
    <row r="542" spans="12:12" x14ac:dyDescent="0.15">
      <c r="L542" s="23"/>
    </row>
    <row r="543" spans="12:12" x14ac:dyDescent="0.15">
      <c r="L543" s="23"/>
    </row>
    <row r="544" spans="12:12" x14ac:dyDescent="0.15">
      <c r="L544" s="23"/>
    </row>
    <row r="545" spans="12:12" x14ac:dyDescent="0.15">
      <c r="L545" s="23"/>
    </row>
    <row r="546" spans="12:12" x14ac:dyDescent="0.15">
      <c r="L546" s="23"/>
    </row>
    <row r="547" spans="12:12" x14ac:dyDescent="0.15">
      <c r="L547" s="23"/>
    </row>
    <row r="548" spans="12:12" x14ac:dyDescent="0.15">
      <c r="L548" s="23"/>
    </row>
    <row r="549" spans="12:12" x14ac:dyDescent="0.15">
      <c r="L549" s="23"/>
    </row>
    <row r="550" spans="12:12" x14ac:dyDescent="0.15">
      <c r="L550" s="23"/>
    </row>
    <row r="551" spans="12:12" x14ac:dyDescent="0.15">
      <c r="L551" s="23"/>
    </row>
    <row r="552" spans="12:12" x14ac:dyDescent="0.15">
      <c r="L552" s="23"/>
    </row>
    <row r="553" spans="12:12" x14ac:dyDescent="0.15">
      <c r="L553" s="23"/>
    </row>
    <row r="554" spans="12:12" x14ac:dyDescent="0.15">
      <c r="L554" s="23"/>
    </row>
    <row r="555" spans="12:12" x14ac:dyDescent="0.15">
      <c r="L555" s="23"/>
    </row>
    <row r="556" spans="12:12" x14ac:dyDescent="0.15">
      <c r="L556" s="23"/>
    </row>
    <row r="557" spans="12:12" x14ac:dyDescent="0.15">
      <c r="L557" s="23"/>
    </row>
    <row r="558" spans="12:12" x14ac:dyDescent="0.15">
      <c r="L558" s="23"/>
    </row>
    <row r="559" spans="12:12" x14ac:dyDescent="0.15">
      <c r="L559" s="23"/>
    </row>
    <row r="560" spans="12:12" x14ac:dyDescent="0.15">
      <c r="L560" s="23"/>
    </row>
    <row r="561" spans="12:12" x14ac:dyDescent="0.15">
      <c r="L561" s="23"/>
    </row>
    <row r="562" spans="12:12" x14ac:dyDescent="0.15">
      <c r="L562" s="23"/>
    </row>
    <row r="563" spans="12:12" x14ac:dyDescent="0.15">
      <c r="L563" s="23"/>
    </row>
    <row r="564" spans="12:12" x14ac:dyDescent="0.15">
      <c r="L564" s="23"/>
    </row>
    <row r="565" spans="12:12" x14ac:dyDescent="0.15">
      <c r="L565" s="23"/>
    </row>
    <row r="566" spans="12:12" x14ac:dyDescent="0.15">
      <c r="L566" s="23"/>
    </row>
    <row r="567" spans="12:12" x14ac:dyDescent="0.15">
      <c r="L567" s="23"/>
    </row>
    <row r="568" spans="12:12" x14ac:dyDescent="0.15">
      <c r="L568" s="23"/>
    </row>
    <row r="569" spans="12:12" x14ac:dyDescent="0.15">
      <c r="L569" s="23"/>
    </row>
    <row r="570" spans="12:12" x14ac:dyDescent="0.15">
      <c r="L570" s="23"/>
    </row>
    <row r="571" spans="12:12" x14ac:dyDescent="0.15">
      <c r="L571" s="23"/>
    </row>
    <row r="572" spans="12:12" x14ac:dyDescent="0.15">
      <c r="L572" s="23"/>
    </row>
    <row r="573" spans="12:12" x14ac:dyDescent="0.15">
      <c r="L573" s="23"/>
    </row>
    <row r="574" spans="12:12" x14ac:dyDescent="0.15">
      <c r="L574" s="23"/>
    </row>
    <row r="575" spans="12:12" x14ac:dyDescent="0.15">
      <c r="L575" s="23"/>
    </row>
    <row r="576" spans="12:12" x14ac:dyDescent="0.15">
      <c r="L576" s="23"/>
    </row>
    <row r="577" spans="12:12" x14ac:dyDescent="0.15">
      <c r="L577" s="23"/>
    </row>
    <row r="578" spans="12:12" x14ac:dyDescent="0.15">
      <c r="L578" s="23"/>
    </row>
    <row r="579" spans="12:12" x14ac:dyDescent="0.15">
      <c r="L579" s="23"/>
    </row>
    <row r="580" spans="12:12" x14ac:dyDescent="0.15">
      <c r="L580" s="23"/>
    </row>
    <row r="581" spans="12:12" x14ac:dyDescent="0.15">
      <c r="L581" s="23"/>
    </row>
    <row r="582" spans="12:12" x14ac:dyDescent="0.15">
      <c r="L582" s="23"/>
    </row>
    <row r="583" spans="12:12" x14ac:dyDescent="0.15">
      <c r="L583" s="23"/>
    </row>
    <row r="584" spans="12:12" x14ac:dyDescent="0.15">
      <c r="L584" s="23"/>
    </row>
    <row r="585" spans="12:12" x14ac:dyDescent="0.15">
      <c r="L585" s="23"/>
    </row>
    <row r="586" spans="12:12" x14ac:dyDescent="0.15">
      <c r="L586" s="23"/>
    </row>
    <row r="587" spans="12:12" x14ac:dyDescent="0.15">
      <c r="L587" s="23"/>
    </row>
    <row r="588" spans="12:12" x14ac:dyDescent="0.15">
      <c r="L588" s="23"/>
    </row>
    <row r="589" spans="12:12" x14ac:dyDescent="0.15">
      <c r="L589" s="23"/>
    </row>
    <row r="590" spans="12:12" x14ac:dyDescent="0.15">
      <c r="L590" s="23"/>
    </row>
    <row r="591" spans="12:12" x14ac:dyDescent="0.15">
      <c r="L591" s="23"/>
    </row>
    <row r="592" spans="12:12" x14ac:dyDescent="0.15">
      <c r="L592" s="23"/>
    </row>
    <row r="593" spans="12:12" x14ac:dyDescent="0.15">
      <c r="L593" s="23"/>
    </row>
    <row r="594" spans="12:12" x14ac:dyDescent="0.15">
      <c r="L594" s="23"/>
    </row>
    <row r="595" spans="12:12" x14ac:dyDescent="0.15">
      <c r="L595" s="23"/>
    </row>
    <row r="596" spans="12:12" x14ac:dyDescent="0.15">
      <c r="L596" s="23"/>
    </row>
    <row r="597" spans="12:12" x14ac:dyDescent="0.15">
      <c r="L597" s="23"/>
    </row>
    <row r="598" spans="12:12" x14ac:dyDescent="0.15">
      <c r="L598" s="23"/>
    </row>
    <row r="599" spans="12:12" x14ac:dyDescent="0.15">
      <c r="L599" s="23"/>
    </row>
    <row r="600" spans="12:12" x14ac:dyDescent="0.15">
      <c r="L600" s="23"/>
    </row>
    <row r="601" spans="12:12" x14ac:dyDescent="0.15">
      <c r="L601" s="23"/>
    </row>
    <row r="602" spans="12:12" x14ac:dyDescent="0.15">
      <c r="L602" s="23"/>
    </row>
    <row r="603" spans="12:12" x14ac:dyDescent="0.15">
      <c r="L603" s="23"/>
    </row>
    <row r="604" spans="12:12" x14ac:dyDescent="0.15">
      <c r="L604" s="23"/>
    </row>
    <row r="605" spans="12:12" x14ac:dyDescent="0.15">
      <c r="L605" s="23"/>
    </row>
    <row r="606" spans="12:12" x14ac:dyDescent="0.15">
      <c r="L606" s="23"/>
    </row>
    <row r="607" spans="12:12" x14ac:dyDescent="0.15">
      <c r="L607" s="23"/>
    </row>
    <row r="608" spans="12:12" x14ac:dyDescent="0.15">
      <c r="L608" s="23"/>
    </row>
    <row r="609" spans="12:12" x14ac:dyDescent="0.15">
      <c r="L609" s="23"/>
    </row>
    <row r="610" spans="12:12" x14ac:dyDescent="0.15">
      <c r="L610" s="23"/>
    </row>
    <row r="611" spans="12:12" x14ac:dyDescent="0.15">
      <c r="L611" s="23"/>
    </row>
    <row r="612" spans="12:12" x14ac:dyDescent="0.15">
      <c r="L612" s="23"/>
    </row>
    <row r="613" spans="12:12" x14ac:dyDescent="0.15">
      <c r="L613" s="23"/>
    </row>
    <row r="614" spans="12:12" x14ac:dyDescent="0.15">
      <c r="L614" s="23"/>
    </row>
    <row r="615" spans="12:12" x14ac:dyDescent="0.15">
      <c r="L615" s="23"/>
    </row>
    <row r="616" spans="12:12" x14ac:dyDescent="0.15">
      <c r="L616" s="23"/>
    </row>
    <row r="617" spans="12:12" x14ac:dyDescent="0.15">
      <c r="L617" s="23"/>
    </row>
    <row r="618" spans="12:12" x14ac:dyDescent="0.15">
      <c r="L618" s="23"/>
    </row>
    <row r="619" spans="12:12" x14ac:dyDescent="0.15">
      <c r="L619" s="23"/>
    </row>
    <row r="620" spans="12:12" x14ac:dyDescent="0.15">
      <c r="L620" s="23"/>
    </row>
    <row r="621" spans="12:12" x14ac:dyDescent="0.15">
      <c r="L621" s="23"/>
    </row>
    <row r="622" spans="12:12" x14ac:dyDescent="0.15">
      <c r="L622" s="23"/>
    </row>
    <row r="623" spans="12:12" x14ac:dyDescent="0.15">
      <c r="L623" s="23"/>
    </row>
    <row r="624" spans="12:12" x14ac:dyDescent="0.15">
      <c r="L624" s="23"/>
    </row>
    <row r="625" spans="12:12" x14ac:dyDescent="0.15">
      <c r="L625" s="23"/>
    </row>
    <row r="626" spans="12:12" x14ac:dyDescent="0.15">
      <c r="L626" s="23"/>
    </row>
    <row r="627" spans="12:12" x14ac:dyDescent="0.15">
      <c r="L627" s="23"/>
    </row>
    <row r="628" spans="12:12" x14ac:dyDescent="0.15">
      <c r="L628" s="23"/>
    </row>
    <row r="629" spans="12:12" x14ac:dyDescent="0.15">
      <c r="L629" s="23"/>
    </row>
    <row r="630" spans="12:12" x14ac:dyDescent="0.15">
      <c r="L630" s="23"/>
    </row>
    <row r="631" spans="12:12" x14ac:dyDescent="0.15">
      <c r="L631" s="23"/>
    </row>
    <row r="632" spans="12:12" x14ac:dyDescent="0.15">
      <c r="L632" s="23"/>
    </row>
    <row r="633" spans="12:12" x14ac:dyDescent="0.15">
      <c r="L633" s="23"/>
    </row>
    <row r="634" spans="12:12" x14ac:dyDescent="0.15">
      <c r="L634" s="23"/>
    </row>
    <row r="635" spans="12:12" x14ac:dyDescent="0.15">
      <c r="L635" s="23"/>
    </row>
    <row r="636" spans="12:12" x14ac:dyDescent="0.15">
      <c r="L636" s="23"/>
    </row>
    <row r="637" spans="12:12" x14ac:dyDescent="0.15">
      <c r="L637" s="23"/>
    </row>
    <row r="638" spans="12:12" x14ac:dyDescent="0.15">
      <c r="L638" s="23"/>
    </row>
    <row r="639" spans="12:12" x14ac:dyDescent="0.15">
      <c r="L639" s="23"/>
    </row>
    <row r="640" spans="12:12" x14ac:dyDescent="0.15">
      <c r="L640" s="23"/>
    </row>
    <row r="641" spans="12:12" x14ac:dyDescent="0.15">
      <c r="L641" s="23"/>
    </row>
    <row r="642" spans="12:12" x14ac:dyDescent="0.15">
      <c r="L642" s="23"/>
    </row>
    <row r="643" spans="12:12" x14ac:dyDescent="0.15">
      <c r="L643" s="23"/>
    </row>
    <row r="644" spans="12:12" x14ac:dyDescent="0.15">
      <c r="L644" s="23"/>
    </row>
    <row r="645" spans="12:12" x14ac:dyDescent="0.15">
      <c r="L645" s="23"/>
    </row>
    <row r="646" spans="12:12" x14ac:dyDescent="0.15">
      <c r="L646" s="23"/>
    </row>
    <row r="647" spans="12:12" x14ac:dyDescent="0.15">
      <c r="L647" s="23"/>
    </row>
    <row r="648" spans="12:12" x14ac:dyDescent="0.15">
      <c r="L648" s="23"/>
    </row>
    <row r="649" spans="12:12" x14ac:dyDescent="0.15">
      <c r="L649" s="23"/>
    </row>
    <row r="650" spans="12:12" x14ac:dyDescent="0.15">
      <c r="L650" s="23"/>
    </row>
    <row r="651" spans="12:12" x14ac:dyDescent="0.15">
      <c r="L651" s="23"/>
    </row>
    <row r="652" spans="12:12" x14ac:dyDescent="0.15">
      <c r="L652" s="23"/>
    </row>
    <row r="653" spans="12:12" x14ac:dyDescent="0.15">
      <c r="L653" s="23"/>
    </row>
    <row r="654" spans="12:12" x14ac:dyDescent="0.15">
      <c r="L654" s="23"/>
    </row>
    <row r="655" spans="12:12" x14ac:dyDescent="0.15">
      <c r="L655" s="23"/>
    </row>
    <row r="656" spans="12:12" x14ac:dyDescent="0.15">
      <c r="L656" s="23"/>
    </row>
    <row r="657" spans="12:12" x14ac:dyDescent="0.15">
      <c r="L657" s="23"/>
    </row>
    <row r="658" spans="12:12" x14ac:dyDescent="0.15">
      <c r="L658" s="23"/>
    </row>
    <row r="659" spans="12:12" x14ac:dyDescent="0.15">
      <c r="L659" s="23"/>
    </row>
    <row r="660" spans="12:12" x14ac:dyDescent="0.15">
      <c r="L660" s="23"/>
    </row>
    <row r="661" spans="12:12" x14ac:dyDescent="0.15">
      <c r="L661" s="23"/>
    </row>
    <row r="662" spans="12:12" x14ac:dyDescent="0.15">
      <c r="L662" s="23"/>
    </row>
    <row r="663" spans="12:12" x14ac:dyDescent="0.15">
      <c r="L663" s="23"/>
    </row>
    <row r="664" spans="12:12" x14ac:dyDescent="0.15">
      <c r="L664" s="23"/>
    </row>
    <row r="665" spans="12:12" x14ac:dyDescent="0.15">
      <c r="L665" s="23"/>
    </row>
    <row r="666" spans="12:12" x14ac:dyDescent="0.15">
      <c r="L666" s="23"/>
    </row>
    <row r="667" spans="12:12" x14ac:dyDescent="0.15">
      <c r="L667" s="23"/>
    </row>
    <row r="668" spans="12:12" x14ac:dyDescent="0.15">
      <c r="L668" s="23"/>
    </row>
    <row r="669" spans="12:12" x14ac:dyDescent="0.15">
      <c r="L669" s="23"/>
    </row>
    <row r="670" spans="12:12" x14ac:dyDescent="0.15">
      <c r="L670" s="23"/>
    </row>
    <row r="671" spans="12:12" x14ac:dyDescent="0.15">
      <c r="L671" s="23"/>
    </row>
    <row r="672" spans="12:12" x14ac:dyDescent="0.15">
      <c r="L672" s="23"/>
    </row>
    <row r="673" spans="12:12" x14ac:dyDescent="0.15">
      <c r="L673" s="23"/>
    </row>
    <row r="674" spans="12:12" x14ac:dyDescent="0.15">
      <c r="L674" s="23"/>
    </row>
    <row r="675" spans="12:12" x14ac:dyDescent="0.15">
      <c r="L675" s="23"/>
    </row>
    <row r="676" spans="12:12" x14ac:dyDescent="0.15">
      <c r="L676" s="23"/>
    </row>
    <row r="677" spans="12:12" x14ac:dyDescent="0.15">
      <c r="L677" s="23"/>
    </row>
    <row r="678" spans="12:12" x14ac:dyDescent="0.15">
      <c r="L678" s="23"/>
    </row>
    <row r="679" spans="12:12" x14ac:dyDescent="0.15">
      <c r="L679" s="23"/>
    </row>
    <row r="680" spans="12:12" x14ac:dyDescent="0.15">
      <c r="L680" s="23"/>
    </row>
    <row r="681" spans="12:12" x14ac:dyDescent="0.15">
      <c r="L681" s="23"/>
    </row>
    <row r="682" spans="12:12" x14ac:dyDescent="0.15">
      <c r="L682" s="23"/>
    </row>
    <row r="683" spans="12:12" x14ac:dyDescent="0.15">
      <c r="L683" s="23"/>
    </row>
    <row r="684" spans="12:12" x14ac:dyDescent="0.15">
      <c r="L684" s="23"/>
    </row>
    <row r="685" spans="12:12" x14ac:dyDescent="0.15">
      <c r="L685" s="23"/>
    </row>
    <row r="686" spans="12:12" x14ac:dyDescent="0.15">
      <c r="L686" s="23"/>
    </row>
    <row r="687" spans="12:12" x14ac:dyDescent="0.15">
      <c r="L687" s="23"/>
    </row>
    <row r="688" spans="12:12" x14ac:dyDescent="0.15">
      <c r="L688" s="23"/>
    </row>
    <row r="689" spans="12:12" x14ac:dyDescent="0.15">
      <c r="L689" s="23"/>
    </row>
    <row r="690" spans="12:12" x14ac:dyDescent="0.15">
      <c r="L690" s="23"/>
    </row>
    <row r="691" spans="12:12" x14ac:dyDescent="0.15">
      <c r="L691" s="23"/>
    </row>
    <row r="692" spans="12:12" x14ac:dyDescent="0.15">
      <c r="L692" s="23"/>
    </row>
    <row r="693" spans="12:12" x14ac:dyDescent="0.15">
      <c r="L693" s="23"/>
    </row>
    <row r="694" spans="12:12" x14ac:dyDescent="0.15">
      <c r="L694" s="23"/>
    </row>
    <row r="695" spans="12:12" x14ac:dyDescent="0.15">
      <c r="L695" s="23"/>
    </row>
    <row r="696" spans="12:12" x14ac:dyDescent="0.15">
      <c r="L696" s="23"/>
    </row>
    <row r="697" spans="12:12" x14ac:dyDescent="0.15">
      <c r="L697" s="23"/>
    </row>
    <row r="698" spans="12:12" x14ac:dyDescent="0.15">
      <c r="L698" s="23"/>
    </row>
    <row r="699" spans="12:12" x14ac:dyDescent="0.15">
      <c r="L699" s="23"/>
    </row>
    <row r="700" spans="12:12" x14ac:dyDescent="0.15">
      <c r="L700" s="23"/>
    </row>
    <row r="701" spans="12:12" x14ac:dyDescent="0.15">
      <c r="L701" s="23"/>
    </row>
    <row r="702" spans="12:12" x14ac:dyDescent="0.15">
      <c r="L702" s="23"/>
    </row>
    <row r="703" spans="12:12" x14ac:dyDescent="0.15">
      <c r="L703" s="23"/>
    </row>
    <row r="704" spans="12:12" x14ac:dyDescent="0.15">
      <c r="L704" s="23"/>
    </row>
    <row r="705" spans="12:12" x14ac:dyDescent="0.15">
      <c r="L705" s="23"/>
    </row>
    <row r="706" spans="12:12" x14ac:dyDescent="0.15">
      <c r="L706" s="23"/>
    </row>
    <row r="707" spans="12:12" x14ac:dyDescent="0.15">
      <c r="L707" s="23"/>
    </row>
    <row r="708" spans="12:12" x14ac:dyDescent="0.15">
      <c r="L708" s="23"/>
    </row>
    <row r="709" spans="12:12" x14ac:dyDescent="0.15">
      <c r="L709" s="23"/>
    </row>
    <row r="710" spans="12:12" x14ac:dyDescent="0.15">
      <c r="L710" s="23"/>
    </row>
    <row r="711" spans="12:12" x14ac:dyDescent="0.15">
      <c r="L711" s="23"/>
    </row>
    <row r="712" spans="12:12" x14ac:dyDescent="0.15">
      <c r="L712" s="23"/>
    </row>
    <row r="713" spans="12:12" x14ac:dyDescent="0.15">
      <c r="L713" s="23"/>
    </row>
    <row r="714" spans="12:12" x14ac:dyDescent="0.15">
      <c r="L714" s="23"/>
    </row>
    <row r="715" spans="12:12" x14ac:dyDescent="0.15">
      <c r="L715" s="23"/>
    </row>
    <row r="716" spans="12:12" x14ac:dyDescent="0.15">
      <c r="L716" s="23"/>
    </row>
    <row r="717" spans="12:12" x14ac:dyDescent="0.15">
      <c r="L717" s="23"/>
    </row>
    <row r="718" spans="12:12" x14ac:dyDescent="0.15">
      <c r="L718" s="23"/>
    </row>
    <row r="719" spans="12:12" x14ac:dyDescent="0.15">
      <c r="L719" s="23"/>
    </row>
    <row r="720" spans="12:12" x14ac:dyDescent="0.15">
      <c r="L720" s="23"/>
    </row>
    <row r="721" spans="12:12" x14ac:dyDescent="0.15">
      <c r="L721" s="23"/>
    </row>
    <row r="722" spans="12:12" x14ac:dyDescent="0.15">
      <c r="L722" s="23"/>
    </row>
    <row r="723" spans="12:12" x14ac:dyDescent="0.15">
      <c r="L723" s="23"/>
    </row>
    <row r="724" spans="12:12" x14ac:dyDescent="0.15">
      <c r="L724" s="23"/>
    </row>
    <row r="725" spans="12:12" x14ac:dyDescent="0.15">
      <c r="L725" s="23"/>
    </row>
    <row r="726" spans="12:12" x14ac:dyDescent="0.15">
      <c r="L726" s="23"/>
    </row>
    <row r="727" spans="12:12" x14ac:dyDescent="0.15">
      <c r="L727" s="23"/>
    </row>
    <row r="728" spans="12:12" x14ac:dyDescent="0.15">
      <c r="L728" s="23"/>
    </row>
    <row r="729" spans="12:12" x14ac:dyDescent="0.15">
      <c r="L729" s="23"/>
    </row>
    <row r="730" spans="12:12" x14ac:dyDescent="0.15">
      <c r="L730" s="23"/>
    </row>
    <row r="731" spans="12:12" x14ac:dyDescent="0.15">
      <c r="L731" s="23"/>
    </row>
    <row r="732" spans="12:12" x14ac:dyDescent="0.15">
      <c r="L732" s="23"/>
    </row>
    <row r="733" spans="12:12" x14ac:dyDescent="0.15">
      <c r="L733" s="23"/>
    </row>
    <row r="734" spans="12:12" x14ac:dyDescent="0.15">
      <c r="L734" s="23"/>
    </row>
    <row r="735" spans="12:12" x14ac:dyDescent="0.15">
      <c r="L735" s="23"/>
    </row>
    <row r="736" spans="12:12" x14ac:dyDescent="0.15">
      <c r="L736" s="23"/>
    </row>
    <row r="737" spans="12:12" x14ac:dyDescent="0.15">
      <c r="L737" s="23"/>
    </row>
    <row r="738" spans="12:12" x14ac:dyDescent="0.15">
      <c r="L738" s="23"/>
    </row>
    <row r="739" spans="12:12" x14ac:dyDescent="0.15">
      <c r="L739" s="23"/>
    </row>
    <row r="740" spans="12:12" x14ac:dyDescent="0.15">
      <c r="L740" s="23"/>
    </row>
    <row r="741" spans="12:12" x14ac:dyDescent="0.15">
      <c r="L741" s="23"/>
    </row>
    <row r="742" spans="12:12" x14ac:dyDescent="0.15">
      <c r="L742" s="23"/>
    </row>
    <row r="743" spans="12:12" x14ac:dyDescent="0.15">
      <c r="L743" s="23"/>
    </row>
    <row r="744" spans="12:12" x14ac:dyDescent="0.15">
      <c r="L744" s="23"/>
    </row>
    <row r="745" spans="12:12" x14ac:dyDescent="0.15">
      <c r="L745" s="23"/>
    </row>
    <row r="746" spans="12:12" x14ac:dyDescent="0.15">
      <c r="L746" s="23"/>
    </row>
    <row r="747" spans="12:12" x14ac:dyDescent="0.15">
      <c r="L747" s="23"/>
    </row>
    <row r="748" spans="12:12" x14ac:dyDescent="0.15">
      <c r="L748" s="23"/>
    </row>
    <row r="749" spans="12:12" x14ac:dyDescent="0.15">
      <c r="L749" s="23"/>
    </row>
    <row r="750" spans="12:12" x14ac:dyDescent="0.15">
      <c r="L750" s="23"/>
    </row>
    <row r="751" spans="12:12" x14ac:dyDescent="0.15">
      <c r="L751" s="23"/>
    </row>
    <row r="752" spans="12:12" x14ac:dyDescent="0.15">
      <c r="L752" s="23"/>
    </row>
    <row r="753" spans="12:12" x14ac:dyDescent="0.15">
      <c r="L753" s="23"/>
    </row>
    <row r="754" spans="12:12" x14ac:dyDescent="0.15">
      <c r="L754" s="23"/>
    </row>
    <row r="755" spans="12:12" x14ac:dyDescent="0.15">
      <c r="L755" s="23"/>
    </row>
    <row r="756" spans="12:12" x14ac:dyDescent="0.15">
      <c r="L756" s="23"/>
    </row>
    <row r="757" spans="12:12" x14ac:dyDescent="0.15">
      <c r="L757" s="23"/>
    </row>
    <row r="758" spans="12:12" x14ac:dyDescent="0.15">
      <c r="L758" s="23"/>
    </row>
    <row r="759" spans="12:12" x14ac:dyDescent="0.15">
      <c r="L759" s="23"/>
    </row>
    <row r="760" spans="12:12" x14ac:dyDescent="0.15">
      <c r="L760" s="23"/>
    </row>
    <row r="761" spans="12:12" x14ac:dyDescent="0.15">
      <c r="L761" s="23"/>
    </row>
    <row r="762" spans="12:12" x14ac:dyDescent="0.15">
      <c r="L762" s="23"/>
    </row>
    <row r="763" spans="12:12" x14ac:dyDescent="0.15">
      <c r="L763" s="23"/>
    </row>
    <row r="764" spans="12:12" x14ac:dyDescent="0.15">
      <c r="L764" s="23"/>
    </row>
    <row r="765" spans="12:12" x14ac:dyDescent="0.15">
      <c r="L765" s="23"/>
    </row>
    <row r="766" spans="12:12" x14ac:dyDescent="0.15">
      <c r="L766" s="23"/>
    </row>
    <row r="767" spans="12:12" x14ac:dyDescent="0.15">
      <c r="L767" s="23"/>
    </row>
    <row r="768" spans="12:12" x14ac:dyDescent="0.15">
      <c r="L768" s="23"/>
    </row>
    <row r="769" spans="12:12" x14ac:dyDescent="0.15">
      <c r="L769" s="23"/>
    </row>
    <row r="770" spans="12:12" x14ac:dyDescent="0.15">
      <c r="L770" s="23"/>
    </row>
    <row r="771" spans="12:12" x14ac:dyDescent="0.15">
      <c r="L771" s="23"/>
    </row>
    <row r="772" spans="12:12" x14ac:dyDescent="0.15">
      <c r="L772" s="23"/>
    </row>
    <row r="773" spans="12:12" x14ac:dyDescent="0.15">
      <c r="L773" s="23"/>
    </row>
    <row r="774" spans="12:12" x14ac:dyDescent="0.15">
      <c r="L774" s="23"/>
    </row>
    <row r="775" spans="12:12" x14ac:dyDescent="0.15">
      <c r="L775" s="23"/>
    </row>
    <row r="776" spans="12:12" x14ac:dyDescent="0.15">
      <c r="L776" s="23"/>
    </row>
    <row r="777" spans="12:12" x14ac:dyDescent="0.15">
      <c r="L777" s="23"/>
    </row>
    <row r="778" spans="12:12" x14ac:dyDescent="0.15">
      <c r="L778" s="23"/>
    </row>
    <row r="779" spans="12:12" x14ac:dyDescent="0.15">
      <c r="L779" s="23"/>
    </row>
    <row r="780" spans="12:12" x14ac:dyDescent="0.15">
      <c r="L780" s="23"/>
    </row>
    <row r="781" spans="12:12" x14ac:dyDescent="0.15">
      <c r="L781" s="23"/>
    </row>
    <row r="782" spans="12:12" x14ac:dyDescent="0.15">
      <c r="L782" s="23"/>
    </row>
    <row r="783" spans="12:12" x14ac:dyDescent="0.15">
      <c r="L783" s="23"/>
    </row>
    <row r="784" spans="12:12" x14ac:dyDescent="0.15">
      <c r="L784" s="23"/>
    </row>
    <row r="785" spans="12:12" x14ac:dyDescent="0.15">
      <c r="L785" s="23"/>
    </row>
    <row r="786" spans="12:12" x14ac:dyDescent="0.15">
      <c r="L786" s="23"/>
    </row>
    <row r="787" spans="12:12" x14ac:dyDescent="0.15">
      <c r="L787" s="23"/>
    </row>
    <row r="788" spans="12:12" x14ac:dyDescent="0.15">
      <c r="L788" s="23"/>
    </row>
    <row r="789" spans="12:12" x14ac:dyDescent="0.15">
      <c r="L789" s="23"/>
    </row>
    <row r="790" spans="12:12" x14ac:dyDescent="0.15">
      <c r="L790" s="23"/>
    </row>
    <row r="791" spans="12:12" x14ac:dyDescent="0.15">
      <c r="L791" s="23"/>
    </row>
    <row r="792" spans="12:12" x14ac:dyDescent="0.15">
      <c r="L792" s="23"/>
    </row>
    <row r="793" spans="12:12" x14ac:dyDescent="0.15">
      <c r="L793" s="23"/>
    </row>
    <row r="794" spans="12:12" x14ac:dyDescent="0.15">
      <c r="L794" s="23"/>
    </row>
    <row r="795" spans="12:12" x14ac:dyDescent="0.15">
      <c r="L795" s="23"/>
    </row>
    <row r="796" spans="12:12" x14ac:dyDescent="0.15">
      <c r="L796" s="23"/>
    </row>
    <row r="797" spans="12:12" x14ac:dyDescent="0.15">
      <c r="L797" s="23"/>
    </row>
    <row r="798" spans="12:12" x14ac:dyDescent="0.15">
      <c r="L798" s="23"/>
    </row>
    <row r="799" spans="12:12" x14ac:dyDescent="0.15">
      <c r="L799" s="23"/>
    </row>
    <row r="800" spans="12:12" x14ac:dyDescent="0.15">
      <c r="L800" s="23"/>
    </row>
    <row r="801" spans="12:12" x14ac:dyDescent="0.15">
      <c r="L801" s="23"/>
    </row>
    <row r="802" spans="12:12" x14ac:dyDescent="0.15">
      <c r="L802" s="23"/>
    </row>
    <row r="803" spans="12:12" x14ac:dyDescent="0.15">
      <c r="L803" s="23"/>
    </row>
    <row r="804" spans="12:12" x14ac:dyDescent="0.15">
      <c r="L804" s="23"/>
    </row>
    <row r="805" spans="12:12" x14ac:dyDescent="0.15">
      <c r="L805" s="23"/>
    </row>
    <row r="806" spans="12:12" x14ac:dyDescent="0.15">
      <c r="L806" s="23"/>
    </row>
    <row r="807" spans="12:12" x14ac:dyDescent="0.15">
      <c r="L807" s="23"/>
    </row>
    <row r="808" spans="12:12" x14ac:dyDescent="0.15">
      <c r="L808" s="23"/>
    </row>
    <row r="809" spans="12:12" x14ac:dyDescent="0.15">
      <c r="L809" s="23"/>
    </row>
    <row r="810" spans="12:12" x14ac:dyDescent="0.15">
      <c r="L810" s="23"/>
    </row>
    <row r="811" spans="12:12" x14ac:dyDescent="0.15">
      <c r="L811" s="23"/>
    </row>
    <row r="812" spans="12:12" x14ac:dyDescent="0.15">
      <c r="L812" s="23"/>
    </row>
    <row r="813" spans="12:12" x14ac:dyDescent="0.15">
      <c r="L813" s="23"/>
    </row>
    <row r="814" spans="12:12" x14ac:dyDescent="0.15">
      <c r="L814" s="23"/>
    </row>
    <row r="815" spans="12:12" x14ac:dyDescent="0.15">
      <c r="L815" s="23"/>
    </row>
    <row r="816" spans="12:12" x14ac:dyDescent="0.15">
      <c r="L816" s="23"/>
    </row>
    <row r="817" spans="12:12" x14ac:dyDescent="0.15">
      <c r="L817" s="23"/>
    </row>
    <row r="818" spans="12:12" x14ac:dyDescent="0.15">
      <c r="L818" s="23"/>
    </row>
    <row r="819" spans="12:12" x14ac:dyDescent="0.15">
      <c r="L819" s="23"/>
    </row>
    <row r="820" spans="12:12" x14ac:dyDescent="0.15">
      <c r="L820" s="23"/>
    </row>
    <row r="821" spans="12:12" x14ac:dyDescent="0.15">
      <c r="L821" s="23"/>
    </row>
    <row r="822" spans="12:12" x14ac:dyDescent="0.15">
      <c r="L822" s="23"/>
    </row>
    <row r="823" spans="12:12" x14ac:dyDescent="0.15">
      <c r="L823" s="23"/>
    </row>
    <row r="824" spans="12:12" x14ac:dyDescent="0.15">
      <c r="L824" s="23"/>
    </row>
    <row r="825" spans="12:12" x14ac:dyDescent="0.15">
      <c r="L825" s="23"/>
    </row>
    <row r="826" spans="12:12" x14ac:dyDescent="0.15">
      <c r="L826" s="23"/>
    </row>
    <row r="827" spans="12:12" x14ac:dyDescent="0.15">
      <c r="L827" s="23"/>
    </row>
    <row r="828" spans="12:12" x14ac:dyDescent="0.15">
      <c r="L828" s="23"/>
    </row>
    <row r="829" spans="12:12" x14ac:dyDescent="0.15">
      <c r="L829" s="23"/>
    </row>
    <row r="830" spans="12:12" x14ac:dyDescent="0.15">
      <c r="L830" s="23"/>
    </row>
    <row r="831" spans="12:12" x14ac:dyDescent="0.15">
      <c r="L831" s="23"/>
    </row>
    <row r="832" spans="12:12" x14ac:dyDescent="0.15">
      <c r="L832" s="23"/>
    </row>
    <row r="833" spans="12:12" x14ac:dyDescent="0.15">
      <c r="L833" s="23"/>
    </row>
    <row r="834" spans="12:12" x14ac:dyDescent="0.15">
      <c r="L834" s="23"/>
    </row>
    <row r="835" spans="12:12" x14ac:dyDescent="0.15">
      <c r="L835" s="23"/>
    </row>
    <row r="836" spans="12:12" x14ac:dyDescent="0.15">
      <c r="L836" s="23"/>
    </row>
    <row r="837" spans="12:12" x14ac:dyDescent="0.15">
      <c r="L837" s="23"/>
    </row>
    <row r="838" spans="12:12" x14ac:dyDescent="0.15">
      <c r="L838" s="23"/>
    </row>
    <row r="839" spans="12:12" x14ac:dyDescent="0.15">
      <c r="L839" s="23"/>
    </row>
    <row r="840" spans="12:12" x14ac:dyDescent="0.15">
      <c r="L840" s="23"/>
    </row>
    <row r="841" spans="12:12" x14ac:dyDescent="0.15">
      <c r="L841" s="23"/>
    </row>
    <row r="842" spans="12:12" x14ac:dyDescent="0.15">
      <c r="L842" s="23"/>
    </row>
    <row r="843" spans="12:12" x14ac:dyDescent="0.15">
      <c r="L843" s="23"/>
    </row>
    <row r="844" spans="12:12" x14ac:dyDescent="0.15">
      <c r="L844" s="23"/>
    </row>
    <row r="845" spans="12:12" x14ac:dyDescent="0.15">
      <c r="L845" s="23"/>
    </row>
    <row r="846" spans="12:12" x14ac:dyDescent="0.15">
      <c r="L846" s="23"/>
    </row>
    <row r="847" spans="12:12" x14ac:dyDescent="0.15">
      <c r="L847" s="23"/>
    </row>
    <row r="848" spans="12:12" x14ac:dyDescent="0.15">
      <c r="L848" s="23"/>
    </row>
    <row r="849" spans="12:12" x14ac:dyDescent="0.15">
      <c r="L849" s="23"/>
    </row>
    <row r="850" spans="12:12" x14ac:dyDescent="0.15">
      <c r="L850" s="23"/>
    </row>
    <row r="851" spans="12:12" x14ac:dyDescent="0.15">
      <c r="L851" s="23"/>
    </row>
    <row r="852" spans="12:12" x14ac:dyDescent="0.15">
      <c r="L852" s="23"/>
    </row>
    <row r="853" spans="12:12" x14ac:dyDescent="0.15">
      <c r="L853" s="23"/>
    </row>
    <row r="854" spans="12:12" x14ac:dyDescent="0.15">
      <c r="L854" s="23"/>
    </row>
    <row r="855" spans="12:12" x14ac:dyDescent="0.15">
      <c r="L855" s="23"/>
    </row>
    <row r="856" spans="12:12" x14ac:dyDescent="0.15">
      <c r="L856" s="23"/>
    </row>
    <row r="857" spans="12:12" x14ac:dyDescent="0.15">
      <c r="L857" s="23"/>
    </row>
    <row r="858" spans="12:12" x14ac:dyDescent="0.15">
      <c r="L858" s="23"/>
    </row>
    <row r="859" spans="12:12" x14ac:dyDescent="0.15">
      <c r="L859" s="23"/>
    </row>
    <row r="860" spans="12:12" x14ac:dyDescent="0.15">
      <c r="L860" s="23"/>
    </row>
    <row r="861" spans="12:12" x14ac:dyDescent="0.15">
      <c r="L861" s="23"/>
    </row>
    <row r="862" spans="12:12" x14ac:dyDescent="0.15">
      <c r="L862" s="23"/>
    </row>
    <row r="863" spans="12:12" x14ac:dyDescent="0.15">
      <c r="L863" s="23"/>
    </row>
    <row r="864" spans="12:12" x14ac:dyDescent="0.15">
      <c r="L864" s="23"/>
    </row>
    <row r="865" spans="12:12" x14ac:dyDescent="0.15">
      <c r="L865" s="23"/>
    </row>
    <row r="866" spans="12:12" x14ac:dyDescent="0.15">
      <c r="L866" s="23"/>
    </row>
    <row r="867" spans="12:12" x14ac:dyDescent="0.15">
      <c r="L867" s="23"/>
    </row>
    <row r="868" spans="12:12" x14ac:dyDescent="0.15">
      <c r="L868" s="23"/>
    </row>
    <row r="869" spans="12:12" x14ac:dyDescent="0.15">
      <c r="L869" s="23"/>
    </row>
    <row r="870" spans="12:12" x14ac:dyDescent="0.15">
      <c r="L870" s="23"/>
    </row>
    <row r="871" spans="12:12" x14ac:dyDescent="0.15">
      <c r="L871" s="23"/>
    </row>
    <row r="872" spans="12:12" x14ac:dyDescent="0.15">
      <c r="L872" s="23"/>
    </row>
    <row r="873" spans="12:12" x14ac:dyDescent="0.15">
      <c r="L873" s="23"/>
    </row>
    <row r="874" spans="12:12" x14ac:dyDescent="0.15">
      <c r="L874" s="23"/>
    </row>
    <row r="875" spans="12:12" x14ac:dyDescent="0.15">
      <c r="L875" s="23"/>
    </row>
    <row r="876" spans="12:12" x14ac:dyDescent="0.15">
      <c r="L876" s="23"/>
    </row>
    <row r="877" spans="12:12" x14ac:dyDescent="0.15">
      <c r="L877" s="23"/>
    </row>
    <row r="878" spans="12:12" x14ac:dyDescent="0.15">
      <c r="L878" s="23"/>
    </row>
    <row r="879" spans="12:12" x14ac:dyDescent="0.15">
      <c r="L879" s="23"/>
    </row>
    <row r="880" spans="12:12" x14ac:dyDescent="0.15">
      <c r="L880" s="23"/>
    </row>
    <row r="881" spans="12:12" x14ac:dyDescent="0.15">
      <c r="L881" s="23"/>
    </row>
    <row r="882" spans="12:12" x14ac:dyDescent="0.15">
      <c r="L882" s="23"/>
    </row>
    <row r="883" spans="12:12" x14ac:dyDescent="0.15">
      <c r="L883" s="23"/>
    </row>
    <row r="884" spans="12:12" x14ac:dyDescent="0.15">
      <c r="L884" s="23"/>
    </row>
    <row r="885" spans="12:12" x14ac:dyDescent="0.15">
      <c r="L885" s="23"/>
    </row>
    <row r="886" spans="12:12" x14ac:dyDescent="0.15">
      <c r="L886" s="23"/>
    </row>
    <row r="887" spans="12:12" x14ac:dyDescent="0.15">
      <c r="L887" s="23"/>
    </row>
    <row r="888" spans="12:12" x14ac:dyDescent="0.15">
      <c r="L888" s="23"/>
    </row>
    <row r="889" spans="12:12" x14ac:dyDescent="0.15">
      <c r="L889" s="23"/>
    </row>
    <row r="890" spans="12:12" x14ac:dyDescent="0.15">
      <c r="L890" s="23"/>
    </row>
    <row r="891" spans="12:12" x14ac:dyDescent="0.15">
      <c r="L891" s="23"/>
    </row>
    <row r="892" spans="12:12" x14ac:dyDescent="0.15">
      <c r="L892" s="23"/>
    </row>
    <row r="893" spans="12:12" x14ac:dyDescent="0.15">
      <c r="L893" s="23"/>
    </row>
    <row r="894" spans="12:12" x14ac:dyDescent="0.15">
      <c r="L894" s="23"/>
    </row>
    <row r="895" spans="12:12" x14ac:dyDescent="0.15">
      <c r="L895" s="23"/>
    </row>
    <row r="896" spans="12:12" x14ac:dyDescent="0.15">
      <c r="L896" s="23"/>
    </row>
    <row r="897" spans="12:12" x14ac:dyDescent="0.15">
      <c r="L897" s="23"/>
    </row>
    <row r="898" spans="12:12" x14ac:dyDescent="0.15">
      <c r="L898" s="23"/>
    </row>
    <row r="899" spans="12:12" x14ac:dyDescent="0.15">
      <c r="L899" s="23"/>
    </row>
    <row r="900" spans="12:12" x14ac:dyDescent="0.15">
      <c r="L900" s="23"/>
    </row>
    <row r="901" spans="12:12" x14ac:dyDescent="0.15">
      <c r="L901" s="23"/>
    </row>
    <row r="902" spans="12:12" x14ac:dyDescent="0.15">
      <c r="L902" s="23"/>
    </row>
    <row r="903" spans="12:12" x14ac:dyDescent="0.15">
      <c r="L903" s="23"/>
    </row>
    <row r="904" spans="12:12" x14ac:dyDescent="0.15">
      <c r="L904" s="23"/>
    </row>
    <row r="905" spans="12:12" x14ac:dyDescent="0.15">
      <c r="L905" s="23"/>
    </row>
    <row r="906" spans="12:12" x14ac:dyDescent="0.15">
      <c r="L906" s="23"/>
    </row>
    <row r="907" spans="12:12" x14ac:dyDescent="0.15">
      <c r="L907" s="23"/>
    </row>
    <row r="908" spans="12:12" x14ac:dyDescent="0.15">
      <c r="L908" s="23"/>
    </row>
    <row r="909" spans="12:12" x14ac:dyDescent="0.15">
      <c r="L909" s="23"/>
    </row>
    <row r="910" spans="12:12" x14ac:dyDescent="0.15">
      <c r="L910" s="23"/>
    </row>
    <row r="911" spans="12:12" x14ac:dyDescent="0.15">
      <c r="L911" s="23"/>
    </row>
    <row r="912" spans="12:12" x14ac:dyDescent="0.15">
      <c r="L912" s="23"/>
    </row>
    <row r="913" spans="12:12" x14ac:dyDescent="0.15">
      <c r="L913" s="23"/>
    </row>
    <row r="914" spans="12:12" x14ac:dyDescent="0.15">
      <c r="L914" s="23"/>
    </row>
    <row r="915" spans="12:12" x14ac:dyDescent="0.15">
      <c r="L915" s="23"/>
    </row>
    <row r="916" spans="12:12" x14ac:dyDescent="0.15">
      <c r="L916" s="23"/>
    </row>
    <row r="917" spans="12:12" x14ac:dyDescent="0.15">
      <c r="L917" s="23"/>
    </row>
    <row r="918" spans="12:12" x14ac:dyDescent="0.15">
      <c r="L918" s="23"/>
    </row>
    <row r="919" spans="12:12" x14ac:dyDescent="0.15">
      <c r="L919" s="23"/>
    </row>
    <row r="920" spans="12:12" x14ac:dyDescent="0.15">
      <c r="L920" s="23"/>
    </row>
    <row r="921" spans="12:12" x14ac:dyDescent="0.15">
      <c r="L921" s="23"/>
    </row>
    <row r="922" spans="12:12" x14ac:dyDescent="0.15">
      <c r="L922" s="23"/>
    </row>
    <row r="923" spans="12:12" x14ac:dyDescent="0.15">
      <c r="L923" s="23"/>
    </row>
    <row r="924" spans="12:12" x14ac:dyDescent="0.15">
      <c r="L924" s="23"/>
    </row>
    <row r="925" spans="12:12" x14ac:dyDescent="0.15">
      <c r="L925" s="23"/>
    </row>
    <row r="926" spans="12:12" x14ac:dyDescent="0.15">
      <c r="L926" s="23"/>
    </row>
    <row r="927" spans="12:12" x14ac:dyDescent="0.15">
      <c r="L927" s="23"/>
    </row>
    <row r="928" spans="12:12" x14ac:dyDescent="0.15">
      <c r="L928" s="23"/>
    </row>
    <row r="929" spans="12:12" x14ac:dyDescent="0.15">
      <c r="L929" s="23"/>
    </row>
    <row r="930" spans="12:12" x14ac:dyDescent="0.15">
      <c r="L930" s="23"/>
    </row>
    <row r="931" spans="12:12" x14ac:dyDescent="0.15">
      <c r="L931" s="23"/>
    </row>
    <row r="932" spans="12:12" x14ac:dyDescent="0.15">
      <c r="L932" s="23"/>
    </row>
    <row r="933" spans="12:12" x14ac:dyDescent="0.15">
      <c r="L933" s="23"/>
    </row>
    <row r="934" spans="12:12" x14ac:dyDescent="0.15">
      <c r="L934" s="23"/>
    </row>
    <row r="935" spans="12:12" x14ac:dyDescent="0.15">
      <c r="L935" s="23"/>
    </row>
    <row r="936" spans="12:12" x14ac:dyDescent="0.15">
      <c r="L936" s="23"/>
    </row>
    <row r="937" spans="12:12" x14ac:dyDescent="0.15">
      <c r="L937" s="23"/>
    </row>
    <row r="938" spans="12:12" x14ac:dyDescent="0.15">
      <c r="L938" s="23"/>
    </row>
    <row r="939" spans="12:12" x14ac:dyDescent="0.15">
      <c r="L939" s="23"/>
    </row>
    <row r="940" spans="12:12" x14ac:dyDescent="0.15">
      <c r="L940" s="23"/>
    </row>
    <row r="941" spans="12:12" x14ac:dyDescent="0.15">
      <c r="L941" s="23"/>
    </row>
    <row r="942" spans="12:12" x14ac:dyDescent="0.15">
      <c r="L942" s="23"/>
    </row>
    <row r="943" spans="12:12" x14ac:dyDescent="0.15">
      <c r="L943" s="23"/>
    </row>
    <row r="944" spans="12:12" x14ac:dyDescent="0.15">
      <c r="L944" s="23"/>
    </row>
    <row r="945" spans="12:12" x14ac:dyDescent="0.15">
      <c r="L945" s="23"/>
    </row>
    <row r="946" spans="12:12" x14ac:dyDescent="0.15">
      <c r="L946" s="23"/>
    </row>
    <row r="947" spans="12:12" x14ac:dyDescent="0.15">
      <c r="L947" s="23"/>
    </row>
    <row r="948" spans="12:12" x14ac:dyDescent="0.15">
      <c r="L948" s="23"/>
    </row>
    <row r="949" spans="12:12" x14ac:dyDescent="0.15">
      <c r="L949" s="23"/>
    </row>
    <row r="950" spans="12:12" x14ac:dyDescent="0.15">
      <c r="L950" s="23"/>
    </row>
    <row r="951" spans="12:12" x14ac:dyDescent="0.15">
      <c r="L951" s="23"/>
    </row>
    <row r="952" spans="12:12" x14ac:dyDescent="0.15">
      <c r="L952" s="23"/>
    </row>
    <row r="953" spans="12:12" x14ac:dyDescent="0.15">
      <c r="L953" s="23"/>
    </row>
    <row r="954" spans="12:12" x14ac:dyDescent="0.15">
      <c r="L954" s="23"/>
    </row>
    <row r="955" spans="12:12" x14ac:dyDescent="0.15">
      <c r="L955" s="23"/>
    </row>
    <row r="956" spans="12:12" x14ac:dyDescent="0.15">
      <c r="L956" s="23"/>
    </row>
    <row r="957" spans="12:12" x14ac:dyDescent="0.15">
      <c r="L957" s="23"/>
    </row>
    <row r="958" spans="12:12" x14ac:dyDescent="0.15">
      <c r="L958" s="23"/>
    </row>
    <row r="959" spans="12:12" x14ac:dyDescent="0.15">
      <c r="L959" s="23"/>
    </row>
    <row r="960" spans="12:12" x14ac:dyDescent="0.15">
      <c r="L960" s="23"/>
    </row>
    <row r="961" spans="12:12" x14ac:dyDescent="0.15">
      <c r="L961" s="23"/>
    </row>
    <row r="962" spans="12:12" x14ac:dyDescent="0.15">
      <c r="L962" s="23"/>
    </row>
    <row r="963" spans="12:12" x14ac:dyDescent="0.15">
      <c r="L963" s="23"/>
    </row>
    <row r="964" spans="12:12" x14ac:dyDescent="0.15">
      <c r="L964" s="23"/>
    </row>
    <row r="965" spans="12:12" x14ac:dyDescent="0.15">
      <c r="L965" s="23"/>
    </row>
    <row r="966" spans="12:12" x14ac:dyDescent="0.15">
      <c r="L966" s="23"/>
    </row>
    <row r="967" spans="12:12" x14ac:dyDescent="0.15">
      <c r="L967" s="23"/>
    </row>
    <row r="968" spans="12:12" x14ac:dyDescent="0.15">
      <c r="L968" s="23"/>
    </row>
    <row r="969" spans="12:12" x14ac:dyDescent="0.15">
      <c r="L969" s="23"/>
    </row>
    <row r="970" spans="12:12" x14ac:dyDescent="0.15">
      <c r="L970" s="23"/>
    </row>
    <row r="971" spans="12:12" x14ac:dyDescent="0.15">
      <c r="L971" s="23"/>
    </row>
    <row r="972" spans="12:12" x14ac:dyDescent="0.15">
      <c r="L972" s="23"/>
    </row>
    <row r="973" spans="12:12" x14ac:dyDescent="0.15">
      <c r="L973" s="23"/>
    </row>
    <row r="974" spans="12:12" x14ac:dyDescent="0.15">
      <c r="L974" s="23"/>
    </row>
    <row r="975" spans="12:12" x14ac:dyDescent="0.15">
      <c r="L975" s="23"/>
    </row>
    <row r="976" spans="12:12" x14ac:dyDescent="0.15">
      <c r="L976" s="23"/>
    </row>
    <row r="977" spans="12:12" x14ac:dyDescent="0.15">
      <c r="L977" s="23"/>
    </row>
    <row r="978" spans="12:12" x14ac:dyDescent="0.15">
      <c r="L978" s="23"/>
    </row>
    <row r="979" spans="12:12" x14ac:dyDescent="0.15">
      <c r="L979" s="23"/>
    </row>
    <row r="980" spans="12:12" x14ac:dyDescent="0.15">
      <c r="L980" s="23"/>
    </row>
    <row r="981" spans="12:12" x14ac:dyDescent="0.15">
      <c r="L981" s="23"/>
    </row>
    <row r="982" spans="12:12" x14ac:dyDescent="0.15">
      <c r="L982" s="23"/>
    </row>
    <row r="983" spans="12:12" x14ac:dyDescent="0.15">
      <c r="L983" s="23"/>
    </row>
    <row r="984" spans="12:12" x14ac:dyDescent="0.15">
      <c r="L984" s="23"/>
    </row>
    <row r="985" spans="12:12" x14ac:dyDescent="0.15">
      <c r="L985" s="23"/>
    </row>
    <row r="986" spans="12:12" x14ac:dyDescent="0.15">
      <c r="L986" s="23"/>
    </row>
    <row r="987" spans="12:12" x14ac:dyDescent="0.15">
      <c r="L987" s="23"/>
    </row>
    <row r="988" spans="12:12" x14ac:dyDescent="0.15">
      <c r="L988" s="23"/>
    </row>
    <row r="989" spans="12:12" x14ac:dyDescent="0.15">
      <c r="L989" s="23"/>
    </row>
    <row r="990" spans="12:12" x14ac:dyDescent="0.15">
      <c r="L990" s="23"/>
    </row>
    <row r="991" spans="12:12" x14ac:dyDescent="0.15">
      <c r="L991" s="23"/>
    </row>
    <row r="992" spans="12:12" x14ac:dyDescent="0.15">
      <c r="L992" s="23"/>
    </row>
    <row r="993" spans="12:12" x14ac:dyDescent="0.15">
      <c r="L993" s="23"/>
    </row>
    <row r="994" spans="12:12" x14ac:dyDescent="0.15">
      <c r="L994" s="23"/>
    </row>
    <row r="995" spans="12:12" x14ac:dyDescent="0.15">
      <c r="L995" s="23"/>
    </row>
    <row r="996" spans="12:12" x14ac:dyDescent="0.15">
      <c r="L996" s="23"/>
    </row>
    <row r="997" spans="12:12" x14ac:dyDescent="0.15">
      <c r="L997" s="23"/>
    </row>
    <row r="998" spans="12:12" x14ac:dyDescent="0.15">
      <c r="L998" s="23"/>
    </row>
    <row r="999" spans="12:12" x14ac:dyDescent="0.15">
      <c r="L999" s="23"/>
    </row>
    <row r="1000" spans="12:12" x14ac:dyDescent="0.15">
      <c r="L1000" s="23"/>
    </row>
    <row r="1001" spans="12:12" x14ac:dyDescent="0.15">
      <c r="L1001" s="23"/>
    </row>
    <row r="1002" spans="12:12" x14ac:dyDescent="0.15">
      <c r="L1002" s="23"/>
    </row>
    <row r="1003" spans="12:12" x14ac:dyDescent="0.15">
      <c r="L1003" s="23"/>
    </row>
    <row r="1004" spans="12:12" x14ac:dyDescent="0.15">
      <c r="L1004" s="23"/>
    </row>
    <row r="1005" spans="12:12" x14ac:dyDescent="0.15">
      <c r="L1005" s="23"/>
    </row>
    <row r="1006" spans="12:12" x14ac:dyDescent="0.15">
      <c r="L1006" s="23"/>
    </row>
    <row r="1007" spans="12:12" x14ac:dyDescent="0.15">
      <c r="L1007" s="23"/>
    </row>
    <row r="1008" spans="12:12" x14ac:dyDescent="0.15">
      <c r="L1008" s="23"/>
    </row>
    <row r="1009" spans="12:12" x14ac:dyDescent="0.15">
      <c r="L1009" s="23"/>
    </row>
    <row r="1010" spans="12:12" x14ac:dyDescent="0.15">
      <c r="L1010" s="23"/>
    </row>
    <row r="1011" spans="12:12" x14ac:dyDescent="0.15">
      <c r="L1011" s="23"/>
    </row>
    <row r="1012" spans="12:12" x14ac:dyDescent="0.15">
      <c r="L1012" s="23"/>
    </row>
    <row r="1013" spans="12:12" x14ac:dyDescent="0.15">
      <c r="L1013" s="23"/>
    </row>
    <row r="1014" spans="12:12" x14ac:dyDescent="0.15">
      <c r="L1014" s="23"/>
    </row>
    <row r="1015" spans="12:12" x14ac:dyDescent="0.15">
      <c r="L1015" s="23"/>
    </row>
    <row r="1016" spans="12:12" x14ac:dyDescent="0.15">
      <c r="L1016" s="23"/>
    </row>
    <row r="1017" spans="12:12" x14ac:dyDescent="0.15">
      <c r="L1017" s="23"/>
    </row>
    <row r="1018" spans="12:12" x14ac:dyDescent="0.15">
      <c r="L1018" s="23"/>
    </row>
    <row r="1019" spans="12:12" x14ac:dyDescent="0.15">
      <c r="L1019" s="23"/>
    </row>
    <row r="1020" spans="12:12" x14ac:dyDescent="0.15">
      <c r="L1020" s="23"/>
    </row>
    <row r="1021" spans="12:12" x14ac:dyDescent="0.15">
      <c r="L1021" s="23"/>
    </row>
    <row r="1022" spans="12:12" x14ac:dyDescent="0.15">
      <c r="L1022" s="23"/>
    </row>
    <row r="1023" spans="12:12" x14ac:dyDescent="0.15">
      <c r="L1023" s="23"/>
    </row>
    <row r="1024" spans="12:12" x14ac:dyDescent="0.15">
      <c r="L1024" s="23"/>
    </row>
    <row r="1025" spans="12:12" x14ac:dyDescent="0.15">
      <c r="L1025" s="23"/>
    </row>
    <row r="1026" spans="12:12" x14ac:dyDescent="0.15">
      <c r="L1026" s="23"/>
    </row>
    <row r="1027" spans="12:12" x14ac:dyDescent="0.15">
      <c r="L1027" s="23"/>
    </row>
    <row r="1028" spans="12:12" x14ac:dyDescent="0.15">
      <c r="L1028" s="23"/>
    </row>
    <row r="1029" spans="12:12" x14ac:dyDescent="0.15">
      <c r="L1029" s="23"/>
    </row>
    <row r="1030" spans="12:12" x14ac:dyDescent="0.15">
      <c r="L1030" s="23"/>
    </row>
    <row r="1031" spans="12:12" x14ac:dyDescent="0.15">
      <c r="L1031" s="23"/>
    </row>
    <row r="1032" spans="12:12" x14ac:dyDescent="0.15">
      <c r="L1032" s="23"/>
    </row>
    <row r="1033" spans="12:12" x14ac:dyDescent="0.15">
      <c r="L1033" s="23"/>
    </row>
    <row r="1034" spans="12:12" x14ac:dyDescent="0.15">
      <c r="L1034" s="23"/>
    </row>
    <row r="1035" spans="12:12" x14ac:dyDescent="0.15">
      <c r="L1035" s="23"/>
    </row>
    <row r="1036" spans="12:12" x14ac:dyDescent="0.15">
      <c r="L1036" s="23"/>
    </row>
    <row r="1037" spans="12:12" x14ac:dyDescent="0.15">
      <c r="L1037" s="23"/>
    </row>
    <row r="1038" spans="12:12" x14ac:dyDescent="0.15">
      <c r="L1038" s="23"/>
    </row>
    <row r="1039" spans="12:12" x14ac:dyDescent="0.15">
      <c r="L1039" s="23"/>
    </row>
    <row r="1040" spans="12:12" x14ac:dyDescent="0.15">
      <c r="L1040" s="23"/>
    </row>
    <row r="1041" spans="12:12" x14ac:dyDescent="0.15">
      <c r="L1041" s="23"/>
    </row>
    <row r="1042" spans="12:12" x14ac:dyDescent="0.15">
      <c r="L1042" s="23"/>
    </row>
    <row r="1043" spans="12:12" x14ac:dyDescent="0.15">
      <c r="L1043" s="23"/>
    </row>
    <row r="1044" spans="12:12" x14ac:dyDescent="0.15">
      <c r="L1044" s="23"/>
    </row>
    <row r="1045" spans="12:12" x14ac:dyDescent="0.15">
      <c r="L1045" s="23"/>
    </row>
    <row r="1046" spans="12:12" x14ac:dyDescent="0.15">
      <c r="L1046" s="23"/>
    </row>
    <row r="1047" spans="12:12" x14ac:dyDescent="0.15">
      <c r="L1047" s="23"/>
    </row>
    <row r="1048" spans="12:12" x14ac:dyDescent="0.15">
      <c r="L1048" s="23"/>
    </row>
    <row r="1049" spans="12:12" x14ac:dyDescent="0.15">
      <c r="L1049" s="23"/>
    </row>
    <row r="1050" spans="12:12" x14ac:dyDescent="0.15">
      <c r="L1050" s="23"/>
    </row>
    <row r="1051" spans="12:12" x14ac:dyDescent="0.15">
      <c r="L1051" s="23"/>
    </row>
    <row r="1052" spans="12:12" x14ac:dyDescent="0.15">
      <c r="L1052" s="23"/>
    </row>
    <row r="1053" spans="12:12" x14ac:dyDescent="0.15">
      <c r="L1053" s="23"/>
    </row>
    <row r="1054" spans="12:12" x14ac:dyDescent="0.15">
      <c r="L1054" s="23"/>
    </row>
    <row r="1055" spans="12:12" x14ac:dyDescent="0.15">
      <c r="L1055" s="23"/>
    </row>
    <row r="1056" spans="12:12" x14ac:dyDescent="0.15">
      <c r="L1056" s="23"/>
    </row>
    <row r="1057" spans="12:12" x14ac:dyDescent="0.15">
      <c r="L1057" s="23"/>
    </row>
    <row r="1058" spans="12:12" x14ac:dyDescent="0.15">
      <c r="L1058" s="23"/>
    </row>
    <row r="1059" spans="12:12" x14ac:dyDescent="0.15">
      <c r="L1059" s="23"/>
    </row>
    <row r="1060" spans="12:12" x14ac:dyDescent="0.15">
      <c r="L1060" s="23"/>
    </row>
    <row r="1061" spans="12:12" x14ac:dyDescent="0.15">
      <c r="L1061" s="23"/>
    </row>
    <row r="1062" spans="12:12" x14ac:dyDescent="0.15">
      <c r="L1062" s="23"/>
    </row>
    <row r="1063" spans="12:12" x14ac:dyDescent="0.15">
      <c r="L1063" s="23"/>
    </row>
    <row r="1064" spans="12:12" x14ac:dyDescent="0.15">
      <c r="L1064" s="23"/>
    </row>
    <row r="1065" spans="12:12" x14ac:dyDescent="0.15">
      <c r="L1065" s="23"/>
    </row>
    <row r="1066" spans="12:12" x14ac:dyDescent="0.15">
      <c r="L1066" s="23"/>
    </row>
    <row r="1067" spans="12:12" x14ac:dyDescent="0.15">
      <c r="L1067" s="23"/>
    </row>
    <row r="1068" spans="12:12" x14ac:dyDescent="0.15">
      <c r="L1068" s="23"/>
    </row>
    <row r="1069" spans="12:12" x14ac:dyDescent="0.15">
      <c r="L1069" s="23"/>
    </row>
    <row r="1070" spans="12:12" x14ac:dyDescent="0.15">
      <c r="L1070" s="23"/>
    </row>
    <row r="1071" spans="12:12" x14ac:dyDescent="0.15">
      <c r="L1071" s="23"/>
    </row>
    <row r="1072" spans="12:12" x14ac:dyDescent="0.15">
      <c r="L1072" s="23"/>
    </row>
    <row r="1073" spans="12:12" x14ac:dyDescent="0.15">
      <c r="L1073" s="23"/>
    </row>
    <row r="1074" spans="12:12" x14ac:dyDescent="0.15">
      <c r="L1074" s="23"/>
    </row>
    <row r="1075" spans="12:12" x14ac:dyDescent="0.15">
      <c r="L1075" s="23"/>
    </row>
    <row r="1076" spans="12:12" x14ac:dyDescent="0.15">
      <c r="L1076" s="23"/>
    </row>
    <row r="1077" spans="12:12" x14ac:dyDescent="0.15">
      <c r="L1077" s="23"/>
    </row>
    <row r="1078" spans="12:12" x14ac:dyDescent="0.15">
      <c r="L1078" s="23"/>
    </row>
    <row r="1079" spans="12:12" x14ac:dyDescent="0.15">
      <c r="L1079" s="23"/>
    </row>
    <row r="1080" spans="12:12" x14ac:dyDescent="0.15">
      <c r="L1080" s="23"/>
    </row>
    <row r="1081" spans="12:12" x14ac:dyDescent="0.15">
      <c r="L1081" s="23"/>
    </row>
    <row r="1082" spans="12:12" x14ac:dyDescent="0.15">
      <c r="L1082" s="23"/>
    </row>
    <row r="1083" spans="12:12" x14ac:dyDescent="0.15">
      <c r="L1083" s="23"/>
    </row>
    <row r="1084" spans="12:12" x14ac:dyDescent="0.15">
      <c r="L1084" s="23"/>
    </row>
    <row r="1085" spans="12:12" x14ac:dyDescent="0.15">
      <c r="L1085" s="23"/>
    </row>
    <row r="1086" spans="12:12" x14ac:dyDescent="0.15">
      <c r="L1086" s="23"/>
    </row>
    <row r="1087" spans="12:12" x14ac:dyDescent="0.15">
      <c r="L1087" s="23"/>
    </row>
    <row r="1088" spans="12:12" x14ac:dyDescent="0.15">
      <c r="L1088" s="23"/>
    </row>
    <row r="1089" spans="12:12" x14ac:dyDescent="0.15">
      <c r="L1089" s="23"/>
    </row>
    <row r="1090" spans="12:12" x14ac:dyDescent="0.15">
      <c r="L1090" s="23"/>
    </row>
    <row r="1091" spans="12:12" x14ac:dyDescent="0.15">
      <c r="L1091" s="23"/>
    </row>
    <row r="1092" spans="12:12" x14ac:dyDescent="0.15">
      <c r="L1092" s="23"/>
    </row>
    <row r="1093" spans="12:12" x14ac:dyDescent="0.15">
      <c r="L1093" s="23"/>
    </row>
    <row r="1094" spans="12:12" x14ac:dyDescent="0.15">
      <c r="L1094" s="23"/>
    </row>
    <row r="1095" spans="12:12" x14ac:dyDescent="0.15">
      <c r="L1095" s="23"/>
    </row>
    <row r="1096" spans="12:12" x14ac:dyDescent="0.15">
      <c r="L1096" s="23"/>
    </row>
    <row r="1097" spans="12:12" x14ac:dyDescent="0.15">
      <c r="L1097" s="23"/>
    </row>
    <row r="1098" spans="12:12" x14ac:dyDescent="0.15">
      <c r="L1098" s="23"/>
    </row>
    <row r="1099" spans="12:12" x14ac:dyDescent="0.15">
      <c r="L1099" s="23"/>
    </row>
    <row r="1100" spans="12:12" x14ac:dyDescent="0.15">
      <c r="L1100" s="23"/>
    </row>
    <row r="1101" spans="12:12" x14ac:dyDescent="0.15">
      <c r="L1101" s="23"/>
    </row>
    <row r="1102" spans="12:12" x14ac:dyDescent="0.15">
      <c r="L1102" s="23"/>
    </row>
    <row r="1103" spans="12:12" x14ac:dyDescent="0.15">
      <c r="L1103" s="23"/>
    </row>
    <row r="1104" spans="12:12" x14ac:dyDescent="0.15">
      <c r="L1104" s="23"/>
    </row>
    <row r="1105" spans="12:12" x14ac:dyDescent="0.15">
      <c r="L1105" s="23"/>
    </row>
    <row r="1106" spans="12:12" x14ac:dyDescent="0.15">
      <c r="L1106" s="23"/>
    </row>
    <row r="1107" spans="12:12" x14ac:dyDescent="0.15">
      <c r="L1107" s="23"/>
    </row>
    <row r="1108" spans="12:12" x14ac:dyDescent="0.15">
      <c r="L1108" s="23"/>
    </row>
    <row r="1109" spans="12:12" x14ac:dyDescent="0.15">
      <c r="L1109" s="23"/>
    </row>
    <row r="1110" spans="12:12" x14ac:dyDescent="0.15">
      <c r="L1110" s="23"/>
    </row>
    <row r="1111" spans="12:12" x14ac:dyDescent="0.15">
      <c r="L1111" s="23"/>
    </row>
    <row r="1112" spans="12:12" x14ac:dyDescent="0.15">
      <c r="L1112" s="23"/>
    </row>
    <row r="1113" spans="12:12" x14ac:dyDescent="0.15">
      <c r="L1113" s="23"/>
    </row>
    <row r="1114" spans="12:12" x14ac:dyDescent="0.15">
      <c r="L1114" s="23"/>
    </row>
    <row r="1115" spans="12:12" x14ac:dyDescent="0.15">
      <c r="L1115" s="23"/>
    </row>
    <row r="1116" spans="12:12" x14ac:dyDescent="0.15">
      <c r="L1116" s="23"/>
    </row>
    <row r="1117" spans="12:12" x14ac:dyDescent="0.15">
      <c r="L1117" s="23"/>
    </row>
    <row r="1118" spans="12:12" x14ac:dyDescent="0.15">
      <c r="L1118" s="23"/>
    </row>
    <row r="1119" spans="12:12" x14ac:dyDescent="0.15">
      <c r="L1119" s="23"/>
    </row>
    <row r="1120" spans="12:12" x14ac:dyDescent="0.15">
      <c r="L1120" s="23"/>
    </row>
    <row r="1121" spans="12:12" x14ac:dyDescent="0.15">
      <c r="L1121" s="23"/>
    </row>
    <row r="1122" spans="12:12" x14ac:dyDescent="0.15">
      <c r="L1122" s="23"/>
    </row>
    <row r="1123" spans="12:12" x14ac:dyDescent="0.15">
      <c r="L1123" s="23"/>
    </row>
    <row r="1124" spans="12:12" x14ac:dyDescent="0.15">
      <c r="L1124" s="23"/>
    </row>
    <row r="1125" spans="12:12" x14ac:dyDescent="0.15">
      <c r="L1125" s="23"/>
    </row>
    <row r="1126" spans="12:12" x14ac:dyDescent="0.15">
      <c r="L1126" s="23"/>
    </row>
    <row r="1127" spans="12:12" x14ac:dyDescent="0.15">
      <c r="L1127" s="23"/>
    </row>
    <row r="1128" spans="12:12" x14ac:dyDescent="0.15">
      <c r="L1128" s="23"/>
    </row>
    <row r="1129" spans="12:12" x14ac:dyDescent="0.15">
      <c r="L1129" s="23"/>
    </row>
    <row r="1130" spans="12:12" x14ac:dyDescent="0.15">
      <c r="L1130" s="23"/>
    </row>
    <row r="1131" spans="12:12" x14ac:dyDescent="0.15">
      <c r="L1131" s="23"/>
    </row>
    <row r="1132" spans="12:12" x14ac:dyDescent="0.15">
      <c r="L1132" s="23"/>
    </row>
    <row r="1133" spans="12:12" x14ac:dyDescent="0.15">
      <c r="L1133" s="23"/>
    </row>
    <row r="1134" spans="12:12" x14ac:dyDescent="0.15">
      <c r="L1134" s="23"/>
    </row>
    <row r="1135" spans="12:12" x14ac:dyDescent="0.15">
      <c r="L1135" s="23"/>
    </row>
    <row r="1136" spans="12:12" x14ac:dyDescent="0.15">
      <c r="L1136" s="23"/>
    </row>
    <row r="1137" spans="12:12" x14ac:dyDescent="0.15">
      <c r="L1137" s="23"/>
    </row>
    <row r="1138" spans="12:12" x14ac:dyDescent="0.15">
      <c r="L1138" s="23"/>
    </row>
    <row r="1139" spans="12:12" x14ac:dyDescent="0.15">
      <c r="L1139" s="23"/>
    </row>
    <row r="1140" spans="12:12" x14ac:dyDescent="0.15">
      <c r="L1140" s="23"/>
    </row>
    <row r="1141" spans="12:12" x14ac:dyDescent="0.15">
      <c r="L1141" s="23"/>
    </row>
    <row r="1142" spans="12:12" x14ac:dyDescent="0.15">
      <c r="L1142" s="23"/>
    </row>
    <row r="1143" spans="12:12" x14ac:dyDescent="0.15">
      <c r="L1143" s="23"/>
    </row>
    <row r="1144" spans="12:12" x14ac:dyDescent="0.15">
      <c r="L1144" s="23"/>
    </row>
    <row r="1145" spans="12:12" x14ac:dyDescent="0.15">
      <c r="L1145" s="23"/>
    </row>
    <row r="1146" spans="12:12" x14ac:dyDescent="0.15">
      <c r="L1146" s="23"/>
    </row>
    <row r="1147" spans="12:12" x14ac:dyDescent="0.15">
      <c r="L1147" s="23"/>
    </row>
    <row r="1148" spans="12:12" x14ac:dyDescent="0.15">
      <c r="L1148" s="23"/>
    </row>
    <row r="1149" spans="12:12" x14ac:dyDescent="0.15">
      <c r="L1149" s="23"/>
    </row>
    <row r="1150" spans="12:12" x14ac:dyDescent="0.15">
      <c r="L1150" s="23"/>
    </row>
    <row r="1151" spans="12:12" x14ac:dyDescent="0.15">
      <c r="L1151" s="23"/>
    </row>
    <row r="1152" spans="12:12" x14ac:dyDescent="0.15">
      <c r="L1152" s="23"/>
    </row>
    <row r="1153" spans="12:12" x14ac:dyDescent="0.15">
      <c r="L1153" s="23"/>
    </row>
    <row r="1154" spans="12:12" x14ac:dyDescent="0.15">
      <c r="L1154" s="23"/>
    </row>
    <row r="1155" spans="12:12" x14ac:dyDescent="0.15">
      <c r="L1155" s="23"/>
    </row>
    <row r="1156" spans="12:12" x14ac:dyDescent="0.15">
      <c r="L1156" s="23"/>
    </row>
    <row r="1157" spans="12:12" x14ac:dyDescent="0.15">
      <c r="L1157" s="23"/>
    </row>
    <row r="1158" spans="12:12" x14ac:dyDescent="0.15">
      <c r="L1158" s="23"/>
    </row>
    <row r="1159" spans="12:12" x14ac:dyDescent="0.15">
      <c r="L1159" s="23"/>
    </row>
    <row r="1160" spans="12:12" x14ac:dyDescent="0.15">
      <c r="L1160" s="23"/>
    </row>
    <row r="1161" spans="12:12" x14ac:dyDescent="0.15">
      <c r="L1161" s="23"/>
    </row>
    <row r="1162" spans="12:12" x14ac:dyDescent="0.15">
      <c r="L1162" s="23"/>
    </row>
    <row r="1163" spans="12:12" x14ac:dyDescent="0.15">
      <c r="L1163" s="23"/>
    </row>
    <row r="1164" spans="12:12" x14ac:dyDescent="0.15">
      <c r="L1164" s="23"/>
    </row>
    <row r="1165" spans="12:12" x14ac:dyDescent="0.15">
      <c r="L1165" s="23"/>
    </row>
    <row r="1166" spans="12:12" x14ac:dyDescent="0.15">
      <c r="L1166" s="23"/>
    </row>
    <row r="1167" spans="12:12" x14ac:dyDescent="0.15">
      <c r="L1167" s="23"/>
    </row>
    <row r="1168" spans="12:12" x14ac:dyDescent="0.15">
      <c r="L1168" s="23"/>
    </row>
    <row r="1169" spans="12:12" x14ac:dyDescent="0.15">
      <c r="L1169" s="23"/>
    </row>
    <row r="1170" spans="12:12" x14ac:dyDescent="0.15">
      <c r="L1170" s="23"/>
    </row>
    <row r="1171" spans="12:12" x14ac:dyDescent="0.15">
      <c r="L1171" s="23"/>
    </row>
    <row r="1172" spans="12:12" x14ac:dyDescent="0.15">
      <c r="L1172" s="23"/>
    </row>
    <row r="1173" spans="12:12" x14ac:dyDescent="0.15">
      <c r="L1173" s="23"/>
    </row>
    <row r="1174" spans="12:12" x14ac:dyDescent="0.15">
      <c r="L1174" s="23"/>
    </row>
    <row r="1175" spans="12:12" x14ac:dyDescent="0.15">
      <c r="L1175" s="23"/>
    </row>
    <row r="1176" spans="12:12" x14ac:dyDescent="0.15">
      <c r="L1176" s="23"/>
    </row>
    <row r="1177" spans="12:12" x14ac:dyDescent="0.15">
      <c r="L1177" s="23"/>
    </row>
    <row r="1178" spans="12:12" x14ac:dyDescent="0.15">
      <c r="L1178" s="23"/>
    </row>
    <row r="1179" spans="12:12" x14ac:dyDescent="0.15">
      <c r="L1179" s="23"/>
    </row>
    <row r="1180" spans="12:12" x14ac:dyDescent="0.15">
      <c r="L1180" s="23"/>
    </row>
    <row r="1181" spans="12:12" x14ac:dyDescent="0.15">
      <c r="L1181" s="23"/>
    </row>
    <row r="1182" spans="12:12" x14ac:dyDescent="0.15">
      <c r="L1182" s="23"/>
    </row>
    <row r="1183" spans="12:12" x14ac:dyDescent="0.15">
      <c r="L1183" s="23"/>
    </row>
    <row r="1184" spans="12:12" x14ac:dyDescent="0.15">
      <c r="L1184" s="23"/>
    </row>
    <row r="1185" spans="12:12" x14ac:dyDescent="0.15">
      <c r="L1185" s="23"/>
    </row>
    <row r="1186" spans="12:12" x14ac:dyDescent="0.15">
      <c r="L1186" s="23"/>
    </row>
    <row r="1187" spans="12:12" x14ac:dyDescent="0.15">
      <c r="L1187" s="23"/>
    </row>
    <row r="1188" spans="12:12" x14ac:dyDescent="0.15">
      <c r="L1188" s="23"/>
    </row>
    <row r="1189" spans="12:12" x14ac:dyDescent="0.15">
      <c r="L1189" s="23"/>
    </row>
    <row r="1190" spans="12:12" x14ac:dyDescent="0.15">
      <c r="L1190" s="23"/>
    </row>
    <row r="1191" spans="12:12" x14ac:dyDescent="0.15">
      <c r="L1191" s="23"/>
    </row>
    <row r="1192" spans="12:12" x14ac:dyDescent="0.15">
      <c r="L1192" s="23"/>
    </row>
    <row r="1193" spans="12:12" x14ac:dyDescent="0.15">
      <c r="L1193" s="23"/>
    </row>
    <row r="1194" spans="12:12" x14ac:dyDescent="0.15">
      <c r="L1194" s="23"/>
    </row>
    <row r="1195" spans="12:12" x14ac:dyDescent="0.15">
      <c r="L1195" s="23"/>
    </row>
    <row r="1196" spans="12:12" x14ac:dyDescent="0.15">
      <c r="L1196" s="23"/>
    </row>
    <row r="1197" spans="12:12" x14ac:dyDescent="0.15">
      <c r="L1197" s="23"/>
    </row>
    <row r="1198" spans="12:12" x14ac:dyDescent="0.15">
      <c r="L1198" s="23"/>
    </row>
    <row r="1199" spans="12:12" x14ac:dyDescent="0.15">
      <c r="L1199" s="23"/>
    </row>
    <row r="1200" spans="12:12" x14ac:dyDescent="0.15">
      <c r="L1200" s="23"/>
    </row>
    <row r="1201" spans="12:12" x14ac:dyDescent="0.15">
      <c r="L1201" s="23"/>
    </row>
    <row r="1202" spans="12:12" x14ac:dyDescent="0.15">
      <c r="L1202" s="23"/>
    </row>
    <row r="1203" spans="12:12" x14ac:dyDescent="0.15">
      <c r="L1203" s="23"/>
    </row>
    <row r="1204" spans="12:12" x14ac:dyDescent="0.15">
      <c r="L1204" s="23"/>
    </row>
    <row r="1205" spans="12:12" x14ac:dyDescent="0.15">
      <c r="L1205" s="23"/>
    </row>
    <row r="1206" spans="12:12" x14ac:dyDescent="0.15">
      <c r="L1206" s="23"/>
    </row>
    <row r="1207" spans="12:12" x14ac:dyDescent="0.15">
      <c r="L1207" s="23"/>
    </row>
    <row r="1208" spans="12:12" x14ac:dyDescent="0.15">
      <c r="L1208" s="23"/>
    </row>
    <row r="1209" spans="12:12" x14ac:dyDescent="0.15">
      <c r="L1209" s="23"/>
    </row>
    <row r="1210" spans="12:12" x14ac:dyDescent="0.15">
      <c r="L1210" s="23"/>
    </row>
    <row r="1211" spans="12:12" x14ac:dyDescent="0.15">
      <c r="L1211" s="23"/>
    </row>
    <row r="1212" spans="12:12" x14ac:dyDescent="0.15">
      <c r="L1212" s="23"/>
    </row>
    <row r="1213" spans="12:12" x14ac:dyDescent="0.15">
      <c r="L1213" s="23"/>
    </row>
    <row r="1214" spans="12:12" x14ac:dyDescent="0.15">
      <c r="L1214" s="23"/>
    </row>
    <row r="1215" spans="12:12" x14ac:dyDescent="0.15">
      <c r="L1215" s="23"/>
    </row>
    <row r="1216" spans="12:12" x14ac:dyDescent="0.15">
      <c r="L1216" s="23"/>
    </row>
    <row r="1217" spans="12:12" x14ac:dyDescent="0.15">
      <c r="L1217" s="23"/>
    </row>
    <row r="1218" spans="12:12" x14ac:dyDescent="0.15">
      <c r="L1218" s="23"/>
    </row>
    <row r="1219" spans="12:12" x14ac:dyDescent="0.15">
      <c r="L1219" s="23"/>
    </row>
    <row r="1220" spans="12:12" x14ac:dyDescent="0.15">
      <c r="L1220" s="23"/>
    </row>
    <row r="1221" spans="12:12" x14ac:dyDescent="0.15">
      <c r="L1221" s="23"/>
    </row>
    <row r="1222" spans="12:12" x14ac:dyDescent="0.15">
      <c r="L1222" s="23"/>
    </row>
    <row r="1223" spans="12:12" x14ac:dyDescent="0.15">
      <c r="L1223" s="23"/>
    </row>
    <row r="1224" spans="12:12" x14ac:dyDescent="0.15">
      <c r="L1224" s="23"/>
    </row>
    <row r="1225" spans="12:12" x14ac:dyDescent="0.15">
      <c r="L1225" s="23"/>
    </row>
    <row r="1226" spans="12:12" x14ac:dyDescent="0.15">
      <c r="L1226" s="23"/>
    </row>
    <row r="1227" spans="12:12" x14ac:dyDescent="0.15">
      <c r="L1227" s="23"/>
    </row>
    <row r="1228" spans="12:12" x14ac:dyDescent="0.15">
      <c r="L1228" s="23"/>
    </row>
    <row r="1229" spans="12:12" x14ac:dyDescent="0.15">
      <c r="L1229" s="23"/>
    </row>
    <row r="1230" spans="12:12" x14ac:dyDescent="0.15">
      <c r="L1230" s="23"/>
    </row>
    <row r="1231" spans="12:12" x14ac:dyDescent="0.15">
      <c r="L1231" s="23"/>
    </row>
    <row r="1232" spans="12:12" x14ac:dyDescent="0.15">
      <c r="L1232" s="23"/>
    </row>
    <row r="1233" spans="12:12" x14ac:dyDescent="0.15">
      <c r="L1233" s="23"/>
    </row>
    <row r="1234" spans="12:12" x14ac:dyDescent="0.15">
      <c r="L1234" s="23"/>
    </row>
    <row r="1235" spans="12:12" x14ac:dyDescent="0.15">
      <c r="L1235" s="23"/>
    </row>
    <row r="1236" spans="12:12" x14ac:dyDescent="0.15">
      <c r="L1236" s="23"/>
    </row>
    <row r="1237" spans="12:12" x14ac:dyDescent="0.15">
      <c r="L1237" s="23"/>
    </row>
    <row r="1238" spans="12:12" x14ac:dyDescent="0.15">
      <c r="L1238" s="23"/>
    </row>
    <row r="1239" spans="12:12" x14ac:dyDescent="0.15">
      <c r="L1239" s="23"/>
    </row>
    <row r="1240" spans="12:12" x14ac:dyDescent="0.15">
      <c r="L1240" s="23"/>
    </row>
    <row r="1241" spans="12:12" x14ac:dyDescent="0.15">
      <c r="L1241" s="23"/>
    </row>
    <row r="1242" spans="12:12" x14ac:dyDescent="0.15">
      <c r="L1242" s="23"/>
    </row>
    <row r="1243" spans="12:12" x14ac:dyDescent="0.15">
      <c r="L1243" s="23"/>
    </row>
    <row r="1244" spans="12:12" x14ac:dyDescent="0.15">
      <c r="L1244" s="23"/>
    </row>
    <row r="1245" spans="12:12" x14ac:dyDescent="0.15">
      <c r="L1245" s="23"/>
    </row>
    <row r="1246" spans="12:12" x14ac:dyDescent="0.15">
      <c r="L1246" s="23"/>
    </row>
    <row r="1247" spans="12:12" x14ac:dyDescent="0.15">
      <c r="L1247" s="23"/>
    </row>
    <row r="1248" spans="12:12" x14ac:dyDescent="0.15">
      <c r="L1248" s="23"/>
    </row>
    <row r="1249" spans="12:12" x14ac:dyDescent="0.15">
      <c r="L1249" s="23"/>
    </row>
    <row r="1250" spans="12:12" x14ac:dyDescent="0.15">
      <c r="L1250" s="23"/>
    </row>
    <row r="1251" spans="12:12" x14ac:dyDescent="0.15">
      <c r="L1251" s="23"/>
    </row>
    <row r="1252" spans="12:12" x14ac:dyDescent="0.15">
      <c r="L1252" s="23"/>
    </row>
    <row r="1253" spans="12:12" x14ac:dyDescent="0.15">
      <c r="L1253" s="23"/>
    </row>
    <row r="1254" spans="12:12" x14ac:dyDescent="0.15">
      <c r="L1254" s="23"/>
    </row>
    <row r="1255" spans="12:12" x14ac:dyDescent="0.15">
      <c r="L1255" s="23"/>
    </row>
    <row r="1256" spans="12:12" x14ac:dyDescent="0.15">
      <c r="L1256" s="23"/>
    </row>
    <row r="1257" spans="12:12" x14ac:dyDescent="0.15">
      <c r="L1257" s="23"/>
    </row>
    <row r="1258" spans="12:12" x14ac:dyDescent="0.15">
      <c r="L1258" s="23"/>
    </row>
    <row r="1259" spans="12:12" x14ac:dyDescent="0.15">
      <c r="L1259" s="23"/>
    </row>
    <row r="1260" spans="12:12" x14ac:dyDescent="0.15">
      <c r="L1260" s="23"/>
    </row>
    <row r="1261" spans="12:12" x14ac:dyDescent="0.15">
      <c r="L1261" s="23"/>
    </row>
    <row r="1262" spans="12:12" x14ac:dyDescent="0.15">
      <c r="L1262" s="23"/>
    </row>
    <row r="1263" spans="12:12" x14ac:dyDescent="0.15">
      <c r="L1263" s="23"/>
    </row>
    <row r="1264" spans="12:12" x14ac:dyDescent="0.15">
      <c r="L1264" s="23"/>
    </row>
    <row r="1265" spans="12:12" x14ac:dyDescent="0.15">
      <c r="L1265" s="23"/>
    </row>
    <row r="1266" spans="12:12" x14ac:dyDescent="0.15">
      <c r="L1266" s="23"/>
    </row>
    <row r="1267" spans="12:12" x14ac:dyDescent="0.15">
      <c r="L1267" s="23"/>
    </row>
    <row r="1268" spans="12:12" x14ac:dyDescent="0.15">
      <c r="L1268" s="23"/>
    </row>
    <row r="1269" spans="12:12" x14ac:dyDescent="0.15">
      <c r="L1269" s="23"/>
    </row>
    <row r="1270" spans="12:12" x14ac:dyDescent="0.15">
      <c r="L1270" s="23"/>
    </row>
    <row r="1271" spans="12:12" x14ac:dyDescent="0.15">
      <c r="L1271" s="23"/>
    </row>
    <row r="1272" spans="12:12" x14ac:dyDescent="0.15">
      <c r="L1272" s="23"/>
    </row>
    <row r="1273" spans="12:12" x14ac:dyDescent="0.15">
      <c r="L1273" s="23"/>
    </row>
    <row r="1274" spans="12:12" x14ac:dyDescent="0.15">
      <c r="L1274" s="23"/>
    </row>
    <row r="1275" spans="12:12" x14ac:dyDescent="0.15">
      <c r="L1275" s="23"/>
    </row>
    <row r="1276" spans="12:12" x14ac:dyDescent="0.15">
      <c r="L1276" s="23"/>
    </row>
    <row r="1277" spans="12:12" x14ac:dyDescent="0.15">
      <c r="L1277" s="23"/>
    </row>
    <row r="1278" spans="12:12" x14ac:dyDescent="0.15">
      <c r="L1278" s="23"/>
    </row>
    <row r="1279" spans="12:12" x14ac:dyDescent="0.15">
      <c r="L1279" s="23"/>
    </row>
    <row r="1280" spans="12:12" x14ac:dyDescent="0.15">
      <c r="L1280" s="23"/>
    </row>
    <row r="1281" spans="12:12" x14ac:dyDescent="0.15">
      <c r="L1281" s="23"/>
    </row>
    <row r="1282" spans="12:12" x14ac:dyDescent="0.15">
      <c r="L1282" s="23"/>
    </row>
    <row r="1283" spans="12:12" x14ac:dyDescent="0.15">
      <c r="L1283" s="23"/>
    </row>
    <row r="1284" spans="12:12" x14ac:dyDescent="0.15">
      <c r="L1284" s="23"/>
    </row>
    <row r="1285" spans="12:12" x14ac:dyDescent="0.15">
      <c r="L1285" s="23"/>
    </row>
    <row r="1286" spans="12:12" x14ac:dyDescent="0.15">
      <c r="L1286" s="23"/>
    </row>
    <row r="1287" spans="12:12" x14ac:dyDescent="0.15">
      <c r="L1287" s="23"/>
    </row>
    <row r="1288" spans="12:12" x14ac:dyDescent="0.15">
      <c r="L1288" s="23"/>
    </row>
    <row r="1289" spans="12:12" x14ac:dyDescent="0.15">
      <c r="L1289" s="23"/>
    </row>
    <row r="1290" spans="12:12" x14ac:dyDescent="0.15">
      <c r="L1290" s="23"/>
    </row>
    <row r="1291" spans="12:12" x14ac:dyDescent="0.15">
      <c r="L1291" s="23"/>
    </row>
    <row r="1292" spans="12:12" x14ac:dyDescent="0.15">
      <c r="L1292" s="23"/>
    </row>
    <row r="1293" spans="12:12" x14ac:dyDescent="0.15">
      <c r="L1293" s="23"/>
    </row>
    <row r="1294" spans="12:12" x14ac:dyDescent="0.15">
      <c r="L1294" s="23"/>
    </row>
    <row r="1295" spans="12:12" x14ac:dyDescent="0.15">
      <c r="L1295" s="23"/>
    </row>
    <row r="1296" spans="12:12" x14ac:dyDescent="0.15">
      <c r="L1296" s="23"/>
    </row>
    <row r="1297" spans="12:12" x14ac:dyDescent="0.15">
      <c r="L1297" s="23"/>
    </row>
    <row r="1298" spans="12:12" x14ac:dyDescent="0.15">
      <c r="L1298" s="23"/>
    </row>
    <row r="1299" spans="12:12" x14ac:dyDescent="0.15">
      <c r="L1299" s="23"/>
    </row>
    <row r="1300" spans="12:12" x14ac:dyDescent="0.15">
      <c r="L1300" s="23"/>
    </row>
    <row r="1301" spans="12:12" x14ac:dyDescent="0.15">
      <c r="L1301" s="23"/>
    </row>
    <row r="1302" spans="12:12" x14ac:dyDescent="0.15">
      <c r="L1302" s="23"/>
    </row>
    <row r="1303" spans="12:12" x14ac:dyDescent="0.15">
      <c r="L1303" s="23"/>
    </row>
    <row r="1304" spans="12:12" x14ac:dyDescent="0.15">
      <c r="L1304" s="23"/>
    </row>
    <row r="1305" spans="12:12" x14ac:dyDescent="0.15">
      <c r="L1305" s="23"/>
    </row>
    <row r="1306" spans="12:12" x14ac:dyDescent="0.15">
      <c r="L1306" s="23"/>
    </row>
    <row r="1307" spans="12:12" x14ac:dyDescent="0.15">
      <c r="L1307" s="23"/>
    </row>
    <row r="1308" spans="12:12" x14ac:dyDescent="0.15">
      <c r="L1308" s="23"/>
    </row>
    <row r="1309" spans="12:12" x14ac:dyDescent="0.15">
      <c r="L1309" s="23"/>
    </row>
    <row r="1310" spans="12:12" x14ac:dyDescent="0.15">
      <c r="L1310" s="23"/>
    </row>
    <row r="1311" spans="12:12" x14ac:dyDescent="0.15">
      <c r="L1311" s="23"/>
    </row>
    <row r="1312" spans="12:12" x14ac:dyDescent="0.15">
      <c r="L1312" s="23"/>
    </row>
    <row r="1313" spans="12:12" x14ac:dyDescent="0.15">
      <c r="L1313" s="23"/>
    </row>
    <row r="1314" spans="12:12" x14ac:dyDescent="0.15">
      <c r="L1314" s="23"/>
    </row>
    <row r="1315" spans="12:12" x14ac:dyDescent="0.15">
      <c r="L1315" s="23"/>
    </row>
    <row r="1316" spans="12:12" x14ac:dyDescent="0.15">
      <c r="L1316" s="23"/>
    </row>
    <row r="1317" spans="12:12" x14ac:dyDescent="0.15">
      <c r="L1317" s="23"/>
    </row>
    <row r="1318" spans="12:12" x14ac:dyDescent="0.15">
      <c r="L1318" s="23"/>
    </row>
    <row r="1319" spans="12:12" x14ac:dyDescent="0.15">
      <c r="L1319" s="23"/>
    </row>
    <row r="1320" spans="12:12" x14ac:dyDescent="0.15">
      <c r="L1320" s="23"/>
    </row>
    <row r="1321" spans="12:12" x14ac:dyDescent="0.15">
      <c r="L1321" s="23"/>
    </row>
    <row r="1322" spans="12:12" x14ac:dyDescent="0.15">
      <c r="L1322" s="23"/>
    </row>
    <row r="1323" spans="12:12" x14ac:dyDescent="0.15">
      <c r="L1323" s="23"/>
    </row>
    <row r="1324" spans="12:12" x14ac:dyDescent="0.15">
      <c r="L1324" s="23"/>
    </row>
    <row r="1325" spans="12:12" x14ac:dyDescent="0.15">
      <c r="L1325" s="23"/>
    </row>
    <row r="1326" spans="12:12" x14ac:dyDescent="0.15">
      <c r="L1326" s="23"/>
    </row>
    <row r="1327" spans="12:12" x14ac:dyDescent="0.15">
      <c r="L1327" s="23"/>
    </row>
    <row r="1328" spans="12:12" x14ac:dyDescent="0.15">
      <c r="L1328" s="23"/>
    </row>
    <row r="1329" spans="12:12" x14ac:dyDescent="0.15">
      <c r="L1329" s="23"/>
    </row>
    <row r="1330" spans="12:12" x14ac:dyDescent="0.15">
      <c r="L1330" s="23"/>
    </row>
    <row r="1331" spans="12:12" x14ac:dyDescent="0.15">
      <c r="L1331" s="23"/>
    </row>
    <row r="1332" spans="12:12" x14ac:dyDescent="0.15">
      <c r="L1332" s="23"/>
    </row>
    <row r="1333" spans="12:12" x14ac:dyDescent="0.15">
      <c r="L1333" s="23"/>
    </row>
    <row r="1334" spans="12:12" x14ac:dyDescent="0.15">
      <c r="L1334" s="23"/>
    </row>
    <row r="1335" spans="12:12" x14ac:dyDescent="0.15">
      <c r="L1335" s="23"/>
    </row>
    <row r="1336" spans="12:12" x14ac:dyDescent="0.15">
      <c r="L1336" s="23"/>
    </row>
    <row r="1337" spans="12:12" x14ac:dyDescent="0.15">
      <c r="L1337" s="23"/>
    </row>
    <row r="1338" spans="12:12" x14ac:dyDescent="0.15">
      <c r="L1338" s="23"/>
    </row>
    <row r="1339" spans="12:12" x14ac:dyDescent="0.15">
      <c r="L1339" s="23"/>
    </row>
    <row r="1340" spans="12:12" x14ac:dyDescent="0.15">
      <c r="L1340" s="23"/>
    </row>
    <row r="1341" spans="12:12" x14ac:dyDescent="0.15">
      <c r="L1341" s="23"/>
    </row>
    <row r="1342" spans="12:12" x14ac:dyDescent="0.15">
      <c r="L1342" s="23"/>
    </row>
    <row r="1343" spans="12:12" x14ac:dyDescent="0.15">
      <c r="L1343" s="23"/>
    </row>
    <row r="1344" spans="12:12" x14ac:dyDescent="0.15">
      <c r="L1344" s="23"/>
    </row>
    <row r="1345" spans="12:12" x14ac:dyDescent="0.15">
      <c r="L1345" s="23"/>
    </row>
    <row r="1346" spans="12:12" x14ac:dyDescent="0.15">
      <c r="L1346" s="23"/>
    </row>
    <row r="1347" spans="12:12" x14ac:dyDescent="0.15">
      <c r="L1347" s="23"/>
    </row>
    <row r="1348" spans="12:12" x14ac:dyDescent="0.15">
      <c r="L1348" s="23"/>
    </row>
    <row r="1349" spans="12:12" x14ac:dyDescent="0.15">
      <c r="L1349" s="23"/>
    </row>
    <row r="1350" spans="12:12" x14ac:dyDescent="0.15">
      <c r="L1350" s="23"/>
    </row>
    <row r="1351" spans="12:12" x14ac:dyDescent="0.15">
      <c r="L1351" s="23"/>
    </row>
    <row r="1352" spans="12:12" x14ac:dyDescent="0.15">
      <c r="L1352" s="23"/>
    </row>
    <row r="1353" spans="12:12" x14ac:dyDescent="0.15">
      <c r="L1353" s="23"/>
    </row>
    <row r="1354" spans="12:12" x14ac:dyDescent="0.15">
      <c r="L1354" s="23"/>
    </row>
    <row r="1355" spans="12:12" x14ac:dyDescent="0.15">
      <c r="L1355" s="23"/>
    </row>
    <row r="1356" spans="12:12" x14ac:dyDescent="0.15">
      <c r="L1356" s="23"/>
    </row>
    <row r="1357" spans="12:12" x14ac:dyDescent="0.15">
      <c r="L1357" s="23"/>
    </row>
    <row r="1358" spans="12:12" x14ac:dyDescent="0.15">
      <c r="L1358" s="23"/>
    </row>
    <row r="1359" spans="12:12" x14ac:dyDescent="0.15">
      <c r="L1359" s="23"/>
    </row>
    <row r="1360" spans="12:12" x14ac:dyDescent="0.15">
      <c r="L1360" s="23"/>
    </row>
    <row r="1361" spans="12:12" x14ac:dyDescent="0.15">
      <c r="L1361" s="23"/>
    </row>
    <row r="1362" spans="12:12" x14ac:dyDescent="0.15">
      <c r="L1362" s="23"/>
    </row>
    <row r="1363" spans="12:12" x14ac:dyDescent="0.15">
      <c r="L1363" s="23"/>
    </row>
    <row r="1364" spans="12:12" x14ac:dyDescent="0.15">
      <c r="L1364" s="23"/>
    </row>
    <row r="1365" spans="12:12" x14ac:dyDescent="0.15">
      <c r="L1365" s="23"/>
    </row>
    <row r="1366" spans="12:12" x14ac:dyDescent="0.15">
      <c r="L1366" s="23"/>
    </row>
    <row r="1367" spans="12:12" x14ac:dyDescent="0.15">
      <c r="L1367" s="23"/>
    </row>
    <row r="1368" spans="12:12" x14ac:dyDescent="0.15">
      <c r="L1368" s="23"/>
    </row>
    <row r="1369" spans="12:12" x14ac:dyDescent="0.15">
      <c r="L1369" s="23"/>
    </row>
    <row r="1370" spans="12:12" x14ac:dyDescent="0.15">
      <c r="L1370" s="23"/>
    </row>
    <row r="1371" spans="12:12" x14ac:dyDescent="0.15">
      <c r="L1371" s="23"/>
    </row>
    <row r="1372" spans="12:12" x14ac:dyDescent="0.15">
      <c r="L1372" s="23"/>
    </row>
    <row r="1373" spans="12:12" x14ac:dyDescent="0.15">
      <c r="L1373" s="23"/>
    </row>
    <row r="1374" spans="12:12" x14ac:dyDescent="0.15">
      <c r="L1374" s="23"/>
    </row>
    <row r="1375" spans="12:12" x14ac:dyDescent="0.15">
      <c r="L1375" s="23"/>
    </row>
    <row r="1376" spans="12:12" x14ac:dyDescent="0.15">
      <c r="L1376" s="23"/>
    </row>
    <row r="1377" spans="12:12" x14ac:dyDescent="0.15">
      <c r="L1377" s="23"/>
    </row>
    <row r="1378" spans="12:12" x14ac:dyDescent="0.15">
      <c r="L1378" s="23"/>
    </row>
    <row r="1379" spans="12:12" x14ac:dyDescent="0.15">
      <c r="L1379" s="23"/>
    </row>
    <row r="1380" spans="12:12" x14ac:dyDescent="0.15">
      <c r="L1380" s="23"/>
    </row>
    <row r="1381" spans="12:12" x14ac:dyDescent="0.15">
      <c r="L1381" s="23"/>
    </row>
    <row r="1382" spans="12:12" x14ac:dyDescent="0.15">
      <c r="L1382" s="23"/>
    </row>
    <row r="1383" spans="12:12" x14ac:dyDescent="0.15">
      <c r="L1383" s="23"/>
    </row>
    <row r="1384" spans="12:12" x14ac:dyDescent="0.15">
      <c r="L1384" s="23"/>
    </row>
    <row r="1385" spans="12:12" x14ac:dyDescent="0.15">
      <c r="L1385" s="23"/>
    </row>
    <row r="1386" spans="12:12" x14ac:dyDescent="0.15">
      <c r="L1386" s="23"/>
    </row>
    <row r="1387" spans="12:12" x14ac:dyDescent="0.15">
      <c r="L1387" s="23"/>
    </row>
    <row r="1388" spans="12:12" x14ac:dyDescent="0.15">
      <c r="L1388" s="23"/>
    </row>
    <row r="1389" spans="12:12" x14ac:dyDescent="0.15">
      <c r="L1389" s="23"/>
    </row>
    <row r="1390" spans="12:12" x14ac:dyDescent="0.15">
      <c r="L1390" s="23"/>
    </row>
    <row r="1391" spans="12:12" x14ac:dyDescent="0.15">
      <c r="L1391" s="23"/>
    </row>
    <row r="1392" spans="12:12" x14ac:dyDescent="0.15">
      <c r="L1392" s="23"/>
    </row>
    <row r="1393" spans="12:12" x14ac:dyDescent="0.15">
      <c r="L1393" s="23"/>
    </row>
    <row r="1394" spans="12:12" x14ac:dyDescent="0.15">
      <c r="L1394" s="23"/>
    </row>
    <row r="1395" spans="12:12" x14ac:dyDescent="0.15">
      <c r="L1395" s="23"/>
    </row>
    <row r="1396" spans="12:12" x14ac:dyDescent="0.15">
      <c r="L1396" s="23"/>
    </row>
    <row r="1397" spans="12:12" x14ac:dyDescent="0.15">
      <c r="L1397" s="23"/>
    </row>
    <row r="1398" spans="12:12" x14ac:dyDescent="0.15">
      <c r="L1398" s="23"/>
    </row>
    <row r="1399" spans="12:12" x14ac:dyDescent="0.15">
      <c r="L1399" s="23"/>
    </row>
    <row r="1400" spans="12:12" x14ac:dyDescent="0.15">
      <c r="L1400" s="23"/>
    </row>
    <row r="1401" spans="12:12" x14ac:dyDescent="0.15">
      <c r="L1401" s="23"/>
    </row>
    <row r="1402" spans="12:12" x14ac:dyDescent="0.15">
      <c r="L1402" s="23"/>
    </row>
    <row r="1403" spans="12:12" x14ac:dyDescent="0.15">
      <c r="L1403" s="23"/>
    </row>
    <row r="1404" spans="12:12" x14ac:dyDescent="0.15">
      <c r="L1404" s="23"/>
    </row>
    <row r="1405" spans="12:12" x14ac:dyDescent="0.15">
      <c r="L1405" s="23"/>
    </row>
    <row r="1406" spans="12:12" x14ac:dyDescent="0.15">
      <c r="L1406" s="23"/>
    </row>
    <row r="1407" spans="12:12" x14ac:dyDescent="0.15">
      <c r="L1407" s="23"/>
    </row>
    <row r="1408" spans="12:12" x14ac:dyDescent="0.15">
      <c r="L1408" s="23"/>
    </row>
    <row r="1409" spans="12:12" x14ac:dyDescent="0.15">
      <c r="L1409" s="23"/>
    </row>
    <row r="1410" spans="12:12" x14ac:dyDescent="0.15">
      <c r="L1410" s="23"/>
    </row>
    <row r="1411" spans="12:12" x14ac:dyDescent="0.15">
      <c r="L1411" s="23"/>
    </row>
    <row r="1412" spans="12:12" x14ac:dyDescent="0.15">
      <c r="L1412" s="23"/>
    </row>
    <row r="1413" spans="12:12" x14ac:dyDescent="0.15">
      <c r="L1413" s="23"/>
    </row>
    <row r="1414" spans="12:12" x14ac:dyDescent="0.15">
      <c r="L1414" s="23"/>
    </row>
    <row r="1415" spans="12:12" x14ac:dyDescent="0.15">
      <c r="L1415" s="23"/>
    </row>
    <row r="1416" spans="12:12" x14ac:dyDescent="0.15">
      <c r="L1416" s="23"/>
    </row>
    <row r="1417" spans="12:12" x14ac:dyDescent="0.15">
      <c r="L1417" s="23"/>
    </row>
    <row r="1418" spans="12:12" x14ac:dyDescent="0.15">
      <c r="L1418" s="23"/>
    </row>
    <row r="1419" spans="12:12" x14ac:dyDescent="0.15">
      <c r="L1419" s="23"/>
    </row>
    <row r="1420" spans="12:12" x14ac:dyDescent="0.15">
      <c r="L1420" s="23"/>
    </row>
    <row r="1421" spans="12:12" x14ac:dyDescent="0.15">
      <c r="L1421" s="23"/>
    </row>
    <row r="1422" spans="12:12" x14ac:dyDescent="0.15">
      <c r="L1422" s="23"/>
    </row>
    <row r="1423" spans="12:12" x14ac:dyDescent="0.15">
      <c r="L1423" s="23"/>
    </row>
    <row r="1424" spans="12:12" x14ac:dyDescent="0.15">
      <c r="L1424" s="23"/>
    </row>
    <row r="1425" spans="12:12" x14ac:dyDescent="0.15">
      <c r="L1425" s="23"/>
    </row>
    <row r="1426" spans="12:12" x14ac:dyDescent="0.15">
      <c r="L1426" s="23"/>
    </row>
    <row r="1427" spans="12:12" x14ac:dyDescent="0.15">
      <c r="L1427" s="23"/>
    </row>
    <row r="1428" spans="12:12" x14ac:dyDescent="0.15">
      <c r="L1428" s="23"/>
    </row>
    <row r="1429" spans="12:12" x14ac:dyDescent="0.15">
      <c r="L1429" s="23"/>
    </row>
    <row r="1430" spans="12:12" x14ac:dyDescent="0.15">
      <c r="L1430" s="23"/>
    </row>
    <row r="1431" spans="12:12" x14ac:dyDescent="0.15">
      <c r="L1431" s="23"/>
    </row>
    <row r="1432" spans="12:12" x14ac:dyDescent="0.15">
      <c r="L1432" s="23"/>
    </row>
    <row r="1433" spans="12:12" x14ac:dyDescent="0.15">
      <c r="L1433" s="23"/>
    </row>
    <row r="1434" spans="12:12" x14ac:dyDescent="0.15">
      <c r="L1434" s="23"/>
    </row>
    <row r="1435" spans="12:12" x14ac:dyDescent="0.15">
      <c r="L1435" s="23"/>
    </row>
    <row r="1436" spans="12:12" x14ac:dyDescent="0.15">
      <c r="L1436" s="23"/>
    </row>
    <row r="1437" spans="12:12" x14ac:dyDescent="0.15">
      <c r="L1437" s="23"/>
    </row>
    <row r="1438" spans="12:12" x14ac:dyDescent="0.15">
      <c r="L1438" s="23"/>
    </row>
    <row r="1439" spans="12:12" x14ac:dyDescent="0.15">
      <c r="L1439" s="23"/>
    </row>
    <row r="1440" spans="12:12" x14ac:dyDescent="0.15">
      <c r="L1440" s="23"/>
    </row>
    <row r="1441" spans="12:12" x14ac:dyDescent="0.15">
      <c r="L1441" s="23"/>
    </row>
    <row r="1442" spans="12:12" x14ac:dyDescent="0.15">
      <c r="L1442" s="23"/>
    </row>
    <row r="1443" spans="12:12" x14ac:dyDescent="0.15">
      <c r="L1443" s="23"/>
    </row>
    <row r="1444" spans="12:12" x14ac:dyDescent="0.15">
      <c r="L1444" s="23"/>
    </row>
    <row r="1445" spans="12:12" x14ac:dyDescent="0.15">
      <c r="L1445" s="23"/>
    </row>
    <row r="1446" spans="12:12" x14ac:dyDescent="0.15">
      <c r="L1446" s="23"/>
    </row>
    <row r="1447" spans="12:12" x14ac:dyDescent="0.15">
      <c r="L1447" s="23"/>
    </row>
    <row r="1448" spans="12:12" x14ac:dyDescent="0.15">
      <c r="L1448" s="23"/>
    </row>
    <row r="1449" spans="12:12" x14ac:dyDescent="0.15">
      <c r="L1449" s="23"/>
    </row>
    <row r="1450" spans="12:12" x14ac:dyDescent="0.15">
      <c r="L1450" s="23"/>
    </row>
    <row r="1451" spans="12:12" x14ac:dyDescent="0.15">
      <c r="L1451" s="23"/>
    </row>
    <row r="1452" spans="12:12" x14ac:dyDescent="0.15">
      <c r="L1452" s="23"/>
    </row>
    <row r="1453" spans="12:12" x14ac:dyDescent="0.15">
      <c r="L1453" s="23"/>
    </row>
    <row r="1454" spans="12:12" x14ac:dyDescent="0.15">
      <c r="L1454" s="23"/>
    </row>
    <row r="1455" spans="12:12" x14ac:dyDescent="0.15">
      <c r="L1455" s="23"/>
    </row>
    <row r="1456" spans="12:12" x14ac:dyDescent="0.15">
      <c r="L1456" s="23"/>
    </row>
    <row r="1457" spans="12:12" x14ac:dyDescent="0.15">
      <c r="L1457" s="23"/>
    </row>
    <row r="1458" spans="12:12" x14ac:dyDescent="0.15">
      <c r="L1458" s="23"/>
    </row>
    <row r="1459" spans="12:12" x14ac:dyDescent="0.15">
      <c r="L1459" s="23"/>
    </row>
    <row r="1460" spans="12:12" x14ac:dyDescent="0.15">
      <c r="L1460" s="23"/>
    </row>
    <row r="1461" spans="12:12" x14ac:dyDescent="0.15">
      <c r="L1461" s="23"/>
    </row>
    <row r="1462" spans="12:12" x14ac:dyDescent="0.15">
      <c r="L1462" s="23"/>
    </row>
    <row r="1463" spans="12:12" x14ac:dyDescent="0.15">
      <c r="L1463" s="23"/>
    </row>
    <row r="1464" spans="12:12" x14ac:dyDescent="0.15">
      <c r="L1464" s="23"/>
    </row>
    <row r="1465" spans="12:12" x14ac:dyDescent="0.15">
      <c r="L1465" s="23"/>
    </row>
    <row r="1466" spans="12:12" x14ac:dyDescent="0.15">
      <c r="L1466" s="23"/>
    </row>
    <row r="1467" spans="12:12" x14ac:dyDescent="0.15">
      <c r="L1467" s="23"/>
    </row>
    <row r="1468" spans="12:12" x14ac:dyDescent="0.15">
      <c r="L1468" s="23"/>
    </row>
    <row r="1469" spans="12:12" x14ac:dyDescent="0.15">
      <c r="L1469" s="23"/>
    </row>
    <row r="1470" spans="12:12" x14ac:dyDescent="0.15">
      <c r="L1470" s="23"/>
    </row>
    <row r="1471" spans="12:12" x14ac:dyDescent="0.15">
      <c r="L1471" s="23"/>
    </row>
    <row r="1472" spans="12:12" x14ac:dyDescent="0.15">
      <c r="L1472" s="23"/>
    </row>
    <row r="1473" spans="12:12" x14ac:dyDescent="0.15">
      <c r="L1473" s="23"/>
    </row>
    <row r="1474" spans="12:12" x14ac:dyDescent="0.15">
      <c r="L1474" s="23"/>
    </row>
    <row r="1475" spans="12:12" x14ac:dyDescent="0.15">
      <c r="L1475" s="23"/>
    </row>
    <row r="1476" spans="12:12" x14ac:dyDescent="0.15">
      <c r="L1476" s="23"/>
    </row>
    <row r="1477" spans="12:12" x14ac:dyDescent="0.15">
      <c r="L1477" s="23"/>
    </row>
    <row r="1478" spans="12:12" x14ac:dyDescent="0.15">
      <c r="L1478" s="23"/>
    </row>
    <row r="1479" spans="12:12" x14ac:dyDescent="0.15">
      <c r="L1479" s="23"/>
    </row>
    <row r="1480" spans="12:12" x14ac:dyDescent="0.15">
      <c r="L1480" s="23"/>
    </row>
    <row r="1481" spans="12:12" x14ac:dyDescent="0.15">
      <c r="L1481" s="23"/>
    </row>
    <row r="1482" spans="12:12" x14ac:dyDescent="0.15">
      <c r="L1482" s="23"/>
    </row>
    <row r="1483" spans="12:12" x14ac:dyDescent="0.15">
      <c r="L1483" s="23"/>
    </row>
    <row r="1484" spans="12:12" x14ac:dyDescent="0.15">
      <c r="L1484" s="23"/>
    </row>
    <row r="1485" spans="12:12" x14ac:dyDescent="0.15">
      <c r="L1485" s="23"/>
    </row>
    <row r="1486" spans="12:12" x14ac:dyDescent="0.15">
      <c r="L1486" s="23"/>
    </row>
    <row r="1487" spans="12:12" x14ac:dyDescent="0.15">
      <c r="L1487" s="23"/>
    </row>
    <row r="1488" spans="12:12" x14ac:dyDescent="0.15">
      <c r="L1488" s="23"/>
    </row>
    <row r="1489" spans="12:12" x14ac:dyDescent="0.15">
      <c r="L1489" s="23"/>
    </row>
    <row r="1490" spans="12:12" x14ac:dyDescent="0.15">
      <c r="L1490" s="23"/>
    </row>
    <row r="1491" spans="12:12" x14ac:dyDescent="0.15">
      <c r="L1491" s="23"/>
    </row>
    <row r="1492" spans="12:12" x14ac:dyDescent="0.15">
      <c r="L1492" s="23"/>
    </row>
    <row r="1493" spans="12:12" x14ac:dyDescent="0.15">
      <c r="L1493" s="23"/>
    </row>
    <row r="1494" spans="12:12" x14ac:dyDescent="0.15">
      <c r="L1494" s="23"/>
    </row>
    <row r="1495" spans="12:12" x14ac:dyDescent="0.15">
      <c r="L1495" s="23"/>
    </row>
    <row r="1496" spans="12:12" x14ac:dyDescent="0.15">
      <c r="L1496" s="23"/>
    </row>
    <row r="1497" spans="12:12" x14ac:dyDescent="0.15">
      <c r="L1497" s="23"/>
    </row>
    <row r="1498" spans="12:12" x14ac:dyDescent="0.15">
      <c r="L1498" s="23"/>
    </row>
    <row r="1499" spans="12:12" x14ac:dyDescent="0.15">
      <c r="L1499" s="23"/>
    </row>
    <row r="1500" spans="12:12" x14ac:dyDescent="0.15">
      <c r="L1500" s="23"/>
    </row>
    <row r="1501" spans="12:12" x14ac:dyDescent="0.15">
      <c r="L1501" s="23"/>
    </row>
    <row r="1502" spans="12:12" x14ac:dyDescent="0.15">
      <c r="L1502" s="23"/>
    </row>
    <row r="1503" spans="12:12" x14ac:dyDescent="0.15">
      <c r="L1503" s="23"/>
    </row>
    <row r="1504" spans="12:12" x14ac:dyDescent="0.15">
      <c r="L1504" s="23"/>
    </row>
    <row r="1505" spans="12:12" x14ac:dyDescent="0.15">
      <c r="L1505" s="23"/>
    </row>
    <row r="1506" spans="12:12" x14ac:dyDescent="0.15">
      <c r="L1506" s="23"/>
    </row>
    <row r="1507" spans="12:12" x14ac:dyDescent="0.15">
      <c r="L1507" s="23"/>
    </row>
    <row r="1508" spans="12:12" x14ac:dyDescent="0.15">
      <c r="L1508" s="23"/>
    </row>
    <row r="1509" spans="12:12" x14ac:dyDescent="0.15">
      <c r="L1509" s="23"/>
    </row>
    <row r="1510" spans="12:12" x14ac:dyDescent="0.15">
      <c r="L1510" s="23"/>
    </row>
    <row r="1511" spans="12:12" x14ac:dyDescent="0.15">
      <c r="L1511" s="23"/>
    </row>
    <row r="1512" spans="12:12" x14ac:dyDescent="0.15">
      <c r="L1512" s="23"/>
    </row>
    <row r="1513" spans="12:12" x14ac:dyDescent="0.15">
      <c r="L1513" s="23"/>
    </row>
    <row r="1514" spans="12:12" x14ac:dyDescent="0.15">
      <c r="L1514" s="23"/>
    </row>
    <row r="1515" spans="12:12" x14ac:dyDescent="0.15">
      <c r="L1515" s="23"/>
    </row>
    <row r="1516" spans="12:12" x14ac:dyDescent="0.15">
      <c r="L1516" s="23"/>
    </row>
    <row r="1517" spans="12:12" x14ac:dyDescent="0.15">
      <c r="L1517" s="23"/>
    </row>
    <row r="1518" spans="12:12" x14ac:dyDescent="0.15">
      <c r="L1518" s="23"/>
    </row>
    <row r="1519" spans="12:12" x14ac:dyDescent="0.15">
      <c r="L1519" s="23"/>
    </row>
    <row r="1520" spans="12:12" x14ac:dyDescent="0.15">
      <c r="L1520" s="23"/>
    </row>
    <row r="1521" spans="12:12" x14ac:dyDescent="0.15">
      <c r="L1521" s="23"/>
    </row>
    <row r="1522" spans="12:12" x14ac:dyDescent="0.15">
      <c r="L1522" s="23"/>
    </row>
    <row r="1523" spans="12:12" x14ac:dyDescent="0.15">
      <c r="L1523" s="23"/>
    </row>
    <row r="1524" spans="12:12" x14ac:dyDescent="0.15">
      <c r="L1524" s="23"/>
    </row>
    <row r="1525" spans="12:12" x14ac:dyDescent="0.15">
      <c r="L1525" s="23"/>
    </row>
    <row r="1526" spans="12:12" x14ac:dyDescent="0.15">
      <c r="L1526" s="23"/>
    </row>
    <row r="1527" spans="12:12" x14ac:dyDescent="0.15">
      <c r="L1527" s="23"/>
    </row>
    <row r="1528" spans="12:12" x14ac:dyDescent="0.15">
      <c r="L1528" s="23"/>
    </row>
    <row r="1529" spans="12:12" x14ac:dyDescent="0.15">
      <c r="L1529" s="23"/>
    </row>
    <row r="1530" spans="12:12" x14ac:dyDescent="0.15">
      <c r="L1530" s="23"/>
    </row>
    <row r="1531" spans="12:12" x14ac:dyDescent="0.15">
      <c r="L1531" s="23"/>
    </row>
    <row r="1532" spans="12:12" x14ac:dyDescent="0.15">
      <c r="L1532" s="23"/>
    </row>
    <row r="1533" spans="12:12" x14ac:dyDescent="0.15">
      <c r="L1533" s="23"/>
    </row>
    <row r="1534" spans="12:12" x14ac:dyDescent="0.15">
      <c r="L1534" s="23"/>
    </row>
    <row r="1535" spans="12:12" x14ac:dyDescent="0.15">
      <c r="L1535" s="23"/>
    </row>
    <row r="1536" spans="12:12" x14ac:dyDescent="0.15">
      <c r="L1536" s="23"/>
    </row>
    <row r="1537" spans="12:12" x14ac:dyDescent="0.15">
      <c r="L1537" s="23"/>
    </row>
    <row r="1538" spans="12:12" x14ac:dyDescent="0.15">
      <c r="L1538" s="23"/>
    </row>
    <row r="1539" spans="12:12" x14ac:dyDescent="0.15">
      <c r="L1539" s="23"/>
    </row>
    <row r="1540" spans="12:12" x14ac:dyDescent="0.15">
      <c r="L1540" s="23"/>
    </row>
    <row r="1541" spans="12:12" x14ac:dyDescent="0.15">
      <c r="L1541" s="23"/>
    </row>
    <row r="1542" spans="12:12" x14ac:dyDescent="0.15">
      <c r="L1542" s="23"/>
    </row>
    <row r="1543" spans="12:12" x14ac:dyDescent="0.15">
      <c r="L1543" s="23"/>
    </row>
    <row r="1544" spans="12:12" x14ac:dyDescent="0.15">
      <c r="L1544" s="23"/>
    </row>
    <row r="1545" spans="12:12" x14ac:dyDescent="0.15">
      <c r="L1545" s="23"/>
    </row>
    <row r="1546" spans="12:12" x14ac:dyDescent="0.15">
      <c r="L1546" s="23"/>
    </row>
    <row r="1547" spans="12:12" x14ac:dyDescent="0.15">
      <c r="L1547" s="23"/>
    </row>
    <row r="1548" spans="12:12" x14ac:dyDescent="0.15">
      <c r="L1548" s="23"/>
    </row>
    <row r="1549" spans="12:12" x14ac:dyDescent="0.15">
      <c r="L1549" s="23"/>
    </row>
    <row r="1550" spans="12:12" x14ac:dyDescent="0.15">
      <c r="L1550" s="23"/>
    </row>
    <row r="1551" spans="12:12" x14ac:dyDescent="0.15">
      <c r="L1551" s="23"/>
    </row>
    <row r="1552" spans="12:12" x14ac:dyDescent="0.15">
      <c r="L1552" s="23"/>
    </row>
    <row r="1553" spans="12:12" x14ac:dyDescent="0.15">
      <c r="L1553" s="23"/>
    </row>
    <row r="1554" spans="12:12" x14ac:dyDescent="0.15">
      <c r="L1554" s="23"/>
    </row>
    <row r="1555" spans="12:12" x14ac:dyDescent="0.15">
      <c r="L1555" s="23"/>
    </row>
    <row r="1556" spans="12:12" x14ac:dyDescent="0.15">
      <c r="L1556" s="23"/>
    </row>
    <row r="1557" spans="12:12" x14ac:dyDescent="0.15">
      <c r="L1557" s="23"/>
    </row>
    <row r="1558" spans="12:12" x14ac:dyDescent="0.15">
      <c r="L1558" s="23"/>
    </row>
    <row r="1559" spans="12:12" x14ac:dyDescent="0.15">
      <c r="L1559" s="23"/>
    </row>
    <row r="1560" spans="12:12" x14ac:dyDescent="0.15">
      <c r="L1560" s="23"/>
    </row>
    <row r="1561" spans="12:12" x14ac:dyDescent="0.15">
      <c r="L1561" s="23"/>
    </row>
    <row r="1562" spans="12:12" x14ac:dyDescent="0.15">
      <c r="L1562" s="23"/>
    </row>
    <row r="1563" spans="12:12" x14ac:dyDescent="0.15">
      <c r="L1563" s="23"/>
    </row>
    <row r="1564" spans="12:12" x14ac:dyDescent="0.15">
      <c r="L1564" s="23"/>
    </row>
    <row r="1565" spans="12:12" x14ac:dyDescent="0.15">
      <c r="L1565" s="23"/>
    </row>
    <row r="1566" spans="12:12" x14ac:dyDescent="0.15">
      <c r="L1566" s="23"/>
    </row>
    <row r="1567" spans="12:12" x14ac:dyDescent="0.15">
      <c r="L1567" s="23"/>
    </row>
    <row r="1568" spans="12:12" x14ac:dyDescent="0.15">
      <c r="L1568" s="23"/>
    </row>
    <row r="1569" spans="12:12" x14ac:dyDescent="0.15">
      <c r="L1569" s="23"/>
    </row>
    <row r="1570" spans="12:12" x14ac:dyDescent="0.15">
      <c r="L1570" s="23"/>
    </row>
    <row r="1571" spans="12:12" x14ac:dyDescent="0.15">
      <c r="L1571" s="23"/>
    </row>
    <row r="1572" spans="12:12" x14ac:dyDescent="0.15">
      <c r="L1572" s="23"/>
    </row>
    <row r="1573" spans="12:12" x14ac:dyDescent="0.15">
      <c r="L1573" s="23"/>
    </row>
    <row r="1574" spans="12:12" x14ac:dyDescent="0.15">
      <c r="L1574" s="23"/>
    </row>
    <row r="1575" spans="12:12" x14ac:dyDescent="0.15">
      <c r="L1575" s="23"/>
    </row>
    <row r="1576" spans="12:12" x14ac:dyDescent="0.15">
      <c r="L1576" s="23"/>
    </row>
    <row r="1577" spans="12:12" x14ac:dyDescent="0.15">
      <c r="L1577" s="23"/>
    </row>
    <row r="1578" spans="12:12" x14ac:dyDescent="0.15">
      <c r="L1578" s="23"/>
    </row>
    <row r="1579" spans="12:12" x14ac:dyDescent="0.15">
      <c r="L1579" s="23"/>
    </row>
    <row r="1580" spans="12:12" x14ac:dyDescent="0.15">
      <c r="L1580" s="23"/>
    </row>
    <row r="1581" spans="12:12" x14ac:dyDescent="0.15">
      <c r="L1581" s="23"/>
    </row>
    <row r="1582" spans="12:12" x14ac:dyDescent="0.15">
      <c r="L1582" s="23"/>
    </row>
    <row r="1583" spans="12:12" x14ac:dyDescent="0.15">
      <c r="L1583" s="23"/>
    </row>
    <row r="1584" spans="12:12" x14ac:dyDescent="0.15">
      <c r="L1584" s="23"/>
    </row>
    <row r="1585" spans="12:12" x14ac:dyDescent="0.15">
      <c r="L1585" s="23"/>
    </row>
    <row r="1586" spans="12:12" x14ac:dyDescent="0.15">
      <c r="L1586" s="23"/>
    </row>
    <row r="1587" spans="12:12" x14ac:dyDescent="0.15">
      <c r="L1587" s="23"/>
    </row>
    <row r="1588" spans="12:12" x14ac:dyDescent="0.15">
      <c r="L1588" s="23"/>
    </row>
    <row r="1589" spans="12:12" x14ac:dyDescent="0.15">
      <c r="L1589" s="23"/>
    </row>
    <row r="1590" spans="12:12" x14ac:dyDescent="0.15">
      <c r="L1590" s="23"/>
    </row>
    <row r="1591" spans="12:12" x14ac:dyDescent="0.15">
      <c r="L1591" s="23"/>
    </row>
    <row r="1592" spans="12:12" x14ac:dyDescent="0.15">
      <c r="L1592" s="23"/>
    </row>
    <row r="1593" spans="12:12" x14ac:dyDescent="0.15">
      <c r="L1593" s="23"/>
    </row>
    <row r="1594" spans="12:12" x14ac:dyDescent="0.15">
      <c r="L1594" s="23"/>
    </row>
    <row r="1595" spans="12:12" x14ac:dyDescent="0.15">
      <c r="L1595" s="23"/>
    </row>
    <row r="1596" spans="12:12" x14ac:dyDescent="0.15">
      <c r="L1596" s="23"/>
    </row>
    <row r="1597" spans="12:12" x14ac:dyDescent="0.15">
      <c r="L1597" s="23"/>
    </row>
    <row r="1598" spans="12:12" x14ac:dyDescent="0.15">
      <c r="L1598" s="23"/>
    </row>
    <row r="1599" spans="12:12" x14ac:dyDescent="0.15">
      <c r="L1599" s="23"/>
    </row>
    <row r="1600" spans="12:12" x14ac:dyDescent="0.15">
      <c r="L1600" s="23"/>
    </row>
    <row r="1601" spans="12:12" x14ac:dyDescent="0.15">
      <c r="L1601" s="23"/>
    </row>
    <row r="1602" spans="12:12" x14ac:dyDescent="0.15">
      <c r="L1602" s="23"/>
    </row>
    <row r="1603" spans="12:12" x14ac:dyDescent="0.15">
      <c r="L1603" s="23"/>
    </row>
    <row r="1604" spans="12:12" x14ac:dyDescent="0.15">
      <c r="L1604" s="23"/>
    </row>
    <row r="1605" spans="12:12" x14ac:dyDescent="0.15">
      <c r="L1605" s="23"/>
    </row>
    <row r="1606" spans="12:12" x14ac:dyDescent="0.15">
      <c r="L1606" s="23"/>
    </row>
    <row r="1607" spans="12:12" x14ac:dyDescent="0.15">
      <c r="L1607" s="23"/>
    </row>
    <row r="1608" spans="12:12" x14ac:dyDescent="0.15">
      <c r="L1608" s="23"/>
    </row>
    <row r="1609" spans="12:12" x14ac:dyDescent="0.15">
      <c r="L1609" s="23"/>
    </row>
    <row r="1610" spans="12:12" x14ac:dyDescent="0.15">
      <c r="L1610" s="23"/>
    </row>
    <row r="1611" spans="12:12" x14ac:dyDescent="0.15">
      <c r="L1611" s="23"/>
    </row>
    <row r="1612" spans="12:12" x14ac:dyDescent="0.15">
      <c r="L1612" s="23"/>
    </row>
    <row r="1613" spans="12:12" x14ac:dyDescent="0.15">
      <c r="L1613" s="23"/>
    </row>
    <row r="1614" spans="12:12" x14ac:dyDescent="0.15">
      <c r="L1614" s="23"/>
    </row>
    <row r="1615" spans="12:12" x14ac:dyDescent="0.15">
      <c r="L1615" s="23"/>
    </row>
    <row r="1616" spans="12:12" x14ac:dyDescent="0.15">
      <c r="L1616" s="23"/>
    </row>
    <row r="1617" spans="12:12" x14ac:dyDescent="0.15">
      <c r="L1617" s="23"/>
    </row>
    <row r="1618" spans="12:12" x14ac:dyDescent="0.15">
      <c r="L1618" s="23"/>
    </row>
    <row r="1619" spans="12:12" x14ac:dyDescent="0.15">
      <c r="L1619" s="23"/>
    </row>
    <row r="1620" spans="12:12" x14ac:dyDescent="0.15">
      <c r="L1620" s="23"/>
    </row>
    <row r="1621" spans="12:12" x14ac:dyDescent="0.15">
      <c r="L1621" s="23"/>
    </row>
    <row r="1622" spans="12:12" x14ac:dyDescent="0.15">
      <c r="L1622" s="23"/>
    </row>
    <row r="1623" spans="12:12" x14ac:dyDescent="0.15">
      <c r="L1623" s="23"/>
    </row>
    <row r="1624" spans="12:12" x14ac:dyDescent="0.15">
      <c r="L1624" s="23"/>
    </row>
    <row r="1625" spans="12:12" x14ac:dyDescent="0.15">
      <c r="L1625" s="23"/>
    </row>
    <row r="1626" spans="12:12" x14ac:dyDescent="0.15">
      <c r="L1626" s="23"/>
    </row>
    <row r="1627" spans="12:12" x14ac:dyDescent="0.15">
      <c r="L1627" s="23"/>
    </row>
    <row r="1628" spans="12:12" x14ac:dyDescent="0.15">
      <c r="L1628" s="23"/>
    </row>
    <row r="1629" spans="12:12" x14ac:dyDescent="0.15">
      <c r="L1629" s="23"/>
    </row>
    <row r="1630" spans="12:12" x14ac:dyDescent="0.15">
      <c r="L1630" s="23"/>
    </row>
    <row r="1631" spans="12:12" x14ac:dyDescent="0.15">
      <c r="L1631" s="23"/>
    </row>
    <row r="1632" spans="12:12" x14ac:dyDescent="0.15">
      <c r="L1632" s="23"/>
    </row>
    <row r="1633" spans="12:12" x14ac:dyDescent="0.15">
      <c r="L1633" s="23"/>
    </row>
    <row r="1634" spans="12:12" x14ac:dyDescent="0.15">
      <c r="L1634" s="23"/>
    </row>
    <row r="1635" spans="12:12" x14ac:dyDescent="0.15">
      <c r="L1635" s="23"/>
    </row>
    <row r="1636" spans="12:12" x14ac:dyDescent="0.15">
      <c r="L1636" s="23"/>
    </row>
    <row r="1637" spans="12:12" x14ac:dyDescent="0.15">
      <c r="L1637" s="23"/>
    </row>
    <row r="1638" spans="12:12" x14ac:dyDescent="0.15">
      <c r="L1638" s="23"/>
    </row>
    <row r="1639" spans="12:12" x14ac:dyDescent="0.15">
      <c r="L1639" s="23"/>
    </row>
    <row r="1640" spans="12:12" x14ac:dyDescent="0.15">
      <c r="L1640" s="23"/>
    </row>
    <row r="1641" spans="12:12" x14ac:dyDescent="0.15">
      <c r="L1641" s="23"/>
    </row>
    <row r="1642" spans="12:12" x14ac:dyDescent="0.15">
      <c r="L1642" s="23"/>
    </row>
    <row r="1643" spans="12:12" x14ac:dyDescent="0.15">
      <c r="L1643" s="23"/>
    </row>
    <row r="1644" spans="12:12" x14ac:dyDescent="0.15">
      <c r="L1644" s="23"/>
    </row>
    <row r="1645" spans="12:12" x14ac:dyDescent="0.15">
      <c r="L1645" s="23"/>
    </row>
    <row r="1646" spans="12:12" x14ac:dyDescent="0.15">
      <c r="L1646" s="23"/>
    </row>
    <row r="1647" spans="12:12" x14ac:dyDescent="0.15">
      <c r="L1647" s="23"/>
    </row>
    <row r="1648" spans="12:12" x14ac:dyDescent="0.15">
      <c r="L1648" s="23"/>
    </row>
    <row r="1649" spans="12:12" x14ac:dyDescent="0.15">
      <c r="L1649" s="23"/>
    </row>
    <row r="1650" spans="12:12" x14ac:dyDescent="0.15">
      <c r="L1650" s="23"/>
    </row>
    <row r="1651" spans="12:12" x14ac:dyDescent="0.15">
      <c r="L1651" s="23"/>
    </row>
    <row r="1652" spans="12:12" x14ac:dyDescent="0.15">
      <c r="L1652" s="23"/>
    </row>
    <row r="1653" spans="12:12" x14ac:dyDescent="0.15">
      <c r="L1653" s="23"/>
    </row>
    <row r="1654" spans="12:12" x14ac:dyDescent="0.15">
      <c r="L1654" s="23"/>
    </row>
    <row r="1655" spans="12:12" x14ac:dyDescent="0.15">
      <c r="L1655" s="23"/>
    </row>
    <row r="1656" spans="12:12" x14ac:dyDescent="0.15">
      <c r="L1656" s="23"/>
    </row>
    <row r="1657" spans="12:12" x14ac:dyDescent="0.15">
      <c r="L1657" s="23"/>
    </row>
    <row r="1658" spans="12:12" x14ac:dyDescent="0.15">
      <c r="L1658" s="23"/>
    </row>
    <row r="1659" spans="12:12" x14ac:dyDescent="0.15">
      <c r="L1659" s="23"/>
    </row>
    <row r="1660" spans="12:12" x14ac:dyDescent="0.15">
      <c r="L1660" s="23"/>
    </row>
    <row r="1661" spans="12:12" x14ac:dyDescent="0.15">
      <c r="L1661" s="23"/>
    </row>
    <row r="1662" spans="12:12" x14ac:dyDescent="0.15">
      <c r="L1662" s="23"/>
    </row>
    <row r="1663" spans="12:12" x14ac:dyDescent="0.15">
      <c r="L1663" s="23"/>
    </row>
    <row r="1664" spans="12:12" x14ac:dyDescent="0.15">
      <c r="L1664" s="23"/>
    </row>
    <row r="1665" spans="12:12" x14ac:dyDescent="0.15">
      <c r="L1665" s="23"/>
    </row>
    <row r="1666" spans="12:12" x14ac:dyDescent="0.15">
      <c r="L1666" s="23"/>
    </row>
    <row r="1667" spans="12:12" x14ac:dyDescent="0.15">
      <c r="L1667" s="23"/>
    </row>
    <row r="1668" spans="12:12" x14ac:dyDescent="0.15">
      <c r="L1668" s="23"/>
    </row>
    <row r="1669" spans="12:12" x14ac:dyDescent="0.15">
      <c r="L1669" s="23"/>
    </row>
    <row r="1670" spans="12:12" x14ac:dyDescent="0.15">
      <c r="L1670" s="23"/>
    </row>
    <row r="1671" spans="12:12" x14ac:dyDescent="0.15">
      <c r="L1671" s="23"/>
    </row>
    <row r="1672" spans="12:12" x14ac:dyDescent="0.15">
      <c r="L1672" s="23"/>
    </row>
    <row r="1673" spans="12:12" x14ac:dyDescent="0.15">
      <c r="L1673" s="23"/>
    </row>
    <row r="1674" spans="12:12" x14ac:dyDescent="0.15">
      <c r="L1674" s="23"/>
    </row>
    <row r="1675" spans="12:12" x14ac:dyDescent="0.15">
      <c r="L1675" s="23"/>
    </row>
    <row r="1676" spans="12:12" x14ac:dyDescent="0.15">
      <c r="L1676" s="23"/>
    </row>
    <row r="1677" spans="12:12" x14ac:dyDescent="0.15">
      <c r="L1677" s="23"/>
    </row>
    <row r="1678" spans="12:12" x14ac:dyDescent="0.15">
      <c r="L1678" s="23"/>
    </row>
    <row r="1679" spans="12:12" x14ac:dyDescent="0.15">
      <c r="L1679" s="23"/>
    </row>
    <row r="1680" spans="12:12" x14ac:dyDescent="0.15">
      <c r="L1680" s="23"/>
    </row>
    <row r="1681" spans="12:12" x14ac:dyDescent="0.15">
      <c r="L1681" s="23"/>
    </row>
    <row r="1682" spans="12:12" x14ac:dyDescent="0.15">
      <c r="L1682" s="23"/>
    </row>
    <row r="1683" spans="12:12" x14ac:dyDescent="0.15">
      <c r="L1683" s="23"/>
    </row>
    <row r="1684" spans="12:12" x14ac:dyDescent="0.15">
      <c r="L1684" s="23"/>
    </row>
    <row r="1685" spans="12:12" x14ac:dyDescent="0.15">
      <c r="L1685" s="23"/>
    </row>
    <row r="1686" spans="12:12" x14ac:dyDescent="0.15">
      <c r="L1686" s="23"/>
    </row>
    <row r="1687" spans="12:12" x14ac:dyDescent="0.15">
      <c r="L1687" s="23"/>
    </row>
    <row r="1688" spans="12:12" x14ac:dyDescent="0.15">
      <c r="L1688" s="23"/>
    </row>
    <row r="1689" spans="12:12" x14ac:dyDescent="0.15">
      <c r="L1689" s="23"/>
    </row>
    <row r="1690" spans="12:12" x14ac:dyDescent="0.15">
      <c r="L1690" s="23"/>
    </row>
    <row r="1691" spans="12:12" x14ac:dyDescent="0.15">
      <c r="L1691" s="23"/>
    </row>
    <row r="1692" spans="12:12" x14ac:dyDescent="0.15">
      <c r="L1692" s="23"/>
    </row>
    <row r="1693" spans="12:12" x14ac:dyDescent="0.15">
      <c r="L1693" s="23"/>
    </row>
    <row r="1694" spans="12:12" x14ac:dyDescent="0.15">
      <c r="L1694" s="23"/>
    </row>
    <row r="1695" spans="12:12" x14ac:dyDescent="0.15">
      <c r="L1695" s="23"/>
    </row>
    <row r="1696" spans="12:12" x14ac:dyDescent="0.15">
      <c r="L1696" s="23"/>
    </row>
    <row r="1697" spans="12:12" x14ac:dyDescent="0.15">
      <c r="L1697" s="23"/>
    </row>
    <row r="1698" spans="12:12" x14ac:dyDescent="0.15">
      <c r="L1698" s="23"/>
    </row>
    <row r="1699" spans="12:12" x14ac:dyDescent="0.15">
      <c r="L1699" s="23"/>
    </row>
    <row r="1700" spans="12:12" x14ac:dyDescent="0.15">
      <c r="L1700" s="23"/>
    </row>
    <row r="1701" spans="12:12" x14ac:dyDescent="0.15">
      <c r="L1701" s="23"/>
    </row>
    <row r="1702" spans="12:12" x14ac:dyDescent="0.15">
      <c r="L1702" s="23"/>
    </row>
    <row r="1703" spans="12:12" x14ac:dyDescent="0.15">
      <c r="L1703" s="23"/>
    </row>
    <row r="1704" spans="12:12" x14ac:dyDescent="0.15">
      <c r="L1704" s="23"/>
    </row>
    <row r="1705" spans="12:12" x14ac:dyDescent="0.15">
      <c r="L1705" s="23"/>
    </row>
    <row r="1706" spans="12:12" x14ac:dyDescent="0.15">
      <c r="L1706" s="23"/>
    </row>
    <row r="1707" spans="12:12" x14ac:dyDescent="0.15">
      <c r="L1707" s="23"/>
    </row>
    <row r="1708" spans="12:12" x14ac:dyDescent="0.15">
      <c r="L1708" s="23"/>
    </row>
    <row r="1709" spans="12:12" x14ac:dyDescent="0.15">
      <c r="L1709" s="23"/>
    </row>
    <row r="1710" spans="12:12" x14ac:dyDescent="0.15">
      <c r="L1710" s="23"/>
    </row>
    <row r="1711" spans="12:12" x14ac:dyDescent="0.15">
      <c r="L1711" s="23"/>
    </row>
    <row r="1712" spans="12:12" x14ac:dyDescent="0.15">
      <c r="L1712" s="23"/>
    </row>
    <row r="1713" spans="12:12" x14ac:dyDescent="0.15">
      <c r="L1713" s="23"/>
    </row>
    <row r="1714" spans="12:12" x14ac:dyDescent="0.15">
      <c r="L1714" s="23"/>
    </row>
    <row r="1715" spans="12:12" x14ac:dyDescent="0.15">
      <c r="L1715" s="23"/>
    </row>
    <row r="1716" spans="12:12" x14ac:dyDescent="0.15">
      <c r="L1716" s="23"/>
    </row>
    <row r="1717" spans="12:12" x14ac:dyDescent="0.15">
      <c r="L1717" s="23"/>
    </row>
    <row r="1718" spans="12:12" x14ac:dyDescent="0.15">
      <c r="L1718" s="23"/>
    </row>
    <row r="1719" spans="12:12" x14ac:dyDescent="0.15">
      <c r="L1719" s="23"/>
    </row>
    <row r="1720" spans="12:12" x14ac:dyDescent="0.15">
      <c r="L1720" s="23"/>
    </row>
    <row r="1721" spans="12:12" x14ac:dyDescent="0.15">
      <c r="L1721" s="23"/>
    </row>
    <row r="1722" spans="12:12" x14ac:dyDescent="0.15">
      <c r="L1722" s="23"/>
    </row>
    <row r="1723" spans="12:12" x14ac:dyDescent="0.15">
      <c r="L1723" s="23"/>
    </row>
    <row r="1724" spans="12:12" x14ac:dyDescent="0.15">
      <c r="L1724" s="23"/>
    </row>
    <row r="1725" spans="12:12" x14ac:dyDescent="0.15">
      <c r="L1725" s="23"/>
    </row>
    <row r="1726" spans="12:12" x14ac:dyDescent="0.15">
      <c r="L1726" s="23"/>
    </row>
    <row r="1727" spans="12:12" x14ac:dyDescent="0.15">
      <c r="L1727" s="23"/>
    </row>
    <row r="1728" spans="12:12" x14ac:dyDescent="0.15">
      <c r="L1728" s="23"/>
    </row>
    <row r="1729" spans="12:12" x14ac:dyDescent="0.15">
      <c r="L1729" s="23"/>
    </row>
    <row r="1730" spans="12:12" x14ac:dyDescent="0.15">
      <c r="L1730" s="23"/>
    </row>
    <row r="1731" spans="12:12" x14ac:dyDescent="0.15">
      <c r="L1731" s="23"/>
    </row>
    <row r="1732" spans="12:12" x14ac:dyDescent="0.15">
      <c r="L1732" s="23"/>
    </row>
    <row r="1733" spans="12:12" x14ac:dyDescent="0.15">
      <c r="L1733" s="23"/>
    </row>
    <row r="1734" spans="12:12" x14ac:dyDescent="0.15">
      <c r="L1734" s="23"/>
    </row>
    <row r="1735" spans="12:12" x14ac:dyDescent="0.15">
      <c r="L1735" s="23"/>
    </row>
    <row r="1736" spans="12:12" x14ac:dyDescent="0.15">
      <c r="L1736" s="23"/>
    </row>
    <row r="1737" spans="12:12" x14ac:dyDescent="0.15">
      <c r="L1737" s="23"/>
    </row>
    <row r="1738" spans="12:12" x14ac:dyDescent="0.15">
      <c r="L1738" s="23"/>
    </row>
    <row r="1739" spans="12:12" x14ac:dyDescent="0.15">
      <c r="L1739" s="23"/>
    </row>
    <row r="1740" spans="12:12" x14ac:dyDescent="0.15">
      <c r="L1740" s="23"/>
    </row>
    <row r="1741" spans="12:12" x14ac:dyDescent="0.15">
      <c r="L1741" s="23"/>
    </row>
    <row r="1742" spans="12:12" x14ac:dyDescent="0.15">
      <c r="L1742" s="23"/>
    </row>
    <row r="1743" spans="12:12" x14ac:dyDescent="0.15">
      <c r="L1743" s="23"/>
    </row>
    <row r="1744" spans="12:12" x14ac:dyDescent="0.15">
      <c r="L1744" s="23"/>
    </row>
    <row r="1745" spans="12:12" x14ac:dyDescent="0.15">
      <c r="L1745" s="23"/>
    </row>
    <row r="1746" spans="12:12" x14ac:dyDescent="0.15">
      <c r="L1746" s="23"/>
    </row>
    <row r="1747" spans="12:12" x14ac:dyDescent="0.15">
      <c r="L1747" s="23"/>
    </row>
    <row r="1748" spans="12:12" x14ac:dyDescent="0.15">
      <c r="L1748" s="23"/>
    </row>
    <row r="1749" spans="12:12" x14ac:dyDescent="0.15">
      <c r="L1749" s="23"/>
    </row>
    <row r="1750" spans="12:12" x14ac:dyDescent="0.15">
      <c r="L1750" s="23"/>
    </row>
    <row r="1751" spans="12:12" x14ac:dyDescent="0.15">
      <c r="L1751" s="23"/>
    </row>
    <row r="1752" spans="12:12" x14ac:dyDescent="0.15">
      <c r="L1752" s="23"/>
    </row>
    <row r="1753" spans="12:12" x14ac:dyDescent="0.15">
      <c r="L1753" s="23"/>
    </row>
    <row r="1754" spans="12:12" x14ac:dyDescent="0.15">
      <c r="L1754" s="23"/>
    </row>
    <row r="1755" spans="12:12" x14ac:dyDescent="0.15">
      <c r="L1755" s="23"/>
    </row>
    <row r="1756" spans="12:12" x14ac:dyDescent="0.15">
      <c r="L1756" s="23"/>
    </row>
    <row r="1757" spans="12:12" x14ac:dyDescent="0.15">
      <c r="L1757" s="23"/>
    </row>
    <row r="1758" spans="12:12" x14ac:dyDescent="0.15">
      <c r="L1758" s="23"/>
    </row>
    <row r="1759" spans="12:12" x14ac:dyDescent="0.15">
      <c r="L1759" s="23"/>
    </row>
    <row r="1760" spans="12:12" x14ac:dyDescent="0.15">
      <c r="L1760" s="23"/>
    </row>
    <row r="1761" spans="12:12" x14ac:dyDescent="0.15">
      <c r="L1761" s="23"/>
    </row>
    <row r="1762" spans="12:12" x14ac:dyDescent="0.15">
      <c r="L1762" s="23"/>
    </row>
    <row r="1763" spans="12:12" x14ac:dyDescent="0.15">
      <c r="L1763" s="23"/>
    </row>
    <row r="1764" spans="12:12" x14ac:dyDescent="0.15">
      <c r="L1764" s="23"/>
    </row>
    <row r="1765" spans="12:12" x14ac:dyDescent="0.15">
      <c r="L1765" s="23"/>
    </row>
    <row r="1766" spans="12:12" x14ac:dyDescent="0.15">
      <c r="L1766" s="23"/>
    </row>
    <row r="1767" spans="12:12" x14ac:dyDescent="0.15">
      <c r="L1767" s="23"/>
    </row>
    <row r="1768" spans="12:12" x14ac:dyDescent="0.15">
      <c r="L1768" s="23"/>
    </row>
    <row r="1769" spans="12:12" x14ac:dyDescent="0.15">
      <c r="L1769" s="23"/>
    </row>
    <row r="1770" spans="12:12" x14ac:dyDescent="0.15">
      <c r="L1770" s="23"/>
    </row>
    <row r="1771" spans="12:12" x14ac:dyDescent="0.15">
      <c r="L1771" s="23"/>
    </row>
    <row r="1772" spans="12:12" x14ac:dyDescent="0.15">
      <c r="L1772" s="23"/>
    </row>
    <row r="1773" spans="12:12" x14ac:dyDescent="0.15">
      <c r="L1773" s="23"/>
    </row>
    <row r="1774" spans="12:12" x14ac:dyDescent="0.15">
      <c r="L1774" s="23"/>
    </row>
    <row r="1775" spans="12:12" x14ac:dyDescent="0.15">
      <c r="L1775" s="23"/>
    </row>
    <row r="1776" spans="12:12" x14ac:dyDescent="0.15">
      <c r="L1776" s="23"/>
    </row>
    <row r="1777" spans="12:12" x14ac:dyDescent="0.15">
      <c r="L1777" s="23"/>
    </row>
    <row r="1778" spans="12:12" x14ac:dyDescent="0.15">
      <c r="L1778" s="23"/>
    </row>
    <row r="1779" spans="12:12" x14ac:dyDescent="0.15">
      <c r="L1779" s="23"/>
    </row>
    <row r="1780" spans="12:12" x14ac:dyDescent="0.15">
      <c r="L1780" s="23"/>
    </row>
    <row r="1781" spans="12:12" x14ac:dyDescent="0.15">
      <c r="L1781" s="23"/>
    </row>
    <row r="1782" spans="12:12" x14ac:dyDescent="0.15">
      <c r="L1782" s="23"/>
    </row>
    <row r="1783" spans="12:12" x14ac:dyDescent="0.15">
      <c r="L1783" s="23"/>
    </row>
    <row r="1784" spans="12:12" x14ac:dyDescent="0.15">
      <c r="L1784" s="23"/>
    </row>
    <row r="1785" spans="12:12" x14ac:dyDescent="0.15">
      <c r="L1785" s="23"/>
    </row>
    <row r="1786" spans="12:12" x14ac:dyDescent="0.15">
      <c r="L1786" s="23"/>
    </row>
    <row r="1787" spans="12:12" x14ac:dyDescent="0.15">
      <c r="L1787" s="23"/>
    </row>
    <row r="1788" spans="12:12" x14ac:dyDescent="0.15">
      <c r="L1788" s="23"/>
    </row>
    <row r="1789" spans="12:12" x14ac:dyDescent="0.15">
      <c r="L1789" s="23"/>
    </row>
    <row r="1790" spans="12:12" x14ac:dyDescent="0.15">
      <c r="L1790" s="23"/>
    </row>
    <row r="1791" spans="12:12" x14ac:dyDescent="0.15">
      <c r="L1791" s="23"/>
    </row>
    <row r="1792" spans="12:12" x14ac:dyDescent="0.15">
      <c r="L1792" s="23"/>
    </row>
    <row r="1793" spans="12:12" x14ac:dyDescent="0.15">
      <c r="L1793" s="23"/>
    </row>
    <row r="1794" spans="12:12" x14ac:dyDescent="0.15">
      <c r="L1794" s="23"/>
    </row>
    <row r="1795" spans="12:12" x14ac:dyDescent="0.15">
      <c r="L1795" s="23"/>
    </row>
    <row r="1796" spans="12:12" x14ac:dyDescent="0.15">
      <c r="L1796" s="23"/>
    </row>
    <row r="1797" spans="12:12" x14ac:dyDescent="0.15">
      <c r="L1797" s="23"/>
    </row>
    <row r="1798" spans="12:12" x14ac:dyDescent="0.15">
      <c r="L1798" s="23"/>
    </row>
    <row r="1799" spans="12:12" x14ac:dyDescent="0.15">
      <c r="L1799" s="23"/>
    </row>
    <row r="1800" spans="12:12" x14ac:dyDescent="0.15">
      <c r="L1800" s="23"/>
    </row>
    <row r="1801" spans="12:12" x14ac:dyDescent="0.15">
      <c r="L1801" s="23"/>
    </row>
    <row r="1802" spans="12:12" x14ac:dyDescent="0.15">
      <c r="L1802" s="23"/>
    </row>
    <row r="1803" spans="12:12" x14ac:dyDescent="0.15">
      <c r="L1803" s="23"/>
    </row>
    <row r="1804" spans="12:12" x14ac:dyDescent="0.15">
      <c r="L1804" s="23"/>
    </row>
    <row r="1805" spans="12:12" x14ac:dyDescent="0.15">
      <c r="L1805" s="23"/>
    </row>
    <row r="1806" spans="12:12" x14ac:dyDescent="0.15">
      <c r="L1806" s="23"/>
    </row>
    <row r="1807" spans="12:12" x14ac:dyDescent="0.15">
      <c r="L1807" s="23"/>
    </row>
    <row r="1808" spans="12:12" x14ac:dyDescent="0.15">
      <c r="L1808" s="23"/>
    </row>
    <row r="1809" spans="12:12" x14ac:dyDescent="0.15">
      <c r="L1809" s="23"/>
    </row>
    <row r="1810" spans="12:12" x14ac:dyDescent="0.15">
      <c r="L1810" s="23"/>
    </row>
    <row r="1811" spans="12:12" x14ac:dyDescent="0.15">
      <c r="L1811" s="23"/>
    </row>
    <row r="1812" spans="12:12" x14ac:dyDescent="0.15">
      <c r="L1812" s="23"/>
    </row>
    <row r="1813" spans="12:12" x14ac:dyDescent="0.15">
      <c r="L1813" s="23"/>
    </row>
    <row r="1814" spans="12:12" x14ac:dyDescent="0.15">
      <c r="L1814" s="23"/>
    </row>
    <row r="1815" spans="12:12" x14ac:dyDescent="0.15">
      <c r="L1815" s="23"/>
    </row>
    <row r="1816" spans="12:12" x14ac:dyDescent="0.15">
      <c r="L1816" s="23"/>
    </row>
    <row r="1817" spans="12:12" x14ac:dyDescent="0.15">
      <c r="L1817" s="23"/>
    </row>
    <row r="1818" spans="12:12" x14ac:dyDescent="0.15">
      <c r="L1818" s="23"/>
    </row>
    <row r="1819" spans="12:12" x14ac:dyDescent="0.15">
      <c r="L1819" s="23"/>
    </row>
    <row r="1820" spans="12:12" x14ac:dyDescent="0.15">
      <c r="L1820" s="23"/>
    </row>
    <row r="1821" spans="12:12" x14ac:dyDescent="0.15">
      <c r="L1821" s="23"/>
    </row>
    <row r="1822" spans="12:12" x14ac:dyDescent="0.15">
      <c r="L1822" s="23"/>
    </row>
    <row r="1823" spans="12:12" x14ac:dyDescent="0.15">
      <c r="L1823" s="23"/>
    </row>
    <row r="1824" spans="12:12" x14ac:dyDescent="0.15">
      <c r="L1824" s="23"/>
    </row>
    <row r="1825" spans="12:12" x14ac:dyDescent="0.15">
      <c r="L1825" s="23"/>
    </row>
    <row r="1826" spans="12:12" x14ac:dyDescent="0.15">
      <c r="L1826" s="23"/>
    </row>
    <row r="1827" spans="12:12" x14ac:dyDescent="0.15">
      <c r="L1827" s="23"/>
    </row>
    <row r="1828" spans="12:12" x14ac:dyDescent="0.15">
      <c r="L1828" s="23"/>
    </row>
    <row r="1829" spans="12:12" x14ac:dyDescent="0.15">
      <c r="L1829" s="23"/>
    </row>
    <row r="1830" spans="12:12" x14ac:dyDescent="0.15">
      <c r="L1830" s="23"/>
    </row>
    <row r="1831" spans="12:12" x14ac:dyDescent="0.15">
      <c r="L1831" s="23"/>
    </row>
    <row r="1832" spans="12:12" x14ac:dyDescent="0.15">
      <c r="L1832" s="23"/>
    </row>
    <row r="1833" spans="12:12" x14ac:dyDescent="0.15">
      <c r="L1833" s="23"/>
    </row>
    <row r="1834" spans="12:12" x14ac:dyDescent="0.15">
      <c r="L1834" s="23"/>
    </row>
    <row r="1835" spans="12:12" x14ac:dyDescent="0.15">
      <c r="L1835" s="23"/>
    </row>
    <row r="1836" spans="12:12" x14ac:dyDescent="0.15">
      <c r="L1836" s="23"/>
    </row>
    <row r="1837" spans="12:12" x14ac:dyDescent="0.15">
      <c r="L1837" s="23"/>
    </row>
    <row r="1838" spans="12:12" x14ac:dyDescent="0.15">
      <c r="L1838" s="23"/>
    </row>
    <row r="1839" spans="12:12" x14ac:dyDescent="0.15">
      <c r="L1839" s="23"/>
    </row>
    <row r="1840" spans="12:12" x14ac:dyDescent="0.15">
      <c r="L1840" s="23"/>
    </row>
    <row r="1841" spans="12:12" x14ac:dyDescent="0.15">
      <c r="L1841" s="23"/>
    </row>
    <row r="1842" spans="12:12" x14ac:dyDescent="0.15">
      <c r="L1842" s="23"/>
    </row>
    <row r="1843" spans="12:12" x14ac:dyDescent="0.15">
      <c r="L1843" s="23"/>
    </row>
    <row r="1844" spans="12:12" x14ac:dyDescent="0.15">
      <c r="L1844" s="23"/>
    </row>
    <row r="1845" spans="12:12" x14ac:dyDescent="0.15">
      <c r="L1845" s="23"/>
    </row>
    <row r="1846" spans="12:12" x14ac:dyDescent="0.15">
      <c r="L1846" s="23"/>
    </row>
    <row r="1847" spans="12:12" x14ac:dyDescent="0.15">
      <c r="L1847" s="23"/>
    </row>
    <row r="1848" spans="12:12" x14ac:dyDescent="0.15">
      <c r="L1848" s="23"/>
    </row>
    <row r="1849" spans="12:12" x14ac:dyDescent="0.15">
      <c r="L1849" s="23"/>
    </row>
    <row r="1850" spans="12:12" x14ac:dyDescent="0.15">
      <c r="L1850" s="23"/>
    </row>
    <row r="1851" spans="12:12" x14ac:dyDescent="0.15">
      <c r="L1851" s="23"/>
    </row>
    <row r="1852" spans="12:12" x14ac:dyDescent="0.15">
      <c r="L1852" s="23"/>
    </row>
    <row r="1853" spans="12:12" x14ac:dyDescent="0.15">
      <c r="L1853" s="23"/>
    </row>
    <row r="1854" spans="12:12" x14ac:dyDescent="0.15">
      <c r="L1854" s="23"/>
    </row>
    <row r="1855" spans="12:12" x14ac:dyDescent="0.15">
      <c r="L1855" s="23"/>
    </row>
    <row r="1856" spans="12:12" x14ac:dyDescent="0.15">
      <c r="L1856" s="23"/>
    </row>
    <row r="1857" spans="12:12" x14ac:dyDescent="0.15">
      <c r="L1857" s="23"/>
    </row>
    <row r="1858" spans="12:12" x14ac:dyDescent="0.15">
      <c r="L1858" s="23"/>
    </row>
    <row r="1859" spans="12:12" x14ac:dyDescent="0.15">
      <c r="L1859" s="23"/>
    </row>
    <row r="1860" spans="12:12" x14ac:dyDescent="0.15">
      <c r="L1860" s="23"/>
    </row>
    <row r="1861" spans="12:12" x14ac:dyDescent="0.15">
      <c r="L1861" s="23"/>
    </row>
    <row r="1862" spans="12:12" x14ac:dyDescent="0.15">
      <c r="L1862" s="23"/>
    </row>
    <row r="1863" spans="12:12" x14ac:dyDescent="0.15">
      <c r="L1863" s="23"/>
    </row>
    <row r="1864" spans="12:12" x14ac:dyDescent="0.15">
      <c r="L1864" s="23"/>
    </row>
    <row r="1865" spans="12:12" x14ac:dyDescent="0.15">
      <c r="L1865" s="23"/>
    </row>
    <row r="1866" spans="12:12" x14ac:dyDescent="0.15">
      <c r="L1866" s="23"/>
    </row>
    <row r="1867" spans="12:12" x14ac:dyDescent="0.15">
      <c r="L1867" s="23"/>
    </row>
    <row r="1868" spans="12:12" x14ac:dyDescent="0.15">
      <c r="L1868" s="23"/>
    </row>
    <row r="1869" spans="12:12" x14ac:dyDescent="0.15">
      <c r="L1869" s="23"/>
    </row>
    <row r="1870" spans="12:12" x14ac:dyDescent="0.15">
      <c r="L1870" s="23"/>
    </row>
    <row r="1871" spans="12:12" x14ac:dyDescent="0.15">
      <c r="L1871" s="23"/>
    </row>
    <row r="1872" spans="12:12" x14ac:dyDescent="0.15">
      <c r="L1872" s="23"/>
    </row>
    <row r="1873" spans="12:12" x14ac:dyDescent="0.15">
      <c r="L1873" s="23"/>
    </row>
    <row r="1874" spans="12:12" x14ac:dyDescent="0.15">
      <c r="L1874" s="23"/>
    </row>
    <row r="1875" spans="12:12" x14ac:dyDescent="0.15">
      <c r="L1875" s="23"/>
    </row>
    <row r="1876" spans="12:12" x14ac:dyDescent="0.15">
      <c r="L1876" s="23"/>
    </row>
    <row r="1877" spans="12:12" x14ac:dyDescent="0.15">
      <c r="L1877" s="23"/>
    </row>
    <row r="1878" spans="12:12" x14ac:dyDescent="0.15">
      <c r="L1878" s="23"/>
    </row>
    <row r="1879" spans="12:12" x14ac:dyDescent="0.15">
      <c r="L1879" s="23"/>
    </row>
    <row r="1880" spans="12:12" x14ac:dyDescent="0.15">
      <c r="L1880" s="23"/>
    </row>
    <row r="1881" spans="12:12" x14ac:dyDescent="0.15">
      <c r="L1881" s="23"/>
    </row>
    <row r="1882" spans="12:12" x14ac:dyDescent="0.15">
      <c r="L1882" s="23"/>
    </row>
    <row r="1883" spans="12:12" x14ac:dyDescent="0.15">
      <c r="L1883" s="23"/>
    </row>
    <row r="1884" spans="12:12" x14ac:dyDescent="0.15">
      <c r="L1884" s="23"/>
    </row>
    <row r="1885" spans="12:12" x14ac:dyDescent="0.15">
      <c r="L1885" s="23"/>
    </row>
    <row r="1886" spans="12:12" x14ac:dyDescent="0.15">
      <c r="L1886" s="23"/>
    </row>
    <row r="1887" spans="12:12" x14ac:dyDescent="0.15">
      <c r="L1887" s="23"/>
    </row>
    <row r="1888" spans="12:12" x14ac:dyDescent="0.15">
      <c r="L1888" s="23"/>
    </row>
    <row r="1889" spans="12:12" x14ac:dyDescent="0.15">
      <c r="L1889" s="23"/>
    </row>
    <row r="1890" spans="12:12" x14ac:dyDescent="0.15">
      <c r="L1890" s="23"/>
    </row>
    <row r="1891" spans="12:12" x14ac:dyDescent="0.15">
      <c r="L1891" s="23"/>
    </row>
    <row r="1892" spans="12:12" x14ac:dyDescent="0.15">
      <c r="L1892" s="23"/>
    </row>
    <row r="1893" spans="12:12" x14ac:dyDescent="0.15">
      <c r="L1893" s="23"/>
    </row>
    <row r="1894" spans="12:12" x14ac:dyDescent="0.15">
      <c r="L1894" s="23"/>
    </row>
    <row r="1895" spans="12:12" x14ac:dyDescent="0.15">
      <c r="L1895" s="23"/>
    </row>
    <row r="1896" spans="12:12" x14ac:dyDescent="0.15">
      <c r="L1896" s="23"/>
    </row>
    <row r="1897" spans="12:12" x14ac:dyDescent="0.15">
      <c r="L1897" s="23"/>
    </row>
    <row r="1898" spans="12:12" x14ac:dyDescent="0.15">
      <c r="L1898" s="23"/>
    </row>
    <row r="1899" spans="12:12" x14ac:dyDescent="0.15">
      <c r="L1899" s="23"/>
    </row>
    <row r="1900" spans="12:12" x14ac:dyDescent="0.15">
      <c r="L1900" s="23"/>
    </row>
    <row r="1901" spans="12:12" x14ac:dyDescent="0.15">
      <c r="L1901" s="23"/>
    </row>
    <row r="1902" spans="12:12" x14ac:dyDescent="0.15">
      <c r="L1902" s="23"/>
    </row>
    <row r="1903" spans="12:12" x14ac:dyDescent="0.15">
      <c r="L1903" s="23"/>
    </row>
    <row r="1904" spans="12:12" x14ac:dyDescent="0.15">
      <c r="L1904" s="23"/>
    </row>
    <row r="1905" spans="12:12" x14ac:dyDescent="0.15">
      <c r="L1905" s="23"/>
    </row>
    <row r="1906" spans="12:12" x14ac:dyDescent="0.15">
      <c r="L1906" s="23"/>
    </row>
    <row r="1907" spans="12:12" x14ac:dyDescent="0.15">
      <c r="L1907" s="23"/>
    </row>
    <row r="1908" spans="12:12" x14ac:dyDescent="0.15">
      <c r="L1908" s="23"/>
    </row>
    <row r="1909" spans="12:12" x14ac:dyDescent="0.15">
      <c r="L1909" s="23"/>
    </row>
    <row r="1910" spans="12:12" x14ac:dyDescent="0.15">
      <c r="L1910" s="23"/>
    </row>
    <row r="1911" spans="12:12" x14ac:dyDescent="0.15">
      <c r="L1911" s="23"/>
    </row>
    <row r="1912" spans="12:12" x14ac:dyDescent="0.15">
      <c r="L1912" s="23"/>
    </row>
    <row r="1913" spans="12:12" x14ac:dyDescent="0.15">
      <c r="L1913" s="23"/>
    </row>
    <row r="1914" spans="12:12" x14ac:dyDescent="0.15">
      <c r="L1914" s="23"/>
    </row>
    <row r="1915" spans="12:12" x14ac:dyDescent="0.15">
      <c r="L1915" s="23"/>
    </row>
    <row r="1916" spans="12:12" x14ac:dyDescent="0.15">
      <c r="L1916" s="23"/>
    </row>
    <row r="1917" spans="12:12" x14ac:dyDescent="0.15">
      <c r="L1917" s="23"/>
    </row>
    <row r="1918" spans="12:12" x14ac:dyDescent="0.15">
      <c r="L1918" s="23"/>
    </row>
    <row r="1919" spans="12:12" x14ac:dyDescent="0.15">
      <c r="L1919" s="23"/>
    </row>
    <row r="1920" spans="12:12" x14ac:dyDescent="0.15">
      <c r="L1920" s="23"/>
    </row>
    <row r="1921" spans="12:12" x14ac:dyDescent="0.15">
      <c r="L1921" s="23"/>
    </row>
    <row r="1922" spans="12:12" x14ac:dyDescent="0.15">
      <c r="L1922" s="23"/>
    </row>
    <row r="1923" spans="12:12" x14ac:dyDescent="0.15">
      <c r="L1923" s="23"/>
    </row>
    <row r="1924" spans="12:12" x14ac:dyDescent="0.15">
      <c r="L1924" s="23"/>
    </row>
    <row r="1925" spans="12:12" x14ac:dyDescent="0.15">
      <c r="L1925" s="23"/>
    </row>
    <row r="1926" spans="12:12" x14ac:dyDescent="0.15">
      <c r="L1926" s="23"/>
    </row>
    <row r="1927" spans="12:12" x14ac:dyDescent="0.15">
      <c r="L1927" s="23"/>
    </row>
    <row r="1928" spans="12:12" x14ac:dyDescent="0.15">
      <c r="L1928" s="23"/>
    </row>
    <row r="1929" spans="12:12" x14ac:dyDescent="0.15">
      <c r="L1929" s="23"/>
    </row>
    <row r="1930" spans="12:12" x14ac:dyDescent="0.15">
      <c r="L1930" s="23"/>
    </row>
    <row r="1931" spans="12:12" x14ac:dyDescent="0.15">
      <c r="L1931" s="23"/>
    </row>
    <row r="1932" spans="12:12" x14ac:dyDescent="0.15">
      <c r="L1932" s="23"/>
    </row>
    <row r="1933" spans="12:12" x14ac:dyDescent="0.15">
      <c r="L1933" s="23"/>
    </row>
    <row r="1934" spans="12:12" x14ac:dyDescent="0.15">
      <c r="L1934" s="23"/>
    </row>
    <row r="1935" spans="12:12" x14ac:dyDescent="0.15">
      <c r="L1935" s="23"/>
    </row>
    <row r="1936" spans="12:12" x14ac:dyDescent="0.15">
      <c r="L1936" s="23"/>
    </row>
    <row r="1937" spans="12:12" x14ac:dyDescent="0.15">
      <c r="L1937" s="23"/>
    </row>
    <row r="1938" spans="12:12" x14ac:dyDescent="0.15">
      <c r="L1938" s="23"/>
    </row>
    <row r="1939" spans="12:12" x14ac:dyDescent="0.15">
      <c r="L1939" s="23"/>
    </row>
    <row r="1940" spans="12:12" x14ac:dyDescent="0.15">
      <c r="L1940" s="23"/>
    </row>
    <row r="1941" spans="12:12" x14ac:dyDescent="0.15">
      <c r="L1941" s="23"/>
    </row>
    <row r="1942" spans="12:12" x14ac:dyDescent="0.15">
      <c r="L1942" s="23"/>
    </row>
    <row r="1943" spans="12:12" x14ac:dyDescent="0.15">
      <c r="L1943" s="23"/>
    </row>
    <row r="1944" spans="12:12" x14ac:dyDescent="0.15">
      <c r="L1944" s="23"/>
    </row>
    <row r="1945" spans="12:12" x14ac:dyDescent="0.15">
      <c r="L1945" s="23"/>
    </row>
    <row r="1946" spans="12:12" x14ac:dyDescent="0.15">
      <c r="L1946" s="23"/>
    </row>
    <row r="1947" spans="12:12" x14ac:dyDescent="0.15">
      <c r="L1947" s="23"/>
    </row>
    <row r="1948" spans="12:12" x14ac:dyDescent="0.15">
      <c r="L1948" s="23"/>
    </row>
    <row r="1949" spans="12:12" x14ac:dyDescent="0.15">
      <c r="L1949" s="23"/>
    </row>
    <row r="1950" spans="12:12" x14ac:dyDescent="0.15">
      <c r="L1950" s="23"/>
    </row>
    <row r="1951" spans="12:12" x14ac:dyDescent="0.15">
      <c r="L1951" s="23"/>
    </row>
    <row r="1952" spans="12:12" x14ac:dyDescent="0.15">
      <c r="L1952" s="23"/>
    </row>
    <row r="1953" spans="12:12" x14ac:dyDescent="0.15">
      <c r="L1953" s="23"/>
    </row>
    <row r="1954" spans="12:12" x14ac:dyDescent="0.15">
      <c r="L1954" s="23"/>
    </row>
    <row r="1955" spans="12:12" x14ac:dyDescent="0.15">
      <c r="L1955" s="23"/>
    </row>
    <row r="1956" spans="12:12" x14ac:dyDescent="0.15">
      <c r="L1956" s="23"/>
    </row>
    <row r="1957" spans="12:12" x14ac:dyDescent="0.15">
      <c r="L1957" s="23"/>
    </row>
    <row r="1958" spans="12:12" x14ac:dyDescent="0.15">
      <c r="L1958" s="23"/>
    </row>
    <row r="1959" spans="12:12" x14ac:dyDescent="0.15">
      <c r="L1959" s="23"/>
    </row>
    <row r="1960" spans="12:12" x14ac:dyDescent="0.15">
      <c r="L1960" s="23"/>
    </row>
    <row r="1961" spans="12:12" x14ac:dyDescent="0.15">
      <c r="L1961" s="23"/>
    </row>
    <row r="1962" spans="12:12" x14ac:dyDescent="0.15">
      <c r="L1962" s="23"/>
    </row>
    <row r="1963" spans="12:12" x14ac:dyDescent="0.15">
      <c r="L1963" s="23"/>
    </row>
    <row r="1964" spans="12:12" x14ac:dyDescent="0.15">
      <c r="L1964" s="23"/>
    </row>
    <row r="1965" spans="12:12" x14ac:dyDescent="0.15">
      <c r="L1965" s="23"/>
    </row>
    <row r="1966" spans="12:12" x14ac:dyDescent="0.15">
      <c r="L1966" s="23"/>
    </row>
    <row r="1967" spans="12:12" x14ac:dyDescent="0.15">
      <c r="L1967" s="23"/>
    </row>
    <row r="1968" spans="12:12" x14ac:dyDescent="0.15">
      <c r="L1968" s="23"/>
    </row>
    <row r="1969" spans="12:12" x14ac:dyDescent="0.15">
      <c r="L1969" s="23"/>
    </row>
    <row r="1970" spans="12:12" x14ac:dyDescent="0.15">
      <c r="L1970" s="23"/>
    </row>
    <row r="1971" spans="12:12" x14ac:dyDescent="0.15">
      <c r="L1971" s="23"/>
    </row>
    <row r="1972" spans="12:12" x14ac:dyDescent="0.15">
      <c r="L1972" s="23"/>
    </row>
    <row r="1973" spans="12:12" x14ac:dyDescent="0.15">
      <c r="L1973" s="23"/>
    </row>
    <row r="1974" spans="12:12" x14ac:dyDescent="0.15">
      <c r="L1974" s="23"/>
    </row>
    <row r="1975" spans="12:12" x14ac:dyDescent="0.15">
      <c r="L1975" s="23"/>
    </row>
    <row r="1976" spans="12:12" x14ac:dyDescent="0.15">
      <c r="L1976" s="23"/>
    </row>
    <row r="1977" spans="12:12" x14ac:dyDescent="0.15">
      <c r="L1977" s="23"/>
    </row>
    <row r="1978" spans="12:12" x14ac:dyDescent="0.15">
      <c r="L1978" s="23"/>
    </row>
    <row r="1979" spans="12:12" x14ac:dyDescent="0.15">
      <c r="L1979" s="23"/>
    </row>
    <row r="1980" spans="12:12" x14ac:dyDescent="0.15">
      <c r="L1980" s="23"/>
    </row>
    <row r="1981" spans="12:12" x14ac:dyDescent="0.15">
      <c r="L1981" s="23"/>
    </row>
    <row r="1982" spans="12:12" x14ac:dyDescent="0.15">
      <c r="L1982" s="23"/>
    </row>
    <row r="1983" spans="12:12" x14ac:dyDescent="0.15">
      <c r="L1983" s="23"/>
    </row>
    <row r="1984" spans="12:12" x14ac:dyDescent="0.15">
      <c r="L1984" s="23"/>
    </row>
    <row r="1985" spans="12:12" x14ac:dyDescent="0.15">
      <c r="L1985" s="23"/>
    </row>
    <row r="1986" spans="12:12" x14ac:dyDescent="0.15">
      <c r="L1986" s="23"/>
    </row>
    <row r="1987" spans="12:12" x14ac:dyDescent="0.15">
      <c r="L1987" s="23"/>
    </row>
    <row r="1988" spans="12:12" x14ac:dyDescent="0.15">
      <c r="L1988" s="23"/>
    </row>
    <row r="1989" spans="12:12" x14ac:dyDescent="0.15">
      <c r="L1989" s="23"/>
    </row>
    <row r="1990" spans="12:12" x14ac:dyDescent="0.15">
      <c r="L1990" s="23"/>
    </row>
    <row r="1991" spans="12:12" x14ac:dyDescent="0.15">
      <c r="L1991" s="23"/>
    </row>
    <row r="1992" spans="12:12" x14ac:dyDescent="0.15">
      <c r="L1992" s="23"/>
    </row>
    <row r="1993" spans="12:12" x14ac:dyDescent="0.15">
      <c r="L1993" s="23"/>
    </row>
    <row r="1994" spans="12:12" x14ac:dyDescent="0.15">
      <c r="L1994" s="23"/>
    </row>
    <row r="1995" spans="12:12" x14ac:dyDescent="0.15">
      <c r="L1995" s="23"/>
    </row>
    <row r="1996" spans="12:12" x14ac:dyDescent="0.15">
      <c r="L1996" s="23"/>
    </row>
    <row r="1997" spans="12:12" x14ac:dyDescent="0.15">
      <c r="L1997" s="23"/>
    </row>
    <row r="1998" spans="12:12" x14ac:dyDescent="0.15">
      <c r="L1998" s="23"/>
    </row>
    <row r="1999" spans="12:12" x14ac:dyDescent="0.15">
      <c r="L1999" s="23"/>
    </row>
    <row r="2000" spans="12:12" x14ac:dyDescent="0.15">
      <c r="L2000" s="23"/>
    </row>
    <row r="2001" spans="12:12" x14ac:dyDescent="0.15">
      <c r="L2001" s="23"/>
    </row>
    <row r="2002" spans="12:12" x14ac:dyDescent="0.15">
      <c r="L2002" s="23"/>
    </row>
    <row r="2003" spans="12:12" x14ac:dyDescent="0.15">
      <c r="L2003" s="23"/>
    </row>
    <row r="2004" spans="12:12" x14ac:dyDescent="0.15">
      <c r="L2004" s="23"/>
    </row>
    <row r="2005" spans="12:12" x14ac:dyDescent="0.15">
      <c r="L2005" s="23"/>
    </row>
    <row r="2006" spans="12:12" x14ac:dyDescent="0.15">
      <c r="L2006" s="23"/>
    </row>
    <row r="2007" spans="12:12" x14ac:dyDescent="0.15">
      <c r="L2007" s="23"/>
    </row>
    <row r="2008" spans="12:12" x14ac:dyDescent="0.15">
      <c r="L2008" s="23"/>
    </row>
    <row r="2009" spans="12:12" x14ac:dyDescent="0.15">
      <c r="L2009" s="23"/>
    </row>
    <row r="2010" spans="12:12" x14ac:dyDescent="0.15">
      <c r="L2010" s="23"/>
    </row>
    <row r="2011" spans="12:12" x14ac:dyDescent="0.15">
      <c r="L2011" s="23"/>
    </row>
    <row r="2012" spans="12:12" x14ac:dyDescent="0.15">
      <c r="L2012" s="23"/>
    </row>
    <row r="2013" spans="12:12" x14ac:dyDescent="0.15">
      <c r="L2013" s="23"/>
    </row>
    <row r="2014" spans="12:12" x14ac:dyDescent="0.15">
      <c r="L2014" s="23"/>
    </row>
    <row r="2015" spans="12:12" x14ac:dyDescent="0.15">
      <c r="L2015" s="23"/>
    </row>
    <row r="2016" spans="12:12" x14ac:dyDescent="0.15">
      <c r="L2016" s="23"/>
    </row>
    <row r="2017" spans="12:12" x14ac:dyDescent="0.15">
      <c r="L2017" s="23"/>
    </row>
    <row r="2018" spans="12:12" x14ac:dyDescent="0.15">
      <c r="L2018" s="23"/>
    </row>
    <row r="2019" spans="12:12" x14ac:dyDescent="0.15">
      <c r="L2019" s="23"/>
    </row>
    <row r="2020" spans="12:12" x14ac:dyDescent="0.15">
      <c r="L2020" s="23"/>
    </row>
    <row r="2021" spans="12:12" x14ac:dyDescent="0.15">
      <c r="L2021" s="23"/>
    </row>
    <row r="2022" spans="12:12" x14ac:dyDescent="0.15">
      <c r="L2022" s="23"/>
    </row>
    <row r="2023" spans="12:12" x14ac:dyDescent="0.15">
      <c r="L2023" s="23"/>
    </row>
    <row r="2024" spans="12:12" x14ac:dyDescent="0.15">
      <c r="L2024" s="23"/>
    </row>
    <row r="2025" spans="12:12" x14ac:dyDescent="0.15">
      <c r="L2025" s="23"/>
    </row>
    <row r="2026" spans="12:12" x14ac:dyDescent="0.15">
      <c r="L2026" s="23"/>
    </row>
    <row r="2027" spans="12:12" x14ac:dyDescent="0.15">
      <c r="L2027" s="23"/>
    </row>
    <row r="2028" spans="12:12" x14ac:dyDescent="0.15">
      <c r="L2028" s="23"/>
    </row>
    <row r="2029" spans="12:12" x14ac:dyDescent="0.15">
      <c r="L2029" s="23"/>
    </row>
    <row r="2030" spans="12:12" x14ac:dyDescent="0.15">
      <c r="L2030" s="23"/>
    </row>
    <row r="2031" spans="12:12" x14ac:dyDescent="0.15">
      <c r="L2031" s="23"/>
    </row>
    <row r="2032" spans="12:12" x14ac:dyDescent="0.15">
      <c r="L2032" s="23"/>
    </row>
    <row r="2033" spans="12:12" x14ac:dyDescent="0.15">
      <c r="L2033" s="23"/>
    </row>
    <row r="2034" spans="12:12" x14ac:dyDescent="0.15">
      <c r="L2034" s="23"/>
    </row>
    <row r="2035" spans="12:12" x14ac:dyDescent="0.15">
      <c r="L2035" s="23"/>
    </row>
    <row r="2036" spans="12:12" x14ac:dyDescent="0.15">
      <c r="L2036" s="23"/>
    </row>
    <row r="2037" spans="12:12" x14ac:dyDescent="0.15">
      <c r="L2037" s="23"/>
    </row>
    <row r="2038" spans="12:12" x14ac:dyDescent="0.15">
      <c r="L2038" s="23"/>
    </row>
    <row r="2039" spans="12:12" x14ac:dyDescent="0.15">
      <c r="L2039" s="23"/>
    </row>
    <row r="2040" spans="12:12" x14ac:dyDescent="0.15">
      <c r="L2040" s="23"/>
    </row>
    <row r="2041" spans="12:12" x14ac:dyDescent="0.15">
      <c r="L2041" s="23"/>
    </row>
    <row r="2042" spans="12:12" x14ac:dyDescent="0.15">
      <c r="L2042" s="23"/>
    </row>
    <row r="2043" spans="12:12" x14ac:dyDescent="0.15">
      <c r="L2043" s="23"/>
    </row>
    <row r="2044" spans="12:12" x14ac:dyDescent="0.15">
      <c r="L2044" s="23"/>
    </row>
    <row r="2045" spans="12:12" x14ac:dyDescent="0.15">
      <c r="L2045" s="23"/>
    </row>
    <row r="2046" spans="12:12" x14ac:dyDescent="0.15">
      <c r="L2046" s="23"/>
    </row>
    <row r="2047" spans="12:12" x14ac:dyDescent="0.15">
      <c r="L2047" s="23"/>
    </row>
    <row r="2048" spans="12:12" x14ac:dyDescent="0.15">
      <c r="L2048" s="23"/>
    </row>
    <row r="2049" spans="12:12" x14ac:dyDescent="0.15">
      <c r="L2049" s="23"/>
    </row>
    <row r="2050" spans="12:12" x14ac:dyDescent="0.15">
      <c r="L2050" s="23"/>
    </row>
    <row r="2051" spans="12:12" x14ac:dyDescent="0.15">
      <c r="L2051" s="23"/>
    </row>
    <row r="2052" spans="12:12" x14ac:dyDescent="0.15">
      <c r="L2052" s="23"/>
    </row>
    <row r="2053" spans="12:12" x14ac:dyDescent="0.15">
      <c r="L2053" s="23"/>
    </row>
    <row r="2054" spans="12:12" x14ac:dyDescent="0.15">
      <c r="L2054" s="23"/>
    </row>
    <row r="2055" spans="12:12" x14ac:dyDescent="0.15">
      <c r="L2055" s="23"/>
    </row>
    <row r="2056" spans="12:12" x14ac:dyDescent="0.15">
      <c r="L2056" s="23"/>
    </row>
    <row r="2057" spans="12:12" x14ac:dyDescent="0.15">
      <c r="L2057" s="23"/>
    </row>
    <row r="2058" spans="12:12" x14ac:dyDescent="0.15">
      <c r="L2058" s="23"/>
    </row>
    <row r="2059" spans="12:12" x14ac:dyDescent="0.15">
      <c r="L2059" s="23"/>
    </row>
    <row r="2060" spans="12:12" x14ac:dyDescent="0.15">
      <c r="L2060" s="23"/>
    </row>
    <row r="2061" spans="12:12" x14ac:dyDescent="0.15">
      <c r="L2061" s="23"/>
    </row>
    <row r="2062" spans="12:12" x14ac:dyDescent="0.15">
      <c r="L2062" s="23"/>
    </row>
    <row r="2063" spans="12:12" x14ac:dyDescent="0.15">
      <c r="L2063" s="23"/>
    </row>
    <row r="2064" spans="12:12" x14ac:dyDescent="0.15">
      <c r="L2064" s="23"/>
    </row>
    <row r="2065" spans="12:12" x14ac:dyDescent="0.15">
      <c r="L2065" s="23"/>
    </row>
    <row r="2066" spans="12:12" x14ac:dyDescent="0.15">
      <c r="L2066" s="23"/>
    </row>
    <row r="2067" spans="12:12" x14ac:dyDescent="0.15">
      <c r="L2067" s="23"/>
    </row>
    <row r="2068" spans="12:12" x14ac:dyDescent="0.15">
      <c r="L2068" s="23"/>
    </row>
    <row r="2069" spans="12:12" x14ac:dyDescent="0.15">
      <c r="L2069" s="23"/>
    </row>
    <row r="2070" spans="12:12" x14ac:dyDescent="0.15">
      <c r="L2070" s="23"/>
    </row>
    <row r="2071" spans="12:12" x14ac:dyDescent="0.15">
      <c r="L2071" s="23"/>
    </row>
    <row r="2072" spans="12:12" x14ac:dyDescent="0.15">
      <c r="L2072" s="23"/>
    </row>
    <row r="2073" spans="12:12" x14ac:dyDescent="0.15">
      <c r="L2073" s="23"/>
    </row>
    <row r="2074" spans="12:12" x14ac:dyDescent="0.15">
      <c r="L2074" s="23"/>
    </row>
    <row r="2075" spans="12:12" x14ac:dyDescent="0.15">
      <c r="L2075" s="23"/>
    </row>
    <row r="2076" spans="12:12" x14ac:dyDescent="0.15">
      <c r="L2076" s="23"/>
    </row>
    <row r="2077" spans="12:12" x14ac:dyDescent="0.15">
      <c r="L2077" s="23"/>
    </row>
    <row r="2078" spans="12:12" x14ac:dyDescent="0.15">
      <c r="L2078" s="23"/>
    </row>
    <row r="2079" spans="12:12" x14ac:dyDescent="0.15">
      <c r="L2079" s="23"/>
    </row>
    <row r="2080" spans="12:12" x14ac:dyDescent="0.15">
      <c r="L2080" s="23"/>
    </row>
    <row r="2081" spans="12:12" x14ac:dyDescent="0.15">
      <c r="L2081" s="23"/>
    </row>
    <row r="2082" spans="12:12" x14ac:dyDescent="0.15">
      <c r="L2082" s="23"/>
    </row>
    <row r="2083" spans="12:12" x14ac:dyDescent="0.15">
      <c r="L2083" s="23"/>
    </row>
    <row r="2084" spans="12:12" x14ac:dyDescent="0.15">
      <c r="L2084" s="23"/>
    </row>
    <row r="2085" spans="12:12" x14ac:dyDescent="0.15">
      <c r="L2085" s="23"/>
    </row>
    <row r="2086" spans="12:12" x14ac:dyDescent="0.15">
      <c r="L2086" s="23"/>
    </row>
    <row r="2087" spans="12:12" x14ac:dyDescent="0.15">
      <c r="L2087" s="23"/>
    </row>
    <row r="2088" spans="12:12" x14ac:dyDescent="0.15">
      <c r="L2088" s="23"/>
    </row>
    <row r="2089" spans="12:12" x14ac:dyDescent="0.15">
      <c r="L2089" s="23"/>
    </row>
    <row r="2090" spans="12:12" x14ac:dyDescent="0.15">
      <c r="L2090" s="23"/>
    </row>
    <row r="2091" spans="12:12" x14ac:dyDescent="0.15">
      <c r="L2091" s="23"/>
    </row>
    <row r="2092" spans="12:12" x14ac:dyDescent="0.15">
      <c r="L2092" s="23"/>
    </row>
    <row r="2093" spans="12:12" x14ac:dyDescent="0.15">
      <c r="L2093" s="23"/>
    </row>
    <row r="2094" spans="12:12" x14ac:dyDescent="0.15">
      <c r="L2094" s="23"/>
    </row>
    <row r="2095" spans="12:12" x14ac:dyDescent="0.15">
      <c r="L2095" s="23"/>
    </row>
    <row r="2096" spans="12:12" x14ac:dyDescent="0.15">
      <c r="L2096" s="23"/>
    </row>
    <row r="2097" spans="12:12" x14ac:dyDescent="0.15">
      <c r="L2097" s="23"/>
    </row>
    <row r="2098" spans="12:12" x14ac:dyDescent="0.15">
      <c r="L2098" s="23"/>
    </row>
    <row r="2099" spans="12:12" x14ac:dyDescent="0.15">
      <c r="L2099" s="23"/>
    </row>
    <row r="2100" spans="12:12" x14ac:dyDescent="0.15">
      <c r="L2100" s="23"/>
    </row>
    <row r="2101" spans="12:12" x14ac:dyDescent="0.15">
      <c r="L2101" s="23"/>
    </row>
    <row r="2102" spans="12:12" x14ac:dyDescent="0.15">
      <c r="L2102" s="23"/>
    </row>
    <row r="2103" spans="12:12" x14ac:dyDescent="0.15">
      <c r="L2103" s="23"/>
    </row>
    <row r="2104" spans="12:12" x14ac:dyDescent="0.15">
      <c r="L2104" s="23"/>
    </row>
    <row r="2105" spans="12:12" x14ac:dyDescent="0.15">
      <c r="L2105" s="23"/>
    </row>
    <row r="2106" spans="12:12" x14ac:dyDescent="0.15">
      <c r="L2106" s="23"/>
    </row>
    <row r="2107" spans="12:12" x14ac:dyDescent="0.15">
      <c r="L2107" s="23"/>
    </row>
    <row r="2108" spans="12:12" x14ac:dyDescent="0.15">
      <c r="L2108" s="23"/>
    </row>
    <row r="2109" spans="12:12" x14ac:dyDescent="0.15">
      <c r="L2109" s="23"/>
    </row>
    <row r="2110" spans="12:12" x14ac:dyDescent="0.15">
      <c r="L2110" s="23"/>
    </row>
    <row r="2111" spans="12:12" x14ac:dyDescent="0.15">
      <c r="L2111" s="23"/>
    </row>
    <row r="2112" spans="12:12" x14ac:dyDescent="0.15">
      <c r="L2112" s="23"/>
    </row>
    <row r="2113" spans="12:12" x14ac:dyDescent="0.15">
      <c r="L2113" s="23"/>
    </row>
    <row r="2114" spans="12:12" x14ac:dyDescent="0.15">
      <c r="L2114" s="23"/>
    </row>
    <row r="2115" spans="12:12" x14ac:dyDescent="0.15">
      <c r="L2115" s="23"/>
    </row>
    <row r="2116" spans="12:12" x14ac:dyDescent="0.15">
      <c r="L2116" s="23"/>
    </row>
    <row r="2117" spans="12:12" x14ac:dyDescent="0.15">
      <c r="L2117" s="23"/>
    </row>
    <row r="2118" spans="12:12" x14ac:dyDescent="0.15">
      <c r="L2118" s="23"/>
    </row>
    <row r="2119" spans="12:12" x14ac:dyDescent="0.15">
      <c r="L2119" s="23"/>
    </row>
    <row r="2120" spans="12:12" x14ac:dyDescent="0.15">
      <c r="L2120" s="23"/>
    </row>
    <row r="2121" spans="12:12" x14ac:dyDescent="0.15">
      <c r="L2121" s="23"/>
    </row>
    <row r="2122" spans="12:12" x14ac:dyDescent="0.15">
      <c r="L2122" s="23"/>
    </row>
    <row r="2123" spans="12:12" x14ac:dyDescent="0.15">
      <c r="L2123" s="23"/>
    </row>
    <row r="2124" spans="12:12" x14ac:dyDescent="0.15">
      <c r="L2124" s="23"/>
    </row>
    <row r="2125" spans="12:12" x14ac:dyDescent="0.15">
      <c r="L2125" s="23"/>
    </row>
    <row r="2126" spans="12:12" x14ac:dyDescent="0.15">
      <c r="L2126" s="23"/>
    </row>
    <row r="2127" spans="12:12" x14ac:dyDescent="0.15">
      <c r="L2127" s="23"/>
    </row>
    <row r="2128" spans="12:12" x14ac:dyDescent="0.15">
      <c r="L2128" s="23"/>
    </row>
    <row r="2129" spans="12:12" x14ac:dyDescent="0.15">
      <c r="L2129" s="23"/>
    </row>
    <row r="2130" spans="12:12" x14ac:dyDescent="0.15">
      <c r="L2130" s="23"/>
    </row>
    <row r="2131" spans="12:12" x14ac:dyDescent="0.15">
      <c r="L2131" s="23"/>
    </row>
    <row r="2132" spans="12:12" x14ac:dyDescent="0.15">
      <c r="L2132" s="23"/>
    </row>
    <row r="2133" spans="12:12" x14ac:dyDescent="0.15">
      <c r="L2133" s="23"/>
    </row>
    <row r="2134" spans="12:12" x14ac:dyDescent="0.15">
      <c r="L2134" s="23"/>
    </row>
    <row r="2135" spans="12:12" x14ac:dyDescent="0.15">
      <c r="L2135" s="23"/>
    </row>
    <row r="2136" spans="12:12" x14ac:dyDescent="0.15">
      <c r="L2136" s="23"/>
    </row>
    <row r="2137" spans="12:12" x14ac:dyDescent="0.15">
      <c r="L2137" s="23"/>
    </row>
    <row r="2138" spans="12:12" x14ac:dyDescent="0.15">
      <c r="L2138" s="23"/>
    </row>
    <row r="2139" spans="12:12" x14ac:dyDescent="0.15">
      <c r="L2139" s="23"/>
    </row>
    <row r="2140" spans="12:12" x14ac:dyDescent="0.15">
      <c r="L2140" s="23"/>
    </row>
    <row r="2141" spans="12:12" x14ac:dyDescent="0.15">
      <c r="L2141" s="23"/>
    </row>
    <row r="2142" spans="12:12" x14ac:dyDescent="0.15">
      <c r="L2142" s="23"/>
    </row>
    <row r="2143" spans="12:12" x14ac:dyDescent="0.15">
      <c r="L2143" s="23"/>
    </row>
    <row r="2144" spans="12:12" x14ac:dyDescent="0.15">
      <c r="L2144" s="23"/>
    </row>
    <row r="2145" spans="12:12" x14ac:dyDescent="0.15">
      <c r="L2145" s="23"/>
    </row>
    <row r="2146" spans="12:12" x14ac:dyDescent="0.15">
      <c r="L2146" s="23"/>
    </row>
    <row r="2147" spans="12:12" x14ac:dyDescent="0.15">
      <c r="L2147" s="23"/>
    </row>
    <row r="2148" spans="12:12" x14ac:dyDescent="0.15">
      <c r="L2148" s="23"/>
    </row>
    <row r="2149" spans="12:12" x14ac:dyDescent="0.15">
      <c r="L2149" s="23"/>
    </row>
    <row r="2150" spans="12:12" x14ac:dyDescent="0.15">
      <c r="L2150" s="23"/>
    </row>
    <row r="2151" spans="12:12" x14ac:dyDescent="0.15">
      <c r="L2151" s="23"/>
    </row>
    <row r="2152" spans="12:12" x14ac:dyDescent="0.15">
      <c r="L2152" s="23"/>
    </row>
    <row r="2153" spans="12:12" x14ac:dyDescent="0.15">
      <c r="L2153" s="23"/>
    </row>
    <row r="2154" spans="12:12" x14ac:dyDescent="0.15">
      <c r="L2154" s="23"/>
    </row>
    <row r="2155" spans="12:12" x14ac:dyDescent="0.15">
      <c r="L2155" s="23"/>
    </row>
    <row r="2156" spans="12:12" x14ac:dyDescent="0.15">
      <c r="L2156" s="23"/>
    </row>
    <row r="2157" spans="12:12" x14ac:dyDescent="0.15">
      <c r="L2157" s="23"/>
    </row>
    <row r="2158" spans="12:12" x14ac:dyDescent="0.15">
      <c r="L2158" s="23"/>
    </row>
    <row r="2159" spans="12:12" x14ac:dyDescent="0.15">
      <c r="L2159" s="23"/>
    </row>
    <row r="2160" spans="12:12" x14ac:dyDescent="0.15">
      <c r="L2160" s="23"/>
    </row>
    <row r="2161" spans="12:12" x14ac:dyDescent="0.15">
      <c r="L2161" s="23"/>
    </row>
    <row r="2162" spans="12:12" x14ac:dyDescent="0.15">
      <c r="L2162" s="23"/>
    </row>
    <row r="2163" spans="12:12" x14ac:dyDescent="0.15">
      <c r="L2163" s="23"/>
    </row>
    <row r="2164" spans="12:12" x14ac:dyDescent="0.15">
      <c r="L2164" s="23"/>
    </row>
    <row r="2165" spans="12:12" x14ac:dyDescent="0.15">
      <c r="L2165" s="23"/>
    </row>
    <row r="2166" spans="12:12" x14ac:dyDescent="0.15">
      <c r="L2166" s="23"/>
    </row>
    <row r="2167" spans="12:12" x14ac:dyDescent="0.15">
      <c r="L2167" s="23"/>
    </row>
    <row r="2168" spans="12:12" x14ac:dyDescent="0.15">
      <c r="L2168" s="23"/>
    </row>
    <row r="2169" spans="12:12" x14ac:dyDescent="0.15">
      <c r="L2169" s="23"/>
    </row>
    <row r="2170" spans="12:12" x14ac:dyDescent="0.15">
      <c r="L2170" s="23"/>
    </row>
    <row r="2171" spans="12:12" x14ac:dyDescent="0.15">
      <c r="L2171" s="23"/>
    </row>
    <row r="2172" spans="12:12" x14ac:dyDescent="0.15">
      <c r="L2172" s="23"/>
    </row>
    <row r="2173" spans="12:12" x14ac:dyDescent="0.15">
      <c r="L2173" s="23"/>
    </row>
    <row r="2174" spans="12:12" x14ac:dyDescent="0.15">
      <c r="L2174" s="23"/>
    </row>
    <row r="2175" spans="12:12" x14ac:dyDescent="0.15">
      <c r="L2175" s="23"/>
    </row>
    <row r="2176" spans="12:12" x14ac:dyDescent="0.15">
      <c r="L2176" s="23"/>
    </row>
    <row r="2177" spans="12:12" x14ac:dyDescent="0.15">
      <c r="L2177" s="23"/>
    </row>
    <row r="2178" spans="12:12" x14ac:dyDescent="0.15">
      <c r="L2178" s="23"/>
    </row>
    <row r="2179" spans="12:12" x14ac:dyDescent="0.15">
      <c r="L2179" s="23"/>
    </row>
    <row r="2180" spans="12:12" x14ac:dyDescent="0.15">
      <c r="L2180" s="23"/>
    </row>
    <row r="2181" spans="12:12" x14ac:dyDescent="0.15">
      <c r="L2181" s="23"/>
    </row>
    <row r="2182" spans="12:12" x14ac:dyDescent="0.15">
      <c r="L2182" s="23"/>
    </row>
    <row r="2183" spans="12:12" x14ac:dyDescent="0.15">
      <c r="L2183" s="23"/>
    </row>
    <row r="2184" spans="12:12" x14ac:dyDescent="0.15">
      <c r="L2184" s="23"/>
    </row>
    <row r="2185" spans="12:12" x14ac:dyDescent="0.15">
      <c r="L2185" s="23"/>
    </row>
    <row r="2186" spans="12:12" x14ac:dyDescent="0.15">
      <c r="L2186" s="23"/>
    </row>
    <row r="2187" spans="12:12" x14ac:dyDescent="0.15">
      <c r="L2187" s="23"/>
    </row>
    <row r="2188" spans="12:12" x14ac:dyDescent="0.15">
      <c r="L2188" s="23"/>
    </row>
    <row r="2189" spans="12:12" x14ac:dyDescent="0.15">
      <c r="L2189" s="23"/>
    </row>
    <row r="2190" spans="12:12" x14ac:dyDescent="0.15">
      <c r="L2190" s="23"/>
    </row>
    <row r="2191" spans="12:12" x14ac:dyDescent="0.15">
      <c r="L2191" s="23"/>
    </row>
    <row r="2192" spans="12:12" x14ac:dyDescent="0.15">
      <c r="L2192" s="23"/>
    </row>
    <row r="2193" spans="12:12" x14ac:dyDescent="0.15">
      <c r="L2193" s="23"/>
    </row>
    <row r="2194" spans="12:12" x14ac:dyDescent="0.15">
      <c r="L2194" s="23"/>
    </row>
    <row r="2195" spans="12:12" x14ac:dyDescent="0.15">
      <c r="L2195" s="23"/>
    </row>
    <row r="2196" spans="12:12" x14ac:dyDescent="0.15">
      <c r="L2196" s="23"/>
    </row>
    <row r="2197" spans="12:12" x14ac:dyDescent="0.15">
      <c r="L2197" s="23"/>
    </row>
    <row r="2198" spans="12:12" x14ac:dyDescent="0.15">
      <c r="L2198" s="23"/>
    </row>
    <row r="2199" spans="12:12" x14ac:dyDescent="0.15">
      <c r="L2199" s="23"/>
    </row>
    <row r="2200" spans="12:12" x14ac:dyDescent="0.15">
      <c r="L2200" s="23"/>
    </row>
    <row r="2201" spans="12:12" x14ac:dyDescent="0.15">
      <c r="L2201" s="23"/>
    </row>
    <row r="2202" spans="12:12" x14ac:dyDescent="0.15">
      <c r="L2202" s="23"/>
    </row>
    <row r="2203" spans="12:12" x14ac:dyDescent="0.15">
      <c r="L2203" s="23"/>
    </row>
    <row r="2204" spans="12:12" x14ac:dyDescent="0.15">
      <c r="L2204" s="23"/>
    </row>
    <row r="2205" spans="12:12" x14ac:dyDescent="0.15">
      <c r="L2205" s="23"/>
    </row>
    <row r="2206" spans="12:12" x14ac:dyDescent="0.15">
      <c r="L2206" s="23"/>
    </row>
    <row r="2207" spans="12:12" x14ac:dyDescent="0.15">
      <c r="L2207" s="23"/>
    </row>
    <row r="2208" spans="12:12" x14ac:dyDescent="0.15">
      <c r="L2208" s="23"/>
    </row>
    <row r="2209" spans="12:12" x14ac:dyDescent="0.15">
      <c r="L2209" s="23"/>
    </row>
    <row r="2210" spans="12:12" x14ac:dyDescent="0.15">
      <c r="L2210" s="23"/>
    </row>
    <row r="2211" spans="12:12" x14ac:dyDescent="0.15">
      <c r="L2211" s="23"/>
    </row>
    <row r="2212" spans="12:12" x14ac:dyDescent="0.15">
      <c r="L2212" s="23"/>
    </row>
    <row r="2213" spans="12:12" x14ac:dyDescent="0.15">
      <c r="L2213" s="23"/>
    </row>
    <row r="2214" spans="12:12" x14ac:dyDescent="0.15">
      <c r="L2214" s="23"/>
    </row>
    <row r="2215" spans="12:12" x14ac:dyDescent="0.15">
      <c r="L2215" s="23"/>
    </row>
    <row r="2216" spans="12:12" x14ac:dyDescent="0.15">
      <c r="L2216" s="23"/>
    </row>
    <row r="2217" spans="12:12" x14ac:dyDescent="0.15">
      <c r="L2217" s="23"/>
    </row>
    <row r="2218" spans="12:12" x14ac:dyDescent="0.15">
      <c r="L2218" s="23"/>
    </row>
    <row r="2219" spans="12:12" x14ac:dyDescent="0.15">
      <c r="L2219" s="23"/>
    </row>
    <row r="2220" spans="12:12" x14ac:dyDescent="0.15">
      <c r="L2220" s="23"/>
    </row>
    <row r="2221" spans="12:12" x14ac:dyDescent="0.15">
      <c r="L2221" s="23"/>
    </row>
    <row r="2222" spans="12:12" x14ac:dyDescent="0.15">
      <c r="L2222" s="23"/>
    </row>
    <row r="2223" spans="12:12" x14ac:dyDescent="0.15">
      <c r="L2223" s="23"/>
    </row>
    <row r="2224" spans="12:12" x14ac:dyDescent="0.15">
      <c r="L2224" s="23"/>
    </row>
    <row r="2225" spans="12:12" x14ac:dyDescent="0.15">
      <c r="L2225" s="23"/>
    </row>
    <row r="2226" spans="12:12" x14ac:dyDescent="0.15">
      <c r="L2226" s="23"/>
    </row>
    <row r="2227" spans="12:12" x14ac:dyDescent="0.15">
      <c r="L2227" s="23"/>
    </row>
    <row r="2228" spans="12:12" x14ac:dyDescent="0.15">
      <c r="L2228" s="23"/>
    </row>
    <row r="2229" spans="12:12" x14ac:dyDescent="0.15">
      <c r="L2229" s="23"/>
    </row>
    <row r="2230" spans="12:12" x14ac:dyDescent="0.15">
      <c r="L2230" s="23"/>
    </row>
    <row r="2231" spans="12:12" x14ac:dyDescent="0.15">
      <c r="L2231" s="23"/>
    </row>
    <row r="2232" spans="12:12" x14ac:dyDescent="0.15">
      <c r="L2232" s="23"/>
    </row>
    <row r="2233" spans="12:12" x14ac:dyDescent="0.15">
      <c r="L2233" s="23"/>
    </row>
    <row r="2234" spans="12:12" x14ac:dyDescent="0.15">
      <c r="L2234" s="23"/>
    </row>
    <row r="2235" spans="12:12" x14ac:dyDescent="0.15">
      <c r="L2235" s="23"/>
    </row>
    <row r="2236" spans="12:12" x14ac:dyDescent="0.15">
      <c r="L2236" s="23"/>
    </row>
    <row r="2237" spans="12:12" x14ac:dyDescent="0.15">
      <c r="L2237" s="23"/>
    </row>
    <row r="2238" spans="12:12" x14ac:dyDescent="0.15">
      <c r="L2238" s="23"/>
    </row>
    <row r="2239" spans="12:12" x14ac:dyDescent="0.15">
      <c r="L2239" s="23"/>
    </row>
    <row r="2240" spans="12:12" x14ac:dyDescent="0.15">
      <c r="L2240" s="23"/>
    </row>
    <row r="2241" spans="12:12" x14ac:dyDescent="0.15">
      <c r="L2241" s="23"/>
    </row>
    <row r="2242" spans="12:12" x14ac:dyDescent="0.15">
      <c r="L2242" s="23"/>
    </row>
    <row r="2243" spans="12:12" x14ac:dyDescent="0.15">
      <c r="L2243" s="23"/>
    </row>
    <row r="2244" spans="12:12" x14ac:dyDescent="0.15">
      <c r="L2244" s="23"/>
    </row>
    <row r="2245" spans="12:12" x14ac:dyDescent="0.15">
      <c r="L2245" s="23"/>
    </row>
    <row r="2246" spans="12:12" x14ac:dyDescent="0.15">
      <c r="L2246" s="23"/>
    </row>
    <row r="2247" spans="12:12" x14ac:dyDescent="0.15">
      <c r="L2247" s="23"/>
    </row>
    <row r="2248" spans="12:12" x14ac:dyDescent="0.15">
      <c r="L2248" s="23"/>
    </row>
    <row r="2249" spans="12:12" x14ac:dyDescent="0.15">
      <c r="L2249" s="23"/>
    </row>
    <row r="2250" spans="12:12" x14ac:dyDescent="0.15">
      <c r="L2250" s="23"/>
    </row>
    <row r="2251" spans="12:12" x14ac:dyDescent="0.15">
      <c r="L2251" s="23"/>
    </row>
    <row r="2252" spans="12:12" x14ac:dyDescent="0.15">
      <c r="L2252" s="23"/>
    </row>
    <row r="2253" spans="12:12" x14ac:dyDescent="0.15">
      <c r="L2253" s="23"/>
    </row>
    <row r="2254" spans="12:12" x14ac:dyDescent="0.15">
      <c r="L2254" s="23"/>
    </row>
    <row r="2255" spans="12:12" x14ac:dyDescent="0.15">
      <c r="L2255" s="23"/>
    </row>
    <row r="2256" spans="12:12" x14ac:dyDescent="0.15">
      <c r="L2256" s="23"/>
    </row>
    <row r="2257" spans="12:12" x14ac:dyDescent="0.15">
      <c r="L2257" s="23"/>
    </row>
    <row r="2258" spans="12:12" x14ac:dyDescent="0.15">
      <c r="L2258" s="23"/>
    </row>
    <row r="2259" spans="12:12" x14ac:dyDescent="0.15">
      <c r="L2259" s="23"/>
    </row>
    <row r="2260" spans="12:12" x14ac:dyDescent="0.15">
      <c r="L2260" s="23"/>
    </row>
    <row r="2261" spans="12:12" x14ac:dyDescent="0.15">
      <c r="L2261" s="23"/>
    </row>
    <row r="2262" spans="12:12" x14ac:dyDescent="0.15">
      <c r="L2262" s="23"/>
    </row>
    <row r="2263" spans="12:12" x14ac:dyDescent="0.15">
      <c r="L2263" s="23"/>
    </row>
    <row r="2264" spans="12:12" x14ac:dyDescent="0.15">
      <c r="L2264" s="23"/>
    </row>
    <row r="2265" spans="12:12" x14ac:dyDescent="0.15">
      <c r="L2265" s="23"/>
    </row>
    <row r="2266" spans="12:12" x14ac:dyDescent="0.15">
      <c r="L2266" s="23"/>
    </row>
    <row r="2267" spans="12:12" x14ac:dyDescent="0.15">
      <c r="L2267" s="23"/>
    </row>
    <row r="2268" spans="12:12" x14ac:dyDescent="0.15">
      <c r="L2268" s="23"/>
    </row>
    <row r="2269" spans="12:12" x14ac:dyDescent="0.15">
      <c r="L2269" s="23"/>
    </row>
    <row r="2270" spans="12:12" x14ac:dyDescent="0.15">
      <c r="L2270" s="23"/>
    </row>
    <row r="2271" spans="12:12" x14ac:dyDescent="0.15">
      <c r="L2271" s="23"/>
    </row>
    <row r="2272" spans="12:12" x14ac:dyDescent="0.15">
      <c r="L2272" s="23"/>
    </row>
    <row r="2273" spans="12:12" x14ac:dyDescent="0.15">
      <c r="L2273" s="23"/>
    </row>
    <row r="2274" spans="12:12" x14ac:dyDescent="0.15">
      <c r="L2274" s="23"/>
    </row>
    <row r="2275" spans="12:12" x14ac:dyDescent="0.15">
      <c r="L2275" s="23"/>
    </row>
    <row r="2276" spans="12:12" x14ac:dyDescent="0.15">
      <c r="L2276" s="23"/>
    </row>
    <row r="2277" spans="12:12" x14ac:dyDescent="0.15">
      <c r="L2277" s="23"/>
    </row>
    <row r="2278" spans="12:12" x14ac:dyDescent="0.15">
      <c r="L2278" s="23"/>
    </row>
    <row r="2279" spans="12:12" x14ac:dyDescent="0.15">
      <c r="L2279" s="23"/>
    </row>
    <row r="2280" spans="12:12" x14ac:dyDescent="0.15">
      <c r="L2280" s="23"/>
    </row>
    <row r="2281" spans="12:12" x14ac:dyDescent="0.15">
      <c r="L2281" s="23"/>
    </row>
    <row r="2282" spans="12:12" x14ac:dyDescent="0.15">
      <c r="L2282" s="23"/>
    </row>
    <row r="2283" spans="12:12" x14ac:dyDescent="0.15">
      <c r="L2283" s="23"/>
    </row>
    <row r="2284" spans="12:12" x14ac:dyDescent="0.15">
      <c r="L2284" s="23"/>
    </row>
    <row r="2285" spans="12:12" x14ac:dyDescent="0.15">
      <c r="L2285" s="23"/>
    </row>
    <row r="2286" spans="12:12" x14ac:dyDescent="0.15">
      <c r="L2286" s="23"/>
    </row>
    <row r="2287" spans="12:12" x14ac:dyDescent="0.15">
      <c r="L2287" s="23"/>
    </row>
    <row r="2288" spans="12:12" x14ac:dyDescent="0.15">
      <c r="L2288" s="23"/>
    </row>
    <row r="2289" spans="12:12" x14ac:dyDescent="0.15">
      <c r="L2289" s="23"/>
    </row>
    <row r="2290" spans="12:12" x14ac:dyDescent="0.15">
      <c r="L2290" s="23"/>
    </row>
    <row r="2291" spans="12:12" x14ac:dyDescent="0.15">
      <c r="L2291" s="23"/>
    </row>
    <row r="2292" spans="12:12" x14ac:dyDescent="0.15">
      <c r="L2292" s="23"/>
    </row>
    <row r="2293" spans="12:12" x14ac:dyDescent="0.15">
      <c r="L2293" s="23"/>
    </row>
    <row r="2294" spans="12:12" x14ac:dyDescent="0.15">
      <c r="L2294" s="23"/>
    </row>
    <row r="2295" spans="12:12" x14ac:dyDescent="0.15">
      <c r="L2295" s="23"/>
    </row>
    <row r="2296" spans="12:12" x14ac:dyDescent="0.15">
      <c r="L2296" s="23"/>
    </row>
    <row r="2297" spans="12:12" x14ac:dyDescent="0.15">
      <c r="L2297" s="23"/>
    </row>
    <row r="2298" spans="12:12" x14ac:dyDescent="0.15">
      <c r="L2298" s="23"/>
    </row>
    <row r="2299" spans="12:12" x14ac:dyDescent="0.15">
      <c r="L2299" s="23"/>
    </row>
    <row r="2300" spans="12:12" x14ac:dyDescent="0.15">
      <c r="L2300" s="23"/>
    </row>
    <row r="2301" spans="12:12" x14ac:dyDescent="0.15">
      <c r="L2301" s="23"/>
    </row>
    <row r="2302" spans="12:12" x14ac:dyDescent="0.15">
      <c r="L2302" s="23"/>
    </row>
    <row r="2303" spans="12:12" x14ac:dyDescent="0.15">
      <c r="L2303" s="23"/>
    </row>
    <row r="2304" spans="12:12" x14ac:dyDescent="0.15">
      <c r="L2304" s="23"/>
    </row>
    <row r="2305" spans="12:12" x14ac:dyDescent="0.15">
      <c r="L2305" s="23"/>
    </row>
    <row r="2306" spans="12:12" x14ac:dyDescent="0.15">
      <c r="L2306" s="23"/>
    </row>
    <row r="2307" spans="12:12" x14ac:dyDescent="0.15">
      <c r="L2307" s="23"/>
    </row>
    <row r="2308" spans="12:12" x14ac:dyDescent="0.15">
      <c r="L2308" s="23"/>
    </row>
    <row r="2309" spans="12:12" x14ac:dyDescent="0.15">
      <c r="L2309" s="23"/>
    </row>
    <row r="2310" spans="12:12" x14ac:dyDescent="0.15">
      <c r="L2310" s="23"/>
    </row>
    <row r="2311" spans="12:12" x14ac:dyDescent="0.15">
      <c r="L2311" s="23"/>
    </row>
    <row r="2312" spans="12:12" x14ac:dyDescent="0.15">
      <c r="L2312" s="23"/>
    </row>
    <row r="2313" spans="12:12" x14ac:dyDescent="0.15">
      <c r="L2313" s="23"/>
    </row>
    <row r="2314" spans="12:12" x14ac:dyDescent="0.15">
      <c r="L2314" s="23"/>
    </row>
    <row r="2315" spans="12:12" x14ac:dyDescent="0.15">
      <c r="L2315" s="23"/>
    </row>
    <row r="2316" spans="12:12" x14ac:dyDescent="0.15">
      <c r="L2316" s="23"/>
    </row>
    <row r="2317" spans="12:12" x14ac:dyDescent="0.15">
      <c r="L2317" s="23"/>
    </row>
    <row r="2318" spans="12:12" x14ac:dyDescent="0.15">
      <c r="L2318" s="23"/>
    </row>
    <row r="2319" spans="12:12" x14ac:dyDescent="0.15">
      <c r="L2319" s="23"/>
    </row>
    <row r="2320" spans="12:12" x14ac:dyDescent="0.15">
      <c r="L2320" s="23"/>
    </row>
    <row r="2321" spans="12:12" x14ac:dyDescent="0.15">
      <c r="L2321" s="23"/>
    </row>
    <row r="2322" spans="12:12" x14ac:dyDescent="0.15">
      <c r="L2322" s="23"/>
    </row>
    <row r="2323" spans="12:12" x14ac:dyDescent="0.15">
      <c r="L2323" s="23"/>
    </row>
    <row r="2324" spans="12:12" x14ac:dyDescent="0.15">
      <c r="L2324" s="23"/>
    </row>
    <row r="2325" spans="12:12" x14ac:dyDescent="0.15">
      <c r="L2325" s="23"/>
    </row>
    <row r="2326" spans="12:12" x14ac:dyDescent="0.15">
      <c r="L2326" s="23"/>
    </row>
    <row r="2327" spans="12:12" x14ac:dyDescent="0.15">
      <c r="L2327" s="23"/>
    </row>
    <row r="2328" spans="12:12" x14ac:dyDescent="0.15">
      <c r="L2328" s="23"/>
    </row>
    <row r="2329" spans="12:12" x14ac:dyDescent="0.15">
      <c r="L2329" s="23"/>
    </row>
    <row r="2330" spans="12:12" x14ac:dyDescent="0.15">
      <c r="L2330" s="23"/>
    </row>
    <row r="2331" spans="12:12" x14ac:dyDescent="0.15">
      <c r="L2331" s="23"/>
    </row>
    <row r="2332" spans="12:12" x14ac:dyDescent="0.15">
      <c r="L2332" s="23"/>
    </row>
    <row r="2333" spans="12:12" x14ac:dyDescent="0.15">
      <c r="L2333" s="23"/>
    </row>
    <row r="2334" spans="12:12" x14ac:dyDescent="0.15">
      <c r="L2334" s="23"/>
    </row>
    <row r="2335" spans="12:12" x14ac:dyDescent="0.15">
      <c r="L2335" s="23"/>
    </row>
    <row r="2336" spans="12:12" x14ac:dyDescent="0.15">
      <c r="L2336" s="23"/>
    </row>
    <row r="2337" spans="12:12" x14ac:dyDescent="0.15">
      <c r="L2337" s="23"/>
    </row>
    <row r="2338" spans="12:12" x14ac:dyDescent="0.15">
      <c r="L2338" s="23"/>
    </row>
    <row r="2339" spans="12:12" x14ac:dyDescent="0.15">
      <c r="L2339" s="23"/>
    </row>
    <row r="2340" spans="12:12" x14ac:dyDescent="0.15">
      <c r="L2340" s="23"/>
    </row>
    <row r="2341" spans="12:12" x14ac:dyDescent="0.15">
      <c r="L2341" s="23"/>
    </row>
    <row r="2342" spans="12:12" x14ac:dyDescent="0.15">
      <c r="L2342" s="23"/>
    </row>
    <row r="2343" spans="12:12" x14ac:dyDescent="0.15">
      <c r="L2343" s="23"/>
    </row>
    <row r="2344" spans="12:12" x14ac:dyDescent="0.15">
      <c r="L2344" s="23"/>
    </row>
    <row r="2345" spans="12:12" x14ac:dyDescent="0.15">
      <c r="L2345" s="23"/>
    </row>
    <row r="2346" spans="12:12" x14ac:dyDescent="0.15">
      <c r="L2346" s="23"/>
    </row>
    <row r="2347" spans="12:12" x14ac:dyDescent="0.15">
      <c r="L2347" s="23"/>
    </row>
    <row r="2348" spans="12:12" x14ac:dyDescent="0.15">
      <c r="L2348" s="23"/>
    </row>
    <row r="2349" spans="12:12" x14ac:dyDescent="0.15">
      <c r="L2349" s="23"/>
    </row>
    <row r="2350" spans="12:12" x14ac:dyDescent="0.15">
      <c r="L2350" s="23"/>
    </row>
    <row r="2351" spans="12:12" x14ac:dyDescent="0.15">
      <c r="L2351" s="23"/>
    </row>
    <row r="2352" spans="12:12" x14ac:dyDescent="0.15">
      <c r="L2352" s="23"/>
    </row>
    <row r="2353" spans="12:12" x14ac:dyDescent="0.15">
      <c r="L2353" s="23"/>
    </row>
    <row r="2354" spans="12:12" x14ac:dyDescent="0.15">
      <c r="L2354" s="23"/>
    </row>
    <row r="2355" spans="12:12" x14ac:dyDescent="0.15">
      <c r="L2355" s="23"/>
    </row>
    <row r="2356" spans="12:12" x14ac:dyDescent="0.15">
      <c r="L2356" s="23"/>
    </row>
    <row r="2357" spans="12:12" x14ac:dyDescent="0.15">
      <c r="L2357" s="23"/>
    </row>
    <row r="2358" spans="12:12" x14ac:dyDescent="0.15">
      <c r="L2358" s="23"/>
    </row>
    <row r="2359" spans="12:12" x14ac:dyDescent="0.15">
      <c r="L2359" s="23"/>
    </row>
    <row r="2360" spans="12:12" x14ac:dyDescent="0.15">
      <c r="L2360" s="23"/>
    </row>
    <row r="2361" spans="12:12" x14ac:dyDescent="0.15">
      <c r="L2361" s="23"/>
    </row>
    <row r="2362" spans="12:12" x14ac:dyDescent="0.15">
      <c r="L2362" s="23"/>
    </row>
    <row r="2363" spans="12:12" x14ac:dyDescent="0.15">
      <c r="L2363" s="23"/>
    </row>
    <row r="2364" spans="12:12" x14ac:dyDescent="0.15">
      <c r="L2364" s="23"/>
    </row>
    <row r="2365" spans="12:12" x14ac:dyDescent="0.15">
      <c r="L2365" s="23"/>
    </row>
    <row r="2366" spans="12:12" x14ac:dyDescent="0.15">
      <c r="L2366" s="23"/>
    </row>
    <row r="2367" spans="12:12" x14ac:dyDescent="0.15">
      <c r="L2367" s="23"/>
    </row>
    <row r="2368" spans="12:12" x14ac:dyDescent="0.15">
      <c r="L2368" s="23"/>
    </row>
    <row r="2369" spans="12:12" x14ac:dyDescent="0.15">
      <c r="L2369" s="23"/>
    </row>
    <row r="2370" spans="12:12" x14ac:dyDescent="0.15">
      <c r="L2370" s="23"/>
    </row>
    <row r="2371" spans="12:12" x14ac:dyDescent="0.15">
      <c r="L2371" s="23"/>
    </row>
    <row r="2372" spans="12:12" x14ac:dyDescent="0.15">
      <c r="L2372" s="23"/>
    </row>
    <row r="2373" spans="12:12" x14ac:dyDescent="0.15">
      <c r="L2373" s="23"/>
    </row>
    <row r="2374" spans="12:12" x14ac:dyDescent="0.15">
      <c r="L2374" s="23"/>
    </row>
    <row r="2375" spans="12:12" x14ac:dyDescent="0.15">
      <c r="L2375" s="23"/>
    </row>
    <row r="2376" spans="12:12" x14ac:dyDescent="0.15">
      <c r="L2376" s="23"/>
    </row>
    <row r="2377" spans="12:12" x14ac:dyDescent="0.15">
      <c r="L2377" s="23"/>
    </row>
    <row r="2378" spans="12:12" x14ac:dyDescent="0.15">
      <c r="L2378" s="23"/>
    </row>
    <row r="2379" spans="12:12" x14ac:dyDescent="0.15">
      <c r="L2379" s="23"/>
    </row>
    <row r="2380" spans="12:12" x14ac:dyDescent="0.15">
      <c r="L2380" s="23"/>
    </row>
    <row r="2381" spans="12:12" x14ac:dyDescent="0.15">
      <c r="L2381" s="23"/>
    </row>
    <row r="2382" spans="12:12" x14ac:dyDescent="0.15">
      <c r="L2382" s="23"/>
    </row>
    <row r="2383" spans="12:12" x14ac:dyDescent="0.15">
      <c r="L2383" s="23"/>
    </row>
    <row r="2384" spans="12:12" x14ac:dyDescent="0.15">
      <c r="L2384" s="23"/>
    </row>
    <row r="2385" spans="12:12" x14ac:dyDescent="0.15">
      <c r="L2385" s="23"/>
    </row>
    <row r="2386" spans="12:12" x14ac:dyDescent="0.15">
      <c r="L2386" s="23"/>
    </row>
    <row r="2387" spans="12:12" x14ac:dyDescent="0.15">
      <c r="L2387" s="23"/>
    </row>
    <row r="2388" spans="12:12" x14ac:dyDescent="0.15">
      <c r="L2388" s="23"/>
    </row>
    <row r="2389" spans="12:12" x14ac:dyDescent="0.15">
      <c r="L2389" s="23"/>
    </row>
    <row r="2390" spans="12:12" x14ac:dyDescent="0.15">
      <c r="L2390" s="23"/>
    </row>
    <row r="2391" spans="12:12" x14ac:dyDescent="0.15">
      <c r="L2391" s="23"/>
    </row>
    <row r="2392" spans="12:12" x14ac:dyDescent="0.15">
      <c r="L2392" s="23"/>
    </row>
    <row r="2393" spans="12:12" x14ac:dyDescent="0.15">
      <c r="L2393" s="23"/>
    </row>
    <row r="2394" spans="12:12" x14ac:dyDescent="0.15">
      <c r="L2394" s="23"/>
    </row>
    <row r="2395" spans="12:12" x14ac:dyDescent="0.15">
      <c r="L2395" s="23"/>
    </row>
    <row r="2396" spans="12:12" x14ac:dyDescent="0.15">
      <c r="L2396" s="23"/>
    </row>
    <row r="2397" spans="12:12" x14ac:dyDescent="0.15">
      <c r="L2397" s="23"/>
    </row>
    <row r="2398" spans="12:12" x14ac:dyDescent="0.15">
      <c r="L2398" s="23"/>
    </row>
    <row r="2399" spans="12:12" x14ac:dyDescent="0.15">
      <c r="L2399" s="23"/>
    </row>
    <row r="2400" spans="12:12" x14ac:dyDescent="0.15">
      <c r="L2400" s="23"/>
    </row>
    <row r="2401" spans="12:12" x14ac:dyDescent="0.15">
      <c r="L2401" s="23"/>
    </row>
    <row r="2402" spans="12:12" x14ac:dyDescent="0.15">
      <c r="L2402" s="23"/>
    </row>
    <row r="2403" spans="12:12" x14ac:dyDescent="0.15">
      <c r="L2403" s="23"/>
    </row>
    <row r="2404" spans="12:12" x14ac:dyDescent="0.15">
      <c r="L2404" s="23"/>
    </row>
    <row r="2405" spans="12:12" x14ac:dyDescent="0.15">
      <c r="L2405" s="23"/>
    </row>
    <row r="2406" spans="12:12" x14ac:dyDescent="0.15">
      <c r="L2406" s="23"/>
    </row>
    <row r="2407" spans="12:12" x14ac:dyDescent="0.15">
      <c r="L2407" s="23"/>
    </row>
    <row r="2408" spans="12:12" x14ac:dyDescent="0.15">
      <c r="L2408" s="23"/>
    </row>
    <row r="2409" spans="12:12" x14ac:dyDescent="0.15">
      <c r="L2409" s="23"/>
    </row>
    <row r="2410" spans="12:12" x14ac:dyDescent="0.15">
      <c r="L2410" s="23"/>
    </row>
    <row r="2411" spans="12:12" x14ac:dyDescent="0.15">
      <c r="L2411" s="23"/>
    </row>
    <row r="2412" spans="12:12" x14ac:dyDescent="0.15">
      <c r="L2412" s="23"/>
    </row>
    <row r="2413" spans="12:12" x14ac:dyDescent="0.15">
      <c r="L2413" s="23"/>
    </row>
    <row r="2414" spans="12:12" x14ac:dyDescent="0.15">
      <c r="L2414" s="23"/>
    </row>
    <row r="2415" spans="12:12" x14ac:dyDescent="0.15">
      <c r="L2415" s="23"/>
    </row>
    <row r="2416" spans="12:12" x14ac:dyDescent="0.15">
      <c r="L2416" s="23"/>
    </row>
    <row r="2417" spans="12:12" x14ac:dyDescent="0.15">
      <c r="L2417" s="23"/>
    </row>
    <row r="2418" spans="12:12" x14ac:dyDescent="0.15">
      <c r="L2418" s="23"/>
    </row>
    <row r="2419" spans="12:12" x14ac:dyDescent="0.15">
      <c r="L2419" s="23"/>
    </row>
    <row r="2420" spans="12:12" x14ac:dyDescent="0.15">
      <c r="L2420" s="23"/>
    </row>
    <row r="2421" spans="12:12" x14ac:dyDescent="0.15">
      <c r="L2421" s="23"/>
    </row>
    <row r="2422" spans="12:12" x14ac:dyDescent="0.15">
      <c r="L2422" s="23"/>
    </row>
    <row r="2423" spans="12:12" x14ac:dyDescent="0.15">
      <c r="L2423" s="23"/>
    </row>
    <row r="2424" spans="12:12" x14ac:dyDescent="0.15">
      <c r="L2424" s="23"/>
    </row>
    <row r="2425" spans="12:12" x14ac:dyDescent="0.15">
      <c r="L2425" s="23"/>
    </row>
    <row r="2426" spans="12:12" x14ac:dyDescent="0.15">
      <c r="L2426" s="23"/>
    </row>
    <row r="2427" spans="12:12" x14ac:dyDescent="0.15">
      <c r="L2427" s="23"/>
    </row>
    <row r="2428" spans="12:12" x14ac:dyDescent="0.15">
      <c r="L2428" s="23"/>
    </row>
    <row r="2429" spans="12:12" x14ac:dyDescent="0.15">
      <c r="L2429" s="23"/>
    </row>
    <row r="2430" spans="12:12" x14ac:dyDescent="0.15">
      <c r="L2430" s="23"/>
    </row>
    <row r="2431" spans="12:12" x14ac:dyDescent="0.15">
      <c r="L2431" s="23"/>
    </row>
    <row r="2432" spans="12:12" x14ac:dyDescent="0.15">
      <c r="L2432" s="23"/>
    </row>
    <row r="2433" spans="12:12" x14ac:dyDescent="0.15">
      <c r="L2433" s="23"/>
    </row>
    <row r="2434" spans="12:12" x14ac:dyDescent="0.15">
      <c r="L2434" s="23"/>
    </row>
    <row r="2435" spans="12:12" x14ac:dyDescent="0.15">
      <c r="L2435" s="23"/>
    </row>
    <row r="2436" spans="12:12" x14ac:dyDescent="0.15">
      <c r="L2436" s="23"/>
    </row>
    <row r="2437" spans="12:12" x14ac:dyDescent="0.15">
      <c r="L2437" s="23"/>
    </row>
    <row r="2438" spans="12:12" x14ac:dyDescent="0.15">
      <c r="L2438" s="23"/>
    </row>
    <row r="2439" spans="12:12" x14ac:dyDescent="0.15">
      <c r="L2439" s="23"/>
    </row>
    <row r="2440" spans="12:12" x14ac:dyDescent="0.15">
      <c r="L2440" s="23"/>
    </row>
    <row r="2441" spans="12:12" x14ac:dyDescent="0.15">
      <c r="L2441" s="23"/>
    </row>
    <row r="2442" spans="12:12" x14ac:dyDescent="0.15">
      <c r="L2442" s="23"/>
    </row>
    <row r="2443" spans="12:12" x14ac:dyDescent="0.15">
      <c r="L2443" s="23"/>
    </row>
    <row r="2444" spans="12:12" x14ac:dyDescent="0.15">
      <c r="L2444" s="23"/>
    </row>
    <row r="2445" spans="12:12" x14ac:dyDescent="0.15">
      <c r="L2445" s="23"/>
    </row>
    <row r="2446" spans="12:12" x14ac:dyDescent="0.15">
      <c r="L2446" s="23"/>
    </row>
    <row r="2447" spans="12:12" x14ac:dyDescent="0.15">
      <c r="L2447" s="23"/>
    </row>
    <row r="2448" spans="12:12" x14ac:dyDescent="0.15">
      <c r="L2448" s="23"/>
    </row>
    <row r="2449" spans="12:12" x14ac:dyDescent="0.15">
      <c r="L2449" s="23"/>
    </row>
    <row r="2450" spans="12:12" x14ac:dyDescent="0.15">
      <c r="L2450" s="23"/>
    </row>
    <row r="2451" spans="12:12" x14ac:dyDescent="0.15">
      <c r="L2451" s="23"/>
    </row>
    <row r="2452" spans="12:12" x14ac:dyDescent="0.15">
      <c r="L2452" s="23"/>
    </row>
    <row r="2453" spans="12:12" x14ac:dyDescent="0.15">
      <c r="L2453" s="23"/>
    </row>
    <row r="2454" spans="12:12" x14ac:dyDescent="0.15">
      <c r="L2454" s="23"/>
    </row>
    <row r="2455" spans="12:12" x14ac:dyDescent="0.15">
      <c r="L2455" s="23"/>
    </row>
    <row r="2456" spans="12:12" x14ac:dyDescent="0.15">
      <c r="L2456" s="23"/>
    </row>
    <row r="2457" spans="12:12" x14ac:dyDescent="0.15">
      <c r="L2457" s="23"/>
    </row>
    <row r="2458" spans="12:12" x14ac:dyDescent="0.15">
      <c r="L2458" s="23"/>
    </row>
    <row r="2459" spans="12:12" x14ac:dyDescent="0.15">
      <c r="L2459" s="23"/>
    </row>
    <row r="2460" spans="12:12" x14ac:dyDescent="0.15">
      <c r="L2460" s="23"/>
    </row>
    <row r="2461" spans="12:12" x14ac:dyDescent="0.15">
      <c r="L2461" s="23"/>
    </row>
    <row r="2462" spans="12:12" x14ac:dyDescent="0.15">
      <c r="L2462" s="23"/>
    </row>
    <row r="2463" spans="12:12" x14ac:dyDescent="0.15">
      <c r="L2463" s="23"/>
    </row>
    <row r="2464" spans="12:12" x14ac:dyDescent="0.15">
      <c r="L2464" s="23"/>
    </row>
    <row r="2465" spans="12:12" x14ac:dyDescent="0.15">
      <c r="L2465" s="23"/>
    </row>
    <row r="2466" spans="12:12" x14ac:dyDescent="0.15">
      <c r="L2466" s="23"/>
    </row>
    <row r="2467" spans="12:12" x14ac:dyDescent="0.15">
      <c r="L2467" s="23"/>
    </row>
    <row r="2468" spans="12:12" x14ac:dyDescent="0.15">
      <c r="L2468" s="23"/>
    </row>
    <row r="2469" spans="12:12" x14ac:dyDescent="0.15">
      <c r="L2469" s="23"/>
    </row>
    <row r="2470" spans="12:12" x14ac:dyDescent="0.15">
      <c r="L2470" s="23"/>
    </row>
    <row r="2471" spans="12:12" x14ac:dyDescent="0.15">
      <c r="L2471" s="23"/>
    </row>
    <row r="2472" spans="12:12" x14ac:dyDescent="0.15">
      <c r="L2472" s="23"/>
    </row>
    <row r="2473" spans="12:12" x14ac:dyDescent="0.15">
      <c r="L2473" s="23"/>
    </row>
    <row r="2474" spans="12:12" x14ac:dyDescent="0.15">
      <c r="L2474" s="23"/>
    </row>
    <row r="2475" spans="12:12" x14ac:dyDescent="0.15">
      <c r="L2475" s="23"/>
    </row>
    <row r="2476" spans="12:12" x14ac:dyDescent="0.15">
      <c r="L2476" s="23"/>
    </row>
    <row r="2477" spans="12:12" x14ac:dyDescent="0.15">
      <c r="L2477" s="23"/>
    </row>
    <row r="2478" spans="12:12" x14ac:dyDescent="0.15">
      <c r="L2478" s="23"/>
    </row>
    <row r="2479" spans="12:12" x14ac:dyDescent="0.15">
      <c r="L2479" s="23"/>
    </row>
    <row r="2480" spans="12:12" x14ac:dyDescent="0.15">
      <c r="L2480" s="23"/>
    </row>
    <row r="2481" spans="12:12" x14ac:dyDescent="0.15">
      <c r="L2481" s="23"/>
    </row>
    <row r="2482" spans="12:12" x14ac:dyDescent="0.15">
      <c r="L2482" s="23"/>
    </row>
    <row r="2483" spans="12:12" x14ac:dyDescent="0.15">
      <c r="L2483" s="23"/>
    </row>
    <row r="2484" spans="12:12" x14ac:dyDescent="0.15">
      <c r="L2484" s="23"/>
    </row>
    <row r="2485" spans="12:12" x14ac:dyDescent="0.15">
      <c r="L2485" s="23"/>
    </row>
    <row r="2486" spans="12:12" x14ac:dyDescent="0.15">
      <c r="L2486" s="23"/>
    </row>
    <row r="2487" spans="12:12" x14ac:dyDescent="0.15">
      <c r="L2487" s="23"/>
    </row>
    <row r="2488" spans="12:12" x14ac:dyDescent="0.15">
      <c r="L2488" s="23"/>
    </row>
    <row r="2489" spans="12:12" x14ac:dyDescent="0.15">
      <c r="L2489" s="23"/>
    </row>
    <row r="2490" spans="12:12" x14ac:dyDescent="0.15">
      <c r="L2490" s="23"/>
    </row>
    <row r="2491" spans="12:12" x14ac:dyDescent="0.15">
      <c r="L2491" s="23"/>
    </row>
    <row r="2492" spans="12:12" x14ac:dyDescent="0.15">
      <c r="L2492" s="23"/>
    </row>
    <row r="2493" spans="12:12" x14ac:dyDescent="0.15">
      <c r="L2493" s="23"/>
    </row>
    <row r="2494" spans="12:12" x14ac:dyDescent="0.15">
      <c r="L2494" s="23"/>
    </row>
    <row r="2495" spans="12:12" x14ac:dyDescent="0.15">
      <c r="L2495" s="23"/>
    </row>
    <row r="2496" spans="12:12" x14ac:dyDescent="0.15">
      <c r="L2496" s="23"/>
    </row>
    <row r="2497" spans="12:12" x14ac:dyDescent="0.15">
      <c r="L2497" s="23"/>
    </row>
    <row r="2498" spans="12:12" x14ac:dyDescent="0.15">
      <c r="L2498" s="23"/>
    </row>
    <row r="2499" spans="12:12" x14ac:dyDescent="0.15">
      <c r="L2499" s="23"/>
    </row>
    <row r="2500" spans="12:12" x14ac:dyDescent="0.15">
      <c r="L2500" s="23"/>
    </row>
    <row r="2501" spans="12:12" x14ac:dyDescent="0.15">
      <c r="L2501" s="23"/>
    </row>
    <row r="2502" spans="12:12" x14ac:dyDescent="0.15">
      <c r="L2502" s="23"/>
    </row>
    <row r="2503" spans="12:12" x14ac:dyDescent="0.15">
      <c r="L2503" s="23"/>
    </row>
    <row r="2504" spans="12:12" x14ac:dyDescent="0.15">
      <c r="L2504" s="23"/>
    </row>
    <row r="2505" spans="12:12" x14ac:dyDescent="0.15">
      <c r="L2505" s="23"/>
    </row>
    <row r="2506" spans="12:12" x14ac:dyDescent="0.15">
      <c r="L2506" s="23"/>
    </row>
    <row r="2507" spans="12:12" x14ac:dyDescent="0.15">
      <c r="L2507" s="23"/>
    </row>
    <row r="2508" spans="12:12" x14ac:dyDescent="0.15">
      <c r="L2508" s="23"/>
    </row>
    <row r="2509" spans="12:12" x14ac:dyDescent="0.15">
      <c r="L2509" s="23"/>
    </row>
    <row r="2510" spans="12:12" x14ac:dyDescent="0.15">
      <c r="L2510" s="23"/>
    </row>
    <row r="2511" spans="12:12" x14ac:dyDescent="0.15">
      <c r="L2511" s="23"/>
    </row>
    <row r="2512" spans="12:12" x14ac:dyDescent="0.15">
      <c r="L2512" s="23"/>
    </row>
    <row r="2513" spans="12:12" x14ac:dyDescent="0.15">
      <c r="L2513" s="23"/>
    </row>
    <row r="2514" spans="12:12" x14ac:dyDescent="0.15">
      <c r="L2514" s="23"/>
    </row>
    <row r="2515" spans="12:12" x14ac:dyDescent="0.15">
      <c r="L2515" s="23"/>
    </row>
    <row r="2516" spans="12:12" x14ac:dyDescent="0.15">
      <c r="L2516" s="23"/>
    </row>
    <row r="2517" spans="12:12" x14ac:dyDescent="0.15">
      <c r="L2517" s="23"/>
    </row>
    <row r="2518" spans="12:12" x14ac:dyDescent="0.15">
      <c r="L2518" s="23"/>
    </row>
    <row r="2519" spans="12:12" x14ac:dyDescent="0.15">
      <c r="L2519" s="23"/>
    </row>
    <row r="2520" spans="12:12" x14ac:dyDescent="0.15">
      <c r="L2520" s="23"/>
    </row>
    <row r="2521" spans="12:12" x14ac:dyDescent="0.15">
      <c r="L2521" s="23"/>
    </row>
    <row r="2522" spans="12:12" x14ac:dyDescent="0.15">
      <c r="L2522" s="23"/>
    </row>
    <row r="2523" spans="12:12" x14ac:dyDescent="0.15">
      <c r="L2523" s="23"/>
    </row>
    <row r="2524" spans="12:12" x14ac:dyDescent="0.15">
      <c r="L2524" s="23"/>
    </row>
    <row r="2525" spans="12:12" x14ac:dyDescent="0.15">
      <c r="L2525" s="23"/>
    </row>
    <row r="2526" spans="12:12" x14ac:dyDescent="0.15">
      <c r="L2526" s="23"/>
    </row>
    <row r="2527" spans="12:12" x14ac:dyDescent="0.15">
      <c r="L2527" s="23"/>
    </row>
    <row r="2528" spans="12:12" x14ac:dyDescent="0.15">
      <c r="L2528" s="23"/>
    </row>
    <row r="2529" spans="12:12" x14ac:dyDescent="0.15">
      <c r="L2529" s="23"/>
    </row>
    <row r="2530" spans="12:12" x14ac:dyDescent="0.15">
      <c r="L2530" s="23"/>
    </row>
    <row r="2531" spans="12:12" x14ac:dyDescent="0.15">
      <c r="L2531" s="23"/>
    </row>
    <row r="2532" spans="12:12" x14ac:dyDescent="0.15">
      <c r="L2532" s="23"/>
    </row>
    <row r="2533" spans="12:12" x14ac:dyDescent="0.15">
      <c r="L2533" s="23"/>
    </row>
    <row r="2534" spans="12:12" x14ac:dyDescent="0.15">
      <c r="L2534" s="23"/>
    </row>
    <row r="2535" spans="12:12" x14ac:dyDescent="0.15">
      <c r="L2535" s="23"/>
    </row>
    <row r="2536" spans="12:12" x14ac:dyDescent="0.15">
      <c r="L2536" s="23"/>
    </row>
    <row r="2537" spans="12:12" x14ac:dyDescent="0.15">
      <c r="L2537" s="23"/>
    </row>
    <row r="2538" spans="12:12" x14ac:dyDescent="0.15">
      <c r="L2538" s="23"/>
    </row>
    <row r="2539" spans="12:12" x14ac:dyDescent="0.15">
      <c r="L2539" s="23"/>
    </row>
    <row r="2540" spans="12:12" x14ac:dyDescent="0.15">
      <c r="L2540" s="23"/>
    </row>
    <row r="2541" spans="12:12" x14ac:dyDescent="0.15">
      <c r="L2541" s="23"/>
    </row>
    <row r="2542" spans="12:12" x14ac:dyDescent="0.15">
      <c r="L2542" s="23"/>
    </row>
    <row r="2543" spans="12:12" x14ac:dyDescent="0.15">
      <c r="L2543" s="23"/>
    </row>
    <row r="2544" spans="12:12" x14ac:dyDescent="0.15">
      <c r="L2544" s="23"/>
    </row>
    <row r="2545" spans="12:12" x14ac:dyDescent="0.15">
      <c r="L2545" s="23"/>
    </row>
    <row r="2546" spans="12:12" x14ac:dyDescent="0.15">
      <c r="L2546" s="23"/>
    </row>
    <row r="2547" spans="12:12" x14ac:dyDescent="0.15">
      <c r="L2547" s="23"/>
    </row>
    <row r="2548" spans="12:12" x14ac:dyDescent="0.15">
      <c r="L2548" s="23"/>
    </row>
    <row r="2549" spans="12:12" x14ac:dyDescent="0.15">
      <c r="L2549" s="23"/>
    </row>
    <row r="2550" spans="12:12" x14ac:dyDescent="0.15">
      <c r="L2550" s="23"/>
    </row>
    <row r="2551" spans="12:12" x14ac:dyDescent="0.15">
      <c r="L2551" s="23"/>
    </row>
    <row r="2552" spans="12:12" x14ac:dyDescent="0.15">
      <c r="L2552" s="23"/>
    </row>
    <row r="2553" spans="12:12" x14ac:dyDescent="0.15">
      <c r="L2553" s="23"/>
    </row>
    <row r="2554" spans="12:12" x14ac:dyDescent="0.15">
      <c r="L2554" s="23"/>
    </row>
    <row r="2555" spans="12:12" x14ac:dyDescent="0.15">
      <c r="L2555" s="23"/>
    </row>
    <row r="2556" spans="12:12" x14ac:dyDescent="0.15">
      <c r="L2556" s="23"/>
    </row>
    <row r="2557" spans="12:12" x14ac:dyDescent="0.15">
      <c r="L2557" s="23"/>
    </row>
    <row r="2558" spans="12:12" x14ac:dyDescent="0.15">
      <c r="L2558" s="23"/>
    </row>
    <row r="2559" spans="12:12" x14ac:dyDescent="0.15">
      <c r="L2559" s="23"/>
    </row>
    <row r="2560" spans="12:12" x14ac:dyDescent="0.15">
      <c r="L2560" s="23"/>
    </row>
    <row r="2561" spans="12:12" x14ac:dyDescent="0.15">
      <c r="L2561" s="23"/>
    </row>
    <row r="2562" spans="12:12" x14ac:dyDescent="0.15">
      <c r="L2562" s="23"/>
    </row>
    <row r="2563" spans="12:12" x14ac:dyDescent="0.15">
      <c r="L2563" s="23"/>
    </row>
    <row r="2564" spans="12:12" x14ac:dyDescent="0.15">
      <c r="L2564" s="23"/>
    </row>
    <row r="2565" spans="12:12" x14ac:dyDescent="0.15">
      <c r="L2565" s="23"/>
    </row>
    <row r="2566" spans="12:12" x14ac:dyDescent="0.15">
      <c r="L2566" s="23"/>
    </row>
    <row r="2567" spans="12:12" x14ac:dyDescent="0.15">
      <c r="L2567" s="23"/>
    </row>
    <row r="2568" spans="12:12" x14ac:dyDescent="0.15">
      <c r="L2568" s="23"/>
    </row>
    <row r="2569" spans="12:12" x14ac:dyDescent="0.15">
      <c r="L2569" s="23"/>
    </row>
    <row r="2570" spans="12:12" x14ac:dyDescent="0.15">
      <c r="L2570" s="23"/>
    </row>
    <row r="2571" spans="12:12" x14ac:dyDescent="0.15">
      <c r="L2571" s="23"/>
    </row>
    <row r="2572" spans="12:12" x14ac:dyDescent="0.15">
      <c r="L2572" s="23"/>
    </row>
    <row r="2573" spans="12:12" x14ac:dyDescent="0.15">
      <c r="L2573" s="23"/>
    </row>
    <row r="2574" spans="12:12" x14ac:dyDescent="0.15">
      <c r="L2574" s="23"/>
    </row>
    <row r="2575" spans="12:12" x14ac:dyDescent="0.15">
      <c r="L2575" s="23"/>
    </row>
    <row r="2576" spans="12:12" x14ac:dyDescent="0.15">
      <c r="L2576" s="23"/>
    </row>
    <row r="2577" spans="12:12" x14ac:dyDescent="0.15">
      <c r="L2577" s="23"/>
    </row>
    <row r="2578" spans="12:12" x14ac:dyDescent="0.15">
      <c r="L2578" s="23"/>
    </row>
    <row r="2579" spans="12:12" x14ac:dyDescent="0.15">
      <c r="L2579" s="23"/>
    </row>
    <row r="2580" spans="12:12" x14ac:dyDescent="0.15">
      <c r="L2580" s="23"/>
    </row>
    <row r="2581" spans="12:12" x14ac:dyDescent="0.15">
      <c r="L2581" s="23"/>
    </row>
    <row r="2582" spans="12:12" x14ac:dyDescent="0.15">
      <c r="L2582" s="23"/>
    </row>
    <row r="2583" spans="12:12" x14ac:dyDescent="0.15">
      <c r="L2583" s="23"/>
    </row>
    <row r="2584" spans="12:12" x14ac:dyDescent="0.15">
      <c r="L2584" s="23"/>
    </row>
    <row r="2585" spans="12:12" x14ac:dyDescent="0.15">
      <c r="L2585" s="23"/>
    </row>
    <row r="2586" spans="12:12" x14ac:dyDescent="0.15">
      <c r="L2586" s="23"/>
    </row>
    <row r="2587" spans="12:12" x14ac:dyDescent="0.15">
      <c r="L2587" s="23"/>
    </row>
    <row r="2588" spans="12:12" x14ac:dyDescent="0.15">
      <c r="L2588" s="23"/>
    </row>
    <row r="2589" spans="12:12" x14ac:dyDescent="0.15">
      <c r="L2589" s="23"/>
    </row>
    <row r="2590" spans="12:12" x14ac:dyDescent="0.15">
      <c r="L2590" s="23"/>
    </row>
    <row r="2591" spans="12:12" x14ac:dyDescent="0.15">
      <c r="L2591" s="23"/>
    </row>
    <row r="2592" spans="12:12" x14ac:dyDescent="0.15">
      <c r="L2592" s="23"/>
    </row>
    <row r="2593" spans="12:12" x14ac:dyDescent="0.15">
      <c r="L2593" s="23"/>
    </row>
    <row r="2594" spans="12:12" x14ac:dyDescent="0.15">
      <c r="L2594" s="23"/>
    </row>
    <row r="2595" spans="12:12" x14ac:dyDescent="0.15">
      <c r="L2595" s="23"/>
    </row>
    <row r="2596" spans="12:12" x14ac:dyDescent="0.15">
      <c r="L2596" s="23"/>
    </row>
    <row r="2597" spans="12:12" x14ac:dyDescent="0.15">
      <c r="L2597" s="23"/>
    </row>
    <row r="2598" spans="12:12" x14ac:dyDescent="0.15">
      <c r="L2598" s="23"/>
    </row>
    <row r="2599" spans="12:12" x14ac:dyDescent="0.15">
      <c r="L2599" s="23"/>
    </row>
    <row r="2600" spans="12:12" x14ac:dyDescent="0.15">
      <c r="L2600" s="23"/>
    </row>
    <row r="2601" spans="12:12" x14ac:dyDescent="0.15">
      <c r="L2601" s="23"/>
    </row>
    <row r="2602" spans="12:12" x14ac:dyDescent="0.15">
      <c r="L2602" s="23"/>
    </row>
    <row r="2603" spans="12:12" x14ac:dyDescent="0.15">
      <c r="L2603" s="23"/>
    </row>
    <row r="2604" spans="12:12" x14ac:dyDescent="0.15">
      <c r="L2604" s="23"/>
    </row>
    <row r="2605" spans="12:12" x14ac:dyDescent="0.15">
      <c r="L2605" s="23"/>
    </row>
    <row r="2606" spans="12:12" x14ac:dyDescent="0.15">
      <c r="L2606" s="23"/>
    </row>
    <row r="2607" spans="12:12" x14ac:dyDescent="0.15">
      <c r="L2607" s="23"/>
    </row>
    <row r="2608" spans="12:12" x14ac:dyDescent="0.15">
      <c r="L2608" s="23"/>
    </row>
    <row r="2609" spans="12:12" x14ac:dyDescent="0.15">
      <c r="L2609" s="23"/>
    </row>
    <row r="2610" spans="12:12" x14ac:dyDescent="0.15">
      <c r="L2610" s="23"/>
    </row>
    <row r="2611" spans="12:12" x14ac:dyDescent="0.15">
      <c r="L2611" s="23"/>
    </row>
    <row r="2612" spans="12:12" x14ac:dyDescent="0.15">
      <c r="L2612" s="23"/>
    </row>
    <row r="2613" spans="12:12" x14ac:dyDescent="0.15">
      <c r="L2613" s="23"/>
    </row>
    <row r="2614" spans="12:12" x14ac:dyDescent="0.15">
      <c r="L2614" s="23"/>
    </row>
    <row r="2615" spans="12:12" x14ac:dyDescent="0.15">
      <c r="L2615" s="23"/>
    </row>
    <row r="2616" spans="12:12" x14ac:dyDescent="0.15">
      <c r="L2616" s="23"/>
    </row>
    <row r="2617" spans="12:12" x14ac:dyDescent="0.15">
      <c r="L2617" s="23"/>
    </row>
    <row r="2618" spans="12:12" x14ac:dyDescent="0.15">
      <c r="L2618" s="23"/>
    </row>
    <row r="2619" spans="12:12" x14ac:dyDescent="0.15">
      <c r="L2619" s="23"/>
    </row>
    <row r="2620" spans="12:12" x14ac:dyDescent="0.15">
      <c r="L2620" s="23"/>
    </row>
    <row r="2621" spans="12:12" x14ac:dyDescent="0.15">
      <c r="L2621" s="23"/>
    </row>
    <row r="2622" spans="12:12" x14ac:dyDescent="0.15">
      <c r="L2622" s="23"/>
    </row>
    <row r="2623" spans="12:12" x14ac:dyDescent="0.15">
      <c r="L2623" s="23"/>
    </row>
    <row r="2624" spans="12:12" x14ac:dyDescent="0.15">
      <c r="L2624" s="23"/>
    </row>
    <row r="2625" spans="12:12" x14ac:dyDescent="0.15">
      <c r="L2625" s="23"/>
    </row>
    <row r="2626" spans="12:12" x14ac:dyDescent="0.15">
      <c r="L2626" s="23"/>
    </row>
    <row r="2627" spans="12:12" x14ac:dyDescent="0.15">
      <c r="L2627" s="23"/>
    </row>
    <row r="2628" spans="12:12" x14ac:dyDescent="0.15">
      <c r="L2628" s="23"/>
    </row>
    <row r="2629" spans="12:12" x14ac:dyDescent="0.15">
      <c r="L2629" s="23"/>
    </row>
    <row r="2630" spans="12:12" x14ac:dyDescent="0.15">
      <c r="L2630" s="23"/>
    </row>
    <row r="2631" spans="12:12" x14ac:dyDescent="0.15">
      <c r="L2631" s="23"/>
    </row>
    <row r="2632" spans="12:12" x14ac:dyDescent="0.15">
      <c r="L2632" s="23"/>
    </row>
    <row r="2633" spans="12:12" x14ac:dyDescent="0.15">
      <c r="L2633" s="23"/>
    </row>
    <row r="2634" spans="12:12" x14ac:dyDescent="0.15">
      <c r="L2634" s="23"/>
    </row>
    <row r="2635" spans="12:12" x14ac:dyDescent="0.15">
      <c r="L2635" s="23"/>
    </row>
    <row r="2636" spans="12:12" x14ac:dyDescent="0.15">
      <c r="L2636" s="23"/>
    </row>
    <row r="2637" spans="12:12" x14ac:dyDescent="0.15">
      <c r="L2637" s="23"/>
    </row>
    <row r="2638" spans="12:12" x14ac:dyDescent="0.15">
      <c r="L2638" s="23"/>
    </row>
    <row r="2639" spans="12:12" x14ac:dyDescent="0.15">
      <c r="L2639" s="23"/>
    </row>
    <row r="2640" spans="12:12" x14ac:dyDescent="0.15">
      <c r="L2640" s="23"/>
    </row>
    <row r="2641" spans="12:12" x14ac:dyDescent="0.15">
      <c r="L2641" s="23"/>
    </row>
    <row r="2642" spans="12:12" x14ac:dyDescent="0.15">
      <c r="L2642" s="23"/>
    </row>
    <row r="2643" spans="12:12" x14ac:dyDescent="0.15">
      <c r="L2643" s="23"/>
    </row>
    <row r="2644" spans="12:12" x14ac:dyDescent="0.15">
      <c r="L2644" s="23"/>
    </row>
    <row r="2645" spans="12:12" x14ac:dyDescent="0.15">
      <c r="L2645" s="23"/>
    </row>
    <row r="2646" spans="12:12" x14ac:dyDescent="0.15">
      <c r="L2646" s="23"/>
    </row>
    <row r="2647" spans="12:12" x14ac:dyDescent="0.15">
      <c r="L2647" s="23"/>
    </row>
    <row r="2648" spans="12:12" x14ac:dyDescent="0.15">
      <c r="L2648" s="23"/>
    </row>
    <row r="2649" spans="12:12" x14ac:dyDescent="0.15">
      <c r="L2649" s="23"/>
    </row>
    <row r="2650" spans="12:12" x14ac:dyDescent="0.15">
      <c r="L2650" s="23"/>
    </row>
    <row r="2651" spans="12:12" x14ac:dyDescent="0.15">
      <c r="L2651" s="23"/>
    </row>
    <row r="2652" spans="12:12" x14ac:dyDescent="0.15">
      <c r="L2652" s="23"/>
    </row>
    <row r="2653" spans="12:12" x14ac:dyDescent="0.15">
      <c r="L2653" s="23"/>
    </row>
    <row r="2654" spans="12:12" x14ac:dyDescent="0.15">
      <c r="L2654" s="23"/>
    </row>
    <row r="2655" spans="12:12" x14ac:dyDescent="0.15">
      <c r="L2655" s="23"/>
    </row>
    <row r="2656" spans="12:12" x14ac:dyDescent="0.15">
      <c r="L2656" s="23"/>
    </row>
    <row r="2657" spans="12:12" x14ac:dyDescent="0.15">
      <c r="L2657" s="23"/>
    </row>
    <row r="2658" spans="12:12" x14ac:dyDescent="0.15">
      <c r="L2658" s="23"/>
    </row>
    <row r="2659" spans="12:12" x14ac:dyDescent="0.15">
      <c r="L2659" s="23"/>
    </row>
    <row r="2660" spans="12:12" x14ac:dyDescent="0.15">
      <c r="L2660" s="23"/>
    </row>
    <row r="2661" spans="12:12" x14ac:dyDescent="0.15">
      <c r="L2661" s="23"/>
    </row>
    <row r="2662" spans="12:12" x14ac:dyDescent="0.15">
      <c r="L2662" s="23"/>
    </row>
    <row r="2663" spans="12:12" x14ac:dyDescent="0.15">
      <c r="L2663" s="23"/>
    </row>
    <row r="2664" spans="12:12" x14ac:dyDescent="0.15">
      <c r="L2664" s="23"/>
    </row>
    <row r="2665" spans="12:12" x14ac:dyDescent="0.15">
      <c r="L2665" s="23"/>
    </row>
    <row r="2666" spans="12:12" x14ac:dyDescent="0.15">
      <c r="L2666" s="23"/>
    </row>
    <row r="2667" spans="12:12" x14ac:dyDescent="0.15">
      <c r="L2667" s="23"/>
    </row>
    <row r="2668" spans="12:12" x14ac:dyDescent="0.15">
      <c r="L2668" s="23"/>
    </row>
    <row r="2669" spans="12:12" x14ac:dyDescent="0.15">
      <c r="L2669" s="23"/>
    </row>
    <row r="2670" spans="12:12" x14ac:dyDescent="0.15">
      <c r="L2670" s="23"/>
    </row>
    <row r="2671" spans="12:12" x14ac:dyDescent="0.15">
      <c r="L2671" s="23"/>
    </row>
    <row r="2672" spans="12:12" x14ac:dyDescent="0.15">
      <c r="L2672" s="23"/>
    </row>
    <row r="2673" spans="12:12" x14ac:dyDescent="0.15">
      <c r="L2673" s="23"/>
    </row>
    <row r="2674" spans="12:12" x14ac:dyDescent="0.15">
      <c r="L2674" s="23"/>
    </row>
    <row r="2675" spans="12:12" x14ac:dyDescent="0.15">
      <c r="L2675" s="23"/>
    </row>
    <row r="2676" spans="12:12" x14ac:dyDescent="0.15">
      <c r="L2676" s="23"/>
    </row>
    <row r="2677" spans="12:12" x14ac:dyDescent="0.15">
      <c r="L2677" s="23"/>
    </row>
    <row r="2678" spans="12:12" x14ac:dyDescent="0.15">
      <c r="L2678" s="23"/>
    </row>
    <row r="2679" spans="12:12" x14ac:dyDescent="0.15">
      <c r="L2679" s="23"/>
    </row>
    <row r="2680" spans="12:12" x14ac:dyDescent="0.15">
      <c r="L2680" s="23"/>
    </row>
    <row r="2681" spans="12:12" x14ac:dyDescent="0.15">
      <c r="L2681" s="23"/>
    </row>
    <row r="2682" spans="12:12" x14ac:dyDescent="0.15">
      <c r="L2682" s="23"/>
    </row>
    <row r="2683" spans="12:12" x14ac:dyDescent="0.15">
      <c r="L2683" s="23"/>
    </row>
    <row r="2684" spans="12:12" x14ac:dyDescent="0.15">
      <c r="L2684" s="23"/>
    </row>
    <row r="2685" spans="12:12" x14ac:dyDescent="0.15">
      <c r="L2685" s="23"/>
    </row>
    <row r="2686" spans="12:12" x14ac:dyDescent="0.15">
      <c r="L2686" s="23"/>
    </row>
    <row r="2687" spans="12:12" x14ac:dyDescent="0.15">
      <c r="L2687" s="23"/>
    </row>
    <row r="2688" spans="12:12" x14ac:dyDescent="0.15">
      <c r="L2688" s="23"/>
    </row>
    <row r="2689" spans="12:12" x14ac:dyDescent="0.15">
      <c r="L2689" s="23"/>
    </row>
    <row r="2690" spans="12:12" x14ac:dyDescent="0.15">
      <c r="L2690" s="23"/>
    </row>
    <row r="2691" spans="12:12" x14ac:dyDescent="0.15">
      <c r="L2691" s="23"/>
    </row>
    <row r="2692" spans="12:12" x14ac:dyDescent="0.15">
      <c r="L2692" s="23"/>
    </row>
    <row r="2693" spans="12:12" x14ac:dyDescent="0.15">
      <c r="L2693" s="23"/>
    </row>
    <row r="2694" spans="12:12" x14ac:dyDescent="0.15">
      <c r="L2694" s="23"/>
    </row>
    <row r="2695" spans="12:12" x14ac:dyDescent="0.15">
      <c r="L2695" s="23"/>
    </row>
    <row r="2696" spans="12:12" x14ac:dyDescent="0.15">
      <c r="L2696" s="23"/>
    </row>
    <row r="2697" spans="12:12" x14ac:dyDescent="0.15">
      <c r="L2697" s="23"/>
    </row>
    <row r="2698" spans="12:12" x14ac:dyDescent="0.15">
      <c r="L2698" s="23"/>
    </row>
    <row r="2699" spans="12:12" x14ac:dyDescent="0.15">
      <c r="L2699" s="23"/>
    </row>
    <row r="2700" spans="12:12" x14ac:dyDescent="0.15">
      <c r="L2700" s="23"/>
    </row>
    <row r="2701" spans="12:12" x14ac:dyDescent="0.15">
      <c r="L2701" s="23"/>
    </row>
    <row r="2702" spans="12:12" x14ac:dyDescent="0.15">
      <c r="L2702" s="23"/>
    </row>
    <row r="2703" spans="12:12" x14ac:dyDescent="0.15">
      <c r="L2703" s="23"/>
    </row>
    <row r="2704" spans="12:12" x14ac:dyDescent="0.15">
      <c r="L2704" s="23"/>
    </row>
    <row r="2705" spans="12:12" x14ac:dyDescent="0.15">
      <c r="L2705" s="23"/>
    </row>
    <row r="2706" spans="12:12" x14ac:dyDescent="0.15">
      <c r="L2706" s="23"/>
    </row>
    <row r="2707" spans="12:12" x14ac:dyDescent="0.15">
      <c r="L2707" s="23"/>
    </row>
    <row r="2708" spans="12:12" x14ac:dyDescent="0.15">
      <c r="L2708" s="23"/>
    </row>
    <row r="2709" spans="12:12" x14ac:dyDescent="0.15">
      <c r="L2709" s="23"/>
    </row>
    <row r="2710" spans="12:12" x14ac:dyDescent="0.15">
      <c r="L2710" s="23"/>
    </row>
    <row r="2711" spans="12:12" x14ac:dyDescent="0.15">
      <c r="L2711" s="23"/>
    </row>
    <row r="2712" spans="12:12" x14ac:dyDescent="0.15">
      <c r="L2712" s="23"/>
    </row>
    <row r="2713" spans="12:12" x14ac:dyDescent="0.15">
      <c r="L2713" s="23"/>
    </row>
    <row r="2714" spans="12:12" x14ac:dyDescent="0.15">
      <c r="L2714" s="23"/>
    </row>
    <row r="2715" spans="12:12" x14ac:dyDescent="0.15">
      <c r="L2715" s="23"/>
    </row>
    <row r="2716" spans="12:12" x14ac:dyDescent="0.15">
      <c r="L2716" s="23"/>
    </row>
    <row r="2717" spans="12:12" x14ac:dyDescent="0.15">
      <c r="L2717" s="23"/>
    </row>
    <row r="2718" spans="12:12" x14ac:dyDescent="0.15">
      <c r="L2718" s="23"/>
    </row>
    <row r="2719" spans="12:12" x14ac:dyDescent="0.15">
      <c r="L2719" s="23"/>
    </row>
    <row r="2720" spans="12:12" x14ac:dyDescent="0.15">
      <c r="L2720" s="23"/>
    </row>
    <row r="2721" spans="12:12" x14ac:dyDescent="0.15">
      <c r="L2721" s="23"/>
    </row>
    <row r="2722" spans="12:12" x14ac:dyDescent="0.15">
      <c r="L2722" s="23"/>
    </row>
    <row r="2723" spans="12:12" x14ac:dyDescent="0.15">
      <c r="L2723" s="23"/>
    </row>
    <row r="2724" spans="12:12" x14ac:dyDescent="0.15">
      <c r="L2724" s="23"/>
    </row>
    <row r="2725" spans="12:12" x14ac:dyDescent="0.15">
      <c r="L2725" s="23"/>
    </row>
    <row r="2726" spans="12:12" x14ac:dyDescent="0.15">
      <c r="L2726" s="23"/>
    </row>
    <row r="2727" spans="12:12" x14ac:dyDescent="0.15">
      <c r="L2727" s="23"/>
    </row>
    <row r="2728" spans="12:12" x14ac:dyDescent="0.15">
      <c r="L2728" s="23"/>
    </row>
    <row r="2729" spans="12:12" x14ac:dyDescent="0.15">
      <c r="L2729" s="23"/>
    </row>
    <row r="2730" spans="12:12" x14ac:dyDescent="0.15">
      <c r="L2730" s="23"/>
    </row>
    <row r="2731" spans="12:12" x14ac:dyDescent="0.15">
      <c r="L2731" s="23"/>
    </row>
    <row r="2732" spans="12:12" x14ac:dyDescent="0.15">
      <c r="L2732" s="23"/>
    </row>
    <row r="2733" spans="12:12" x14ac:dyDescent="0.15">
      <c r="L2733" s="23"/>
    </row>
    <row r="2734" spans="12:12" x14ac:dyDescent="0.15">
      <c r="L2734" s="23"/>
    </row>
    <row r="2735" spans="12:12" x14ac:dyDescent="0.15">
      <c r="L2735" s="23"/>
    </row>
    <row r="2736" spans="12:12" x14ac:dyDescent="0.15">
      <c r="L2736" s="23"/>
    </row>
    <row r="2737" spans="12:12" x14ac:dyDescent="0.15">
      <c r="L2737" s="23"/>
    </row>
    <row r="2738" spans="12:12" x14ac:dyDescent="0.15">
      <c r="L2738" s="23"/>
    </row>
    <row r="2739" spans="12:12" x14ac:dyDescent="0.15">
      <c r="L2739" s="23"/>
    </row>
    <row r="2740" spans="12:12" x14ac:dyDescent="0.15">
      <c r="L2740" s="23"/>
    </row>
    <row r="2741" spans="12:12" x14ac:dyDescent="0.15">
      <c r="L2741" s="23"/>
    </row>
    <row r="2742" spans="12:12" x14ac:dyDescent="0.15">
      <c r="L2742" s="23"/>
    </row>
    <row r="2743" spans="12:12" x14ac:dyDescent="0.15">
      <c r="L2743" s="23"/>
    </row>
    <row r="2744" spans="12:12" x14ac:dyDescent="0.15">
      <c r="L2744" s="23"/>
    </row>
    <row r="2745" spans="12:12" x14ac:dyDescent="0.15">
      <c r="L2745" s="23"/>
    </row>
    <row r="2746" spans="12:12" x14ac:dyDescent="0.15">
      <c r="L2746" s="23"/>
    </row>
    <row r="2747" spans="12:12" x14ac:dyDescent="0.15">
      <c r="L2747" s="23"/>
    </row>
    <row r="2748" spans="12:12" x14ac:dyDescent="0.15">
      <c r="L2748" s="23"/>
    </row>
    <row r="2749" spans="12:12" x14ac:dyDescent="0.15">
      <c r="L2749" s="23"/>
    </row>
    <row r="2750" spans="12:12" x14ac:dyDescent="0.15">
      <c r="L2750" s="23"/>
    </row>
    <row r="2751" spans="12:12" x14ac:dyDescent="0.15">
      <c r="L2751" s="23"/>
    </row>
    <row r="2752" spans="12:12" x14ac:dyDescent="0.15">
      <c r="L2752" s="23"/>
    </row>
    <row r="2753" spans="12:12" x14ac:dyDescent="0.15">
      <c r="L2753" s="23"/>
    </row>
    <row r="2754" spans="12:12" x14ac:dyDescent="0.15">
      <c r="L2754" s="23"/>
    </row>
    <row r="2755" spans="12:12" x14ac:dyDescent="0.15">
      <c r="L2755" s="23"/>
    </row>
    <row r="2756" spans="12:12" x14ac:dyDescent="0.15">
      <c r="L2756" s="23"/>
    </row>
    <row r="2757" spans="12:12" x14ac:dyDescent="0.15">
      <c r="L2757" s="23"/>
    </row>
    <row r="2758" spans="12:12" x14ac:dyDescent="0.15">
      <c r="L2758" s="23"/>
    </row>
    <row r="2759" spans="12:12" x14ac:dyDescent="0.15">
      <c r="L2759" s="23"/>
    </row>
    <row r="2760" spans="12:12" x14ac:dyDescent="0.15">
      <c r="L2760" s="23"/>
    </row>
    <row r="2761" spans="12:12" x14ac:dyDescent="0.15">
      <c r="L2761" s="23"/>
    </row>
    <row r="2762" spans="12:12" x14ac:dyDescent="0.15">
      <c r="L2762" s="23"/>
    </row>
    <row r="2763" spans="12:12" x14ac:dyDescent="0.15">
      <c r="L2763" s="23"/>
    </row>
    <row r="2764" spans="12:12" x14ac:dyDescent="0.15">
      <c r="L2764" s="23"/>
    </row>
    <row r="2765" spans="12:12" x14ac:dyDescent="0.15">
      <c r="L2765" s="23"/>
    </row>
    <row r="2766" spans="12:12" x14ac:dyDescent="0.15">
      <c r="L2766" s="23"/>
    </row>
    <row r="2767" spans="12:12" x14ac:dyDescent="0.15">
      <c r="L2767" s="23"/>
    </row>
    <row r="2768" spans="12:12" x14ac:dyDescent="0.15">
      <c r="L2768" s="23"/>
    </row>
    <row r="2769" spans="12:12" x14ac:dyDescent="0.15">
      <c r="L2769" s="23"/>
    </row>
    <row r="2770" spans="12:12" x14ac:dyDescent="0.15">
      <c r="L2770" s="23"/>
    </row>
    <row r="2771" spans="12:12" x14ac:dyDescent="0.15">
      <c r="L2771" s="23"/>
    </row>
    <row r="2772" spans="12:12" x14ac:dyDescent="0.15">
      <c r="L2772" s="23"/>
    </row>
    <row r="2773" spans="12:12" x14ac:dyDescent="0.15">
      <c r="L2773" s="23"/>
    </row>
    <row r="2774" spans="12:12" x14ac:dyDescent="0.15">
      <c r="L2774" s="23"/>
    </row>
    <row r="2775" spans="12:12" x14ac:dyDescent="0.15">
      <c r="L2775" s="23"/>
    </row>
    <row r="2776" spans="12:12" x14ac:dyDescent="0.15">
      <c r="L2776" s="23"/>
    </row>
    <row r="2777" spans="12:12" x14ac:dyDescent="0.15">
      <c r="L2777" s="23"/>
    </row>
    <row r="2778" spans="12:12" x14ac:dyDescent="0.15">
      <c r="L2778" s="23"/>
    </row>
    <row r="2779" spans="12:12" x14ac:dyDescent="0.15">
      <c r="L2779" s="23"/>
    </row>
    <row r="2780" spans="12:12" x14ac:dyDescent="0.15">
      <c r="L2780" s="23"/>
    </row>
    <row r="2781" spans="12:12" x14ac:dyDescent="0.15">
      <c r="L2781" s="23"/>
    </row>
    <row r="2782" spans="12:12" x14ac:dyDescent="0.15">
      <c r="L2782" s="23"/>
    </row>
    <row r="2783" spans="12:12" x14ac:dyDescent="0.15">
      <c r="L2783" s="23"/>
    </row>
    <row r="2784" spans="12:12" x14ac:dyDescent="0.15">
      <c r="L2784" s="23"/>
    </row>
    <row r="2785" spans="12:12" x14ac:dyDescent="0.15">
      <c r="L2785" s="23"/>
    </row>
    <row r="2786" spans="12:12" x14ac:dyDescent="0.15">
      <c r="L2786" s="23"/>
    </row>
    <row r="2787" spans="12:12" x14ac:dyDescent="0.15">
      <c r="L2787" s="23"/>
    </row>
    <row r="2788" spans="12:12" x14ac:dyDescent="0.15">
      <c r="L2788" s="23"/>
    </row>
    <row r="2789" spans="12:12" x14ac:dyDescent="0.15">
      <c r="L2789" s="23"/>
    </row>
    <row r="2790" spans="12:12" x14ac:dyDescent="0.15">
      <c r="L2790" s="23"/>
    </row>
    <row r="2791" spans="12:12" x14ac:dyDescent="0.15">
      <c r="L2791" s="23"/>
    </row>
    <row r="2792" spans="12:12" x14ac:dyDescent="0.15">
      <c r="L2792" s="23"/>
    </row>
    <row r="2793" spans="12:12" x14ac:dyDescent="0.15">
      <c r="L2793" s="23"/>
    </row>
    <row r="2794" spans="12:12" x14ac:dyDescent="0.15">
      <c r="L2794" s="23"/>
    </row>
    <row r="2795" spans="12:12" x14ac:dyDescent="0.15">
      <c r="L2795" s="23"/>
    </row>
    <row r="2796" spans="12:12" x14ac:dyDescent="0.15">
      <c r="L2796" s="23"/>
    </row>
    <row r="2797" spans="12:12" x14ac:dyDescent="0.15">
      <c r="L2797" s="23"/>
    </row>
    <row r="2798" spans="12:12" x14ac:dyDescent="0.15">
      <c r="L2798" s="23"/>
    </row>
    <row r="2799" spans="12:12" x14ac:dyDescent="0.15">
      <c r="L2799" s="23"/>
    </row>
    <row r="2800" spans="12:12" x14ac:dyDescent="0.15">
      <c r="L2800" s="23"/>
    </row>
    <row r="2801" spans="12:12" x14ac:dyDescent="0.15">
      <c r="L2801" s="23"/>
    </row>
    <row r="2802" spans="12:12" x14ac:dyDescent="0.15">
      <c r="L2802" s="23"/>
    </row>
    <row r="2803" spans="12:12" x14ac:dyDescent="0.15">
      <c r="L2803" s="23"/>
    </row>
    <row r="2804" spans="12:12" x14ac:dyDescent="0.15">
      <c r="L2804" s="23"/>
    </row>
    <row r="2805" spans="12:12" x14ac:dyDescent="0.15">
      <c r="L2805" s="23"/>
    </row>
    <row r="2806" spans="12:12" x14ac:dyDescent="0.15">
      <c r="L2806" s="23"/>
    </row>
    <row r="2807" spans="12:12" x14ac:dyDescent="0.15">
      <c r="L2807" s="23"/>
    </row>
    <row r="2808" spans="12:12" x14ac:dyDescent="0.15">
      <c r="L2808" s="23"/>
    </row>
    <row r="2809" spans="12:12" x14ac:dyDescent="0.15">
      <c r="L2809" s="23"/>
    </row>
    <row r="2810" spans="12:12" x14ac:dyDescent="0.15">
      <c r="L2810" s="23"/>
    </row>
    <row r="2811" spans="12:12" x14ac:dyDescent="0.15">
      <c r="L2811" s="23"/>
    </row>
    <row r="2812" spans="12:12" x14ac:dyDescent="0.15">
      <c r="L2812" s="23"/>
    </row>
    <row r="2813" spans="12:12" x14ac:dyDescent="0.15">
      <c r="L2813" s="23"/>
    </row>
    <row r="2814" spans="12:12" x14ac:dyDescent="0.15">
      <c r="L2814" s="23"/>
    </row>
    <row r="2815" spans="12:12" x14ac:dyDescent="0.15">
      <c r="L2815" s="23"/>
    </row>
    <row r="2816" spans="12:12" x14ac:dyDescent="0.15">
      <c r="L2816" s="23"/>
    </row>
    <row r="2817" spans="12:12" x14ac:dyDescent="0.15">
      <c r="L2817" s="23"/>
    </row>
    <row r="2818" spans="12:12" x14ac:dyDescent="0.15">
      <c r="L2818" s="23"/>
    </row>
    <row r="2819" spans="12:12" x14ac:dyDescent="0.15">
      <c r="L2819" s="23"/>
    </row>
    <row r="2820" spans="12:12" x14ac:dyDescent="0.15">
      <c r="L2820" s="23"/>
    </row>
    <row r="2821" spans="12:12" x14ac:dyDescent="0.15">
      <c r="L2821" s="23"/>
    </row>
    <row r="2822" spans="12:12" x14ac:dyDescent="0.15">
      <c r="L2822" s="23"/>
    </row>
    <row r="2823" spans="12:12" x14ac:dyDescent="0.15">
      <c r="L2823" s="23"/>
    </row>
    <row r="2824" spans="12:12" x14ac:dyDescent="0.15">
      <c r="L2824" s="23"/>
    </row>
    <row r="2825" spans="12:12" x14ac:dyDescent="0.15">
      <c r="L2825" s="23"/>
    </row>
    <row r="2826" spans="12:12" x14ac:dyDescent="0.15">
      <c r="L2826" s="23"/>
    </row>
    <row r="2827" spans="12:12" x14ac:dyDescent="0.15">
      <c r="L2827" s="23"/>
    </row>
    <row r="2828" spans="12:12" x14ac:dyDescent="0.15">
      <c r="L2828" s="23"/>
    </row>
    <row r="2829" spans="12:12" x14ac:dyDescent="0.15">
      <c r="L2829" s="23"/>
    </row>
    <row r="2830" spans="12:12" x14ac:dyDescent="0.15">
      <c r="L2830" s="23"/>
    </row>
    <row r="2831" spans="12:12" x14ac:dyDescent="0.15">
      <c r="L2831" s="23"/>
    </row>
    <row r="2832" spans="12:12" x14ac:dyDescent="0.15">
      <c r="L2832" s="23"/>
    </row>
    <row r="2833" spans="12:12" x14ac:dyDescent="0.15">
      <c r="L2833" s="23"/>
    </row>
    <row r="2834" spans="12:12" x14ac:dyDescent="0.15">
      <c r="L2834" s="23"/>
    </row>
    <row r="2835" spans="12:12" x14ac:dyDescent="0.15">
      <c r="L2835" s="23"/>
    </row>
    <row r="2836" spans="12:12" x14ac:dyDescent="0.15">
      <c r="L2836" s="23"/>
    </row>
    <row r="2837" spans="12:12" x14ac:dyDescent="0.15">
      <c r="L2837" s="23"/>
    </row>
    <row r="2838" spans="12:12" x14ac:dyDescent="0.15">
      <c r="L2838" s="23"/>
    </row>
    <row r="2839" spans="12:12" x14ac:dyDescent="0.15">
      <c r="L2839" s="23"/>
    </row>
    <row r="2840" spans="12:12" x14ac:dyDescent="0.15">
      <c r="L2840" s="23"/>
    </row>
    <row r="2841" spans="12:12" x14ac:dyDescent="0.15">
      <c r="L2841" s="23"/>
    </row>
    <row r="2842" spans="12:12" x14ac:dyDescent="0.15">
      <c r="L2842" s="23"/>
    </row>
    <row r="2843" spans="12:12" x14ac:dyDescent="0.15">
      <c r="L2843" s="23"/>
    </row>
    <row r="2844" spans="12:12" x14ac:dyDescent="0.15">
      <c r="L2844" s="23"/>
    </row>
    <row r="2845" spans="12:12" x14ac:dyDescent="0.15">
      <c r="L2845" s="23"/>
    </row>
    <row r="2846" spans="12:12" x14ac:dyDescent="0.15">
      <c r="L2846" s="23"/>
    </row>
    <row r="2847" spans="12:12" x14ac:dyDescent="0.15">
      <c r="L2847" s="23"/>
    </row>
    <row r="2848" spans="12:12" x14ac:dyDescent="0.15">
      <c r="L2848" s="23"/>
    </row>
    <row r="2849" spans="12:12" x14ac:dyDescent="0.15">
      <c r="L2849" s="23"/>
    </row>
    <row r="2850" spans="12:12" x14ac:dyDescent="0.15">
      <c r="L2850" s="23"/>
    </row>
    <row r="2851" spans="12:12" x14ac:dyDescent="0.15">
      <c r="L2851" s="23"/>
    </row>
    <row r="2852" spans="12:12" x14ac:dyDescent="0.15">
      <c r="L2852" s="23"/>
    </row>
    <row r="2853" spans="12:12" x14ac:dyDescent="0.15">
      <c r="L2853" s="23"/>
    </row>
    <row r="2854" spans="12:12" x14ac:dyDescent="0.15">
      <c r="L2854" s="23"/>
    </row>
    <row r="2855" spans="12:12" x14ac:dyDescent="0.15">
      <c r="L2855" s="23"/>
    </row>
    <row r="2856" spans="12:12" x14ac:dyDescent="0.15">
      <c r="L2856" s="23"/>
    </row>
    <row r="2857" spans="12:12" x14ac:dyDescent="0.15">
      <c r="L2857" s="23"/>
    </row>
    <row r="2858" spans="12:12" x14ac:dyDescent="0.15">
      <c r="L2858" s="23"/>
    </row>
    <row r="2859" spans="12:12" x14ac:dyDescent="0.15">
      <c r="L2859" s="23"/>
    </row>
    <row r="2860" spans="12:12" x14ac:dyDescent="0.15">
      <c r="L2860" s="23"/>
    </row>
    <row r="2861" spans="12:12" x14ac:dyDescent="0.15">
      <c r="L2861" s="23"/>
    </row>
    <row r="2862" spans="12:12" x14ac:dyDescent="0.15">
      <c r="L2862" s="23"/>
    </row>
    <row r="2863" spans="12:12" x14ac:dyDescent="0.15">
      <c r="L2863" s="23"/>
    </row>
    <row r="2864" spans="12:12" x14ac:dyDescent="0.15">
      <c r="L2864" s="23"/>
    </row>
    <row r="2865" spans="12:12" x14ac:dyDescent="0.15">
      <c r="L2865" s="23"/>
    </row>
    <row r="2866" spans="12:12" x14ac:dyDescent="0.15">
      <c r="L2866" s="23"/>
    </row>
    <row r="2867" spans="12:12" x14ac:dyDescent="0.15">
      <c r="L2867" s="23"/>
    </row>
    <row r="2868" spans="12:12" x14ac:dyDescent="0.15">
      <c r="L2868" s="23"/>
    </row>
    <row r="2869" spans="12:12" x14ac:dyDescent="0.15">
      <c r="L2869" s="23"/>
    </row>
    <row r="2870" spans="12:12" x14ac:dyDescent="0.15">
      <c r="L2870" s="23"/>
    </row>
    <row r="2871" spans="12:12" x14ac:dyDescent="0.15">
      <c r="L2871" s="23"/>
    </row>
    <row r="2872" spans="12:12" x14ac:dyDescent="0.15">
      <c r="L2872" s="23"/>
    </row>
    <row r="2873" spans="12:12" x14ac:dyDescent="0.15">
      <c r="L2873" s="23"/>
    </row>
    <row r="2874" spans="12:12" x14ac:dyDescent="0.15">
      <c r="L2874" s="23"/>
    </row>
    <row r="2875" spans="12:12" x14ac:dyDescent="0.15">
      <c r="L2875" s="23"/>
    </row>
    <row r="2876" spans="12:12" x14ac:dyDescent="0.15">
      <c r="L2876" s="23"/>
    </row>
    <row r="2877" spans="12:12" x14ac:dyDescent="0.15">
      <c r="L2877" s="23"/>
    </row>
    <row r="2878" spans="12:12" x14ac:dyDescent="0.15">
      <c r="L2878" s="23"/>
    </row>
    <row r="2879" spans="12:12" x14ac:dyDescent="0.15">
      <c r="L2879" s="23"/>
    </row>
    <row r="2880" spans="12:12" x14ac:dyDescent="0.15">
      <c r="L2880" s="23"/>
    </row>
    <row r="2881" spans="12:12" x14ac:dyDescent="0.15">
      <c r="L2881" s="23"/>
    </row>
    <row r="2882" spans="12:12" x14ac:dyDescent="0.15">
      <c r="L2882" s="23"/>
    </row>
    <row r="2883" spans="12:12" x14ac:dyDescent="0.15">
      <c r="L2883" s="23"/>
    </row>
    <row r="2884" spans="12:12" x14ac:dyDescent="0.15">
      <c r="L2884" s="23"/>
    </row>
    <row r="2885" spans="12:12" x14ac:dyDescent="0.15">
      <c r="L2885" s="23"/>
    </row>
    <row r="2886" spans="12:12" x14ac:dyDescent="0.15">
      <c r="L2886" s="23"/>
    </row>
    <row r="2887" spans="12:12" x14ac:dyDescent="0.15">
      <c r="L2887" s="23"/>
    </row>
    <row r="2888" spans="12:12" x14ac:dyDescent="0.15">
      <c r="L2888" s="23"/>
    </row>
    <row r="2889" spans="12:12" x14ac:dyDescent="0.15">
      <c r="L2889" s="23"/>
    </row>
    <row r="2890" spans="12:12" x14ac:dyDescent="0.15">
      <c r="L2890" s="23"/>
    </row>
    <row r="2891" spans="12:12" x14ac:dyDescent="0.15">
      <c r="L2891" s="23"/>
    </row>
    <row r="2892" spans="12:12" x14ac:dyDescent="0.15">
      <c r="L2892" s="23"/>
    </row>
    <row r="2893" spans="12:12" x14ac:dyDescent="0.15">
      <c r="L2893" s="23"/>
    </row>
    <row r="2894" spans="12:12" x14ac:dyDescent="0.15">
      <c r="L2894" s="23"/>
    </row>
    <row r="2895" spans="12:12" x14ac:dyDescent="0.15">
      <c r="L2895" s="23"/>
    </row>
    <row r="2896" spans="12:12" x14ac:dyDescent="0.15">
      <c r="L2896" s="23"/>
    </row>
    <row r="2897" spans="12:12" x14ac:dyDescent="0.15">
      <c r="L2897" s="23"/>
    </row>
    <row r="2898" spans="12:12" x14ac:dyDescent="0.15">
      <c r="L2898" s="23"/>
    </row>
    <row r="2899" spans="12:12" x14ac:dyDescent="0.15">
      <c r="L2899" s="23"/>
    </row>
    <row r="2900" spans="12:12" x14ac:dyDescent="0.15">
      <c r="L2900" s="23"/>
    </row>
    <row r="2901" spans="12:12" x14ac:dyDescent="0.15">
      <c r="L2901" s="23"/>
    </row>
    <row r="2902" spans="12:12" x14ac:dyDescent="0.15">
      <c r="L2902" s="23"/>
    </row>
    <row r="2903" spans="12:12" x14ac:dyDescent="0.15">
      <c r="L2903" s="23"/>
    </row>
    <row r="2904" spans="12:12" x14ac:dyDescent="0.15">
      <c r="L2904" s="23"/>
    </row>
    <row r="2905" spans="12:12" x14ac:dyDescent="0.15">
      <c r="L2905" s="23"/>
    </row>
    <row r="2906" spans="12:12" x14ac:dyDescent="0.15">
      <c r="L2906" s="23"/>
    </row>
    <row r="2907" spans="12:12" x14ac:dyDescent="0.15">
      <c r="L2907" s="23"/>
    </row>
    <row r="2908" spans="12:12" x14ac:dyDescent="0.15">
      <c r="L2908" s="23"/>
    </row>
    <row r="2909" spans="12:12" x14ac:dyDescent="0.15">
      <c r="L2909" s="23"/>
    </row>
    <row r="2910" spans="12:12" x14ac:dyDescent="0.15">
      <c r="L2910" s="23"/>
    </row>
    <row r="2911" spans="12:12" x14ac:dyDescent="0.15">
      <c r="L2911" s="23"/>
    </row>
    <row r="2912" spans="12:12" x14ac:dyDescent="0.15">
      <c r="L2912" s="23"/>
    </row>
    <row r="2913" spans="12:12" x14ac:dyDescent="0.15">
      <c r="L2913" s="23"/>
    </row>
    <row r="2914" spans="12:12" x14ac:dyDescent="0.15">
      <c r="L2914" s="23"/>
    </row>
    <row r="2915" spans="12:12" x14ac:dyDescent="0.15">
      <c r="L2915" s="23"/>
    </row>
    <row r="2916" spans="12:12" x14ac:dyDescent="0.15">
      <c r="L2916" s="23"/>
    </row>
    <row r="2917" spans="12:12" x14ac:dyDescent="0.15">
      <c r="L2917" s="23"/>
    </row>
    <row r="2918" spans="12:12" x14ac:dyDescent="0.15">
      <c r="L2918" s="23"/>
    </row>
    <row r="2919" spans="12:12" x14ac:dyDescent="0.15">
      <c r="L2919" s="23"/>
    </row>
    <row r="2920" spans="12:12" x14ac:dyDescent="0.15">
      <c r="L2920" s="23"/>
    </row>
    <row r="2921" spans="12:12" x14ac:dyDescent="0.15">
      <c r="L2921" s="23"/>
    </row>
    <row r="2922" spans="12:12" x14ac:dyDescent="0.15">
      <c r="L2922" s="23"/>
    </row>
    <row r="2923" spans="12:12" x14ac:dyDescent="0.15">
      <c r="L2923" s="23"/>
    </row>
    <row r="2924" spans="12:12" x14ac:dyDescent="0.15">
      <c r="L2924" s="23"/>
    </row>
    <row r="2925" spans="12:12" x14ac:dyDescent="0.15">
      <c r="L2925" s="23"/>
    </row>
    <row r="2926" spans="12:12" x14ac:dyDescent="0.15">
      <c r="L2926" s="23"/>
    </row>
    <row r="2927" spans="12:12" x14ac:dyDescent="0.15">
      <c r="L2927" s="23"/>
    </row>
    <row r="2928" spans="12:12" x14ac:dyDescent="0.15">
      <c r="L2928" s="23"/>
    </row>
    <row r="2929" spans="12:12" x14ac:dyDescent="0.15">
      <c r="L2929" s="23"/>
    </row>
    <row r="2930" spans="12:12" x14ac:dyDescent="0.15">
      <c r="L2930" s="23"/>
    </row>
    <row r="2931" spans="12:12" x14ac:dyDescent="0.15">
      <c r="L2931" s="23"/>
    </row>
    <row r="2932" spans="12:12" x14ac:dyDescent="0.15">
      <c r="L2932" s="23"/>
    </row>
    <row r="2933" spans="12:12" x14ac:dyDescent="0.15">
      <c r="L2933" s="23"/>
    </row>
    <row r="2934" spans="12:12" x14ac:dyDescent="0.15">
      <c r="L2934" s="23"/>
    </row>
    <row r="2935" spans="12:12" x14ac:dyDescent="0.15">
      <c r="L2935" s="23"/>
    </row>
    <row r="2936" spans="12:12" x14ac:dyDescent="0.15">
      <c r="L2936" s="23"/>
    </row>
    <row r="2937" spans="12:12" x14ac:dyDescent="0.15">
      <c r="L2937" s="23"/>
    </row>
    <row r="2938" spans="12:12" x14ac:dyDescent="0.15">
      <c r="L2938" s="23"/>
    </row>
    <row r="2939" spans="12:12" x14ac:dyDescent="0.15">
      <c r="L2939" s="23"/>
    </row>
    <row r="2940" spans="12:12" x14ac:dyDescent="0.15">
      <c r="L2940" s="23"/>
    </row>
    <row r="2941" spans="12:12" x14ac:dyDescent="0.15">
      <c r="L2941" s="23"/>
    </row>
    <row r="2942" spans="12:12" x14ac:dyDescent="0.15">
      <c r="L2942" s="23"/>
    </row>
    <row r="2943" spans="12:12" x14ac:dyDescent="0.15">
      <c r="L2943" s="23"/>
    </row>
    <row r="2944" spans="12:12" x14ac:dyDescent="0.15">
      <c r="L2944" s="23"/>
    </row>
    <row r="2945" spans="12:12" x14ac:dyDescent="0.15">
      <c r="L2945" s="23"/>
    </row>
    <row r="2946" spans="12:12" x14ac:dyDescent="0.15">
      <c r="L2946" s="23"/>
    </row>
    <row r="2947" spans="12:12" x14ac:dyDescent="0.15">
      <c r="L2947" s="23"/>
    </row>
    <row r="2948" spans="12:12" x14ac:dyDescent="0.15">
      <c r="L2948" s="23"/>
    </row>
    <row r="2949" spans="12:12" x14ac:dyDescent="0.15">
      <c r="L2949" s="23"/>
    </row>
    <row r="2950" spans="12:12" x14ac:dyDescent="0.15">
      <c r="L2950" s="23"/>
    </row>
    <row r="2951" spans="12:12" x14ac:dyDescent="0.15">
      <c r="L2951" s="23"/>
    </row>
    <row r="2952" spans="12:12" x14ac:dyDescent="0.15">
      <c r="L2952" s="23"/>
    </row>
    <row r="2953" spans="12:12" x14ac:dyDescent="0.15">
      <c r="L2953" s="23"/>
    </row>
    <row r="2954" spans="12:12" x14ac:dyDescent="0.15">
      <c r="L2954" s="23"/>
    </row>
    <row r="2955" spans="12:12" x14ac:dyDescent="0.15">
      <c r="L2955" s="23"/>
    </row>
    <row r="2956" spans="12:12" x14ac:dyDescent="0.15">
      <c r="L2956" s="23"/>
    </row>
    <row r="2957" spans="12:12" x14ac:dyDescent="0.15">
      <c r="L2957" s="23"/>
    </row>
    <row r="2958" spans="12:12" x14ac:dyDescent="0.15">
      <c r="L2958" s="23"/>
    </row>
    <row r="2959" spans="12:12" x14ac:dyDescent="0.15">
      <c r="L2959" s="23"/>
    </row>
    <row r="2960" spans="12:12" x14ac:dyDescent="0.15">
      <c r="L2960" s="23"/>
    </row>
    <row r="2961" spans="12:12" x14ac:dyDescent="0.15">
      <c r="L2961" s="23"/>
    </row>
    <row r="2962" spans="12:12" x14ac:dyDescent="0.15">
      <c r="L2962" s="23"/>
    </row>
    <row r="2963" spans="12:12" x14ac:dyDescent="0.15">
      <c r="L2963" s="23"/>
    </row>
    <row r="2964" spans="12:12" x14ac:dyDescent="0.15">
      <c r="L2964" s="23"/>
    </row>
    <row r="2965" spans="12:12" x14ac:dyDescent="0.15">
      <c r="L2965" s="23"/>
    </row>
    <row r="2966" spans="12:12" x14ac:dyDescent="0.15">
      <c r="L2966" s="23"/>
    </row>
    <row r="2967" spans="12:12" x14ac:dyDescent="0.15">
      <c r="L2967" s="23"/>
    </row>
    <row r="2968" spans="12:12" x14ac:dyDescent="0.15">
      <c r="L2968" s="23"/>
    </row>
    <row r="2969" spans="12:12" x14ac:dyDescent="0.15">
      <c r="L2969" s="23"/>
    </row>
    <row r="2970" spans="12:12" x14ac:dyDescent="0.15">
      <c r="L2970" s="23"/>
    </row>
    <row r="2971" spans="12:12" x14ac:dyDescent="0.15">
      <c r="L2971" s="23"/>
    </row>
    <row r="2972" spans="12:12" x14ac:dyDescent="0.15">
      <c r="L2972" s="23"/>
    </row>
    <row r="2973" spans="12:12" x14ac:dyDescent="0.15">
      <c r="L2973" s="23"/>
    </row>
    <row r="2974" spans="12:12" x14ac:dyDescent="0.15">
      <c r="L2974" s="23"/>
    </row>
    <row r="2975" spans="12:12" x14ac:dyDescent="0.15">
      <c r="L2975" s="23"/>
    </row>
    <row r="2976" spans="12:12" x14ac:dyDescent="0.15">
      <c r="L2976" s="23"/>
    </row>
    <row r="2977" spans="12:12" x14ac:dyDescent="0.15">
      <c r="L2977" s="23"/>
    </row>
    <row r="2978" spans="12:12" x14ac:dyDescent="0.15">
      <c r="L2978" s="23"/>
    </row>
    <row r="2979" spans="12:12" x14ac:dyDescent="0.15">
      <c r="L2979" s="23"/>
    </row>
    <row r="2980" spans="12:12" x14ac:dyDescent="0.15">
      <c r="L2980" s="23"/>
    </row>
    <row r="2981" spans="12:12" x14ac:dyDescent="0.15">
      <c r="L2981" s="23"/>
    </row>
    <row r="2982" spans="12:12" x14ac:dyDescent="0.15">
      <c r="L2982" s="23"/>
    </row>
    <row r="2983" spans="12:12" x14ac:dyDescent="0.15">
      <c r="L2983" s="23"/>
    </row>
    <row r="2984" spans="12:12" x14ac:dyDescent="0.15">
      <c r="L2984" s="23"/>
    </row>
    <row r="2985" spans="12:12" x14ac:dyDescent="0.15">
      <c r="L2985" s="23"/>
    </row>
    <row r="2986" spans="12:12" x14ac:dyDescent="0.15">
      <c r="L2986" s="23"/>
    </row>
    <row r="2987" spans="12:12" x14ac:dyDescent="0.15">
      <c r="L2987" s="23"/>
    </row>
    <row r="2988" spans="12:12" x14ac:dyDescent="0.15">
      <c r="L2988" s="23"/>
    </row>
    <row r="2989" spans="12:12" x14ac:dyDescent="0.15">
      <c r="L2989" s="23"/>
    </row>
    <row r="2990" spans="12:12" x14ac:dyDescent="0.15">
      <c r="L2990" s="23"/>
    </row>
    <row r="2991" spans="12:12" x14ac:dyDescent="0.15">
      <c r="L2991" s="23"/>
    </row>
    <row r="2992" spans="12:12" x14ac:dyDescent="0.15">
      <c r="L2992" s="23"/>
    </row>
    <row r="2993" spans="12:12" x14ac:dyDescent="0.15">
      <c r="L2993" s="23"/>
    </row>
    <row r="2994" spans="12:12" x14ac:dyDescent="0.15">
      <c r="L2994" s="23"/>
    </row>
    <row r="2995" spans="12:12" x14ac:dyDescent="0.15">
      <c r="L2995" s="23"/>
    </row>
    <row r="2996" spans="12:12" x14ac:dyDescent="0.15">
      <c r="L2996" s="23"/>
    </row>
    <row r="2997" spans="12:12" x14ac:dyDescent="0.15">
      <c r="L2997" s="23"/>
    </row>
    <row r="2998" spans="12:12" x14ac:dyDescent="0.15">
      <c r="L2998" s="23"/>
    </row>
    <row r="2999" spans="12:12" x14ac:dyDescent="0.15">
      <c r="L2999" s="23"/>
    </row>
  </sheetData>
  <autoFilter ref="A1:AU33">
    <sortState ref="A2:AU33">
      <sortCondition ref="AG1:AG33"/>
    </sortState>
  </autoFilter>
  <conditionalFormatting sqref="A2:A33">
    <cfRule type="duplicateValues" dxfId="16" priority="6"/>
  </conditionalFormatting>
  <conditionalFormatting sqref="O2:O3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4:L2999 I57:I60 I62:I73">
    <cfRule type="expression" dxfId="15" priority="2">
      <formula>$Q57:$Q3044&lt;&gt;"Active"</formula>
    </cfRule>
    <cfRule type="expression" dxfId="14" priority="3">
      <formula>$Q57:$Q3044&lt;&gt;"Active"</formula>
    </cfRule>
    <cfRule type="expression" dxfId="13" priority="4">
      <formula>$Q57:$Q3044&lt;&gt;"Active"</formula>
    </cfRule>
  </conditionalFormatting>
  <conditionalFormatting sqref="L2:L33">
    <cfRule type="duplicateValues" dxfId="12" priority="1"/>
  </conditionalFormatting>
  <conditionalFormatting sqref="J55:J56 L34:L54">
    <cfRule type="expression" dxfId="11" priority="7">
      <formula>$Q34:$Q3020&lt;&gt;"Active"</formula>
    </cfRule>
    <cfRule type="expression" dxfId="10" priority="8">
      <formula>$Q34:$Q3020&lt;&gt;"Active"</formula>
    </cfRule>
    <cfRule type="expression" dxfId="9" priority="9">
      <formula>$Q34:$Q3020&lt;&gt;"Active"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E33"/>
  <sheetViews>
    <sheetView workbookViewId="0">
      <pane xSplit="1" topLeftCell="B1" activePane="topRight" state="frozen"/>
      <selection activeCell="AG2" sqref="AG2:AG33"/>
      <selection pane="topRight" activeCell="AG2" sqref="AG2:AG33"/>
    </sheetView>
  </sheetViews>
  <sheetFormatPr defaultRowHeight="10.5" x14ac:dyDescent="0.15"/>
  <cols>
    <col min="1" max="1" width="21.6640625" style="33" customWidth="1"/>
    <col min="2" max="4" width="8.83203125" style="33" customWidth="1"/>
    <col min="5" max="5" width="8.83203125" style="32" customWidth="1"/>
    <col min="6" max="19" width="8.83203125" style="33" customWidth="1"/>
    <col min="20" max="22" width="9.33203125" style="33"/>
    <col min="23" max="23" width="9.33203125" style="5"/>
    <col min="24" max="16384" width="9.33203125" style="33"/>
  </cols>
  <sheetData>
    <row r="1" spans="1:31" s="30" customFormat="1" ht="48" customHeight="1" x14ac:dyDescent="0.15">
      <c r="A1" s="25" t="s">
        <v>1</v>
      </c>
      <c r="B1" s="26" t="s">
        <v>149</v>
      </c>
      <c r="C1" s="27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166</v>
      </c>
      <c r="J1" s="3" t="s">
        <v>167</v>
      </c>
      <c r="K1" s="3" t="s">
        <v>168</v>
      </c>
      <c r="L1" s="3" t="s">
        <v>169</v>
      </c>
      <c r="M1" s="3" t="s">
        <v>170</v>
      </c>
      <c r="N1" s="3" t="s">
        <v>171</v>
      </c>
      <c r="O1" s="3" t="s">
        <v>172</v>
      </c>
      <c r="P1" s="3" t="s">
        <v>173</v>
      </c>
      <c r="Q1" s="3" t="s">
        <v>174</v>
      </c>
      <c r="R1" s="3" t="s">
        <v>175</v>
      </c>
      <c r="S1" s="3" t="s">
        <v>176</v>
      </c>
      <c r="T1" s="28" t="s">
        <v>11</v>
      </c>
      <c r="U1" s="28" t="s">
        <v>177</v>
      </c>
      <c r="V1" s="28" t="s">
        <v>178</v>
      </c>
      <c r="W1" s="29" t="s">
        <v>179</v>
      </c>
      <c r="X1" s="30" t="s">
        <v>33</v>
      </c>
    </row>
    <row r="2" spans="1:31" ht="14.1" customHeight="1" x14ac:dyDescent="0.15">
      <c r="A2" s="5" t="s">
        <v>65</v>
      </c>
      <c r="B2" s="5">
        <v>6</v>
      </c>
      <c r="C2" s="5">
        <v>4</v>
      </c>
      <c r="D2" s="5">
        <v>2</v>
      </c>
      <c r="E2" s="31">
        <v>1</v>
      </c>
      <c r="F2" s="31">
        <v>1</v>
      </c>
      <c r="G2" s="31">
        <v>2</v>
      </c>
      <c r="H2" s="31">
        <v>3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9">
        <f>AVERAGE(B2:S2)</f>
        <v>2.7142857142857144</v>
      </c>
      <c r="U2" s="31">
        <f>MINA(B2:S2)</f>
        <v>1</v>
      </c>
      <c r="V2" s="31">
        <f>MAXA(B2:S2)</f>
        <v>6</v>
      </c>
      <c r="W2" s="31">
        <f>V2-U2</f>
        <v>5</v>
      </c>
      <c r="X2" s="32"/>
      <c r="AE2" s="33">
        <f>AC2-AD2</f>
        <v>0</v>
      </c>
    </row>
    <row r="3" spans="1:31" ht="14.1" customHeight="1" x14ac:dyDescent="0.15">
      <c r="A3" s="5" t="s">
        <v>94</v>
      </c>
      <c r="B3" s="5">
        <v>4</v>
      </c>
      <c r="C3" s="5">
        <v>1</v>
      </c>
      <c r="D3" s="5">
        <v>1</v>
      </c>
      <c r="E3" s="31">
        <v>4</v>
      </c>
      <c r="F3" s="31">
        <v>4</v>
      </c>
      <c r="G3" s="31">
        <v>1</v>
      </c>
      <c r="H3" s="31">
        <v>5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9">
        <f>AVERAGE(B3:S3)</f>
        <v>2.8571428571428572</v>
      </c>
      <c r="U3" s="31">
        <f>MINA(B3:S3)</f>
        <v>1</v>
      </c>
      <c r="V3" s="31">
        <f>MAXA(B3:S3)</f>
        <v>5</v>
      </c>
      <c r="W3" s="31">
        <f>V3-U3</f>
        <v>4</v>
      </c>
      <c r="X3" s="32"/>
      <c r="AE3" s="33">
        <f t="shared" ref="AE3:AE8" si="0">AC3-AD3</f>
        <v>0</v>
      </c>
    </row>
    <row r="4" spans="1:31" ht="14.1" customHeight="1" x14ac:dyDescent="0.15">
      <c r="A4" s="5" t="s">
        <v>40</v>
      </c>
      <c r="B4" s="5">
        <v>5</v>
      </c>
      <c r="C4" s="5">
        <v>3</v>
      </c>
      <c r="D4" s="5">
        <v>7</v>
      </c>
      <c r="E4" s="31">
        <v>3</v>
      </c>
      <c r="F4" s="31">
        <v>3</v>
      </c>
      <c r="G4" s="31">
        <v>4</v>
      </c>
      <c r="H4" s="31">
        <v>4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9">
        <f>AVERAGE(B4:S4)</f>
        <v>4.1428571428571432</v>
      </c>
      <c r="U4" s="31">
        <f>MINA(B4:S4)</f>
        <v>3</v>
      </c>
      <c r="V4" s="31">
        <f>MAXA(B4:S4)</f>
        <v>7</v>
      </c>
      <c r="W4" s="31">
        <f>V4-U4</f>
        <v>4</v>
      </c>
      <c r="X4" s="32"/>
      <c r="AE4" s="33">
        <f t="shared" si="0"/>
        <v>0</v>
      </c>
    </row>
    <row r="5" spans="1:31" ht="14.1" customHeight="1" x14ac:dyDescent="0.15">
      <c r="A5" s="5" t="s">
        <v>37</v>
      </c>
      <c r="B5" s="5">
        <v>12</v>
      </c>
      <c r="C5" s="5">
        <v>6</v>
      </c>
      <c r="D5" s="5">
        <v>3</v>
      </c>
      <c r="E5" s="31">
        <v>2</v>
      </c>
      <c r="F5" s="31">
        <v>2</v>
      </c>
      <c r="G5" s="31">
        <v>3</v>
      </c>
      <c r="H5" s="31">
        <v>1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9">
        <f>AVERAGE(B5:S5)</f>
        <v>4.1428571428571432</v>
      </c>
      <c r="U5" s="31">
        <f>MINA(B5:S5)</f>
        <v>1</v>
      </c>
      <c r="V5" s="31">
        <f>MAXA(B5:S5)</f>
        <v>12</v>
      </c>
      <c r="W5" s="31">
        <f>V5-U5</f>
        <v>11</v>
      </c>
      <c r="X5" s="32"/>
      <c r="AE5" s="33">
        <f t="shared" si="0"/>
        <v>0</v>
      </c>
    </row>
    <row r="6" spans="1:31" ht="14.1" customHeight="1" x14ac:dyDescent="0.15">
      <c r="A6" s="5" t="s">
        <v>78</v>
      </c>
      <c r="B6" s="5">
        <v>1</v>
      </c>
      <c r="C6" s="5">
        <v>2</v>
      </c>
      <c r="D6" s="5">
        <v>5</v>
      </c>
      <c r="E6" s="31">
        <v>6</v>
      </c>
      <c r="F6" s="31">
        <v>6</v>
      </c>
      <c r="G6" s="31">
        <v>5</v>
      </c>
      <c r="H6" s="31">
        <v>9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9">
        <f>AVERAGE(B6:S6)</f>
        <v>4.8571428571428568</v>
      </c>
      <c r="U6" s="31">
        <f>MINA(B6:S6)</f>
        <v>1</v>
      </c>
      <c r="V6" s="31">
        <f>MAXA(B6:S6)</f>
        <v>9</v>
      </c>
      <c r="W6" s="31">
        <f>V6-U6</f>
        <v>8</v>
      </c>
      <c r="X6" s="32"/>
      <c r="AE6" s="33">
        <f t="shared" si="0"/>
        <v>0</v>
      </c>
    </row>
    <row r="7" spans="1:31" ht="14.1" customHeight="1" x14ac:dyDescent="0.15">
      <c r="A7" s="5" t="s">
        <v>63</v>
      </c>
      <c r="B7" s="5">
        <v>2</v>
      </c>
      <c r="C7" s="5">
        <v>5</v>
      </c>
      <c r="D7" s="5">
        <v>4</v>
      </c>
      <c r="E7" s="31">
        <v>7</v>
      </c>
      <c r="F7" s="31">
        <v>7</v>
      </c>
      <c r="G7" s="31">
        <v>13</v>
      </c>
      <c r="H7" s="31">
        <v>8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9">
        <f>AVERAGE(B7:S7)</f>
        <v>6.5714285714285712</v>
      </c>
      <c r="U7" s="31">
        <f>MINA(B7:S7)</f>
        <v>2</v>
      </c>
      <c r="V7" s="31">
        <f>MAXA(B7:S7)</f>
        <v>13</v>
      </c>
      <c r="W7" s="31">
        <f>V7-U7</f>
        <v>11</v>
      </c>
      <c r="X7" s="32"/>
      <c r="AE7" s="33">
        <f t="shared" si="0"/>
        <v>0</v>
      </c>
    </row>
    <row r="8" spans="1:31" ht="14.1" customHeight="1" x14ac:dyDescent="0.15">
      <c r="A8" s="5" t="s">
        <v>82</v>
      </c>
      <c r="B8" s="5">
        <v>3</v>
      </c>
      <c r="C8" s="5">
        <v>12</v>
      </c>
      <c r="D8" s="5">
        <v>9</v>
      </c>
      <c r="E8" s="31">
        <v>8</v>
      </c>
      <c r="F8" s="31">
        <v>10</v>
      </c>
      <c r="G8" s="31">
        <v>7</v>
      </c>
      <c r="H8" s="31">
        <v>2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9">
        <f>AVERAGE(B8:S8)</f>
        <v>7.2857142857142856</v>
      </c>
      <c r="U8" s="31">
        <f>MINA(B8:S8)</f>
        <v>2</v>
      </c>
      <c r="V8" s="31">
        <f>MAXA(B8:S8)</f>
        <v>12</v>
      </c>
      <c r="W8" s="31">
        <f>V8-U8</f>
        <v>10</v>
      </c>
      <c r="X8" s="32"/>
      <c r="AE8" s="33">
        <f t="shared" si="0"/>
        <v>0</v>
      </c>
    </row>
    <row r="9" spans="1:31" ht="14.1" customHeight="1" x14ac:dyDescent="0.15">
      <c r="A9" s="5" t="s">
        <v>48</v>
      </c>
      <c r="B9" s="5">
        <v>9</v>
      </c>
      <c r="C9" s="5">
        <v>7</v>
      </c>
      <c r="D9" s="5">
        <v>13</v>
      </c>
      <c r="E9" s="31">
        <v>12</v>
      </c>
      <c r="F9" s="31">
        <v>9</v>
      </c>
      <c r="G9" s="31">
        <v>6</v>
      </c>
      <c r="H9" s="31">
        <v>6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9">
        <f>AVERAGE(B9:S9)</f>
        <v>8.8571428571428577</v>
      </c>
      <c r="U9" s="31">
        <f>MINA(B9:S9)</f>
        <v>6</v>
      </c>
      <c r="V9" s="31">
        <f>MAXA(B9:S9)</f>
        <v>13</v>
      </c>
      <c r="W9" s="31">
        <f>V9-U9</f>
        <v>7</v>
      </c>
      <c r="X9" s="32"/>
    </row>
    <row r="10" spans="1:31" ht="14.1" customHeight="1" x14ac:dyDescent="0.15">
      <c r="A10" s="5" t="s">
        <v>88</v>
      </c>
      <c r="B10" s="5">
        <v>7</v>
      </c>
      <c r="C10" s="5">
        <v>13</v>
      </c>
      <c r="D10" s="5">
        <v>6</v>
      </c>
      <c r="E10" s="31">
        <v>10</v>
      </c>
      <c r="F10" s="31">
        <v>8</v>
      </c>
      <c r="G10" s="31">
        <v>12</v>
      </c>
      <c r="H10" s="31">
        <v>13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9">
        <f>AVERAGE(B10:S10)</f>
        <v>9.8571428571428577</v>
      </c>
      <c r="U10" s="31">
        <f>MINA(B10:S10)</f>
        <v>6</v>
      </c>
      <c r="V10" s="31">
        <f>MAXA(B10:S10)</f>
        <v>13</v>
      </c>
      <c r="W10" s="31">
        <f>V10-U10</f>
        <v>7</v>
      </c>
      <c r="X10" s="32"/>
    </row>
    <row r="11" spans="1:31" ht="14.1" customHeight="1" x14ac:dyDescent="0.15">
      <c r="A11" s="5" t="s">
        <v>90</v>
      </c>
      <c r="B11" s="5">
        <v>8</v>
      </c>
      <c r="C11" s="5">
        <v>9</v>
      </c>
      <c r="D11" s="5">
        <v>8</v>
      </c>
      <c r="E11" s="31">
        <v>15</v>
      </c>
      <c r="F11" s="31">
        <v>16</v>
      </c>
      <c r="G11" s="31">
        <v>9</v>
      </c>
      <c r="H11" s="31">
        <v>12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9">
        <f>AVERAGE(B11:S11)</f>
        <v>11</v>
      </c>
      <c r="U11" s="31">
        <f>MINA(B11:S11)</f>
        <v>8</v>
      </c>
      <c r="V11" s="31">
        <f>MAXA(B11:S11)</f>
        <v>16</v>
      </c>
      <c r="W11" s="31">
        <f>V11-U11</f>
        <v>8</v>
      </c>
      <c r="X11" s="32"/>
    </row>
    <row r="12" spans="1:31" ht="14.1" customHeight="1" x14ac:dyDescent="0.15">
      <c r="A12" s="5" t="s">
        <v>58</v>
      </c>
      <c r="B12" s="5">
        <v>11</v>
      </c>
      <c r="C12" s="5">
        <v>8</v>
      </c>
      <c r="D12" s="5">
        <v>12</v>
      </c>
      <c r="E12" s="31">
        <v>13</v>
      </c>
      <c r="F12" s="31">
        <v>11</v>
      </c>
      <c r="G12" s="31">
        <v>14</v>
      </c>
      <c r="H12" s="31">
        <v>10</v>
      </c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9">
        <f>AVERAGE(B12:S12)</f>
        <v>11.285714285714286</v>
      </c>
      <c r="U12" s="31">
        <f>MINA(B12:S12)</f>
        <v>8</v>
      </c>
      <c r="V12" s="31">
        <f>MAXA(B12:S12)</f>
        <v>14</v>
      </c>
      <c r="W12" s="31">
        <f>V12-U12</f>
        <v>6</v>
      </c>
      <c r="X12" s="32"/>
    </row>
    <row r="13" spans="1:31" ht="14.1" customHeight="1" x14ac:dyDescent="0.15">
      <c r="A13" s="5" t="s">
        <v>34</v>
      </c>
      <c r="B13" s="5">
        <v>23</v>
      </c>
      <c r="C13" s="5">
        <v>20</v>
      </c>
      <c r="D13" s="5">
        <v>14</v>
      </c>
      <c r="E13" s="31">
        <v>5</v>
      </c>
      <c r="F13" s="31">
        <v>5</v>
      </c>
      <c r="G13" s="31">
        <v>10</v>
      </c>
      <c r="H13" s="31">
        <v>14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9">
        <f>AVERAGE(B13:S13)</f>
        <v>13</v>
      </c>
      <c r="U13" s="31">
        <f>MINA(B13:S13)</f>
        <v>5</v>
      </c>
      <c r="V13" s="31">
        <f>MAXA(B13:S13)</f>
        <v>23</v>
      </c>
      <c r="W13" s="31">
        <f>V13-U13</f>
        <v>18</v>
      </c>
      <c r="X13" s="32"/>
    </row>
    <row r="14" spans="1:31" ht="14.1" customHeight="1" x14ac:dyDescent="0.15">
      <c r="A14" s="5" t="s">
        <v>96</v>
      </c>
      <c r="B14" s="5">
        <v>14</v>
      </c>
      <c r="C14" s="5">
        <v>22</v>
      </c>
      <c r="D14" s="5">
        <v>15</v>
      </c>
      <c r="E14" s="31">
        <v>9</v>
      </c>
      <c r="F14" s="31">
        <v>15</v>
      </c>
      <c r="G14" s="31">
        <v>11</v>
      </c>
      <c r="H14" s="31">
        <v>7</v>
      </c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9">
        <f>AVERAGE(B14:S14)</f>
        <v>13.285714285714286</v>
      </c>
      <c r="U14" s="31">
        <f>MINA(B14:S14)</f>
        <v>7</v>
      </c>
      <c r="V14" s="31">
        <f>MAXA(B14:S14)</f>
        <v>22</v>
      </c>
      <c r="W14" s="31">
        <f>V14-U14</f>
        <v>15</v>
      </c>
      <c r="X14" s="32"/>
    </row>
    <row r="15" spans="1:31" ht="14.1" customHeight="1" x14ac:dyDescent="0.15">
      <c r="A15" s="5" t="s">
        <v>61</v>
      </c>
      <c r="B15" s="5">
        <v>10</v>
      </c>
      <c r="C15" s="5">
        <v>10</v>
      </c>
      <c r="D15" s="5">
        <v>11</v>
      </c>
      <c r="E15" s="31">
        <v>17</v>
      </c>
      <c r="F15" s="31">
        <v>20</v>
      </c>
      <c r="G15" s="31">
        <v>19</v>
      </c>
      <c r="H15" s="31">
        <v>16</v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9">
        <f>AVERAGE(B15:S15)</f>
        <v>14.714285714285714</v>
      </c>
      <c r="U15" s="31">
        <f>MINA(B15:S15)</f>
        <v>10</v>
      </c>
      <c r="V15" s="31">
        <f>MAXA(B15:S15)</f>
        <v>20</v>
      </c>
      <c r="W15" s="31">
        <f>V15-U15</f>
        <v>10</v>
      </c>
      <c r="X15" s="32"/>
    </row>
    <row r="16" spans="1:31" ht="14.1" customHeight="1" x14ac:dyDescent="0.15">
      <c r="A16" s="5" t="s">
        <v>92</v>
      </c>
      <c r="B16" s="5">
        <v>18</v>
      </c>
      <c r="C16" s="5">
        <v>15</v>
      </c>
      <c r="D16" s="5">
        <v>10</v>
      </c>
      <c r="E16" s="31">
        <v>16</v>
      </c>
      <c r="F16" s="31">
        <v>14</v>
      </c>
      <c r="G16" s="31">
        <v>16</v>
      </c>
      <c r="H16" s="31">
        <v>17</v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9">
        <f>AVERAGE(B16:S16)</f>
        <v>15.142857142857142</v>
      </c>
      <c r="U16" s="31">
        <f>MINA(B16:S16)</f>
        <v>10</v>
      </c>
      <c r="V16" s="31">
        <f>MAXA(B16:S16)</f>
        <v>18</v>
      </c>
      <c r="W16" s="31">
        <f>V16-U16</f>
        <v>8</v>
      </c>
      <c r="X16" s="32"/>
    </row>
    <row r="17" spans="1:24" ht="14.1" customHeight="1" x14ac:dyDescent="0.15">
      <c r="A17" s="5" t="s">
        <v>51</v>
      </c>
      <c r="B17" s="5">
        <v>16</v>
      </c>
      <c r="C17" s="5">
        <v>19</v>
      </c>
      <c r="D17" s="5">
        <v>17</v>
      </c>
      <c r="E17" s="31">
        <v>14</v>
      </c>
      <c r="F17" s="31">
        <v>12</v>
      </c>
      <c r="G17" s="31">
        <v>15</v>
      </c>
      <c r="H17" s="31">
        <v>18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9">
        <f>AVERAGE(B17:S17)</f>
        <v>15.857142857142858</v>
      </c>
      <c r="U17" s="31">
        <f>MINA(B17:S17)</f>
        <v>12</v>
      </c>
      <c r="V17" s="31">
        <f>MAXA(B17:S17)</f>
        <v>19</v>
      </c>
      <c r="W17" s="31">
        <f>V17-U17</f>
        <v>7</v>
      </c>
      <c r="X17" s="32"/>
    </row>
    <row r="18" spans="1:24" ht="14.1" customHeight="1" x14ac:dyDescent="0.15">
      <c r="A18" s="5" t="s">
        <v>55</v>
      </c>
      <c r="B18" s="5">
        <v>17</v>
      </c>
      <c r="C18" s="5">
        <v>11</v>
      </c>
      <c r="D18" s="5">
        <v>16</v>
      </c>
      <c r="E18" s="31">
        <v>11</v>
      </c>
      <c r="F18" s="31">
        <v>18</v>
      </c>
      <c r="G18" s="31">
        <v>18</v>
      </c>
      <c r="H18" s="31">
        <v>21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9">
        <f>AVERAGE(B18:S18)</f>
        <v>16</v>
      </c>
      <c r="U18" s="31">
        <f>MINA(B18:S18)</f>
        <v>11</v>
      </c>
      <c r="V18" s="31">
        <f>MAXA(B18:S18)</f>
        <v>21</v>
      </c>
      <c r="W18" s="31">
        <f>V18-U18</f>
        <v>10</v>
      </c>
      <c r="X18" s="32"/>
    </row>
    <row r="19" spans="1:24" ht="14.1" customHeight="1" x14ac:dyDescent="0.15">
      <c r="A19" s="5" t="s">
        <v>76</v>
      </c>
      <c r="B19" s="5">
        <v>30</v>
      </c>
      <c r="C19" s="5">
        <v>28</v>
      </c>
      <c r="D19" s="5">
        <v>30</v>
      </c>
      <c r="E19" s="31">
        <v>22</v>
      </c>
      <c r="F19" s="31">
        <v>13</v>
      </c>
      <c r="G19" s="31">
        <v>8</v>
      </c>
      <c r="H19" s="31">
        <v>11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9">
        <f>AVERAGE(B19:S19)</f>
        <v>20.285714285714285</v>
      </c>
      <c r="U19" s="31">
        <f>MINA(B19:S19)</f>
        <v>8</v>
      </c>
      <c r="V19" s="31">
        <f>MAXA(B19:S19)</f>
        <v>30</v>
      </c>
      <c r="W19" s="31">
        <f>V19-U19</f>
        <v>22</v>
      </c>
      <c r="X19" s="32"/>
    </row>
    <row r="20" spans="1:24" ht="14.1" customHeight="1" x14ac:dyDescent="0.15">
      <c r="A20" s="5" t="s">
        <v>104</v>
      </c>
      <c r="B20" s="5">
        <v>25</v>
      </c>
      <c r="C20" s="5">
        <v>16</v>
      </c>
      <c r="D20" s="5">
        <v>22</v>
      </c>
      <c r="E20" s="31">
        <v>23</v>
      </c>
      <c r="F20" s="31">
        <v>19</v>
      </c>
      <c r="G20" s="31">
        <v>21</v>
      </c>
      <c r="H20" s="31">
        <v>20</v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9">
        <f>AVERAGE(B20:S20)</f>
        <v>20.857142857142858</v>
      </c>
      <c r="U20" s="31">
        <f>MINA(B20:S20)</f>
        <v>16</v>
      </c>
      <c r="V20" s="31">
        <f>MAXA(B20:S20)</f>
        <v>25</v>
      </c>
      <c r="W20" s="31">
        <f>V20-U20</f>
        <v>9</v>
      </c>
      <c r="X20" s="32"/>
    </row>
    <row r="21" spans="1:24" ht="14.1" customHeight="1" x14ac:dyDescent="0.15">
      <c r="A21" s="5" t="s">
        <v>84</v>
      </c>
      <c r="B21" s="5">
        <v>21</v>
      </c>
      <c r="C21" s="5">
        <v>17</v>
      </c>
      <c r="D21" s="5">
        <v>18</v>
      </c>
      <c r="E21" s="31">
        <v>18</v>
      </c>
      <c r="F21" s="31">
        <v>22</v>
      </c>
      <c r="G21" s="31">
        <v>26</v>
      </c>
      <c r="H21" s="31">
        <v>25</v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9">
        <f>AVERAGE(B21:S21)</f>
        <v>21</v>
      </c>
      <c r="U21" s="31">
        <f>MINA(B21:S21)</f>
        <v>17</v>
      </c>
      <c r="V21" s="31">
        <f>MAXA(B21:S21)</f>
        <v>26</v>
      </c>
      <c r="W21" s="31">
        <f>V21-U21</f>
        <v>9</v>
      </c>
      <c r="X21" s="32"/>
    </row>
    <row r="22" spans="1:24" ht="14.1" customHeight="1" x14ac:dyDescent="0.15">
      <c r="A22" s="5" t="s">
        <v>98</v>
      </c>
      <c r="B22" s="5">
        <v>26</v>
      </c>
      <c r="C22" s="5">
        <v>27</v>
      </c>
      <c r="D22" s="5">
        <v>19</v>
      </c>
      <c r="E22" s="31">
        <v>21</v>
      </c>
      <c r="F22" s="31">
        <v>17</v>
      </c>
      <c r="G22" s="31">
        <v>20</v>
      </c>
      <c r="H22" s="31">
        <v>19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9">
        <f>AVERAGE(B22:S22)</f>
        <v>21.285714285714285</v>
      </c>
      <c r="U22" s="31">
        <f>MINA(B22:S22)</f>
        <v>17</v>
      </c>
      <c r="V22" s="31">
        <f>MAXA(B22:S22)</f>
        <v>27</v>
      </c>
      <c r="W22" s="31">
        <f>V22-U22</f>
        <v>10</v>
      </c>
      <c r="X22" s="32"/>
    </row>
    <row r="23" spans="1:24" ht="14.1" customHeight="1" x14ac:dyDescent="0.15">
      <c r="A23" s="5" t="s">
        <v>80</v>
      </c>
      <c r="B23" s="5">
        <v>13</v>
      </c>
      <c r="C23" s="5">
        <v>14</v>
      </c>
      <c r="D23" s="5">
        <v>23</v>
      </c>
      <c r="E23" s="31">
        <v>28</v>
      </c>
      <c r="F23" s="31">
        <v>28</v>
      </c>
      <c r="G23" s="31">
        <v>22</v>
      </c>
      <c r="H23" s="31">
        <v>23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9">
        <f>AVERAGE(B23:S23)</f>
        <v>21.571428571428573</v>
      </c>
      <c r="U23" s="31">
        <f>MINA(B23:S23)</f>
        <v>13</v>
      </c>
      <c r="V23" s="31">
        <f>MAXA(B23:S23)</f>
        <v>28</v>
      </c>
      <c r="W23" s="31">
        <f>V23-U23</f>
        <v>15</v>
      </c>
      <c r="X23" s="32"/>
    </row>
    <row r="24" spans="1:24" ht="14.1" customHeight="1" x14ac:dyDescent="0.15">
      <c r="A24" s="5" t="s">
        <v>100</v>
      </c>
      <c r="B24" s="5">
        <v>24</v>
      </c>
      <c r="C24" s="5">
        <v>21</v>
      </c>
      <c r="D24" s="5">
        <v>20</v>
      </c>
      <c r="E24" s="31">
        <v>19</v>
      </c>
      <c r="F24" s="31">
        <v>21</v>
      </c>
      <c r="G24" s="31">
        <v>24</v>
      </c>
      <c r="H24" s="31">
        <v>22</v>
      </c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9">
        <f>AVERAGE(B24:S24)</f>
        <v>21.571428571428573</v>
      </c>
      <c r="U24" s="31">
        <f>MINA(B24:S24)</f>
        <v>19</v>
      </c>
      <c r="V24" s="31">
        <f>MAXA(B24:S24)</f>
        <v>24</v>
      </c>
      <c r="W24" s="31">
        <f>V24-U24</f>
        <v>5</v>
      </c>
      <c r="X24" s="32"/>
    </row>
    <row r="25" spans="1:24" ht="14.1" customHeight="1" x14ac:dyDescent="0.15">
      <c r="A25" s="5" t="s">
        <v>74</v>
      </c>
      <c r="B25" s="5">
        <v>29</v>
      </c>
      <c r="C25" s="5">
        <v>30</v>
      </c>
      <c r="D25" s="5">
        <v>26</v>
      </c>
      <c r="E25" s="31">
        <v>29</v>
      </c>
      <c r="F25" s="31">
        <v>23</v>
      </c>
      <c r="G25" s="31">
        <v>17</v>
      </c>
      <c r="H25" s="31">
        <v>15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9">
        <f>AVERAGE(B25:S25)</f>
        <v>24.142857142857142</v>
      </c>
      <c r="U25" s="31">
        <f>MINA(B25:S25)</f>
        <v>15</v>
      </c>
      <c r="V25" s="31">
        <f>MAXA(B25:S25)</f>
        <v>30</v>
      </c>
      <c r="W25" s="31">
        <f>V25-U25</f>
        <v>15</v>
      </c>
      <c r="X25" s="32"/>
    </row>
    <row r="26" spans="1:24" ht="14.1" customHeight="1" x14ac:dyDescent="0.15">
      <c r="A26" s="5" t="s">
        <v>43</v>
      </c>
      <c r="B26" s="5">
        <v>19</v>
      </c>
      <c r="C26" s="5">
        <v>25</v>
      </c>
      <c r="D26" s="5">
        <v>24</v>
      </c>
      <c r="E26" s="31">
        <v>20</v>
      </c>
      <c r="F26" s="31">
        <v>24</v>
      </c>
      <c r="G26" s="31">
        <v>30</v>
      </c>
      <c r="H26" s="31">
        <v>27</v>
      </c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9">
        <f>AVERAGE(B26:S26)</f>
        <v>24.142857142857142</v>
      </c>
      <c r="U26" s="31">
        <f>MINA(B26:S26)</f>
        <v>19</v>
      </c>
      <c r="V26" s="31">
        <f>MAXA(B26:S26)</f>
        <v>30</v>
      </c>
      <c r="W26" s="31">
        <f>V26-U26</f>
        <v>11</v>
      </c>
      <c r="X26" s="32"/>
    </row>
    <row r="27" spans="1:24" ht="14.1" customHeight="1" x14ac:dyDescent="0.15">
      <c r="A27" s="5" t="s">
        <v>46</v>
      </c>
      <c r="B27" s="5">
        <v>22</v>
      </c>
      <c r="C27" s="5">
        <v>23</v>
      </c>
      <c r="D27" s="5">
        <v>21</v>
      </c>
      <c r="E27" s="31">
        <v>27</v>
      </c>
      <c r="F27" s="31">
        <v>25</v>
      </c>
      <c r="G27" s="31">
        <v>25</v>
      </c>
      <c r="H27" s="31">
        <v>28</v>
      </c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9">
        <f>AVERAGE(B27:S27)</f>
        <v>24.428571428571427</v>
      </c>
      <c r="U27" s="31">
        <f>MINA(B27:S27)</f>
        <v>21</v>
      </c>
      <c r="V27" s="31">
        <f>MAXA(B27:S27)</f>
        <v>28</v>
      </c>
      <c r="W27" s="31">
        <f>V27-U27</f>
        <v>7</v>
      </c>
      <c r="X27" s="32"/>
    </row>
    <row r="28" spans="1:24" ht="14.1" customHeight="1" x14ac:dyDescent="0.15">
      <c r="A28" s="5" t="s">
        <v>102</v>
      </c>
      <c r="B28" s="5">
        <v>20</v>
      </c>
      <c r="C28" s="5">
        <v>24</v>
      </c>
      <c r="D28" s="5">
        <v>25</v>
      </c>
      <c r="E28" s="31">
        <v>24</v>
      </c>
      <c r="F28" s="31">
        <v>26</v>
      </c>
      <c r="G28" s="31">
        <v>27</v>
      </c>
      <c r="H28" s="31">
        <v>26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9">
        <f>AVERAGE(B28:S28)</f>
        <v>24.571428571428573</v>
      </c>
      <c r="U28" s="31">
        <f>MINA(B28:S28)</f>
        <v>20</v>
      </c>
      <c r="V28" s="31">
        <f>MAXA(B28:S28)</f>
        <v>27</v>
      </c>
      <c r="W28" s="31">
        <f>V28-U28</f>
        <v>7</v>
      </c>
      <c r="X28" s="32"/>
    </row>
    <row r="29" spans="1:24" ht="14.1" customHeight="1" x14ac:dyDescent="0.15">
      <c r="A29" s="5" t="s">
        <v>72</v>
      </c>
      <c r="B29" s="5">
        <v>15</v>
      </c>
      <c r="C29" s="5">
        <v>18</v>
      </c>
      <c r="D29" s="5">
        <v>29</v>
      </c>
      <c r="E29" s="31">
        <v>26</v>
      </c>
      <c r="F29" s="31">
        <v>27</v>
      </c>
      <c r="G29" s="31">
        <v>28</v>
      </c>
      <c r="H29" s="31">
        <v>31</v>
      </c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9">
        <f>AVERAGE(B29:S29)</f>
        <v>24.857142857142858</v>
      </c>
      <c r="U29" s="31">
        <f>MINA(B29:S29)</f>
        <v>15</v>
      </c>
      <c r="V29" s="31">
        <f>MAXA(B29:S29)</f>
        <v>31</v>
      </c>
      <c r="W29" s="31">
        <f>V29-U29</f>
        <v>16</v>
      </c>
      <c r="X29" s="32"/>
    </row>
    <row r="30" spans="1:24" ht="14.1" customHeight="1" x14ac:dyDescent="0.15">
      <c r="A30" s="5" t="s">
        <v>86</v>
      </c>
      <c r="B30" s="5">
        <v>27</v>
      </c>
      <c r="C30" s="5">
        <v>26</v>
      </c>
      <c r="D30" s="5">
        <v>27</v>
      </c>
      <c r="E30" s="31">
        <v>25</v>
      </c>
      <c r="F30" s="31">
        <v>29</v>
      </c>
      <c r="G30" s="31">
        <v>29</v>
      </c>
      <c r="H30" s="31">
        <v>30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9">
        <f>AVERAGE(B30:S30)</f>
        <v>27.571428571428573</v>
      </c>
      <c r="U30" s="31">
        <f>MINA(B30:S30)</f>
        <v>25</v>
      </c>
      <c r="V30" s="31">
        <f>MAXA(B30:S30)</f>
        <v>30</v>
      </c>
      <c r="W30" s="31">
        <f>V30-U30</f>
        <v>5</v>
      </c>
      <c r="X30" s="32"/>
    </row>
    <row r="31" spans="1:24" ht="14.1" customHeight="1" x14ac:dyDescent="0.15">
      <c r="A31" s="5" t="s">
        <v>68</v>
      </c>
      <c r="B31" s="5">
        <v>32</v>
      </c>
      <c r="C31" s="5">
        <v>31</v>
      </c>
      <c r="D31" s="5">
        <v>28</v>
      </c>
      <c r="E31" s="31">
        <v>31</v>
      </c>
      <c r="F31" s="31">
        <v>30</v>
      </c>
      <c r="G31" s="31">
        <v>23</v>
      </c>
      <c r="H31" s="31">
        <v>24</v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9">
        <f>AVERAGE(B31:S31)</f>
        <v>28.428571428571427</v>
      </c>
      <c r="U31" s="31">
        <f>MINA(B31:S31)</f>
        <v>23</v>
      </c>
      <c r="V31" s="31">
        <f>MAXA(B31:S31)</f>
        <v>32</v>
      </c>
      <c r="W31" s="31">
        <f>V31-U31</f>
        <v>9</v>
      </c>
      <c r="X31" s="32"/>
    </row>
    <row r="32" spans="1:24" ht="14.1" customHeight="1" x14ac:dyDescent="0.15">
      <c r="A32" s="5" t="s">
        <v>70</v>
      </c>
      <c r="B32" s="5">
        <v>28</v>
      </c>
      <c r="C32" s="5">
        <v>29</v>
      </c>
      <c r="D32" s="5">
        <v>31</v>
      </c>
      <c r="E32" s="31">
        <v>30</v>
      </c>
      <c r="F32" s="31">
        <v>31</v>
      </c>
      <c r="G32" s="31">
        <v>31</v>
      </c>
      <c r="H32" s="31">
        <v>32</v>
      </c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9">
        <f>AVERAGE(B32:S32)</f>
        <v>30.285714285714285</v>
      </c>
      <c r="U32" s="31">
        <f>MINA(B32:S32)</f>
        <v>28</v>
      </c>
      <c r="V32" s="31">
        <f>MAXA(B32:S32)</f>
        <v>32</v>
      </c>
      <c r="W32" s="31">
        <f>V32-U32</f>
        <v>4</v>
      </c>
      <c r="X32" s="32"/>
    </row>
    <row r="33" spans="1:24" ht="14.1" customHeight="1" x14ac:dyDescent="0.15">
      <c r="A33" s="5" t="s">
        <v>53</v>
      </c>
      <c r="B33" s="5">
        <v>31</v>
      </c>
      <c r="C33" s="5">
        <v>32</v>
      </c>
      <c r="D33" s="5">
        <v>32</v>
      </c>
      <c r="E33" s="31">
        <v>32</v>
      </c>
      <c r="F33" s="31">
        <v>32</v>
      </c>
      <c r="G33" s="31">
        <v>32</v>
      </c>
      <c r="H33" s="31">
        <v>29</v>
      </c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9">
        <f>AVERAGE(B33:S33)</f>
        <v>31.428571428571427</v>
      </c>
      <c r="U33" s="31">
        <f>MINA(B33:S33)</f>
        <v>29</v>
      </c>
      <c r="V33" s="31">
        <f>MAXA(B33:S33)</f>
        <v>32</v>
      </c>
      <c r="W33" s="31">
        <f>V33-U33</f>
        <v>3</v>
      </c>
      <c r="X33" s="32"/>
    </row>
  </sheetData>
  <autoFilter ref="A1:X1">
    <sortState ref="A2:X33">
      <sortCondition ref="T1"/>
    </sortState>
  </autoFilter>
  <conditionalFormatting sqref="B2:S33">
    <cfRule type="cellIs" dxfId="8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33"/>
  <sheetViews>
    <sheetView workbookViewId="0">
      <pane xSplit="1" topLeftCell="B1" activePane="topRight" state="frozen"/>
      <selection activeCell="AG2" sqref="AG2:AG33"/>
      <selection pane="topRight" activeCell="AG2" sqref="AG2:AG33"/>
    </sheetView>
  </sheetViews>
  <sheetFormatPr defaultRowHeight="10.5" x14ac:dyDescent="0.15"/>
  <cols>
    <col min="1" max="1" width="21.6640625" style="33" customWidth="1"/>
    <col min="2" max="4" width="8.83203125" style="33" customWidth="1"/>
    <col min="5" max="5" width="8.83203125" style="32" customWidth="1"/>
    <col min="6" max="19" width="8.83203125" style="33" customWidth="1"/>
    <col min="20" max="22" width="9.33203125" style="33"/>
    <col min="23" max="23" width="9.33203125" style="5"/>
    <col min="24" max="16384" width="9.33203125" style="33"/>
  </cols>
  <sheetData>
    <row r="1" spans="1:24" s="30" customFormat="1" ht="48" customHeight="1" x14ac:dyDescent="0.15">
      <c r="A1" s="25" t="s">
        <v>1</v>
      </c>
      <c r="B1" s="34" t="s">
        <v>149</v>
      </c>
      <c r="C1" s="27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166</v>
      </c>
      <c r="J1" s="3" t="s">
        <v>167</v>
      </c>
      <c r="K1" s="3" t="s">
        <v>168</v>
      </c>
      <c r="L1" s="3" t="s">
        <v>169</v>
      </c>
      <c r="M1" s="3" t="s">
        <v>170</v>
      </c>
      <c r="N1" s="3" t="s">
        <v>171</v>
      </c>
      <c r="O1" s="3" t="s">
        <v>172</v>
      </c>
      <c r="P1" s="3" t="s">
        <v>173</v>
      </c>
      <c r="Q1" s="3" t="s">
        <v>174</v>
      </c>
      <c r="R1" s="3" t="s">
        <v>175</v>
      </c>
      <c r="S1" s="3" t="s">
        <v>176</v>
      </c>
      <c r="T1" s="28" t="s">
        <v>11</v>
      </c>
      <c r="U1" s="28" t="s">
        <v>177</v>
      </c>
      <c r="V1" s="28" t="s">
        <v>178</v>
      </c>
      <c r="W1" s="29" t="s">
        <v>179</v>
      </c>
      <c r="X1" s="30" t="s">
        <v>33</v>
      </c>
    </row>
    <row r="2" spans="1:24" ht="14.1" customHeight="1" x14ac:dyDescent="0.15">
      <c r="A2" s="5" t="s">
        <v>65</v>
      </c>
      <c r="B2" s="5">
        <v>5</v>
      </c>
      <c r="C2" s="5">
        <v>3</v>
      </c>
      <c r="D2" s="5">
        <v>2</v>
      </c>
      <c r="E2" s="31">
        <v>1</v>
      </c>
      <c r="F2" s="31">
        <v>1</v>
      </c>
      <c r="G2" s="31">
        <v>1</v>
      </c>
      <c r="H2" s="31">
        <v>3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6"/>
      <c r="T2" s="9">
        <f>AVERAGE(B2:S2)</f>
        <v>2.2857142857142856</v>
      </c>
      <c r="U2" s="31">
        <f>MINA(B2:S2)</f>
        <v>1</v>
      </c>
      <c r="V2" s="31">
        <f>MAXA(B2:S2)</f>
        <v>5</v>
      </c>
      <c r="W2" s="31">
        <f>V2-U2</f>
        <v>4</v>
      </c>
      <c r="X2" s="32"/>
    </row>
    <row r="3" spans="1:24" ht="14.1" customHeight="1" x14ac:dyDescent="0.15">
      <c r="A3" s="5" t="s">
        <v>94</v>
      </c>
      <c r="B3" s="5">
        <v>4</v>
      </c>
      <c r="C3" s="5">
        <v>2</v>
      </c>
      <c r="D3" s="5">
        <v>1</v>
      </c>
      <c r="E3" s="31">
        <v>4</v>
      </c>
      <c r="F3" s="31">
        <v>4</v>
      </c>
      <c r="G3" s="31">
        <v>4</v>
      </c>
      <c r="H3" s="31">
        <v>6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6"/>
      <c r="T3" s="9">
        <f>AVERAGE(B3:S3)</f>
        <v>3.5714285714285716</v>
      </c>
      <c r="U3" s="31">
        <f>MINA(B3:S3)</f>
        <v>1</v>
      </c>
      <c r="V3" s="31">
        <f>MAXA(B3:S3)</f>
        <v>6</v>
      </c>
      <c r="W3" s="31">
        <f>V3-U3</f>
        <v>5</v>
      </c>
      <c r="X3" s="32"/>
    </row>
    <row r="4" spans="1:24" ht="14.1" customHeight="1" x14ac:dyDescent="0.15">
      <c r="A4" s="5" t="s">
        <v>37</v>
      </c>
      <c r="B4" s="5">
        <v>10</v>
      </c>
      <c r="C4" s="5">
        <v>5</v>
      </c>
      <c r="D4" s="5">
        <v>3</v>
      </c>
      <c r="E4" s="31">
        <v>2</v>
      </c>
      <c r="F4" s="31">
        <v>2</v>
      </c>
      <c r="G4" s="31">
        <v>2</v>
      </c>
      <c r="H4" s="31">
        <v>1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6"/>
      <c r="T4" s="9">
        <f>AVERAGE(B4:S4)</f>
        <v>3.5714285714285716</v>
      </c>
      <c r="U4" s="31">
        <f>MINA(B4:S4)</f>
        <v>1</v>
      </c>
      <c r="V4" s="31">
        <f>MAXA(B4:S4)</f>
        <v>10</v>
      </c>
      <c r="W4" s="31">
        <f>V4-U4</f>
        <v>9</v>
      </c>
      <c r="X4" s="32"/>
    </row>
    <row r="5" spans="1:24" ht="14.1" customHeight="1" x14ac:dyDescent="0.15">
      <c r="A5" s="5" t="s">
        <v>40</v>
      </c>
      <c r="B5" s="5">
        <v>8</v>
      </c>
      <c r="C5" s="5">
        <v>4</v>
      </c>
      <c r="D5" s="5">
        <v>7</v>
      </c>
      <c r="E5" s="31">
        <v>3</v>
      </c>
      <c r="F5" s="31">
        <v>3</v>
      </c>
      <c r="G5" s="31">
        <v>3</v>
      </c>
      <c r="H5" s="31">
        <v>2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6"/>
      <c r="T5" s="9">
        <f>AVERAGE(B5:S5)</f>
        <v>4.2857142857142856</v>
      </c>
      <c r="U5" s="31">
        <f>MINA(B5:S5)</f>
        <v>2</v>
      </c>
      <c r="V5" s="31">
        <f>MAXA(B5:S5)</f>
        <v>8</v>
      </c>
      <c r="W5" s="31">
        <f>V5-U5</f>
        <v>6</v>
      </c>
      <c r="X5" s="32"/>
    </row>
    <row r="6" spans="1:24" ht="14.1" customHeight="1" x14ac:dyDescent="0.15">
      <c r="A6" s="5" t="s">
        <v>78</v>
      </c>
      <c r="B6" s="5">
        <v>1</v>
      </c>
      <c r="C6" s="5">
        <v>1</v>
      </c>
      <c r="D6" s="5">
        <v>5</v>
      </c>
      <c r="E6" s="31">
        <v>6</v>
      </c>
      <c r="F6" s="31">
        <v>6</v>
      </c>
      <c r="G6" s="31">
        <v>5</v>
      </c>
      <c r="H6" s="31">
        <v>7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6"/>
      <c r="T6" s="9">
        <f>AVERAGE(B6:S6)</f>
        <v>4.4285714285714288</v>
      </c>
      <c r="U6" s="31">
        <f>MINA(B6:S6)</f>
        <v>1</v>
      </c>
      <c r="V6" s="31">
        <f>MAXA(B6:S6)</f>
        <v>7</v>
      </c>
      <c r="W6" s="31">
        <f>V6-U6</f>
        <v>6</v>
      </c>
      <c r="X6" s="32"/>
    </row>
    <row r="7" spans="1:24" ht="14.1" customHeight="1" x14ac:dyDescent="0.15">
      <c r="A7" s="5" t="s">
        <v>88</v>
      </c>
      <c r="B7" s="5">
        <v>3</v>
      </c>
      <c r="C7" s="5">
        <v>8</v>
      </c>
      <c r="D7" s="5">
        <v>6</v>
      </c>
      <c r="E7" s="31">
        <v>12</v>
      </c>
      <c r="F7" s="31">
        <v>8</v>
      </c>
      <c r="G7" s="31">
        <v>10</v>
      </c>
      <c r="H7" s="31">
        <v>13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6"/>
      <c r="T7" s="9">
        <f>AVERAGE(B7:S7)</f>
        <v>8.5714285714285712</v>
      </c>
      <c r="U7" s="31">
        <f>MINA(B7:S7)</f>
        <v>3</v>
      </c>
      <c r="V7" s="31">
        <f>MAXA(B7:S7)</f>
        <v>13</v>
      </c>
      <c r="W7" s="31">
        <f>V7-U7</f>
        <v>10</v>
      </c>
      <c r="X7" s="32"/>
    </row>
    <row r="8" spans="1:24" ht="14.1" customHeight="1" x14ac:dyDescent="0.15">
      <c r="A8" s="5" t="s">
        <v>63</v>
      </c>
      <c r="B8" s="5">
        <v>2</v>
      </c>
      <c r="C8" s="5">
        <v>6</v>
      </c>
      <c r="D8" s="5">
        <v>4</v>
      </c>
      <c r="E8" s="31">
        <v>8</v>
      </c>
      <c r="F8" s="31">
        <v>12</v>
      </c>
      <c r="G8" s="31">
        <v>16</v>
      </c>
      <c r="H8" s="31">
        <v>12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6"/>
      <c r="T8" s="9">
        <f>AVERAGE(B8:S8)</f>
        <v>8.5714285714285712</v>
      </c>
      <c r="U8" s="31">
        <f>MINA(B8:S8)</f>
        <v>2</v>
      </c>
      <c r="V8" s="31">
        <f>MAXA(B8:S8)</f>
        <v>16</v>
      </c>
      <c r="W8" s="31">
        <f>V8-U8</f>
        <v>14</v>
      </c>
      <c r="X8" s="32"/>
    </row>
    <row r="9" spans="1:24" ht="14.1" customHeight="1" x14ac:dyDescent="0.15">
      <c r="A9" s="5" t="s">
        <v>48</v>
      </c>
      <c r="B9" s="5">
        <v>9</v>
      </c>
      <c r="C9" s="5">
        <v>7</v>
      </c>
      <c r="D9" s="5">
        <v>10</v>
      </c>
      <c r="E9" s="31">
        <v>11</v>
      </c>
      <c r="F9" s="31">
        <v>14</v>
      </c>
      <c r="G9" s="31">
        <v>8</v>
      </c>
      <c r="H9" s="31">
        <v>4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6"/>
      <c r="T9" s="9">
        <f>AVERAGE(B9:S9)</f>
        <v>9</v>
      </c>
      <c r="U9" s="31">
        <f>MINA(B9:S9)</f>
        <v>4</v>
      </c>
      <c r="V9" s="31">
        <f>MAXA(B9:S9)</f>
        <v>14</v>
      </c>
      <c r="W9" s="31">
        <f>V9-U9</f>
        <v>10</v>
      </c>
      <c r="X9" s="32"/>
    </row>
    <row r="10" spans="1:24" ht="14.1" customHeight="1" x14ac:dyDescent="0.15">
      <c r="A10" s="5" t="s">
        <v>82</v>
      </c>
      <c r="B10" s="5">
        <v>6</v>
      </c>
      <c r="C10" s="5">
        <v>12</v>
      </c>
      <c r="D10" s="5">
        <v>11</v>
      </c>
      <c r="E10" s="31">
        <v>10</v>
      </c>
      <c r="F10" s="31">
        <v>15</v>
      </c>
      <c r="G10" s="31">
        <v>14</v>
      </c>
      <c r="H10" s="31">
        <v>5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6"/>
      <c r="T10" s="9">
        <f>AVERAGE(B10:S10)</f>
        <v>10.428571428571429</v>
      </c>
      <c r="U10" s="31">
        <f>MINA(B10:S10)</f>
        <v>5</v>
      </c>
      <c r="V10" s="31">
        <f>MAXA(B10:S10)</f>
        <v>15</v>
      </c>
      <c r="W10" s="31">
        <f>V10-U10</f>
        <v>10</v>
      </c>
      <c r="X10" s="32"/>
    </row>
    <row r="11" spans="1:24" ht="14.1" customHeight="1" x14ac:dyDescent="0.15">
      <c r="A11" s="5" t="s">
        <v>90</v>
      </c>
      <c r="B11" s="5">
        <v>7</v>
      </c>
      <c r="C11" s="5">
        <v>10</v>
      </c>
      <c r="D11" s="5">
        <v>9</v>
      </c>
      <c r="E11" s="31">
        <v>14</v>
      </c>
      <c r="F11" s="31">
        <v>17</v>
      </c>
      <c r="G11" s="31">
        <v>9</v>
      </c>
      <c r="H11" s="31">
        <v>11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6"/>
      <c r="T11" s="9">
        <f>AVERAGE(B11:S11)</f>
        <v>11</v>
      </c>
      <c r="U11" s="31">
        <f>MINA(B11:S11)</f>
        <v>7</v>
      </c>
      <c r="V11" s="31">
        <f>MAXA(B11:S11)</f>
        <v>17</v>
      </c>
      <c r="W11" s="31">
        <f>V11-U11</f>
        <v>10</v>
      </c>
      <c r="X11" s="32"/>
    </row>
    <row r="12" spans="1:24" ht="14.1" customHeight="1" x14ac:dyDescent="0.15">
      <c r="A12" s="5" t="s">
        <v>55</v>
      </c>
      <c r="B12" s="5">
        <v>13</v>
      </c>
      <c r="C12" s="5">
        <v>11</v>
      </c>
      <c r="D12" s="5">
        <v>13</v>
      </c>
      <c r="E12" s="31">
        <v>9</v>
      </c>
      <c r="F12" s="31">
        <v>13</v>
      </c>
      <c r="G12" s="31">
        <v>13</v>
      </c>
      <c r="H12" s="31">
        <v>14</v>
      </c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6"/>
      <c r="T12" s="9">
        <f>AVERAGE(B12:S12)</f>
        <v>12.285714285714286</v>
      </c>
      <c r="U12" s="31">
        <f>MINA(B12:S12)</f>
        <v>9</v>
      </c>
      <c r="V12" s="31">
        <f>MAXA(B12:S12)</f>
        <v>14</v>
      </c>
      <c r="W12" s="31">
        <f>V12-U12</f>
        <v>5</v>
      </c>
      <c r="X12" s="32"/>
    </row>
    <row r="13" spans="1:24" ht="14.1" customHeight="1" x14ac:dyDescent="0.15">
      <c r="A13" s="5" t="s">
        <v>34</v>
      </c>
      <c r="B13" s="5">
        <v>26</v>
      </c>
      <c r="C13" s="5">
        <v>25</v>
      </c>
      <c r="D13" s="5">
        <v>17</v>
      </c>
      <c r="E13" s="31">
        <v>5</v>
      </c>
      <c r="F13" s="31">
        <v>5</v>
      </c>
      <c r="G13" s="31">
        <v>7</v>
      </c>
      <c r="H13" s="31">
        <v>9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6"/>
      <c r="T13" s="9">
        <f>AVERAGE(B13:S13)</f>
        <v>13.428571428571429</v>
      </c>
      <c r="U13" s="31">
        <f>MINA(B13:S13)</f>
        <v>5</v>
      </c>
      <c r="V13" s="31">
        <f>MAXA(B13:S13)</f>
        <v>26</v>
      </c>
      <c r="W13" s="31">
        <f>V13-U13</f>
        <v>21</v>
      </c>
      <c r="X13" s="32"/>
    </row>
    <row r="14" spans="1:24" ht="14.1" customHeight="1" x14ac:dyDescent="0.15">
      <c r="A14" s="5" t="s">
        <v>58</v>
      </c>
      <c r="B14" s="5">
        <v>17</v>
      </c>
      <c r="C14" s="5">
        <v>9</v>
      </c>
      <c r="D14" s="5">
        <v>8</v>
      </c>
      <c r="E14" s="31">
        <v>13</v>
      </c>
      <c r="F14" s="31">
        <v>16</v>
      </c>
      <c r="G14" s="31">
        <v>17</v>
      </c>
      <c r="H14" s="31">
        <v>16</v>
      </c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6"/>
      <c r="T14" s="9">
        <f>AVERAGE(B14:S14)</f>
        <v>13.714285714285714</v>
      </c>
      <c r="U14" s="31">
        <f>MINA(B14:S14)</f>
        <v>8</v>
      </c>
      <c r="V14" s="31">
        <f>MAXA(B14:S14)</f>
        <v>17</v>
      </c>
      <c r="W14" s="31">
        <f>V14-U14</f>
        <v>9</v>
      </c>
      <c r="X14" s="32"/>
    </row>
    <row r="15" spans="1:24" ht="14.1" customHeight="1" x14ac:dyDescent="0.15">
      <c r="A15" s="5" t="s">
        <v>92</v>
      </c>
      <c r="B15" s="5">
        <v>15</v>
      </c>
      <c r="C15" s="5">
        <v>16</v>
      </c>
      <c r="D15" s="5">
        <v>12</v>
      </c>
      <c r="E15" s="31">
        <v>16</v>
      </c>
      <c r="F15" s="31">
        <v>10</v>
      </c>
      <c r="G15" s="31">
        <v>15</v>
      </c>
      <c r="H15" s="31">
        <v>15</v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6"/>
      <c r="T15" s="9">
        <f>AVERAGE(B15:S15)</f>
        <v>14.142857142857142</v>
      </c>
      <c r="U15" s="31">
        <f>MINA(B15:S15)</f>
        <v>10</v>
      </c>
      <c r="V15" s="31">
        <f>MAXA(B15:S15)</f>
        <v>16</v>
      </c>
      <c r="W15" s="31">
        <f>V15-U15</f>
        <v>6</v>
      </c>
      <c r="X15" s="32"/>
    </row>
    <row r="16" spans="1:24" ht="14.1" customHeight="1" x14ac:dyDescent="0.15">
      <c r="A16" s="5" t="s">
        <v>96</v>
      </c>
      <c r="B16" s="5">
        <v>16</v>
      </c>
      <c r="C16" s="5">
        <v>26</v>
      </c>
      <c r="D16" s="5">
        <v>18</v>
      </c>
      <c r="E16" s="31">
        <v>7</v>
      </c>
      <c r="F16" s="31">
        <v>11</v>
      </c>
      <c r="G16" s="31">
        <v>11</v>
      </c>
      <c r="H16" s="31">
        <v>10</v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6"/>
      <c r="T16" s="9">
        <f>AVERAGE(B16:S16)</f>
        <v>14.142857142857142</v>
      </c>
      <c r="U16" s="31">
        <f>MINA(B16:S16)</f>
        <v>7</v>
      </c>
      <c r="V16" s="31">
        <f>MAXA(B16:S16)</f>
        <v>26</v>
      </c>
      <c r="W16" s="31">
        <f>V16-U16</f>
        <v>19</v>
      </c>
      <c r="X16" s="32"/>
    </row>
    <row r="17" spans="1:24" ht="14.1" customHeight="1" x14ac:dyDescent="0.15">
      <c r="A17" s="5" t="s">
        <v>51</v>
      </c>
      <c r="B17" s="5">
        <v>14</v>
      </c>
      <c r="C17" s="5">
        <v>17</v>
      </c>
      <c r="D17" s="5">
        <v>15</v>
      </c>
      <c r="E17" s="31">
        <v>15</v>
      </c>
      <c r="F17" s="31">
        <v>9</v>
      </c>
      <c r="G17" s="31">
        <v>12</v>
      </c>
      <c r="H17" s="31">
        <v>18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6"/>
      <c r="T17" s="9">
        <f>AVERAGE(B17:S17)</f>
        <v>14.285714285714286</v>
      </c>
      <c r="U17" s="31">
        <f>MINA(B17:S17)</f>
        <v>9</v>
      </c>
      <c r="V17" s="31">
        <f>MAXA(B17:S17)</f>
        <v>18</v>
      </c>
      <c r="W17" s="31">
        <f>V17-U17</f>
        <v>9</v>
      </c>
      <c r="X17" s="32"/>
    </row>
    <row r="18" spans="1:24" ht="14.1" customHeight="1" x14ac:dyDescent="0.15">
      <c r="A18" s="5" t="s">
        <v>61</v>
      </c>
      <c r="B18" s="5">
        <v>12</v>
      </c>
      <c r="C18" s="5">
        <v>13</v>
      </c>
      <c r="D18" s="5">
        <v>14</v>
      </c>
      <c r="E18" s="31">
        <v>17</v>
      </c>
      <c r="F18" s="31">
        <v>18</v>
      </c>
      <c r="G18" s="31">
        <v>18</v>
      </c>
      <c r="H18" s="31">
        <v>17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6"/>
      <c r="T18" s="9">
        <f>AVERAGE(B18:S18)</f>
        <v>15.571428571428571</v>
      </c>
      <c r="U18" s="31">
        <f>MINA(B18:S18)</f>
        <v>12</v>
      </c>
      <c r="V18" s="31">
        <f>MAXA(B18:S18)</f>
        <v>18</v>
      </c>
      <c r="W18" s="31">
        <f>V18-U18</f>
        <v>6</v>
      </c>
      <c r="X18" s="32"/>
    </row>
    <row r="19" spans="1:24" ht="14.1" customHeight="1" x14ac:dyDescent="0.15">
      <c r="A19" s="5" t="s">
        <v>76</v>
      </c>
      <c r="B19" s="5">
        <v>32</v>
      </c>
      <c r="C19" s="5">
        <v>28</v>
      </c>
      <c r="D19" s="5">
        <v>26</v>
      </c>
      <c r="E19" s="31">
        <v>22</v>
      </c>
      <c r="F19" s="31">
        <v>7</v>
      </c>
      <c r="G19" s="31">
        <v>6</v>
      </c>
      <c r="H19" s="31">
        <v>8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6"/>
      <c r="T19" s="9">
        <f>AVERAGE(B19:S19)</f>
        <v>18.428571428571427</v>
      </c>
      <c r="U19" s="31">
        <f>MINA(B19:S19)</f>
        <v>6</v>
      </c>
      <c r="V19" s="31">
        <f>MAXA(B19:S19)</f>
        <v>32</v>
      </c>
      <c r="W19" s="31">
        <f>V19-U19</f>
        <v>26</v>
      </c>
      <c r="X19" s="32"/>
    </row>
    <row r="20" spans="1:24" ht="14.1" customHeight="1" x14ac:dyDescent="0.15">
      <c r="A20" s="5" t="s">
        <v>100</v>
      </c>
      <c r="B20" s="5">
        <v>24</v>
      </c>
      <c r="C20" s="5">
        <v>19</v>
      </c>
      <c r="D20" s="5">
        <v>19</v>
      </c>
      <c r="E20" s="31">
        <v>19</v>
      </c>
      <c r="F20" s="31">
        <v>19</v>
      </c>
      <c r="G20" s="31">
        <v>19</v>
      </c>
      <c r="H20" s="31">
        <v>20</v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6"/>
      <c r="T20" s="9">
        <f>AVERAGE(B20:S20)</f>
        <v>19.857142857142858</v>
      </c>
      <c r="U20" s="31">
        <f>MINA(B20:S20)</f>
        <v>19</v>
      </c>
      <c r="V20" s="31">
        <f>MAXA(B20:S20)</f>
        <v>24</v>
      </c>
      <c r="W20" s="31">
        <f>V20-U20</f>
        <v>5</v>
      </c>
      <c r="X20" s="32"/>
    </row>
    <row r="21" spans="1:24" ht="14.1" customHeight="1" x14ac:dyDescent="0.15">
      <c r="A21" s="5" t="s">
        <v>84</v>
      </c>
      <c r="B21" s="5">
        <v>21</v>
      </c>
      <c r="C21" s="5">
        <v>18</v>
      </c>
      <c r="D21" s="5">
        <v>16</v>
      </c>
      <c r="E21" s="31">
        <v>18</v>
      </c>
      <c r="F21" s="31">
        <v>24</v>
      </c>
      <c r="G21" s="31">
        <v>23</v>
      </c>
      <c r="H21" s="31">
        <v>23</v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6"/>
      <c r="T21" s="9">
        <f>AVERAGE(B21:S21)</f>
        <v>20.428571428571427</v>
      </c>
      <c r="U21" s="31">
        <f>MINA(B21:S21)</f>
        <v>16</v>
      </c>
      <c r="V21" s="31">
        <f>MAXA(B21:S21)</f>
        <v>24</v>
      </c>
      <c r="W21" s="31">
        <f>V21-U21</f>
        <v>8</v>
      </c>
      <c r="X21" s="32"/>
    </row>
    <row r="22" spans="1:24" ht="14.1" customHeight="1" x14ac:dyDescent="0.15">
      <c r="A22" s="5" t="s">
        <v>104</v>
      </c>
      <c r="B22" s="5">
        <v>23</v>
      </c>
      <c r="C22" s="5">
        <v>14</v>
      </c>
      <c r="D22" s="5">
        <v>23</v>
      </c>
      <c r="E22" s="31">
        <v>23</v>
      </c>
      <c r="F22" s="31">
        <v>23</v>
      </c>
      <c r="G22" s="31">
        <v>22</v>
      </c>
      <c r="H22" s="31">
        <v>22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6"/>
      <c r="T22" s="9">
        <f>AVERAGE(B22:S22)</f>
        <v>21.428571428571427</v>
      </c>
      <c r="U22" s="31">
        <f>MINA(B22:S22)</f>
        <v>14</v>
      </c>
      <c r="V22" s="31">
        <f>MAXA(B22:S22)</f>
        <v>23</v>
      </c>
      <c r="W22" s="31">
        <f>V22-U22</f>
        <v>9</v>
      </c>
      <c r="X22" s="32"/>
    </row>
    <row r="23" spans="1:24" ht="14.1" customHeight="1" x14ac:dyDescent="0.15">
      <c r="A23" s="5" t="s">
        <v>46</v>
      </c>
      <c r="B23" s="5">
        <v>22</v>
      </c>
      <c r="C23" s="5">
        <v>22</v>
      </c>
      <c r="D23" s="5">
        <v>20</v>
      </c>
      <c r="E23" s="31">
        <v>20</v>
      </c>
      <c r="F23" s="31">
        <v>20</v>
      </c>
      <c r="G23" s="31">
        <v>22</v>
      </c>
      <c r="H23" s="31">
        <v>27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6"/>
      <c r="T23" s="9">
        <f>AVERAGE(B23:S23)</f>
        <v>21.857142857142858</v>
      </c>
      <c r="U23" s="31">
        <f>MINA(B23:S23)</f>
        <v>20</v>
      </c>
      <c r="V23" s="31">
        <f>MAXA(B23:S23)</f>
        <v>27</v>
      </c>
      <c r="W23" s="31">
        <f>V23-U23</f>
        <v>7</v>
      </c>
      <c r="X23" s="32"/>
    </row>
    <row r="24" spans="1:24" ht="14.1" customHeight="1" x14ac:dyDescent="0.15">
      <c r="A24" s="5" t="s">
        <v>43</v>
      </c>
      <c r="B24" s="5">
        <v>19</v>
      </c>
      <c r="C24" s="5">
        <v>23</v>
      </c>
      <c r="D24" s="5">
        <v>21</v>
      </c>
      <c r="E24" s="31">
        <v>21</v>
      </c>
      <c r="F24" s="31">
        <v>21</v>
      </c>
      <c r="G24" s="31">
        <v>24</v>
      </c>
      <c r="H24" s="31">
        <v>24</v>
      </c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6"/>
      <c r="T24" s="9">
        <f>AVERAGE(B24:S24)</f>
        <v>21.857142857142858</v>
      </c>
      <c r="U24" s="31">
        <f>MINA(B24:S24)</f>
        <v>19</v>
      </c>
      <c r="V24" s="31">
        <f>MAXA(B24:S24)</f>
        <v>24</v>
      </c>
      <c r="W24" s="31">
        <f>V24-U24</f>
        <v>5</v>
      </c>
      <c r="X24" s="32"/>
    </row>
    <row r="25" spans="1:24" ht="14.1" customHeight="1" x14ac:dyDescent="0.15">
      <c r="A25" s="5" t="s">
        <v>80</v>
      </c>
      <c r="B25" s="5">
        <v>11</v>
      </c>
      <c r="C25" s="5">
        <v>15</v>
      </c>
      <c r="D25" s="5">
        <v>24</v>
      </c>
      <c r="E25" s="31">
        <v>29</v>
      </c>
      <c r="F25" s="31">
        <v>29</v>
      </c>
      <c r="G25" s="31">
        <v>26</v>
      </c>
      <c r="H25" s="31">
        <v>28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6"/>
      <c r="T25" s="9">
        <f>AVERAGE(B25:S25)</f>
        <v>23.142857142857142</v>
      </c>
      <c r="U25" s="31">
        <f>MINA(B25:S25)</f>
        <v>11</v>
      </c>
      <c r="V25" s="31">
        <f>MAXA(B25:S25)</f>
        <v>29</v>
      </c>
      <c r="W25" s="31">
        <f>V25-U25</f>
        <v>18</v>
      </c>
      <c r="X25" s="32"/>
    </row>
    <row r="26" spans="1:24" ht="14.1" customHeight="1" x14ac:dyDescent="0.15">
      <c r="A26" s="5" t="s">
        <v>98</v>
      </c>
      <c r="B26" s="5">
        <v>27</v>
      </c>
      <c r="C26" s="5">
        <v>27</v>
      </c>
      <c r="D26" s="5">
        <v>22</v>
      </c>
      <c r="E26" s="31">
        <v>26</v>
      </c>
      <c r="F26" s="31">
        <v>22</v>
      </c>
      <c r="G26" s="31">
        <v>20</v>
      </c>
      <c r="H26" s="31">
        <v>21</v>
      </c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6"/>
      <c r="T26" s="9">
        <f>AVERAGE(B26:S26)</f>
        <v>23.571428571428573</v>
      </c>
      <c r="U26" s="31">
        <f>MINA(B26:S26)</f>
        <v>20</v>
      </c>
      <c r="V26" s="31">
        <f>MAXA(B26:S26)</f>
        <v>27</v>
      </c>
      <c r="W26" s="31">
        <f>V26-U26</f>
        <v>7</v>
      </c>
      <c r="X26" s="32"/>
    </row>
    <row r="27" spans="1:24" ht="14.1" customHeight="1" x14ac:dyDescent="0.15">
      <c r="A27" s="5" t="s">
        <v>102</v>
      </c>
      <c r="B27" s="5">
        <v>20</v>
      </c>
      <c r="C27" s="5">
        <v>21</v>
      </c>
      <c r="D27" s="5">
        <v>28</v>
      </c>
      <c r="E27" s="31">
        <v>24</v>
      </c>
      <c r="F27" s="31">
        <v>26</v>
      </c>
      <c r="G27" s="31">
        <v>29</v>
      </c>
      <c r="H27" s="31">
        <v>25</v>
      </c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6"/>
      <c r="T27" s="9">
        <f>AVERAGE(B27:S27)</f>
        <v>24.714285714285715</v>
      </c>
      <c r="U27" s="31">
        <f>MINA(B27:S27)</f>
        <v>20</v>
      </c>
      <c r="V27" s="31">
        <f>MAXA(B27:S27)</f>
        <v>29</v>
      </c>
      <c r="W27" s="31">
        <f>V27-U27</f>
        <v>9</v>
      </c>
      <c r="X27" s="32"/>
    </row>
    <row r="28" spans="1:24" ht="14.1" customHeight="1" x14ac:dyDescent="0.15">
      <c r="A28" s="5" t="s">
        <v>74</v>
      </c>
      <c r="B28" s="5">
        <v>30</v>
      </c>
      <c r="C28" s="5">
        <v>31</v>
      </c>
      <c r="D28" s="5">
        <v>27</v>
      </c>
      <c r="E28" s="31">
        <v>27</v>
      </c>
      <c r="F28" s="31">
        <v>25</v>
      </c>
      <c r="G28" s="31">
        <v>21</v>
      </c>
      <c r="H28" s="31">
        <v>19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6"/>
      <c r="T28" s="9">
        <f>AVERAGE(B28:S28)</f>
        <v>25.714285714285715</v>
      </c>
      <c r="U28" s="31">
        <f>MINA(B28:S28)</f>
        <v>19</v>
      </c>
      <c r="V28" s="31">
        <f>MAXA(B28:S28)</f>
        <v>31</v>
      </c>
      <c r="W28" s="31">
        <f>V28-U28</f>
        <v>12</v>
      </c>
      <c r="X28" s="32"/>
    </row>
    <row r="29" spans="1:24" ht="14.1" customHeight="1" x14ac:dyDescent="0.15">
      <c r="A29" s="5" t="s">
        <v>72</v>
      </c>
      <c r="B29" s="5">
        <v>18</v>
      </c>
      <c r="C29" s="5">
        <v>20</v>
      </c>
      <c r="D29" s="5">
        <v>29</v>
      </c>
      <c r="E29" s="31">
        <v>25</v>
      </c>
      <c r="F29" s="31">
        <v>27</v>
      </c>
      <c r="G29" s="31">
        <v>31</v>
      </c>
      <c r="H29" s="31">
        <v>32</v>
      </c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6"/>
      <c r="T29" s="9">
        <f>AVERAGE(B29:S29)</f>
        <v>26</v>
      </c>
      <c r="U29" s="31">
        <f>MINA(B29:S29)</f>
        <v>18</v>
      </c>
      <c r="V29" s="31">
        <f>MAXA(B29:S29)</f>
        <v>32</v>
      </c>
      <c r="W29" s="31">
        <f>V29-U29</f>
        <v>14</v>
      </c>
      <c r="X29" s="32"/>
    </row>
    <row r="30" spans="1:24" ht="14.1" customHeight="1" x14ac:dyDescent="0.15">
      <c r="A30" s="5" t="s">
        <v>86</v>
      </c>
      <c r="B30" s="5">
        <v>25</v>
      </c>
      <c r="C30" s="5">
        <v>24</v>
      </c>
      <c r="D30" s="5">
        <v>30</v>
      </c>
      <c r="E30" s="31">
        <v>28</v>
      </c>
      <c r="F30" s="31">
        <v>28</v>
      </c>
      <c r="G30" s="31">
        <v>28</v>
      </c>
      <c r="H30" s="31">
        <v>30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6"/>
      <c r="T30" s="9">
        <f>AVERAGE(B30:S30)</f>
        <v>27.571428571428573</v>
      </c>
      <c r="U30" s="31">
        <f>MINA(B30:S30)</f>
        <v>24</v>
      </c>
      <c r="V30" s="31">
        <f>MAXA(B30:S30)</f>
        <v>30</v>
      </c>
      <c r="W30" s="31">
        <f>V30-U30</f>
        <v>6</v>
      </c>
      <c r="X30" s="32"/>
    </row>
    <row r="31" spans="1:24" ht="14.1" customHeight="1" x14ac:dyDescent="0.15">
      <c r="A31" s="5" t="s">
        <v>68</v>
      </c>
      <c r="B31" s="5">
        <v>29</v>
      </c>
      <c r="C31" s="5">
        <v>30</v>
      </c>
      <c r="D31" s="5">
        <v>25</v>
      </c>
      <c r="E31" s="31">
        <v>31</v>
      </c>
      <c r="F31" s="31">
        <v>31</v>
      </c>
      <c r="G31" s="31">
        <v>25</v>
      </c>
      <c r="H31" s="31">
        <v>26</v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6"/>
      <c r="T31" s="9">
        <f>AVERAGE(B31:S31)</f>
        <v>28.142857142857142</v>
      </c>
      <c r="U31" s="31">
        <f>MINA(B31:S31)</f>
        <v>25</v>
      </c>
      <c r="V31" s="31">
        <f>MAXA(B31:S31)</f>
        <v>31</v>
      </c>
      <c r="W31" s="31">
        <f>V31-U31</f>
        <v>6</v>
      </c>
      <c r="X31" s="32"/>
    </row>
    <row r="32" spans="1:24" ht="14.1" customHeight="1" x14ac:dyDescent="0.15">
      <c r="A32" s="5" t="s">
        <v>70</v>
      </c>
      <c r="B32" s="5">
        <v>28</v>
      </c>
      <c r="C32" s="5">
        <v>29</v>
      </c>
      <c r="D32" s="5">
        <v>31</v>
      </c>
      <c r="E32" s="31">
        <v>30</v>
      </c>
      <c r="F32" s="31">
        <v>30</v>
      </c>
      <c r="G32" s="31">
        <v>30</v>
      </c>
      <c r="H32" s="31">
        <v>31</v>
      </c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6"/>
      <c r="T32" s="9">
        <f>AVERAGE(B32:S32)</f>
        <v>29.857142857142858</v>
      </c>
      <c r="U32" s="31">
        <f>MINA(B32:S32)</f>
        <v>28</v>
      </c>
      <c r="V32" s="31">
        <f>MAXA(B32:S32)</f>
        <v>31</v>
      </c>
      <c r="W32" s="31">
        <f>V32-U32</f>
        <v>3</v>
      </c>
      <c r="X32" s="32"/>
    </row>
    <row r="33" spans="1:24" ht="14.1" customHeight="1" x14ac:dyDescent="0.15">
      <c r="A33" s="5" t="s">
        <v>53</v>
      </c>
      <c r="B33" s="5">
        <v>31</v>
      </c>
      <c r="C33" s="5">
        <v>32</v>
      </c>
      <c r="D33" s="5">
        <v>32</v>
      </c>
      <c r="E33" s="31">
        <v>32</v>
      </c>
      <c r="F33" s="31">
        <v>32</v>
      </c>
      <c r="G33" s="31">
        <v>32</v>
      </c>
      <c r="H33" s="31">
        <v>29</v>
      </c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6"/>
      <c r="T33" s="9">
        <f>AVERAGE(B33:S33)</f>
        <v>31.428571428571427</v>
      </c>
      <c r="U33" s="31">
        <f>MINA(B33:S33)</f>
        <v>29</v>
      </c>
      <c r="V33" s="31">
        <f>MAXA(B33:S33)</f>
        <v>32</v>
      </c>
      <c r="W33" s="31">
        <f>V33-U33</f>
        <v>3</v>
      </c>
      <c r="X33" s="32"/>
    </row>
  </sheetData>
  <autoFilter ref="A1:X1">
    <sortState ref="A2:X33">
      <sortCondition ref="T1"/>
    </sortState>
  </autoFilter>
  <conditionalFormatting sqref="B2:R33">
    <cfRule type="cellIs" dxfId="7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33"/>
  <sheetViews>
    <sheetView workbookViewId="0">
      <pane xSplit="1" topLeftCell="B1" activePane="topRight" state="frozen"/>
      <selection activeCell="AG2" sqref="AG2:AG33"/>
      <selection pane="topRight" activeCell="AG2" sqref="AG2:AG33"/>
    </sheetView>
  </sheetViews>
  <sheetFormatPr defaultRowHeight="10.5" x14ac:dyDescent="0.15"/>
  <cols>
    <col min="1" max="1" width="21.6640625" style="33" customWidth="1"/>
    <col min="2" max="4" width="8.83203125" style="33" customWidth="1"/>
    <col min="5" max="5" width="8.83203125" style="32" customWidth="1"/>
    <col min="6" max="19" width="8.83203125" style="33" customWidth="1"/>
    <col min="20" max="22" width="9.33203125" style="33"/>
    <col min="23" max="23" width="9.33203125" style="5"/>
    <col min="24" max="16384" width="9.33203125" style="33"/>
  </cols>
  <sheetData>
    <row r="1" spans="1:24" s="30" customFormat="1" ht="48" customHeight="1" x14ac:dyDescent="0.15">
      <c r="A1" s="25" t="s">
        <v>1</v>
      </c>
      <c r="B1" s="34" t="s">
        <v>149</v>
      </c>
      <c r="C1" s="27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166</v>
      </c>
      <c r="J1" s="3" t="s">
        <v>167</v>
      </c>
      <c r="K1" s="3" t="s">
        <v>168</v>
      </c>
      <c r="L1" s="3" t="s">
        <v>169</v>
      </c>
      <c r="M1" s="3" t="s">
        <v>170</v>
      </c>
      <c r="N1" s="3" t="s">
        <v>171</v>
      </c>
      <c r="O1" s="3" t="s">
        <v>172</v>
      </c>
      <c r="P1" s="3" t="s">
        <v>173</v>
      </c>
      <c r="Q1" s="3" t="s">
        <v>174</v>
      </c>
      <c r="R1" s="3" t="s">
        <v>175</v>
      </c>
      <c r="S1" s="3" t="s">
        <v>176</v>
      </c>
      <c r="T1" s="28" t="s">
        <v>11</v>
      </c>
      <c r="U1" s="28" t="s">
        <v>177</v>
      </c>
      <c r="V1" s="28" t="s">
        <v>178</v>
      </c>
      <c r="W1" s="29" t="s">
        <v>179</v>
      </c>
      <c r="X1" s="30" t="s">
        <v>33</v>
      </c>
    </row>
    <row r="2" spans="1:24" ht="14.1" customHeight="1" x14ac:dyDescent="0.15">
      <c r="A2" s="5" t="s">
        <v>65</v>
      </c>
      <c r="B2" s="5">
        <v>6</v>
      </c>
      <c r="C2" s="5">
        <v>4</v>
      </c>
      <c r="D2" s="5">
        <v>3</v>
      </c>
      <c r="E2" s="31">
        <v>1</v>
      </c>
      <c r="F2" s="31">
        <v>1</v>
      </c>
      <c r="G2" s="31">
        <v>1</v>
      </c>
      <c r="H2" s="31">
        <v>3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9">
        <f>AVERAGE(B2:S2)</f>
        <v>2.7142857142857144</v>
      </c>
      <c r="U2" s="31">
        <f>MINA(B2:S2)</f>
        <v>1</v>
      </c>
      <c r="V2" s="31">
        <f>MAXA(B2:S2)</f>
        <v>6</v>
      </c>
      <c r="W2" s="31">
        <f>V2-U2</f>
        <v>5</v>
      </c>
      <c r="X2" s="32"/>
    </row>
    <row r="3" spans="1:24" ht="14.1" customHeight="1" x14ac:dyDescent="0.15">
      <c r="A3" s="5" t="s">
        <v>94</v>
      </c>
      <c r="B3" s="5">
        <v>4</v>
      </c>
      <c r="C3" s="5">
        <v>1</v>
      </c>
      <c r="D3" s="5">
        <v>1</v>
      </c>
      <c r="E3" s="31">
        <v>3</v>
      </c>
      <c r="F3" s="31">
        <v>3</v>
      </c>
      <c r="G3" s="31">
        <v>3</v>
      </c>
      <c r="H3" s="31">
        <v>5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9">
        <f>AVERAGE(B3:S3)</f>
        <v>2.8571428571428572</v>
      </c>
      <c r="U3" s="31">
        <f>MINA(B3:S3)</f>
        <v>1</v>
      </c>
      <c r="V3" s="31">
        <f>MAXA(B3:S3)</f>
        <v>5</v>
      </c>
      <c r="W3" s="31">
        <f>V3-U3</f>
        <v>4</v>
      </c>
      <c r="X3" s="32"/>
    </row>
    <row r="4" spans="1:24" ht="14.1" customHeight="1" x14ac:dyDescent="0.15">
      <c r="A4" s="5" t="s">
        <v>37</v>
      </c>
      <c r="B4" s="5">
        <v>8</v>
      </c>
      <c r="C4" s="5">
        <v>7</v>
      </c>
      <c r="D4" s="5">
        <v>4</v>
      </c>
      <c r="E4" s="31">
        <v>2</v>
      </c>
      <c r="F4" s="31">
        <v>2</v>
      </c>
      <c r="G4" s="31">
        <v>2</v>
      </c>
      <c r="H4" s="31">
        <v>1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9">
        <f>AVERAGE(B4:S4)</f>
        <v>3.7142857142857144</v>
      </c>
      <c r="U4" s="31">
        <f>MINA(B4:S4)</f>
        <v>1</v>
      </c>
      <c r="V4" s="31">
        <f>MAXA(B4:S4)</f>
        <v>8</v>
      </c>
      <c r="W4" s="31">
        <f>V4-U4</f>
        <v>7</v>
      </c>
      <c r="X4" s="32"/>
    </row>
    <row r="5" spans="1:24" ht="14.1" customHeight="1" x14ac:dyDescent="0.15">
      <c r="A5" s="5" t="s">
        <v>63</v>
      </c>
      <c r="B5" s="5">
        <v>1</v>
      </c>
      <c r="C5" s="5">
        <v>2</v>
      </c>
      <c r="D5" s="5">
        <v>2</v>
      </c>
      <c r="E5" s="31">
        <v>4</v>
      </c>
      <c r="F5" s="31">
        <v>4</v>
      </c>
      <c r="G5" s="31">
        <v>8</v>
      </c>
      <c r="H5" s="31">
        <v>6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9">
        <f>AVERAGE(B5:S5)</f>
        <v>3.8571428571428572</v>
      </c>
      <c r="U5" s="31">
        <f>MINA(B5:S5)</f>
        <v>1</v>
      </c>
      <c r="V5" s="31">
        <f>MAXA(B5:S5)</f>
        <v>8</v>
      </c>
      <c r="W5" s="31">
        <f>V5-U5</f>
        <v>7</v>
      </c>
      <c r="X5" s="32"/>
    </row>
    <row r="6" spans="1:24" ht="14.1" customHeight="1" x14ac:dyDescent="0.15">
      <c r="A6" s="5" t="s">
        <v>82</v>
      </c>
      <c r="B6" s="5">
        <v>2</v>
      </c>
      <c r="C6" s="5">
        <v>5</v>
      </c>
      <c r="D6" s="5">
        <v>6</v>
      </c>
      <c r="E6" s="31">
        <v>5</v>
      </c>
      <c r="F6" s="31">
        <v>6</v>
      </c>
      <c r="G6" s="31">
        <v>5</v>
      </c>
      <c r="H6" s="31">
        <v>2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9">
        <f>AVERAGE(B6:S6)</f>
        <v>4.4285714285714288</v>
      </c>
      <c r="U6" s="31">
        <f>MINA(B6:S6)</f>
        <v>2</v>
      </c>
      <c r="V6" s="31">
        <f>MAXA(B6:S6)</f>
        <v>6</v>
      </c>
      <c r="W6" s="31">
        <f>V6-U6</f>
        <v>4</v>
      </c>
      <c r="X6" s="32"/>
    </row>
    <row r="7" spans="1:24" ht="14.1" customHeight="1" x14ac:dyDescent="0.15">
      <c r="A7" s="5" t="s">
        <v>40</v>
      </c>
      <c r="B7" s="5">
        <v>7</v>
      </c>
      <c r="C7" s="5">
        <v>6</v>
      </c>
      <c r="D7" s="5">
        <v>8</v>
      </c>
      <c r="E7" s="31">
        <v>6</v>
      </c>
      <c r="F7" s="31">
        <v>5</v>
      </c>
      <c r="G7" s="31">
        <v>4</v>
      </c>
      <c r="H7" s="31">
        <v>4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9">
        <f>AVERAGE(B7:S7)</f>
        <v>5.7142857142857144</v>
      </c>
      <c r="U7" s="31">
        <f>MINA(B7:S7)</f>
        <v>4</v>
      </c>
      <c r="V7" s="31">
        <f>MAXA(B7:S7)</f>
        <v>8</v>
      </c>
      <c r="W7" s="31">
        <f>V7-U7</f>
        <v>4</v>
      </c>
      <c r="X7" s="32"/>
    </row>
    <row r="8" spans="1:24" ht="14.1" customHeight="1" x14ac:dyDescent="0.15">
      <c r="A8" s="5" t="s">
        <v>78</v>
      </c>
      <c r="B8" s="5">
        <v>5</v>
      </c>
      <c r="C8" s="5">
        <v>3</v>
      </c>
      <c r="D8" s="5">
        <v>5</v>
      </c>
      <c r="E8" s="31">
        <v>7</v>
      </c>
      <c r="F8" s="31">
        <v>7</v>
      </c>
      <c r="G8" s="31">
        <v>6</v>
      </c>
      <c r="H8" s="31">
        <v>8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9">
        <f>AVERAGE(B8:S8)</f>
        <v>5.8571428571428568</v>
      </c>
      <c r="U8" s="31">
        <f>MINA(B8:S8)</f>
        <v>3</v>
      </c>
      <c r="V8" s="31">
        <f>MAXA(B8:S8)</f>
        <v>8</v>
      </c>
      <c r="W8" s="31">
        <f>V8-U8</f>
        <v>5</v>
      </c>
      <c r="X8" s="32"/>
    </row>
    <row r="9" spans="1:24" ht="14.1" customHeight="1" x14ac:dyDescent="0.15">
      <c r="A9" s="5" t="s">
        <v>88</v>
      </c>
      <c r="B9" s="5">
        <v>3</v>
      </c>
      <c r="C9" s="5">
        <v>9</v>
      </c>
      <c r="D9" s="5">
        <v>7</v>
      </c>
      <c r="E9" s="31">
        <v>9</v>
      </c>
      <c r="F9" s="31">
        <v>9</v>
      </c>
      <c r="G9" s="31">
        <v>9</v>
      </c>
      <c r="H9" s="31">
        <v>10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9">
        <f>AVERAGE(B9:S9)</f>
        <v>8</v>
      </c>
      <c r="U9" s="31">
        <f>MINA(B9:S9)</f>
        <v>3</v>
      </c>
      <c r="V9" s="31">
        <f>MAXA(B9:S9)</f>
        <v>10</v>
      </c>
      <c r="W9" s="31">
        <f>V9-U9</f>
        <v>7</v>
      </c>
      <c r="X9" s="32"/>
    </row>
    <row r="10" spans="1:24" ht="14.1" customHeight="1" x14ac:dyDescent="0.15">
      <c r="A10" s="5" t="s">
        <v>48</v>
      </c>
      <c r="B10" s="5">
        <v>10</v>
      </c>
      <c r="C10" s="5">
        <v>8</v>
      </c>
      <c r="D10" s="5">
        <v>10</v>
      </c>
      <c r="E10" s="31">
        <v>10</v>
      </c>
      <c r="F10" s="31">
        <v>10</v>
      </c>
      <c r="G10" s="31">
        <v>7</v>
      </c>
      <c r="H10" s="31">
        <v>7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9">
        <f>AVERAGE(B10:S10)</f>
        <v>8.8571428571428577</v>
      </c>
      <c r="U10" s="31">
        <f>MINA(B10:S10)</f>
        <v>7</v>
      </c>
      <c r="V10" s="31">
        <f>MAXA(B10:S10)</f>
        <v>10</v>
      </c>
      <c r="W10" s="31">
        <f>V10-U10</f>
        <v>3</v>
      </c>
      <c r="X10" s="32"/>
    </row>
    <row r="11" spans="1:24" ht="14.1" customHeight="1" x14ac:dyDescent="0.15">
      <c r="A11" s="5" t="s">
        <v>90</v>
      </c>
      <c r="B11" s="5">
        <v>9</v>
      </c>
      <c r="C11" s="5">
        <v>11</v>
      </c>
      <c r="D11" s="5">
        <v>9</v>
      </c>
      <c r="E11" s="31">
        <v>12</v>
      </c>
      <c r="F11" s="31">
        <v>12</v>
      </c>
      <c r="G11" s="31">
        <v>12</v>
      </c>
      <c r="H11" s="31">
        <v>15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9">
        <f>AVERAGE(B11:S11)</f>
        <v>11.428571428571429</v>
      </c>
      <c r="U11" s="31">
        <f>MINA(B11:S11)</f>
        <v>9</v>
      </c>
      <c r="V11" s="31">
        <f>MAXA(B11:S11)</f>
        <v>15</v>
      </c>
      <c r="W11" s="31">
        <f>V11-U11</f>
        <v>6</v>
      </c>
      <c r="X11" s="32"/>
    </row>
    <row r="12" spans="1:24" ht="14.1" customHeight="1" x14ac:dyDescent="0.15">
      <c r="A12" s="5" t="s">
        <v>58</v>
      </c>
      <c r="B12" s="5">
        <v>18</v>
      </c>
      <c r="C12" s="5">
        <v>12</v>
      </c>
      <c r="D12" s="5">
        <v>12</v>
      </c>
      <c r="E12" s="31">
        <v>13</v>
      </c>
      <c r="F12" s="31">
        <v>11</v>
      </c>
      <c r="G12" s="31">
        <v>11</v>
      </c>
      <c r="H12" s="31">
        <v>9</v>
      </c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9">
        <f>AVERAGE(B12:S12)</f>
        <v>12.285714285714286</v>
      </c>
      <c r="U12" s="31">
        <f>MINA(B12:S12)</f>
        <v>9</v>
      </c>
      <c r="V12" s="31">
        <f>MAXA(B12:S12)</f>
        <v>18</v>
      </c>
      <c r="W12" s="31">
        <f>V12-U12</f>
        <v>9</v>
      </c>
      <c r="X12" s="32"/>
    </row>
    <row r="13" spans="1:24" ht="14.1" customHeight="1" x14ac:dyDescent="0.15">
      <c r="A13" s="5" t="s">
        <v>55</v>
      </c>
      <c r="B13" s="5">
        <v>15</v>
      </c>
      <c r="C13" s="5">
        <v>10</v>
      </c>
      <c r="D13" s="5">
        <v>13</v>
      </c>
      <c r="E13" s="31">
        <v>11</v>
      </c>
      <c r="F13" s="31">
        <v>13</v>
      </c>
      <c r="G13" s="31">
        <v>13</v>
      </c>
      <c r="H13" s="31">
        <v>13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9">
        <f>AVERAGE(B13:S13)</f>
        <v>12.571428571428571</v>
      </c>
      <c r="U13" s="31">
        <f>MINA(B13:S13)</f>
        <v>10</v>
      </c>
      <c r="V13" s="31">
        <f>MAXA(B13:S13)</f>
        <v>15</v>
      </c>
      <c r="W13" s="31">
        <f>V13-U13</f>
        <v>5</v>
      </c>
      <c r="X13" s="32"/>
    </row>
    <row r="14" spans="1:24" ht="14.1" customHeight="1" x14ac:dyDescent="0.15">
      <c r="A14" s="5" t="s">
        <v>34</v>
      </c>
      <c r="B14" s="5">
        <v>24</v>
      </c>
      <c r="C14" s="5">
        <v>21</v>
      </c>
      <c r="D14" s="5">
        <v>15</v>
      </c>
      <c r="E14" s="31">
        <v>8</v>
      </c>
      <c r="F14" s="31">
        <v>8</v>
      </c>
      <c r="G14" s="31">
        <v>10</v>
      </c>
      <c r="H14" s="31">
        <v>11</v>
      </c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9">
        <f>AVERAGE(B14:S14)</f>
        <v>13.857142857142858</v>
      </c>
      <c r="U14" s="31">
        <f>MINA(B14:S14)</f>
        <v>8</v>
      </c>
      <c r="V14" s="31">
        <f>MAXA(B14:S14)</f>
        <v>24</v>
      </c>
      <c r="W14" s="31">
        <f>V14-U14</f>
        <v>16</v>
      </c>
      <c r="X14" s="32"/>
    </row>
    <row r="15" spans="1:24" ht="14.1" customHeight="1" x14ac:dyDescent="0.15">
      <c r="A15" s="5" t="s">
        <v>61</v>
      </c>
      <c r="B15" s="5">
        <v>13</v>
      </c>
      <c r="C15" s="5">
        <v>15</v>
      </c>
      <c r="D15" s="5">
        <v>14</v>
      </c>
      <c r="E15" s="31">
        <v>15</v>
      </c>
      <c r="F15" s="31">
        <v>16</v>
      </c>
      <c r="G15" s="31">
        <v>15</v>
      </c>
      <c r="H15" s="31">
        <v>14</v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9">
        <f>AVERAGE(B15:S15)</f>
        <v>14.571428571428571</v>
      </c>
      <c r="U15" s="31">
        <f>MINA(B15:S15)</f>
        <v>13</v>
      </c>
      <c r="V15" s="31">
        <f>MAXA(B15:S15)</f>
        <v>16</v>
      </c>
      <c r="W15" s="31">
        <f>V15-U15</f>
        <v>3</v>
      </c>
      <c r="X15" s="32"/>
    </row>
    <row r="16" spans="1:24" ht="14.1" customHeight="1" x14ac:dyDescent="0.15">
      <c r="A16" s="5" t="s">
        <v>92</v>
      </c>
      <c r="B16" s="5">
        <v>14</v>
      </c>
      <c r="C16" s="5">
        <v>14</v>
      </c>
      <c r="D16" s="5">
        <v>11</v>
      </c>
      <c r="E16" s="31">
        <v>16</v>
      </c>
      <c r="F16" s="31">
        <v>15</v>
      </c>
      <c r="G16" s="31">
        <v>16</v>
      </c>
      <c r="H16" s="31">
        <v>18</v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9">
        <f>AVERAGE(B16:S16)</f>
        <v>14.857142857142858</v>
      </c>
      <c r="U16" s="31">
        <f>MINA(B16:S16)</f>
        <v>11</v>
      </c>
      <c r="V16" s="31">
        <f>MAXA(B16:S16)</f>
        <v>18</v>
      </c>
      <c r="W16" s="31">
        <f>V16-U16</f>
        <v>7</v>
      </c>
      <c r="X16" s="32"/>
    </row>
    <row r="17" spans="1:24" ht="14.1" customHeight="1" x14ac:dyDescent="0.15">
      <c r="A17" s="5" t="s">
        <v>104</v>
      </c>
      <c r="B17" s="5">
        <v>19</v>
      </c>
      <c r="C17" s="5">
        <v>13</v>
      </c>
      <c r="D17" s="5">
        <v>16</v>
      </c>
      <c r="E17" s="31">
        <v>19</v>
      </c>
      <c r="F17" s="31">
        <v>17</v>
      </c>
      <c r="G17" s="31">
        <v>18</v>
      </c>
      <c r="H17" s="31">
        <v>12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9">
        <f>AVERAGE(B17:S17)</f>
        <v>16.285714285714285</v>
      </c>
      <c r="U17" s="31">
        <f>MINA(B17:S17)</f>
        <v>12</v>
      </c>
      <c r="V17" s="31">
        <f>MAXA(B17:S17)</f>
        <v>19</v>
      </c>
      <c r="W17" s="31">
        <f>V17-U17</f>
        <v>7</v>
      </c>
      <c r="X17" s="32"/>
    </row>
    <row r="18" spans="1:24" ht="14.1" customHeight="1" x14ac:dyDescent="0.15">
      <c r="A18" s="5" t="s">
        <v>51</v>
      </c>
      <c r="B18" s="5">
        <v>16</v>
      </c>
      <c r="C18" s="5">
        <v>19</v>
      </c>
      <c r="D18" s="5">
        <v>17</v>
      </c>
      <c r="E18" s="31">
        <v>14</v>
      </c>
      <c r="F18" s="31">
        <v>14</v>
      </c>
      <c r="G18" s="31">
        <v>17</v>
      </c>
      <c r="H18" s="31">
        <v>22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9">
        <f>AVERAGE(B18:S18)</f>
        <v>17</v>
      </c>
      <c r="U18" s="31">
        <f>MINA(B18:S18)</f>
        <v>14</v>
      </c>
      <c r="V18" s="31">
        <f>MAXA(B18:S18)</f>
        <v>22</v>
      </c>
      <c r="W18" s="31">
        <f>V18-U18</f>
        <v>8</v>
      </c>
      <c r="X18" s="32"/>
    </row>
    <row r="19" spans="1:24" ht="14.1" customHeight="1" x14ac:dyDescent="0.15">
      <c r="A19" s="5" t="s">
        <v>80</v>
      </c>
      <c r="B19" s="5">
        <v>11</v>
      </c>
      <c r="C19" s="5">
        <v>16</v>
      </c>
      <c r="D19" s="5">
        <v>18</v>
      </c>
      <c r="E19" s="31">
        <v>20</v>
      </c>
      <c r="F19" s="31">
        <v>20</v>
      </c>
      <c r="G19" s="31">
        <v>20</v>
      </c>
      <c r="H19" s="31">
        <v>20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9">
        <f>AVERAGE(B19:S19)</f>
        <v>17.857142857142858</v>
      </c>
      <c r="U19" s="31">
        <f>MINA(B19:S19)</f>
        <v>11</v>
      </c>
      <c r="V19" s="31">
        <f>MAXA(B19:S19)</f>
        <v>20</v>
      </c>
      <c r="W19" s="31">
        <f>V19-U19</f>
        <v>9</v>
      </c>
      <c r="X19" s="32"/>
    </row>
    <row r="20" spans="1:24" ht="14.1" customHeight="1" x14ac:dyDescent="0.15">
      <c r="A20" s="5" t="s">
        <v>96</v>
      </c>
      <c r="B20" s="5">
        <v>23</v>
      </c>
      <c r="C20" s="5">
        <v>28</v>
      </c>
      <c r="D20" s="5">
        <v>20</v>
      </c>
      <c r="E20" s="31">
        <v>18</v>
      </c>
      <c r="F20" s="31">
        <v>18</v>
      </c>
      <c r="G20" s="31">
        <v>19</v>
      </c>
      <c r="H20" s="31">
        <v>16</v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9">
        <f>AVERAGE(B20:S20)</f>
        <v>20.285714285714285</v>
      </c>
      <c r="U20" s="31">
        <f>MINA(B20:S20)</f>
        <v>16</v>
      </c>
      <c r="V20" s="31">
        <f>MAXA(B20:S20)</f>
        <v>28</v>
      </c>
      <c r="W20" s="31">
        <f>V20-U20</f>
        <v>12</v>
      </c>
      <c r="X20" s="32"/>
    </row>
    <row r="21" spans="1:24" ht="14.1" customHeight="1" x14ac:dyDescent="0.15">
      <c r="A21" s="5" t="s">
        <v>84</v>
      </c>
      <c r="B21" s="5">
        <v>20</v>
      </c>
      <c r="C21" s="5">
        <v>18</v>
      </c>
      <c r="D21" s="5">
        <v>19</v>
      </c>
      <c r="E21" s="31">
        <v>17</v>
      </c>
      <c r="F21" s="31">
        <v>22</v>
      </c>
      <c r="G21" s="31">
        <v>24</v>
      </c>
      <c r="H21" s="31">
        <v>24</v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9">
        <f>AVERAGE(B21:S21)</f>
        <v>20.571428571428573</v>
      </c>
      <c r="U21" s="31">
        <f>MINA(B21:S21)</f>
        <v>17</v>
      </c>
      <c r="V21" s="31">
        <f>MAXA(B21:S21)</f>
        <v>24</v>
      </c>
      <c r="W21" s="31">
        <f>V21-U21</f>
        <v>7</v>
      </c>
      <c r="X21" s="32"/>
    </row>
    <row r="22" spans="1:24" ht="14.1" customHeight="1" x14ac:dyDescent="0.15">
      <c r="A22" s="5" t="s">
        <v>43</v>
      </c>
      <c r="B22" s="5">
        <v>17</v>
      </c>
      <c r="C22" s="5">
        <v>20</v>
      </c>
      <c r="D22" s="5">
        <v>21</v>
      </c>
      <c r="E22" s="31">
        <v>21</v>
      </c>
      <c r="F22" s="31">
        <v>24</v>
      </c>
      <c r="G22" s="31">
        <v>25</v>
      </c>
      <c r="H22" s="31">
        <v>25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9">
        <f>AVERAGE(B22:S22)</f>
        <v>21.857142857142858</v>
      </c>
      <c r="U22" s="31">
        <f>MINA(B22:S22)</f>
        <v>17</v>
      </c>
      <c r="V22" s="31">
        <f>MAXA(B22:S22)</f>
        <v>25</v>
      </c>
      <c r="W22" s="31">
        <f>V22-U22</f>
        <v>8</v>
      </c>
      <c r="X22" s="32"/>
    </row>
    <row r="23" spans="1:24" ht="14.1" customHeight="1" x14ac:dyDescent="0.15">
      <c r="A23" s="5" t="s">
        <v>76</v>
      </c>
      <c r="B23" s="5">
        <v>27</v>
      </c>
      <c r="C23" s="5">
        <v>26</v>
      </c>
      <c r="D23" s="5">
        <v>29</v>
      </c>
      <c r="E23" s="31">
        <v>24</v>
      </c>
      <c r="F23" s="31">
        <v>19</v>
      </c>
      <c r="G23" s="31">
        <v>14</v>
      </c>
      <c r="H23" s="31">
        <v>17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9">
        <f>AVERAGE(B23:S23)</f>
        <v>22.285714285714285</v>
      </c>
      <c r="U23" s="31">
        <f>MINA(B23:S23)</f>
        <v>14</v>
      </c>
      <c r="V23" s="31">
        <f>MAXA(B23:S23)</f>
        <v>29</v>
      </c>
      <c r="W23" s="31">
        <f>V23-U23</f>
        <v>15</v>
      </c>
      <c r="X23" s="32"/>
    </row>
    <row r="24" spans="1:24" ht="14.1" customHeight="1" x14ac:dyDescent="0.15">
      <c r="A24" s="5" t="s">
        <v>100</v>
      </c>
      <c r="B24" s="5">
        <v>26</v>
      </c>
      <c r="C24" s="5">
        <v>22</v>
      </c>
      <c r="D24" s="5">
        <v>22</v>
      </c>
      <c r="E24" s="31">
        <v>23</v>
      </c>
      <c r="F24" s="31">
        <v>23</v>
      </c>
      <c r="G24" s="31">
        <v>23</v>
      </c>
      <c r="H24" s="31">
        <v>19</v>
      </c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9">
        <f>AVERAGE(B24:S24)</f>
        <v>22.571428571428573</v>
      </c>
      <c r="U24" s="31">
        <f>MINA(B24:S24)</f>
        <v>19</v>
      </c>
      <c r="V24" s="31">
        <f>MAXA(B24:S24)</f>
        <v>26</v>
      </c>
      <c r="W24" s="31">
        <f>V24-U24</f>
        <v>7</v>
      </c>
      <c r="X24" s="32"/>
    </row>
    <row r="25" spans="1:24" ht="14.1" customHeight="1" x14ac:dyDescent="0.15">
      <c r="A25" s="5" t="s">
        <v>72</v>
      </c>
      <c r="B25" s="5">
        <v>12</v>
      </c>
      <c r="C25" s="5">
        <v>17</v>
      </c>
      <c r="D25" s="5">
        <v>25</v>
      </c>
      <c r="E25" s="31">
        <v>22</v>
      </c>
      <c r="F25" s="31">
        <v>26</v>
      </c>
      <c r="G25" s="31">
        <v>28</v>
      </c>
      <c r="H25" s="31">
        <v>30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9">
        <f>AVERAGE(B25:S25)</f>
        <v>22.857142857142858</v>
      </c>
      <c r="U25" s="31">
        <f>MINA(B25:S25)</f>
        <v>12</v>
      </c>
      <c r="V25" s="31">
        <f>MAXA(B25:S25)</f>
        <v>30</v>
      </c>
      <c r="W25" s="31">
        <f>V25-U25</f>
        <v>18</v>
      </c>
      <c r="X25" s="32"/>
    </row>
    <row r="26" spans="1:24" ht="14.1" customHeight="1" x14ac:dyDescent="0.15">
      <c r="A26" s="5" t="s">
        <v>98</v>
      </c>
      <c r="B26" s="5">
        <v>29</v>
      </c>
      <c r="C26" s="5">
        <v>23</v>
      </c>
      <c r="D26" s="5">
        <v>24</v>
      </c>
      <c r="E26" s="31">
        <v>26</v>
      </c>
      <c r="F26" s="31">
        <v>21</v>
      </c>
      <c r="G26" s="31">
        <v>21</v>
      </c>
      <c r="H26" s="31">
        <v>23</v>
      </c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9">
        <f>AVERAGE(B26:S26)</f>
        <v>23.857142857142858</v>
      </c>
      <c r="U26" s="31">
        <f>MINA(B26:S26)</f>
        <v>21</v>
      </c>
      <c r="V26" s="31">
        <f>MAXA(B26:S26)</f>
        <v>29</v>
      </c>
      <c r="W26" s="31">
        <f>V26-U26</f>
        <v>8</v>
      </c>
      <c r="X26" s="32"/>
    </row>
    <row r="27" spans="1:24" ht="14.1" customHeight="1" x14ac:dyDescent="0.15">
      <c r="A27" s="5" t="s">
        <v>46</v>
      </c>
      <c r="B27" s="5">
        <v>22</v>
      </c>
      <c r="C27" s="5">
        <v>27</v>
      </c>
      <c r="D27" s="5">
        <v>23</v>
      </c>
      <c r="E27" s="31">
        <v>25</v>
      </c>
      <c r="F27" s="31">
        <v>25</v>
      </c>
      <c r="G27" s="31">
        <v>26</v>
      </c>
      <c r="H27" s="31">
        <v>26</v>
      </c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9">
        <f>AVERAGE(B27:S27)</f>
        <v>24.857142857142858</v>
      </c>
      <c r="U27" s="31">
        <f>MINA(B27:S27)</f>
        <v>22</v>
      </c>
      <c r="V27" s="31">
        <f>MAXA(B27:S27)</f>
        <v>27</v>
      </c>
      <c r="W27" s="31">
        <f>V27-U27</f>
        <v>5</v>
      </c>
      <c r="X27" s="32"/>
    </row>
    <row r="28" spans="1:24" ht="14.1" customHeight="1" x14ac:dyDescent="0.15">
      <c r="A28" s="5" t="s">
        <v>74</v>
      </c>
      <c r="B28" s="5">
        <v>28</v>
      </c>
      <c r="C28" s="5">
        <v>32</v>
      </c>
      <c r="D28" s="5">
        <v>26</v>
      </c>
      <c r="E28" s="31">
        <v>29</v>
      </c>
      <c r="F28" s="31">
        <v>28</v>
      </c>
      <c r="G28" s="31">
        <v>22</v>
      </c>
      <c r="H28" s="31">
        <v>21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9">
        <f>AVERAGE(B28:S28)</f>
        <v>26.571428571428573</v>
      </c>
      <c r="U28" s="31">
        <f>MINA(B28:S28)</f>
        <v>21</v>
      </c>
      <c r="V28" s="31">
        <f>MAXA(B28:S28)</f>
        <v>32</v>
      </c>
      <c r="W28" s="31">
        <f>V28-U28</f>
        <v>11</v>
      </c>
      <c r="X28" s="32"/>
    </row>
    <row r="29" spans="1:24" ht="14.1" customHeight="1" x14ac:dyDescent="0.15">
      <c r="A29" s="5" t="s">
        <v>102</v>
      </c>
      <c r="B29" s="5">
        <v>21</v>
      </c>
      <c r="C29" s="5">
        <v>24</v>
      </c>
      <c r="D29" s="5">
        <v>28</v>
      </c>
      <c r="E29" s="31">
        <v>27</v>
      </c>
      <c r="F29" s="31">
        <v>27</v>
      </c>
      <c r="G29" s="31">
        <v>30</v>
      </c>
      <c r="H29" s="31">
        <v>29</v>
      </c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9">
        <f>AVERAGE(B29:S29)</f>
        <v>26.571428571428573</v>
      </c>
      <c r="U29" s="31">
        <f>MINA(B29:S29)</f>
        <v>21</v>
      </c>
      <c r="V29" s="31">
        <f>MAXA(B29:S29)</f>
        <v>30</v>
      </c>
      <c r="W29" s="31">
        <f>V29-U29</f>
        <v>9</v>
      </c>
      <c r="X29" s="32"/>
    </row>
    <row r="30" spans="1:24" ht="14.1" customHeight="1" x14ac:dyDescent="0.15">
      <c r="A30" s="5" t="s">
        <v>86</v>
      </c>
      <c r="B30" s="5">
        <v>25</v>
      </c>
      <c r="C30" s="5">
        <v>25</v>
      </c>
      <c r="D30" s="5">
        <v>27</v>
      </c>
      <c r="E30" s="31">
        <v>28</v>
      </c>
      <c r="F30" s="31">
        <v>29</v>
      </c>
      <c r="G30" s="31">
        <v>29</v>
      </c>
      <c r="H30" s="31">
        <v>28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9">
        <f>AVERAGE(B30:S30)</f>
        <v>27.285714285714285</v>
      </c>
      <c r="U30" s="31">
        <f>MINA(B30:S30)</f>
        <v>25</v>
      </c>
      <c r="V30" s="31">
        <f>MAXA(B30:S30)</f>
        <v>29</v>
      </c>
      <c r="W30" s="31">
        <f>V30-U30</f>
        <v>4</v>
      </c>
      <c r="X30" s="32"/>
    </row>
    <row r="31" spans="1:24" ht="14.1" customHeight="1" x14ac:dyDescent="0.15">
      <c r="A31" s="5" t="s">
        <v>68</v>
      </c>
      <c r="B31" s="5">
        <v>32</v>
      </c>
      <c r="C31" s="5">
        <v>31</v>
      </c>
      <c r="D31" s="5">
        <v>30</v>
      </c>
      <c r="E31" s="31">
        <v>31</v>
      </c>
      <c r="F31" s="31">
        <v>31</v>
      </c>
      <c r="G31" s="31">
        <v>27</v>
      </c>
      <c r="H31" s="31">
        <v>27</v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9">
        <f>AVERAGE(B31:S31)</f>
        <v>29.857142857142858</v>
      </c>
      <c r="U31" s="31">
        <f>MINA(B31:S31)</f>
        <v>27</v>
      </c>
      <c r="V31" s="31">
        <f>MAXA(B31:S31)</f>
        <v>32</v>
      </c>
      <c r="W31" s="31">
        <f>V31-U31</f>
        <v>5</v>
      </c>
      <c r="X31" s="32"/>
    </row>
    <row r="32" spans="1:24" ht="14.1" customHeight="1" x14ac:dyDescent="0.15">
      <c r="A32" s="5" t="s">
        <v>70</v>
      </c>
      <c r="B32" s="5">
        <v>30</v>
      </c>
      <c r="C32" s="5">
        <v>29</v>
      </c>
      <c r="D32" s="5">
        <v>31</v>
      </c>
      <c r="E32" s="31">
        <v>30</v>
      </c>
      <c r="F32" s="31">
        <v>30</v>
      </c>
      <c r="G32" s="31">
        <v>31</v>
      </c>
      <c r="H32" s="31">
        <v>32</v>
      </c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9">
        <f>AVERAGE(B32:S32)</f>
        <v>30.428571428571427</v>
      </c>
      <c r="U32" s="31">
        <f>MINA(B32:S32)</f>
        <v>29</v>
      </c>
      <c r="V32" s="31">
        <f>MAXA(B32:S32)</f>
        <v>32</v>
      </c>
      <c r="W32" s="31">
        <f>V32-U32</f>
        <v>3</v>
      </c>
      <c r="X32" s="32"/>
    </row>
    <row r="33" spans="1:24" ht="14.1" customHeight="1" x14ac:dyDescent="0.15">
      <c r="A33" s="5" t="s">
        <v>53</v>
      </c>
      <c r="B33" s="5">
        <v>31</v>
      </c>
      <c r="C33" s="5">
        <v>30</v>
      </c>
      <c r="D33" s="5">
        <v>32</v>
      </c>
      <c r="E33" s="31">
        <v>32</v>
      </c>
      <c r="F33" s="31">
        <v>32</v>
      </c>
      <c r="G33" s="31">
        <v>32</v>
      </c>
      <c r="H33" s="31">
        <v>31</v>
      </c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9">
        <f>AVERAGE(B33:S33)</f>
        <v>31.428571428571427</v>
      </c>
      <c r="U33" s="31">
        <f>MINA(B33:S33)</f>
        <v>30</v>
      </c>
      <c r="V33" s="31">
        <f>MAXA(B33:S33)</f>
        <v>32</v>
      </c>
      <c r="W33" s="31">
        <f>V33-U33</f>
        <v>2</v>
      </c>
      <c r="X33" s="32"/>
    </row>
  </sheetData>
  <autoFilter ref="A1:X1">
    <sortState ref="A2:X33">
      <sortCondition ref="T1"/>
    </sortState>
  </autoFilter>
  <conditionalFormatting sqref="B2:S33">
    <cfRule type="cellIs" dxfId="6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33"/>
  <sheetViews>
    <sheetView workbookViewId="0">
      <pane xSplit="1" topLeftCell="B1" activePane="topRight" state="frozen"/>
      <selection activeCell="AG2" sqref="AG2:AG33"/>
      <selection pane="topRight" activeCell="AG2" sqref="AG2:AG33"/>
    </sheetView>
  </sheetViews>
  <sheetFormatPr defaultRowHeight="10.5" x14ac:dyDescent="0.15"/>
  <cols>
    <col min="1" max="1" width="21.6640625" style="33" customWidth="1"/>
    <col min="2" max="4" width="8.83203125" style="33" customWidth="1"/>
    <col min="5" max="5" width="8.83203125" style="32" customWidth="1"/>
    <col min="6" max="19" width="8.83203125" style="33" customWidth="1"/>
    <col min="20" max="22" width="9.33203125" style="33"/>
    <col min="23" max="23" width="9.33203125" style="5"/>
    <col min="24" max="16384" width="9.33203125" style="33"/>
  </cols>
  <sheetData>
    <row r="1" spans="1:24" s="30" customFormat="1" ht="48" customHeight="1" x14ac:dyDescent="0.15">
      <c r="A1" s="25" t="s">
        <v>1</v>
      </c>
      <c r="B1" s="34" t="s">
        <v>149</v>
      </c>
      <c r="C1" s="27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166</v>
      </c>
      <c r="J1" s="3" t="s">
        <v>167</v>
      </c>
      <c r="K1" s="3" t="s">
        <v>168</v>
      </c>
      <c r="L1" s="3" t="s">
        <v>169</v>
      </c>
      <c r="M1" s="3" t="s">
        <v>170</v>
      </c>
      <c r="N1" s="3" t="s">
        <v>171</v>
      </c>
      <c r="O1" s="3" t="s">
        <v>172</v>
      </c>
      <c r="P1" s="3" t="s">
        <v>173</v>
      </c>
      <c r="Q1" s="3" t="s">
        <v>174</v>
      </c>
      <c r="R1" s="3" t="s">
        <v>175</v>
      </c>
      <c r="S1" s="3" t="s">
        <v>176</v>
      </c>
      <c r="T1" s="28" t="s">
        <v>11</v>
      </c>
      <c r="U1" s="28" t="s">
        <v>177</v>
      </c>
      <c r="V1" s="28" t="s">
        <v>178</v>
      </c>
      <c r="W1" s="29" t="s">
        <v>179</v>
      </c>
      <c r="X1" s="30" t="s">
        <v>33</v>
      </c>
    </row>
    <row r="2" spans="1:24" ht="14.1" customHeight="1" x14ac:dyDescent="0.15">
      <c r="A2" s="5" t="s">
        <v>65</v>
      </c>
      <c r="B2" s="5">
        <v>5</v>
      </c>
      <c r="C2" s="5">
        <v>5</v>
      </c>
      <c r="D2" s="5">
        <v>3</v>
      </c>
      <c r="E2" s="31">
        <v>2</v>
      </c>
      <c r="F2" s="31">
        <v>2</v>
      </c>
      <c r="G2" s="31">
        <v>2</v>
      </c>
      <c r="H2" s="31">
        <v>3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9">
        <f>AVERAGE(B2:S2)</f>
        <v>3.1428571428571428</v>
      </c>
      <c r="U2" s="31">
        <f>MINA(B2:S2)</f>
        <v>2</v>
      </c>
      <c r="V2" s="31">
        <f>MAXA(B2:S2)</f>
        <v>5</v>
      </c>
      <c r="W2" s="31">
        <f>V2-U2</f>
        <v>3</v>
      </c>
      <c r="X2" s="32"/>
    </row>
    <row r="3" spans="1:24" ht="14.1" customHeight="1" x14ac:dyDescent="0.15">
      <c r="A3" s="5" t="s">
        <v>94</v>
      </c>
      <c r="B3" s="5">
        <v>9</v>
      </c>
      <c r="C3" s="5">
        <v>2</v>
      </c>
      <c r="D3" s="5">
        <v>1</v>
      </c>
      <c r="E3" s="31">
        <v>3</v>
      </c>
      <c r="F3" s="31">
        <v>3</v>
      </c>
      <c r="G3" s="31">
        <v>3</v>
      </c>
      <c r="H3" s="31">
        <v>5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9">
        <f>AVERAGE(B3:S3)</f>
        <v>3.7142857142857144</v>
      </c>
      <c r="U3" s="31">
        <f>MINA(B3:S3)</f>
        <v>1</v>
      </c>
      <c r="V3" s="31">
        <f>MAXA(B3:S3)</f>
        <v>9</v>
      </c>
      <c r="W3" s="31">
        <f>V3-U3</f>
        <v>8</v>
      </c>
      <c r="X3" s="32"/>
    </row>
    <row r="4" spans="1:24" ht="14.1" customHeight="1" x14ac:dyDescent="0.15">
      <c r="A4" s="5" t="s">
        <v>40</v>
      </c>
      <c r="B4" s="5">
        <v>6</v>
      </c>
      <c r="C4" s="5">
        <v>3</v>
      </c>
      <c r="D4" s="5">
        <v>6</v>
      </c>
      <c r="E4" s="31">
        <v>4</v>
      </c>
      <c r="F4" s="31">
        <v>4</v>
      </c>
      <c r="G4" s="31">
        <v>4</v>
      </c>
      <c r="H4" s="31">
        <v>2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9">
        <f>AVERAGE(B4:S4)</f>
        <v>4.1428571428571432</v>
      </c>
      <c r="U4" s="31">
        <f>MINA(B4:S4)</f>
        <v>2</v>
      </c>
      <c r="V4" s="31">
        <f>MAXA(B4:S4)</f>
        <v>6</v>
      </c>
      <c r="W4" s="31">
        <f>V4-U4</f>
        <v>4</v>
      </c>
      <c r="X4" s="32"/>
    </row>
    <row r="5" spans="1:24" ht="14.1" customHeight="1" x14ac:dyDescent="0.15">
      <c r="A5" s="5" t="s">
        <v>37</v>
      </c>
      <c r="B5" s="5">
        <v>15</v>
      </c>
      <c r="C5" s="5">
        <v>11</v>
      </c>
      <c r="D5" s="5">
        <v>4</v>
      </c>
      <c r="E5" s="31">
        <v>1</v>
      </c>
      <c r="F5" s="31">
        <v>1</v>
      </c>
      <c r="G5" s="31">
        <v>1</v>
      </c>
      <c r="H5" s="31">
        <v>1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9">
        <f>AVERAGE(B5:S5)</f>
        <v>4.8571428571428568</v>
      </c>
      <c r="U5" s="31">
        <f>MINA(B5:S5)</f>
        <v>1</v>
      </c>
      <c r="V5" s="31">
        <f>MAXA(B5:S5)</f>
        <v>15</v>
      </c>
      <c r="W5" s="31">
        <f>V5-U5</f>
        <v>14</v>
      </c>
      <c r="X5" s="32"/>
    </row>
    <row r="6" spans="1:24" ht="14.1" customHeight="1" x14ac:dyDescent="0.15">
      <c r="A6" s="5" t="s">
        <v>63</v>
      </c>
      <c r="B6" s="5">
        <v>1</v>
      </c>
      <c r="C6" s="5">
        <v>4</v>
      </c>
      <c r="D6" s="5">
        <v>2</v>
      </c>
      <c r="E6" s="31">
        <v>8</v>
      </c>
      <c r="F6" s="31">
        <v>7</v>
      </c>
      <c r="G6" s="31">
        <v>12</v>
      </c>
      <c r="H6" s="31">
        <v>7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9">
        <f>AVERAGE(B6:S6)</f>
        <v>5.8571428571428568</v>
      </c>
      <c r="U6" s="31">
        <f>MINA(B6:S6)</f>
        <v>1</v>
      </c>
      <c r="V6" s="31">
        <f>MAXA(B6:S6)</f>
        <v>12</v>
      </c>
      <c r="W6" s="31">
        <f>V6-U6</f>
        <v>11</v>
      </c>
      <c r="X6" s="32"/>
    </row>
    <row r="7" spans="1:24" ht="14.1" customHeight="1" x14ac:dyDescent="0.15">
      <c r="A7" s="5" t="s">
        <v>82</v>
      </c>
      <c r="B7" s="5">
        <v>3</v>
      </c>
      <c r="C7" s="5">
        <v>7</v>
      </c>
      <c r="D7" s="5">
        <v>7</v>
      </c>
      <c r="E7" s="31">
        <v>5</v>
      </c>
      <c r="F7" s="31">
        <v>9</v>
      </c>
      <c r="G7" s="31">
        <v>7</v>
      </c>
      <c r="H7" s="31">
        <v>4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9">
        <f>AVERAGE(B7:S7)</f>
        <v>6</v>
      </c>
      <c r="U7" s="31">
        <f>MINA(B7:S7)</f>
        <v>3</v>
      </c>
      <c r="V7" s="31">
        <f>MAXA(B7:S7)</f>
        <v>9</v>
      </c>
      <c r="W7" s="31">
        <f>V7-U7</f>
        <v>6</v>
      </c>
      <c r="X7" s="32"/>
    </row>
    <row r="8" spans="1:24" ht="14.1" customHeight="1" x14ac:dyDescent="0.15">
      <c r="A8" s="5" t="s">
        <v>78</v>
      </c>
      <c r="B8" s="5">
        <v>2</v>
      </c>
      <c r="C8" s="5">
        <v>1</v>
      </c>
      <c r="D8" s="5">
        <v>8</v>
      </c>
      <c r="E8" s="31">
        <v>13</v>
      </c>
      <c r="F8" s="31">
        <v>10</v>
      </c>
      <c r="G8" s="31">
        <v>5</v>
      </c>
      <c r="H8" s="31">
        <v>8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9">
        <f>AVERAGE(B8:S8)</f>
        <v>6.7142857142857144</v>
      </c>
      <c r="U8" s="31">
        <f>MINA(B8:S8)</f>
        <v>1</v>
      </c>
      <c r="V8" s="31">
        <f>MAXA(B8:S8)</f>
        <v>13</v>
      </c>
      <c r="W8" s="31">
        <f>V8-U8</f>
        <v>12</v>
      </c>
      <c r="X8" s="32"/>
    </row>
    <row r="9" spans="1:24" ht="14.1" customHeight="1" x14ac:dyDescent="0.15">
      <c r="A9" s="5" t="s">
        <v>88</v>
      </c>
      <c r="B9" s="5">
        <v>8</v>
      </c>
      <c r="C9" s="5">
        <v>9</v>
      </c>
      <c r="D9" s="5">
        <v>5</v>
      </c>
      <c r="E9" s="31">
        <v>7</v>
      </c>
      <c r="F9" s="31">
        <v>6</v>
      </c>
      <c r="G9" s="31">
        <v>11</v>
      </c>
      <c r="H9" s="31">
        <v>16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9">
        <f>AVERAGE(B9:S9)</f>
        <v>8.8571428571428577</v>
      </c>
      <c r="U9" s="31">
        <f>MINA(B9:S9)</f>
        <v>5</v>
      </c>
      <c r="V9" s="31">
        <f>MAXA(B9:S9)</f>
        <v>16</v>
      </c>
      <c r="W9" s="31">
        <f>V9-U9</f>
        <v>11</v>
      </c>
      <c r="X9" s="32"/>
    </row>
    <row r="10" spans="1:24" ht="14.1" customHeight="1" x14ac:dyDescent="0.15">
      <c r="A10" s="5" t="s">
        <v>48</v>
      </c>
      <c r="B10" s="5">
        <v>13</v>
      </c>
      <c r="C10" s="5">
        <v>12</v>
      </c>
      <c r="D10" s="5">
        <v>14</v>
      </c>
      <c r="E10" s="31">
        <v>10</v>
      </c>
      <c r="F10" s="31">
        <v>8</v>
      </c>
      <c r="G10" s="31">
        <v>6</v>
      </c>
      <c r="H10" s="31">
        <v>6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9">
        <f>AVERAGE(B10:S10)</f>
        <v>9.8571428571428577</v>
      </c>
      <c r="U10" s="31">
        <f>MINA(B10:S10)</f>
        <v>6</v>
      </c>
      <c r="V10" s="31">
        <f>MAXA(B10:S10)</f>
        <v>14</v>
      </c>
      <c r="W10" s="31">
        <f>V10-U10</f>
        <v>8</v>
      </c>
      <c r="X10" s="32"/>
    </row>
    <row r="11" spans="1:24" ht="14.1" customHeight="1" x14ac:dyDescent="0.15">
      <c r="A11" s="5" t="s">
        <v>34</v>
      </c>
      <c r="B11" s="5">
        <v>19</v>
      </c>
      <c r="C11" s="5">
        <v>18</v>
      </c>
      <c r="D11" s="5">
        <v>12</v>
      </c>
      <c r="E11" s="31">
        <v>6</v>
      </c>
      <c r="F11" s="31">
        <v>5</v>
      </c>
      <c r="G11" s="31">
        <v>9</v>
      </c>
      <c r="H11" s="31">
        <v>10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9">
        <f>AVERAGE(B11:S11)</f>
        <v>11.285714285714286</v>
      </c>
      <c r="U11" s="31">
        <f>MINA(B11:S11)</f>
        <v>5</v>
      </c>
      <c r="V11" s="31">
        <f>MAXA(B11:S11)</f>
        <v>19</v>
      </c>
      <c r="W11" s="31">
        <f>V11-U11</f>
        <v>14</v>
      </c>
      <c r="X11" s="32"/>
    </row>
    <row r="12" spans="1:24" ht="14.1" customHeight="1" x14ac:dyDescent="0.15">
      <c r="A12" s="5" t="s">
        <v>90</v>
      </c>
      <c r="B12" s="5">
        <v>4</v>
      </c>
      <c r="C12" s="5">
        <v>10</v>
      </c>
      <c r="D12" s="5">
        <v>10</v>
      </c>
      <c r="E12" s="31">
        <v>16</v>
      </c>
      <c r="F12" s="31">
        <v>16</v>
      </c>
      <c r="G12" s="31">
        <v>10</v>
      </c>
      <c r="H12" s="31">
        <v>15</v>
      </c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9">
        <f>AVERAGE(B12:S12)</f>
        <v>11.571428571428571</v>
      </c>
      <c r="U12" s="31">
        <f>MINA(B12:S12)</f>
        <v>4</v>
      </c>
      <c r="V12" s="31">
        <f>MAXA(B12:S12)</f>
        <v>16</v>
      </c>
      <c r="W12" s="31">
        <f>V12-U12</f>
        <v>12</v>
      </c>
      <c r="X12" s="32"/>
    </row>
    <row r="13" spans="1:24" ht="14.1" customHeight="1" x14ac:dyDescent="0.15">
      <c r="A13" s="5" t="s">
        <v>55</v>
      </c>
      <c r="B13" s="5">
        <v>7</v>
      </c>
      <c r="C13" s="5">
        <v>6</v>
      </c>
      <c r="D13" s="5">
        <v>13</v>
      </c>
      <c r="E13" s="31">
        <v>9</v>
      </c>
      <c r="F13" s="31">
        <v>15</v>
      </c>
      <c r="G13" s="31">
        <v>16</v>
      </c>
      <c r="H13" s="31">
        <v>19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9">
        <f>AVERAGE(B13:S13)</f>
        <v>12.142857142857142</v>
      </c>
      <c r="U13" s="31">
        <f>MINA(B13:S13)</f>
        <v>6</v>
      </c>
      <c r="V13" s="31">
        <f>MAXA(B13:S13)</f>
        <v>19</v>
      </c>
      <c r="W13" s="31">
        <f>V13-U13</f>
        <v>13</v>
      </c>
      <c r="X13" s="32"/>
    </row>
    <row r="14" spans="1:24" ht="14.1" customHeight="1" x14ac:dyDescent="0.15">
      <c r="A14" s="5" t="s">
        <v>58</v>
      </c>
      <c r="B14" s="5">
        <v>12</v>
      </c>
      <c r="C14" s="5">
        <v>8</v>
      </c>
      <c r="D14" s="5">
        <v>9</v>
      </c>
      <c r="E14" s="31">
        <v>15</v>
      </c>
      <c r="F14" s="31">
        <v>14</v>
      </c>
      <c r="G14" s="31">
        <v>19</v>
      </c>
      <c r="H14" s="31">
        <v>12</v>
      </c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9">
        <f>AVERAGE(B14:S14)</f>
        <v>12.714285714285714</v>
      </c>
      <c r="U14" s="31">
        <f>MINA(B14:S14)</f>
        <v>8</v>
      </c>
      <c r="V14" s="31">
        <f>MAXA(B14:S14)</f>
        <v>19</v>
      </c>
      <c r="W14" s="31">
        <f>V14-U14</f>
        <v>11</v>
      </c>
      <c r="X14" s="32"/>
    </row>
    <row r="15" spans="1:24" ht="14.1" customHeight="1" x14ac:dyDescent="0.15">
      <c r="A15" s="5" t="s">
        <v>92</v>
      </c>
      <c r="B15" s="5">
        <v>16</v>
      </c>
      <c r="C15" s="5">
        <v>14</v>
      </c>
      <c r="D15" s="5">
        <v>11</v>
      </c>
      <c r="E15" s="31">
        <v>11</v>
      </c>
      <c r="F15" s="31">
        <v>11</v>
      </c>
      <c r="G15" s="31">
        <v>14</v>
      </c>
      <c r="H15" s="31">
        <v>17</v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9">
        <f>AVERAGE(B15:S15)</f>
        <v>13.428571428571429</v>
      </c>
      <c r="U15" s="31">
        <f>MINA(B15:S15)</f>
        <v>11</v>
      </c>
      <c r="V15" s="31">
        <f>MAXA(B15:S15)</f>
        <v>17</v>
      </c>
      <c r="W15" s="31">
        <f>V15-U15</f>
        <v>6</v>
      </c>
      <c r="X15" s="32"/>
    </row>
    <row r="16" spans="1:24" ht="14.1" customHeight="1" x14ac:dyDescent="0.15">
      <c r="A16" s="5" t="s">
        <v>51</v>
      </c>
      <c r="B16" s="5">
        <v>11</v>
      </c>
      <c r="C16" s="5">
        <v>20</v>
      </c>
      <c r="D16" s="5">
        <v>17</v>
      </c>
      <c r="E16" s="31">
        <v>14</v>
      </c>
      <c r="F16" s="31">
        <v>12</v>
      </c>
      <c r="G16" s="31">
        <v>15</v>
      </c>
      <c r="H16" s="31">
        <v>23</v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9">
        <f>AVERAGE(B16:S16)</f>
        <v>16</v>
      </c>
      <c r="U16" s="31">
        <f>MINA(B16:S16)</f>
        <v>11</v>
      </c>
      <c r="V16" s="31">
        <f>MAXA(B16:S16)</f>
        <v>23</v>
      </c>
      <c r="W16" s="31">
        <f>V16-U16</f>
        <v>12</v>
      </c>
      <c r="X16" s="32"/>
    </row>
    <row r="17" spans="1:24" ht="14.1" customHeight="1" x14ac:dyDescent="0.15">
      <c r="A17" s="5" t="s">
        <v>96</v>
      </c>
      <c r="B17" s="5">
        <v>25</v>
      </c>
      <c r="C17" s="5">
        <v>26</v>
      </c>
      <c r="D17" s="5">
        <v>16</v>
      </c>
      <c r="E17" s="31">
        <v>12</v>
      </c>
      <c r="F17" s="31">
        <v>18</v>
      </c>
      <c r="G17" s="31">
        <v>17</v>
      </c>
      <c r="H17" s="31">
        <v>11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9">
        <f>AVERAGE(B17:S17)</f>
        <v>17.857142857142858</v>
      </c>
      <c r="U17" s="31">
        <f>MINA(B17:S17)</f>
        <v>11</v>
      </c>
      <c r="V17" s="31">
        <f>MAXA(B17:S17)</f>
        <v>26</v>
      </c>
      <c r="W17" s="31">
        <f>V17-U17</f>
        <v>15</v>
      </c>
      <c r="X17" s="32"/>
    </row>
    <row r="18" spans="1:24" ht="14.1" customHeight="1" x14ac:dyDescent="0.15">
      <c r="A18" s="5" t="s">
        <v>76</v>
      </c>
      <c r="B18" s="5">
        <v>29</v>
      </c>
      <c r="C18" s="5">
        <v>27</v>
      </c>
      <c r="D18" s="5">
        <v>26</v>
      </c>
      <c r="E18" s="31">
        <v>19</v>
      </c>
      <c r="F18" s="31">
        <v>13</v>
      </c>
      <c r="G18" s="31">
        <v>8</v>
      </c>
      <c r="H18" s="31">
        <v>9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9">
        <f>AVERAGE(B18:S18)</f>
        <v>18.714285714285715</v>
      </c>
      <c r="U18" s="31">
        <f>MINA(B18:S18)</f>
        <v>8</v>
      </c>
      <c r="V18" s="31">
        <f>MAXA(B18:S18)</f>
        <v>29</v>
      </c>
      <c r="W18" s="31">
        <f>V18-U18</f>
        <v>21</v>
      </c>
      <c r="X18" s="32"/>
    </row>
    <row r="19" spans="1:24" ht="14.1" customHeight="1" x14ac:dyDescent="0.15">
      <c r="A19" s="5" t="s">
        <v>84</v>
      </c>
      <c r="B19" s="5">
        <v>20</v>
      </c>
      <c r="C19" s="5">
        <v>17</v>
      </c>
      <c r="D19" s="5">
        <v>18</v>
      </c>
      <c r="E19" s="31">
        <v>17</v>
      </c>
      <c r="F19" s="31">
        <v>21</v>
      </c>
      <c r="G19" s="31">
        <v>23</v>
      </c>
      <c r="H19" s="31">
        <v>21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9">
        <f>AVERAGE(B19:S19)</f>
        <v>19.571428571428573</v>
      </c>
      <c r="U19" s="31">
        <f>MINA(B19:S19)</f>
        <v>17</v>
      </c>
      <c r="V19" s="31">
        <f>MAXA(B19:S19)</f>
        <v>23</v>
      </c>
      <c r="W19" s="31">
        <f>V19-U19</f>
        <v>6</v>
      </c>
      <c r="X19" s="32"/>
    </row>
    <row r="20" spans="1:24" ht="14.1" customHeight="1" x14ac:dyDescent="0.15">
      <c r="A20" s="5" t="s">
        <v>61</v>
      </c>
      <c r="B20" s="5">
        <v>14</v>
      </c>
      <c r="C20" s="5">
        <v>13</v>
      </c>
      <c r="D20" s="5">
        <v>15</v>
      </c>
      <c r="E20" s="31">
        <v>22</v>
      </c>
      <c r="F20" s="31">
        <v>25</v>
      </c>
      <c r="G20" s="31">
        <v>25</v>
      </c>
      <c r="H20" s="31">
        <v>25</v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9">
        <f>AVERAGE(B20:S20)</f>
        <v>19.857142857142858</v>
      </c>
      <c r="U20" s="31">
        <f>MINA(B20:S20)</f>
        <v>13</v>
      </c>
      <c r="V20" s="31">
        <f>MAXA(B20:S20)</f>
        <v>25</v>
      </c>
      <c r="W20" s="31">
        <f>V20-U20</f>
        <v>12</v>
      </c>
      <c r="X20" s="32"/>
    </row>
    <row r="21" spans="1:24" ht="14.1" customHeight="1" x14ac:dyDescent="0.15">
      <c r="A21" s="5" t="s">
        <v>100</v>
      </c>
      <c r="B21" s="5">
        <v>22</v>
      </c>
      <c r="C21" s="5">
        <v>19</v>
      </c>
      <c r="D21" s="5">
        <v>19</v>
      </c>
      <c r="E21" s="31">
        <v>20</v>
      </c>
      <c r="F21" s="31">
        <v>20</v>
      </c>
      <c r="G21" s="31">
        <v>22</v>
      </c>
      <c r="H21" s="31">
        <v>20</v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9">
        <f>AVERAGE(B21:S21)</f>
        <v>20.285714285714285</v>
      </c>
      <c r="U21" s="31">
        <f>MINA(B21:S21)</f>
        <v>19</v>
      </c>
      <c r="V21" s="31">
        <f>MAXA(B21:S21)</f>
        <v>22</v>
      </c>
      <c r="W21" s="31">
        <f>V21-U21</f>
        <v>3</v>
      </c>
      <c r="X21" s="32"/>
    </row>
    <row r="22" spans="1:24" ht="14.1" customHeight="1" x14ac:dyDescent="0.15">
      <c r="A22" s="5" t="s">
        <v>104</v>
      </c>
      <c r="B22" s="5">
        <v>26</v>
      </c>
      <c r="C22" s="5">
        <v>15</v>
      </c>
      <c r="D22" s="5">
        <v>23</v>
      </c>
      <c r="E22" s="31">
        <v>29</v>
      </c>
      <c r="F22" s="31">
        <v>19</v>
      </c>
      <c r="G22" s="31">
        <v>21</v>
      </c>
      <c r="H22" s="31">
        <v>13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9">
        <f>AVERAGE(B22:S22)</f>
        <v>20.857142857142858</v>
      </c>
      <c r="U22" s="31">
        <f>MINA(B22:S22)</f>
        <v>13</v>
      </c>
      <c r="V22" s="31">
        <f>MAXA(B22:S22)</f>
        <v>29</v>
      </c>
      <c r="W22" s="31">
        <f>V22-U22</f>
        <v>16</v>
      </c>
      <c r="X22" s="32"/>
    </row>
    <row r="23" spans="1:24" ht="14.1" customHeight="1" x14ac:dyDescent="0.15">
      <c r="A23" s="5" t="s">
        <v>98</v>
      </c>
      <c r="B23" s="5">
        <v>30</v>
      </c>
      <c r="C23" s="5">
        <v>29</v>
      </c>
      <c r="D23" s="5">
        <v>22</v>
      </c>
      <c r="E23" s="31">
        <v>23</v>
      </c>
      <c r="F23" s="31">
        <v>17</v>
      </c>
      <c r="G23" s="31">
        <v>13</v>
      </c>
      <c r="H23" s="31">
        <v>18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9">
        <f>AVERAGE(B23:S23)</f>
        <v>21.714285714285715</v>
      </c>
      <c r="U23" s="31">
        <f>MINA(B23:S23)</f>
        <v>13</v>
      </c>
      <c r="V23" s="31">
        <f>MAXA(B23:S23)</f>
        <v>30</v>
      </c>
      <c r="W23" s="31">
        <f>V23-U23</f>
        <v>17</v>
      </c>
      <c r="X23" s="32"/>
    </row>
    <row r="24" spans="1:24" ht="14.1" customHeight="1" x14ac:dyDescent="0.15">
      <c r="A24" s="5" t="s">
        <v>43</v>
      </c>
      <c r="B24" s="5">
        <v>18</v>
      </c>
      <c r="C24" s="5">
        <v>22</v>
      </c>
      <c r="D24" s="5">
        <v>21</v>
      </c>
      <c r="E24" s="31">
        <v>18</v>
      </c>
      <c r="F24" s="31">
        <v>22</v>
      </c>
      <c r="G24" s="31">
        <v>26</v>
      </c>
      <c r="H24" s="31">
        <v>26</v>
      </c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9">
        <f>AVERAGE(B24:S24)</f>
        <v>21.857142857142858</v>
      </c>
      <c r="U24" s="31">
        <f>MINA(B24:S24)</f>
        <v>18</v>
      </c>
      <c r="V24" s="31">
        <f>MAXA(B24:S24)</f>
        <v>26</v>
      </c>
      <c r="W24" s="31">
        <f>V24-U24</f>
        <v>8</v>
      </c>
      <c r="X24" s="32"/>
    </row>
    <row r="25" spans="1:24" ht="14.1" customHeight="1" x14ac:dyDescent="0.15">
      <c r="A25" s="5" t="s">
        <v>102</v>
      </c>
      <c r="B25" s="5">
        <v>17</v>
      </c>
      <c r="C25" s="5">
        <v>25</v>
      </c>
      <c r="D25" s="5">
        <v>28</v>
      </c>
      <c r="E25" s="31">
        <v>21</v>
      </c>
      <c r="F25" s="31">
        <v>23</v>
      </c>
      <c r="G25" s="31">
        <v>24</v>
      </c>
      <c r="H25" s="31">
        <v>24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9">
        <f>AVERAGE(B25:S25)</f>
        <v>23.142857142857142</v>
      </c>
      <c r="U25" s="31">
        <f>MINA(B25:S25)</f>
        <v>17</v>
      </c>
      <c r="V25" s="31">
        <f>MAXA(B25:S25)</f>
        <v>28</v>
      </c>
      <c r="W25" s="31">
        <f>V25-U25</f>
        <v>11</v>
      </c>
      <c r="X25" s="32"/>
    </row>
    <row r="26" spans="1:24" ht="14.1" customHeight="1" x14ac:dyDescent="0.15">
      <c r="A26" s="5" t="s">
        <v>80</v>
      </c>
      <c r="B26" s="5">
        <v>10</v>
      </c>
      <c r="C26" s="5">
        <v>16</v>
      </c>
      <c r="D26" s="5">
        <v>24</v>
      </c>
      <c r="E26" s="31">
        <v>31</v>
      </c>
      <c r="F26" s="31">
        <v>31</v>
      </c>
      <c r="G26" s="31">
        <v>27</v>
      </c>
      <c r="H26" s="31">
        <v>27</v>
      </c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9">
        <f>AVERAGE(B26:S26)</f>
        <v>23.714285714285715</v>
      </c>
      <c r="U26" s="31">
        <f>MINA(B26:S26)</f>
        <v>10</v>
      </c>
      <c r="V26" s="31">
        <f>MAXA(B26:S26)</f>
        <v>31</v>
      </c>
      <c r="W26" s="31">
        <f>V26-U26</f>
        <v>21</v>
      </c>
      <c r="X26" s="32"/>
    </row>
    <row r="27" spans="1:24" ht="14.1" customHeight="1" x14ac:dyDescent="0.15">
      <c r="A27" s="5" t="s">
        <v>46</v>
      </c>
      <c r="B27" s="5">
        <v>23</v>
      </c>
      <c r="C27" s="5">
        <v>23</v>
      </c>
      <c r="D27" s="5">
        <v>20</v>
      </c>
      <c r="E27" s="31">
        <v>24</v>
      </c>
      <c r="F27" s="31">
        <v>24</v>
      </c>
      <c r="G27" s="31">
        <v>28</v>
      </c>
      <c r="H27" s="31">
        <v>28</v>
      </c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9">
        <f>AVERAGE(B27:S27)</f>
        <v>24.285714285714285</v>
      </c>
      <c r="U27" s="31">
        <f>MINA(B27:S27)</f>
        <v>20</v>
      </c>
      <c r="V27" s="31">
        <f>MAXA(B27:S27)</f>
        <v>28</v>
      </c>
      <c r="W27" s="31">
        <f>V27-U27</f>
        <v>8</v>
      </c>
      <c r="X27" s="32"/>
    </row>
    <row r="28" spans="1:24" ht="14.1" customHeight="1" x14ac:dyDescent="0.15">
      <c r="A28" s="5" t="s">
        <v>74</v>
      </c>
      <c r="B28" s="5">
        <v>27</v>
      </c>
      <c r="C28" s="5">
        <v>30</v>
      </c>
      <c r="D28" s="5">
        <v>27</v>
      </c>
      <c r="E28" s="31">
        <v>27</v>
      </c>
      <c r="F28" s="31">
        <v>27</v>
      </c>
      <c r="G28" s="31">
        <v>20</v>
      </c>
      <c r="H28" s="31">
        <v>14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9">
        <f>AVERAGE(B28:S28)</f>
        <v>24.571428571428573</v>
      </c>
      <c r="U28" s="31">
        <f>MINA(B28:S28)</f>
        <v>14</v>
      </c>
      <c r="V28" s="31">
        <f>MAXA(B28:S28)</f>
        <v>30</v>
      </c>
      <c r="W28" s="31">
        <f>V28-U28</f>
        <v>16</v>
      </c>
      <c r="X28" s="32"/>
    </row>
    <row r="29" spans="1:24" ht="14.1" customHeight="1" x14ac:dyDescent="0.15">
      <c r="A29" s="5" t="s">
        <v>68</v>
      </c>
      <c r="B29" s="5">
        <v>31</v>
      </c>
      <c r="C29" s="5">
        <v>31</v>
      </c>
      <c r="D29" s="5">
        <v>25</v>
      </c>
      <c r="E29" s="31">
        <v>26</v>
      </c>
      <c r="F29" s="31">
        <v>26</v>
      </c>
      <c r="G29" s="31">
        <v>18</v>
      </c>
      <c r="H29" s="31">
        <v>22</v>
      </c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9">
        <f>AVERAGE(B29:S29)</f>
        <v>25.571428571428573</v>
      </c>
      <c r="U29" s="31">
        <f>MINA(B29:S29)</f>
        <v>18</v>
      </c>
      <c r="V29" s="31">
        <f>MAXA(B29:S29)</f>
        <v>31</v>
      </c>
      <c r="W29" s="31">
        <f>V29-U29</f>
        <v>13</v>
      </c>
      <c r="X29" s="32"/>
    </row>
    <row r="30" spans="1:24" ht="14.1" customHeight="1" x14ac:dyDescent="0.15">
      <c r="A30" s="5" t="s">
        <v>86</v>
      </c>
      <c r="B30" s="5">
        <v>21</v>
      </c>
      <c r="C30" s="5">
        <v>21</v>
      </c>
      <c r="D30" s="5">
        <v>30</v>
      </c>
      <c r="E30" s="31">
        <v>28</v>
      </c>
      <c r="F30" s="31">
        <v>29</v>
      </c>
      <c r="G30" s="31">
        <v>30</v>
      </c>
      <c r="H30" s="31">
        <v>29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9">
        <f>AVERAGE(B30:S30)</f>
        <v>26.857142857142858</v>
      </c>
      <c r="U30" s="31">
        <f>MINA(B30:S30)</f>
        <v>21</v>
      </c>
      <c r="V30" s="31">
        <f>MAXA(B30:S30)</f>
        <v>30</v>
      </c>
      <c r="W30" s="31">
        <f>V30-U30</f>
        <v>9</v>
      </c>
      <c r="X30" s="32"/>
    </row>
    <row r="31" spans="1:24" ht="14.1" customHeight="1" x14ac:dyDescent="0.15">
      <c r="A31" s="5" t="s">
        <v>72</v>
      </c>
      <c r="B31" s="5">
        <v>24</v>
      </c>
      <c r="C31" s="5">
        <v>24</v>
      </c>
      <c r="D31" s="5">
        <v>31</v>
      </c>
      <c r="E31" s="31">
        <v>30</v>
      </c>
      <c r="F31" s="31">
        <v>30</v>
      </c>
      <c r="G31" s="31">
        <v>31</v>
      </c>
      <c r="H31" s="31">
        <v>32</v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9">
        <f>AVERAGE(B31:S31)</f>
        <v>28.857142857142858</v>
      </c>
      <c r="U31" s="31">
        <f>MINA(B31:S31)</f>
        <v>24</v>
      </c>
      <c r="V31" s="31">
        <f>MAXA(B31:S31)</f>
        <v>32</v>
      </c>
      <c r="W31" s="31">
        <f>V31-U31</f>
        <v>8</v>
      </c>
      <c r="X31" s="32"/>
    </row>
    <row r="32" spans="1:24" ht="14.1" customHeight="1" x14ac:dyDescent="0.15">
      <c r="A32" s="5" t="s">
        <v>70</v>
      </c>
      <c r="B32" s="5">
        <v>32</v>
      </c>
      <c r="C32" s="5">
        <v>32</v>
      </c>
      <c r="D32" s="5">
        <v>32</v>
      </c>
      <c r="E32" s="31">
        <v>25</v>
      </c>
      <c r="F32" s="31">
        <v>28</v>
      </c>
      <c r="G32" s="31">
        <v>29</v>
      </c>
      <c r="H32" s="31">
        <v>31</v>
      </c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9">
        <f>AVERAGE(B32:S32)</f>
        <v>29.857142857142858</v>
      </c>
      <c r="U32" s="31">
        <f>MINA(B32:S32)</f>
        <v>25</v>
      </c>
      <c r="V32" s="31">
        <f>MAXA(B32:S32)</f>
        <v>32</v>
      </c>
      <c r="W32" s="31">
        <f>V32-U32</f>
        <v>7</v>
      </c>
      <c r="X32" s="32"/>
    </row>
    <row r="33" spans="1:24" ht="14.1" customHeight="1" x14ac:dyDescent="0.15">
      <c r="A33" s="5" t="s">
        <v>53</v>
      </c>
      <c r="B33" s="5">
        <v>28</v>
      </c>
      <c r="C33" s="5">
        <v>28</v>
      </c>
      <c r="D33" s="5">
        <v>29</v>
      </c>
      <c r="E33" s="31">
        <v>32</v>
      </c>
      <c r="F33" s="31">
        <v>32</v>
      </c>
      <c r="G33" s="31">
        <v>32</v>
      </c>
      <c r="H33" s="31">
        <v>30</v>
      </c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9">
        <f>AVERAGE(B33:S33)</f>
        <v>30.142857142857142</v>
      </c>
      <c r="U33" s="31">
        <f>MINA(B33:S33)</f>
        <v>28</v>
      </c>
      <c r="V33" s="31">
        <f>MAXA(B33:S33)</f>
        <v>32</v>
      </c>
      <c r="W33" s="31">
        <f>V33-U33</f>
        <v>4</v>
      </c>
      <c r="X33" s="32"/>
    </row>
  </sheetData>
  <autoFilter ref="A1:X1">
    <sortState ref="A2:X33">
      <sortCondition ref="T1"/>
    </sortState>
  </autoFilter>
  <conditionalFormatting sqref="B2:S33">
    <cfRule type="cellIs" dxfId="5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33"/>
  <sheetViews>
    <sheetView workbookViewId="0">
      <pane xSplit="1" topLeftCell="B1" activePane="topRight" state="frozen"/>
      <selection activeCell="AG2" sqref="AG2:AG33"/>
      <selection pane="topRight" activeCell="AG2" sqref="AG2:AG33"/>
    </sheetView>
  </sheetViews>
  <sheetFormatPr defaultRowHeight="10.5" x14ac:dyDescent="0.15"/>
  <cols>
    <col min="1" max="1" width="21.6640625" style="33" customWidth="1"/>
    <col min="2" max="4" width="8.83203125" style="33" customWidth="1"/>
    <col min="5" max="5" width="8.83203125" style="32" customWidth="1"/>
    <col min="6" max="19" width="8.83203125" style="33" customWidth="1"/>
    <col min="20" max="22" width="9.33203125" style="33"/>
    <col min="23" max="23" width="9.33203125" style="5"/>
    <col min="24" max="16384" width="9.33203125" style="33"/>
  </cols>
  <sheetData>
    <row r="1" spans="1:24" s="30" customFormat="1" ht="48" customHeight="1" x14ac:dyDescent="0.15">
      <c r="A1" s="25" t="s">
        <v>1</v>
      </c>
      <c r="B1" s="34" t="s">
        <v>149</v>
      </c>
      <c r="C1" s="27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166</v>
      </c>
      <c r="J1" s="3" t="s">
        <v>167</v>
      </c>
      <c r="K1" s="3" t="s">
        <v>168</v>
      </c>
      <c r="L1" s="3" t="s">
        <v>169</v>
      </c>
      <c r="M1" s="3" t="s">
        <v>170</v>
      </c>
      <c r="N1" s="3" t="s">
        <v>171</v>
      </c>
      <c r="O1" s="3" t="s">
        <v>172</v>
      </c>
      <c r="P1" s="3" t="s">
        <v>173</v>
      </c>
      <c r="Q1" s="3" t="s">
        <v>174</v>
      </c>
      <c r="R1" s="3" t="s">
        <v>175</v>
      </c>
      <c r="S1" s="3" t="s">
        <v>176</v>
      </c>
      <c r="T1" s="28" t="s">
        <v>11</v>
      </c>
      <c r="U1" s="28" t="s">
        <v>177</v>
      </c>
      <c r="V1" s="28" t="s">
        <v>178</v>
      </c>
      <c r="W1" s="29" t="s">
        <v>179</v>
      </c>
      <c r="X1" s="30" t="s">
        <v>33</v>
      </c>
    </row>
    <row r="2" spans="1:24" ht="14.1" customHeight="1" x14ac:dyDescent="0.15">
      <c r="A2" s="5" t="s">
        <v>65</v>
      </c>
      <c r="B2" s="5">
        <v>6</v>
      </c>
      <c r="C2" s="5">
        <v>4</v>
      </c>
      <c r="D2" s="5">
        <v>2</v>
      </c>
      <c r="E2" s="31">
        <v>1</v>
      </c>
      <c r="F2" s="31">
        <v>1</v>
      </c>
      <c r="G2" s="31">
        <v>1</v>
      </c>
      <c r="H2" s="31">
        <v>3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9">
        <f>AVERAGE(B2:S2)</f>
        <v>2.5714285714285716</v>
      </c>
      <c r="U2" s="31">
        <f>MINA(B2:S2)</f>
        <v>1</v>
      </c>
      <c r="V2" s="31">
        <f>MAXA(B2:S2)</f>
        <v>6</v>
      </c>
      <c r="W2" s="31">
        <f>V2-U2</f>
        <v>5</v>
      </c>
      <c r="X2" s="32"/>
    </row>
    <row r="3" spans="1:24" ht="14.1" customHeight="1" x14ac:dyDescent="0.15">
      <c r="A3" s="5" t="s">
        <v>40</v>
      </c>
      <c r="B3" s="5">
        <v>4</v>
      </c>
      <c r="C3" s="5">
        <v>3</v>
      </c>
      <c r="D3" s="5">
        <v>4</v>
      </c>
      <c r="E3" s="31">
        <v>3</v>
      </c>
      <c r="F3" s="31">
        <v>3</v>
      </c>
      <c r="G3" s="31">
        <v>3</v>
      </c>
      <c r="H3" s="31">
        <v>4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9">
        <f>AVERAGE(B3:S3)</f>
        <v>3.4285714285714284</v>
      </c>
      <c r="U3" s="31">
        <f>MINA(B3:S3)</f>
        <v>3</v>
      </c>
      <c r="V3" s="31">
        <f>MAXA(B3:S3)</f>
        <v>4</v>
      </c>
      <c r="W3" s="31">
        <f>V3-U3</f>
        <v>1</v>
      </c>
      <c r="X3" s="32"/>
    </row>
    <row r="4" spans="1:24" ht="14.1" customHeight="1" x14ac:dyDescent="0.15">
      <c r="A4" s="5" t="s">
        <v>94</v>
      </c>
      <c r="B4" s="5">
        <v>5</v>
      </c>
      <c r="C4" s="5">
        <v>2</v>
      </c>
      <c r="D4" s="5">
        <v>1</v>
      </c>
      <c r="E4" s="31">
        <v>6</v>
      </c>
      <c r="F4" s="31">
        <v>5</v>
      </c>
      <c r="G4" s="31">
        <v>4</v>
      </c>
      <c r="H4" s="31">
        <v>6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9">
        <f>AVERAGE(B4:S4)</f>
        <v>4.1428571428571432</v>
      </c>
      <c r="U4" s="31">
        <f>MINA(B4:S4)</f>
        <v>1</v>
      </c>
      <c r="V4" s="31">
        <f>MAXA(B4:S4)</f>
        <v>6</v>
      </c>
      <c r="W4" s="31">
        <f>V4-U4</f>
        <v>5</v>
      </c>
      <c r="X4" s="32"/>
    </row>
    <row r="5" spans="1:24" ht="14.1" customHeight="1" x14ac:dyDescent="0.15">
      <c r="A5" s="5" t="s">
        <v>37</v>
      </c>
      <c r="B5" s="5">
        <v>12</v>
      </c>
      <c r="C5" s="5">
        <v>9</v>
      </c>
      <c r="D5" s="5">
        <v>3</v>
      </c>
      <c r="E5" s="31">
        <v>2</v>
      </c>
      <c r="F5" s="31">
        <v>2</v>
      </c>
      <c r="G5" s="31">
        <v>2</v>
      </c>
      <c r="H5" s="31">
        <v>1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9">
        <f>AVERAGE(B5:S5)</f>
        <v>4.4285714285714288</v>
      </c>
      <c r="U5" s="31">
        <f>MINA(B5:S5)</f>
        <v>1</v>
      </c>
      <c r="V5" s="31">
        <f>MAXA(B5:S5)</f>
        <v>12</v>
      </c>
      <c r="W5" s="31">
        <f>V5-U5</f>
        <v>11</v>
      </c>
      <c r="X5" s="32"/>
    </row>
    <row r="6" spans="1:24" ht="14.1" customHeight="1" x14ac:dyDescent="0.15">
      <c r="A6" s="5" t="s">
        <v>78</v>
      </c>
      <c r="B6" s="5">
        <v>2</v>
      </c>
      <c r="C6" s="5">
        <v>1</v>
      </c>
      <c r="D6" s="5">
        <v>7</v>
      </c>
      <c r="E6" s="31">
        <v>7</v>
      </c>
      <c r="F6" s="31">
        <v>6</v>
      </c>
      <c r="G6" s="31">
        <v>5</v>
      </c>
      <c r="H6" s="31">
        <v>8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9">
        <f>AVERAGE(B6:S6)</f>
        <v>5.1428571428571432</v>
      </c>
      <c r="U6" s="31">
        <f>MINA(B6:S6)</f>
        <v>1</v>
      </c>
      <c r="V6" s="31">
        <f>MAXA(B6:S6)</f>
        <v>8</v>
      </c>
      <c r="W6" s="31">
        <f>V6-U6</f>
        <v>7</v>
      </c>
      <c r="X6" s="32"/>
    </row>
    <row r="7" spans="1:24" ht="14.1" customHeight="1" x14ac:dyDescent="0.15">
      <c r="A7" s="5" t="s">
        <v>82</v>
      </c>
      <c r="B7" s="5">
        <v>1</v>
      </c>
      <c r="C7" s="5">
        <v>5</v>
      </c>
      <c r="D7" s="5">
        <v>5</v>
      </c>
      <c r="E7" s="31">
        <v>4</v>
      </c>
      <c r="F7" s="31">
        <v>12</v>
      </c>
      <c r="G7" s="31">
        <v>7</v>
      </c>
      <c r="H7" s="31">
        <v>2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9">
        <f>AVERAGE(B7:S7)</f>
        <v>5.1428571428571432</v>
      </c>
      <c r="U7" s="31">
        <f>MINA(B7:S7)</f>
        <v>1</v>
      </c>
      <c r="V7" s="31">
        <f>MAXA(B7:S7)</f>
        <v>12</v>
      </c>
      <c r="W7" s="31">
        <f>V7-U7</f>
        <v>11</v>
      </c>
      <c r="X7" s="32"/>
    </row>
    <row r="8" spans="1:24" ht="14.1" customHeight="1" x14ac:dyDescent="0.15">
      <c r="A8" s="5" t="s">
        <v>63</v>
      </c>
      <c r="B8" s="5">
        <v>3</v>
      </c>
      <c r="C8" s="5">
        <v>6</v>
      </c>
      <c r="D8" s="5">
        <v>6</v>
      </c>
      <c r="E8" s="31">
        <v>9</v>
      </c>
      <c r="F8" s="31">
        <v>8</v>
      </c>
      <c r="G8" s="31">
        <v>14</v>
      </c>
      <c r="H8" s="31">
        <v>9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9">
        <f>AVERAGE(B8:S8)</f>
        <v>7.8571428571428568</v>
      </c>
      <c r="U8" s="31">
        <f>MINA(B8:S8)</f>
        <v>3</v>
      </c>
      <c r="V8" s="31">
        <f>MAXA(B8:S8)</f>
        <v>14</v>
      </c>
      <c r="W8" s="31">
        <f>V8-U8</f>
        <v>11</v>
      </c>
      <c r="X8" s="32"/>
    </row>
    <row r="9" spans="1:24" ht="14.1" customHeight="1" x14ac:dyDescent="0.15">
      <c r="A9" s="5" t="s">
        <v>48</v>
      </c>
      <c r="B9" s="5">
        <v>10</v>
      </c>
      <c r="C9" s="5">
        <v>8</v>
      </c>
      <c r="D9" s="5">
        <v>13</v>
      </c>
      <c r="E9" s="31">
        <v>8</v>
      </c>
      <c r="F9" s="31">
        <v>9</v>
      </c>
      <c r="G9" s="31">
        <v>6</v>
      </c>
      <c r="H9" s="31">
        <v>5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9">
        <f>AVERAGE(B9:S9)</f>
        <v>8.4285714285714288</v>
      </c>
      <c r="U9" s="31">
        <f>MINA(B9:S9)</f>
        <v>5</v>
      </c>
      <c r="V9" s="31">
        <f>MAXA(B9:S9)</f>
        <v>13</v>
      </c>
      <c r="W9" s="31">
        <f>V9-U9</f>
        <v>8</v>
      </c>
      <c r="X9" s="32"/>
    </row>
    <row r="10" spans="1:24" ht="14.1" customHeight="1" x14ac:dyDescent="0.15">
      <c r="A10" s="5" t="s">
        <v>88</v>
      </c>
      <c r="B10" s="5">
        <v>9</v>
      </c>
      <c r="C10" s="5">
        <v>14</v>
      </c>
      <c r="D10" s="5">
        <v>10</v>
      </c>
      <c r="E10" s="31">
        <v>11</v>
      </c>
      <c r="F10" s="31">
        <v>7</v>
      </c>
      <c r="G10" s="31">
        <v>11</v>
      </c>
      <c r="H10" s="31">
        <v>12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9">
        <f>AVERAGE(B10:S10)</f>
        <v>10.571428571428571</v>
      </c>
      <c r="U10" s="31">
        <f>MINA(B10:S10)</f>
        <v>7</v>
      </c>
      <c r="V10" s="31">
        <f>MAXA(B10:S10)</f>
        <v>14</v>
      </c>
      <c r="W10" s="31">
        <f>V10-U10</f>
        <v>7</v>
      </c>
      <c r="X10" s="32"/>
    </row>
    <row r="11" spans="1:24" ht="14.1" customHeight="1" x14ac:dyDescent="0.15">
      <c r="A11" s="5" t="s">
        <v>92</v>
      </c>
      <c r="B11" s="5">
        <v>13</v>
      </c>
      <c r="C11" s="5">
        <v>10</v>
      </c>
      <c r="D11" s="5">
        <v>8</v>
      </c>
      <c r="E11" s="31">
        <v>10</v>
      </c>
      <c r="F11" s="31">
        <v>10</v>
      </c>
      <c r="G11" s="31">
        <v>13</v>
      </c>
      <c r="H11" s="31">
        <v>15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9">
        <f>AVERAGE(B11:S11)</f>
        <v>11.285714285714286</v>
      </c>
      <c r="U11" s="31">
        <f>MINA(B11:S11)</f>
        <v>8</v>
      </c>
      <c r="V11" s="31">
        <f>MAXA(B11:S11)</f>
        <v>15</v>
      </c>
      <c r="W11" s="31">
        <f>V11-U11</f>
        <v>7</v>
      </c>
      <c r="X11" s="32"/>
    </row>
    <row r="12" spans="1:24" ht="14.1" customHeight="1" x14ac:dyDescent="0.15">
      <c r="A12" s="5" t="s">
        <v>34</v>
      </c>
      <c r="B12" s="5">
        <v>19</v>
      </c>
      <c r="C12" s="5">
        <v>19</v>
      </c>
      <c r="D12" s="5">
        <v>12</v>
      </c>
      <c r="E12" s="31">
        <v>5</v>
      </c>
      <c r="F12" s="31">
        <v>4</v>
      </c>
      <c r="G12" s="31">
        <v>10</v>
      </c>
      <c r="H12" s="31">
        <v>11</v>
      </c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9">
        <f>AVERAGE(B12:S12)</f>
        <v>11.428571428571429</v>
      </c>
      <c r="U12" s="31">
        <f>MINA(B12:S12)</f>
        <v>4</v>
      </c>
      <c r="V12" s="31">
        <f>MAXA(B12:S12)</f>
        <v>19</v>
      </c>
      <c r="W12" s="31">
        <f>V12-U12</f>
        <v>15</v>
      </c>
      <c r="X12" s="32"/>
    </row>
    <row r="13" spans="1:24" ht="14.1" customHeight="1" x14ac:dyDescent="0.15">
      <c r="A13" s="5" t="s">
        <v>58</v>
      </c>
      <c r="B13" s="5">
        <v>8</v>
      </c>
      <c r="C13" s="5">
        <v>7</v>
      </c>
      <c r="D13" s="5">
        <v>9</v>
      </c>
      <c r="E13" s="31">
        <v>17</v>
      </c>
      <c r="F13" s="31">
        <v>14</v>
      </c>
      <c r="G13" s="31">
        <v>16</v>
      </c>
      <c r="H13" s="31">
        <v>14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9">
        <f>AVERAGE(B13:S13)</f>
        <v>12.142857142857142</v>
      </c>
      <c r="U13" s="31">
        <f>MINA(B13:S13)</f>
        <v>7</v>
      </c>
      <c r="V13" s="31">
        <f>MAXA(B13:S13)</f>
        <v>17</v>
      </c>
      <c r="W13" s="31">
        <f>V13-U13</f>
        <v>10</v>
      </c>
      <c r="X13" s="32"/>
    </row>
    <row r="14" spans="1:24" ht="14.1" customHeight="1" x14ac:dyDescent="0.15">
      <c r="A14" s="5" t="s">
        <v>90</v>
      </c>
      <c r="B14" s="5">
        <v>7</v>
      </c>
      <c r="C14" s="5">
        <v>12</v>
      </c>
      <c r="D14" s="5">
        <v>11</v>
      </c>
      <c r="E14" s="31">
        <v>16</v>
      </c>
      <c r="F14" s="31">
        <v>16</v>
      </c>
      <c r="G14" s="31">
        <v>8</v>
      </c>
      <c r="H14" s="31">
        <v>17</v>
      </c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9">
        <f>AVERAGE(B14:S14)</f>
        <v>12.428571428571429</v>
      </c>
      <c r="U14" s="31">
        <f>MINA(B14:S14)</f>
        <v>7</v>
      </c>
      <c r="V14" s="31">
        <f>MAXA(B14:S14)</f>
        <v>17</v>
      </c>
      <c r="W14" s="31">
        <f>V14-U14</f>
        <v>10</v>
      </c>
      <c r="X14" s="32"/>
    </row>
    <row r="15" spans="1:24" ht="14.1" customHeight="1" x14ac:dyDescent="0.15">
      <c r="A15" s="5" t="s">
        <v>55</v>
      </c>
      <c r="B15" s="5">
        <v>15</v>
      </c>
      <c r="C15" s="5">
        <v>13</v>
      </c>
      <c r="D15" s="5">
        <v>15</v>
      </c>
      <c r="E15" s="31">
        <v>13</v>
      </c>
      <c r="F15" s="31">
        <v>11</v>
      </c>
      <c r="G15" s="31">
        <v>12</v>
      </c>
      <c r="H15" s="31">
        <v>20</v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9">
        <f>AVERAGE(B15:S15)</f>
        <v>14.142857142857142</v>
      </c>
      <c r="U15" s="31">
        <f>MINA(B15:S15)</f>
        <v>11</v>
      </c>
      <c r="V15" s="31">
        <f>MAXA(B15:S15)</f>
        <v>20</v>
      </c>
      <c r="W15" s="31">
        <f>V15-U15</f>
        <v>9</v>
      </c>
      <c r="X15" s="32"/>
    </row>
    <row r="16" spans="1:24" ht="14.1" customHeight="1" x14ac:dyDescent="0.15">
      <c r="A16" s="5" t="s">
        <v>96</v>
      </c>
      <c r="B16" s="5">
        <v>21</v>
      </c>
      <c r="C16" s="5">
        <v>24</v>
      </c>
      <c r="D16" s="5">
        <v>19</v>
      </c>
      <c r="E16" s="31">
        <v>12</v>
      </c>
      <c r="F16" s="31">
        <v>20</v>
      </c>
      <c r="G16" s="31">
        <v>18</v>
      </c>
      <c r="H16" s="31">
        <v>7</v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9">
        <f>AVERAGE(B16:S16)</f>
        <v>17.285714285714285</v>
      </c>
      <c r="U16" s="31">
        <f>MINA(B16:S16)</f>
        <v>7</v>
      </c>
      <c r="V16" s="31">
        <f>MAXA(B16:S16)</f>
        <v>24</v>
      </c>
      <c r="W16" s="31">
        <f>V16-U16</f>
        <v>17</v>
      </c>
      <c r="X16" s="32"/>
    </row>
    <row r="17" spans="1:24" ht="14.1" customHeight="1" x14ac:dyDescent="0.15">
      <c r="A17" s="5" t="s">
        <v>61</v>
      </c>
      <c r="B17" s="5">
        <v>11</v>
      </c>
      <c r="C17" s="5">
        <v>11</v>
      </c>
      <c r="D17" s="5">
        <v>14</v>
      </c>
      <c r="E17" s="31">
        <v>19</v>
      </c>
      <c r="F17" s="31">
        <v>23</v>
      </c>
      <c r="G17" s="31">
        <v>23</v>
      </c>
      <c r="H17" s="31">
        <v>21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9">
        <f>AVERAGE(B17:S17)</f>
        <v>17.428571428571427</v>
      </c>
      <c r="U17" s="31">
        <f>MINA(B17:S17)</f>
        <v>11</v>
      </c>
      <c r="V17" s="31">
        <f>MAXA(B17:S17)</f>
        <v>23</v>
      </c>
      <c r="W17" s="31">
        <f>V17-U17</f>
        <v>12</v>
      </c>
      <c r="X17" s="32"/>
    </row>
    <row r="18" spans="1:24" ht="14.1" customHeight="1" x14ac:dyDescent="0.15">
      <c r="A18" s="5" t="s">
        <v>51</v>
      </c>
      <c r="B18" s="5">
        <v>20</v>
      </c>
      <c r="C18" s="5">
        <v>22</v>
      </c>
      <c r="D18" s="5">
        <v>21</v>
      </c>
      <c r="E18" s="31">
        <v>15</v>
      </c>
      <c r="F18" s="31">
        <v>13</v>
      </c>
      <c r="G18" s="31">
        <v>15</v>
      </c>
      <c r="H18" s="31">
        <v>19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9">
        <f>AVERAGE(B18:S18)</f>
        <v>17.857142857142858</v>
      </c>
      <c r="U18" s="31">
        <f>MINA(B18:S18)</f>
        <v>13</v>
      </c>
      <c r="V18" s="31">
        <f>MAXA(B18:S18)</f>
        <v>22</v>
      </c>
      <c r="W18" s="31">
        <f>V18-U18</f>
        <v>9</v>
      </c>
      <c r="X18" s="32"/>
    </row>
    <row r="19" spans="1:24" ht="14.1" customHeight="1" x14ac:dyDescent="0.15">
      <c r="A19" s="5" t="s">
        <v>104</v>
      </c>
      <c r="B19" s="5">
        <v>25</v>
      </c>
      <c r="C19" s="5">
        <v>17</v>
      </c>
      <c r="D19" s="5">
        <v>18</v>
      </c>
      <c r="E19" s="31">
        <v>21</v>
      </c>
      <c r="F19" s="31">
        <v>15</v>
      </c>
      <c r="G19" s="31">
        <v>19</v>
      </c>
      <c r="H19" s="31">
        <v>13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9">
        <f>AVERAGE(B19:S19)</f>
        <v>18.285714285714285</v>
      </c>
      <c r="U19" s="31">
        <f>MINA(B19:S19)</f>
        <v>13</v>
      </c>
      <c r="V19" s="31">
        <f>MAXA(B19:S19)</f>
        <v>25</v>
      </c>
      <c r="W19" s="31">
        <f>V19-U19</f>
        <v>12</v>
      </c>
      <c r="X19" s="32"/>
    </row>
    <row r="20" spans="1:24" ht="14.1" customHeight="1" x14ac:dyDescent="0.15">
      <c r="A20" s="5" t="s">
        <v>46</v>
      </c>
      <c r="B20" s="5">
        <v>16</v>
      </c>
      <c r="C20" s="5">
        <v>20</v>
      </c>
      <c r="D20" s="5">
        <v>16</v>
      </c>
      <c r="E20" s="31">
        <v>20</v>
      </c>
      <c r="F20" s="31">
        <v>21</v>
      </c>
      <c r="G20" s="31">
        <v>24</v>
      </c>
      <c r="H20" s="31">
        <v>26</v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9">
        <f>AVERAGE(B20:S20)</f>
        <v>20.428571428571427</v>
      </c>
      <c r="U20" s="31">
        <f>MINA(B20:S20)</f>
        <v>16</v>
      </c>
      <c r="V20" s="31">
        <f>MAXA(B20:S20)</f>
        <v>26</v>
      </c>
      <c r="W20" s="31">
        <f>V20-U20</f>
        <v>10</v>
      </c>
      <c r="X20" s="32"/>
    </row>
    <row r="21" spans="1:24" ht="14.1" customHeight="1" x14ac:dyDescent="0.15">
      <c r="A21" s="5" t="s">
        <v>84</v>
      </c>
      <c r="B21" s="5">
        <v>22</v>
      </c>
      <c r="C21" s="5">
        <v>16</v>
      </c>
      <c r="D21" s="5">
        <v>17</v>
      </c>
      <c r="E21" s="31">
        <v>18</v>
      </c>
      <c r="F21" s="31">
        <v>22</v>
      </c>
      <c r="G21" s="31">
        <v>28</v>
      </c>
      <c r="H21" s="31">
        <v>23</v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9">
        <f>AVERAGE(B21:S21)</f>
        <v>20.857142857142858</v>
      </c>
      <c r="U21" s="31">
        <f>MINA(B21:S21)</f>
        <v>16</v>
      </c>
      <c r="V21" s="31">
        <f>MAXA(B21:S21)</f>
        <v>28</v>
      </c>
      <c r="W21" s="31">
        <f>V21-U21</f>
        <v>12</v>
      </c>
      <c r="X21" s="32"/>
    </row>
    <row r="22" spans="1:24" ht="14.1" customHeight="1" x14ac:dyDescent="0.15">
      <c r="A22" s="5" t="s">
        <v>43</v>
      </c>
      <c r="B22" s="5">
        <v>23</v>
      </c>
      <c r="C22" s="5">
        <v>25</v>
      </c>
      <c r="D22" s="5">
        <v>20</v>
      </c>
      <c r="E22" s="31">
        <v>14</v>
      </c>
      <c r="F22" s="31">
        <v>18</v>
      </c>
      <c r="G22" s="31">
        <v>26</v>
      </c>
      <c r="H22" s="31">
        <v>24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9">
        <f>AVERAGE(B22:S22)</f>
        <v>21.428571428571427</v>
      </c>
      <c r="U22" s="31">
        <f>MINA(B22:S22)</f>
        <v>14</v>
      </c>
      <c r="V22" s="31">
        <f>MAXA(B22:S22)</f>
        <v>26</v>
      </c>
      <c r="W22" s="31">
        <f>V22-U22</f>
        <v>12</v>
      </c>
      <c r="X22" s="32"/>
    </row>
    <row r="23" spans="1:24" ht="14.1" customHeight="1" x14ac:dyDescent="0.15">
      <c r="A23" s="5" t="s">
        <v>76</v>
      </c>
      <c r="B23" s="5">
        <v>31</v>
      </c>
      <c r="C23" s="5">
        <v>30</v>
      </c>
      <c r="D23" s="5">
        <v>30</v>
      </c>
      <c r="E23" s="31">
        <v>26</v>
      </c>
      <c r="F23" s="31">
        <v>17</v>
      </c>
      <c r="G23" s="31">
        <v>9</v>
      </c>
      <c r="H23" s="31">
        <v>10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9">
        <f>AVERAGE(B23:S23)</f>
        <v>21.857142857142858</v>
      </c>
      <c r="U23" s="31">
        <f>MINA(B23:S23)</f>
        <v>9</v>
      </c>
      <c r="V23" s="31">
        <f>MAXA(B23:S23)</f>
        <v>31</v>
      </c>
      <c r="W23" s="31">
        <f>V23-U23</f>
        <v>22</v>
      </c>
      <c r="X23" s="32"/>
    </row>
    <row r="24" spans="1:24" ht="14.1" customHeight="1" x14ac:dyDescent="0.15">
      <c r="A24" s="5" t="s">
        <v>98</v>
      </c>
      <c r="B24" s="5">
        <v>28</v>
      </c>
      <c r="C24" s="5">
        <v>26</v>
      </c>
      <c r="D24" s="5">
        <v>22</v>
      </c>
      <c r="E24" s="31">
        <v>25</v>
      </c>
      <c r="F24" s="31">
        <v>19</v>
      </c>
      <c r="G24" s="31">
        <v>17</v>
      </c>
      <c r="H24" s="31">
        <v>18</v>
      </c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9">
        <f>AVERAGE(B24:S24)</f>
        <v>22.142857142857142</v>
      </c>
      <c r="U24" s="31">
        <f>MINA(B24:S24)</f>
        <v>17</v>
      </c>
      <c r="V24" s="31">
        <f>MAXA(B24:S24)</f>
        <v>28</v>
      </c>
      <c r="W24" s="31">
        <f>V24-U24</f>
        <v>11</v>
      </c>
      <c r="X24" s="32"/>
    </row>
    <row r="25" spans="1:24" ht="14.1" customHeight="1" x14ac:dyDescent="0.15">
      <c r="A25" s="5" t="s">
        <v>80</v>
      </c>
      <c r="B25" s="5">
        <v>14</v>
      </c>
      <c r="C25" s="5">
        <v>15</v>
      </c>
      <c r="D25" s="5">
        <v>23</v>
      </c>
      <c r="E25" s="31">
        <v>30</v>
      </c>
      <c r="F25" s="31">
        <v>30</v>
      </c>
      <c r="G25" s="31">
        <v>22</v>
      </c>
      <c r="H25" s="31">
        <v>22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9">
        <f>AVERAGE(B25:S25)</f>
        <v>22.285714285714285</v>
      </c>
      <c r="U25" s="31">
        <f>MINA(B25:S25)</f>
        <v>14</v>
      </c>
      <c r="V25" s="31">
        <f>MAXA(B25:S25)</f>
        <v>30</v>
      </c>
      <c r="W25" s="31">
        <f>V25-U25</f>
        <v>16</v>
      </c>
      <c r="X25" s="32"/>
    </row>
    <row r="26" spans="1:24" ht="14.1" customHeight="1" x14ac:dyDescent="0.15">
      <c r="A26" s="5" t="s">
        <v>72</v>
      </c>
      <c r="B26" s="5">
        <v>17</v>
      </c>
      <c r="C26" s="5">
        <v>18</v>
      </c>
      <c r="D26" s="5">
        <v>26</v>
      </c>
      <c r="E26" s="31">
        <v>22</v>
      </c>
      <c r="F26" s="31">
        <v>24</v>
      </c>
      <c r="G26" s="31">
        <v>29</v>
      </c>
      <c r="H26" s="31">
        <v>32</v>
      </c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9">
        <f>AVERAGE(B26:S26)</f>
        <v>24</v>
      </c>
      <c r="U26" s="31">
        <f>MINA(B26:S26)</f>
        <v>17</v>
      </c>
      <c r="V26" s="31">
        <f>MAXA(B26:S26)</f>
        <v>32</v>
      </c>
      <c r="W26" s="31">
        <f>V26-U26</f>
        <v>15</v>
      </c>
      <c r="X26" s="32"/>
    </row>
    <row r="27" spans="1:24" ht="14.1" customHeight="1" x14ac:dyDescent="0.15">
      <c r="A27" s="5" t="s">
        <v>74</v>
      </c>
      <c r="B27" s="5">
        <v>26</v>
      </c>
      <c r="C27" s="5">
        <v>28</v>
      </c>
      <c r="D27" s="5">
        <v>24</v>
      </c>
      <c r="E27" s="31">
        <v>28</v>
      </c>
      <c r="F27" s="31">
        <v>28</v>
      </c>
      <c r="G27" s="31">
        <v>20</v>
      </c>
      <c r="H27" s="31">
        <v>16</v>
      </c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9">
        <f>AVERAGE(B27:S27)</f>
        <v>24.285714285714285</v>
      </c>
      <c r="U27" s="31">
        <f>MINA(B27:S27)</f>
        <v>16</v>
      </c>
      <c r="V27" s="31">
        <f>MAXA(B27:S27)</f>
        <v>28</v>
      </c>
      <c r="W27" s="31">
        <f>V27-U27</f>
        <v>12</v>
      </c>
      <c r="X27" s="32"/>
    </row>
    <row r="28" spans="1:24" ht="14.1" customHeight="1" x14ac:dyDescent="0.15">
      <c r="A28" s="5" t="s">
        <v>102</v>
      </c>
      <c r="B28" s="5">
        <v>18</v>
      </c>
      <c r="C28" s="5">
        <v>21</v>
      </c>
      <c r="D28" s="5">
        <v>27</v>
      </c>
      <c r="E28" s="31">
        <v>23</v>
      </c>
      <c r="F28" s="31">
        <v>26</v>
      </c>
      <c r="G28" s="31">
        <v>30</v>
      </c>
      <c r="H28" s="31">
        <v>27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9">
        <f>AVERAGE(B28:S28)</f>
        <v>24.571428571428573</v>
      </c>
      <c r="U28" s="31">
        <f>MINA(B28:S28)</f>
        <v>18</v>
      </c>
      <c r="V28" s="31">
        <f>MAXA(B28:S28)</f>
        <v>30</v>
      </c>
      <c r="W28" s="31">
        <f>V28-U28</f>
        <v>12</v>
      </c>
      <c r="X28" s="32"/>
    </row>
    <row r="29" spans="1:24" ht="14.1" customHeight="1" x14ac:dyDescent="0.15">
      <c r="A29" s="5" t="s">
        <v>100</v>
      </c>
      <c r="B29" s="5">
        <v>24</v>
      </c>
      <c r="C29" s="5">
        <v>23</v>
      </c>
      <c r="D29" s="5">
        <v>25</v>
      </c>
      <c r="E29" s="31">
        <v>27</v>
      </c>
      <c r="F29" s="31">
        <v>27</v>
      </c>
      <c r="G29" s="31">
        <v>27</v>
      </c>
      <c r="H29" s="31">
        <v>25</v>
      </c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9">
        <f>AVERAGE(B29:S29)</f>
        <v>25.428571428571427</v>
      </c>
      <c r="U29" s="31">
        <f>MINA(B29:S29)</f>
        <v>23</v>
      </c>
      <c r="V29" s="31">
        <f>MAXA(B29:S29)</f>
        <v>27</v>
      </c>
      <c r="W29" s="31">
        <f>V29-U29</f>
        <v>4</v>
      </c>
      <c r="X29" s="32"/>
    </row>
    <row r="30" spans="1:24" ht="14.1" customHeight="1" x14ac:dyDescent="0.15">
      <c r="A30" s="5" t="s">
        <v>86</v>
      </c>
      <c r="B30" s="5">
        <v>27</v>
      </c>
      <c r="C30" s="5">
        <v>27</v>
      </c>
      <c r="D30" s="5">
        <v>28</v>
      </c>
      <c r="E30" s="31">
        <v>24</v>
      </c>
      <c r="F30" s="31">
        <v>25</v>
      </c>
      <c r="G30" s="31">
        <v>25</v>
      </c>
      <c r="H30" s="31">
        <v>29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9">
        <f>AVERAGE(B30:S30)</f>
        <v>26.428571428571427</v>
      </c>
      <c r="U30" s="31">
        <f>MINA(B30:S30)</f>
        <v>24</v>
      </c>
      <c r="V30" s="31">
        <f>MAXA(B30:S30)</f>
        <v>29</v>
      </c>
      <c r="W30" s="31">
        <f>V30-U30</f>
        <v>5</v>
      </c>
      <c r="X30" s="32"/>
    </row>
    <row r="31" spans="1:24" ht="14.1" customHeight="1" x14ac:dyDescent="0.15">
      <c r="A31" s="5" t="s">
        <v>68</v>
      </c>
      <c r="B31" s="5">
        <v>32</v>
      </c>
      <c r="C31" s="5">
        <v>32</v>
      </c>
      <c r="D31" s="5">
        <v>29</v>
      </c>
      <c r="E31" s="31">
        <v>31</v>
      </c>
      <c r="F31" s="31">
        <v>31</v>
      </c>
      <c r="G31" s="31">
        <v>21</v>
      </c>
      <c r="H31" s="31">
        <v>28</v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9">
        <f>AVERAGE(B31:S31)</f>
        <v>29.142857142857142</v>
      </c>
      <c r="U31" s="31">
        <f>MINA(B31:S31)</f>
        <v>21</v>
      </c>
      <c r="V31" s="31">
        <f>MAXA(B31:S31)</f>
        <v>32</v>
      </c>
      <c r="W31" s="31">
        <f>V31-U31</f>
        <v>11</v>
      </c>
      <c r="X31" s="32"/>
    </row>
    <row r="32" spans="1:24" ht="14.1" customHeight="1" x14ac:dyDescent="0.15">
      <c r="A32" s="5" t="s">
        <v>70</v>
      </c>
      <c r="B32" s="5">
        <v>29</v>
      </c>
      <c r="C32" s="5">
        <v>29</v>
      </c>
      <c r="D32" s="5">
        <v>31</v>
      </c>
      <c r="E32" s="31">
        <v>29</v>
      </c>
      <c r="F32" s="31">
        <v>29</v>
      </c>
      <c r="G32" s="31">
        <v>31</v>
      </c>
      <c r="H32" s="31">
        <v>31</v>
      </c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9">
        <f>AVERAGE(B32:S32)</f>
        <v>29.857142857142858</v>
      </c>
      <c r="U32" s="31">
        <f>MINA(B32:S32)</f>
        <v>29</v>
      </c>
      <c r="V32" s="31">
        <f>MAXA(B32:S32)</f>
        <v>31</v>
      </c>
      <c r="W32" s="31">
        <f>V32-U32</f>
        <v>2</v>
      </c>
      <c r="X32" s="32"/>
    </row>
    <row r="33" spans="1:24" ht="14.1" customHeight="1" x14ac:dyDescent="0.15">
      <c r="A33" s="5" t="s">
        <v>53</v>
      </c>
      <c r="B33" s="5">
        <v>30</v>
      </c>
      <c r="C33" s="5">
        <v>31</v>
      </c>
      <c r="D33" s="5">
        <v>32</v>
      </c>
      <c r="E33" s="31">
        <v>32</v>
      </c>
      <c r="F33" s="31">
        <v>32</v>
      </c>
      <c r="G33" s="31">
        <v>32</v>
      </c>
      <c r="H33" s="31">
        <v>30</v>
      </c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9">
        <f>AVERAGE(B33:S33)</f>
        <v>31.285714285714285</v>
      </c>
      <c r="U33" s="31">
        <f>MINA(B33:S33)</f>
        <v>30</v>
      </c>
      <c r="V33" s="31">
        <f>MAXA(B33:S33)</f>
        <v>32</v>
      </c>
      <c r="W33" s="31">
        <f>V33-U33</f>
        <v>2</v>
      </c>
      <c r="X33" s="32"/>
    </row>
  </sheetData>
  <autoFilter ref="A1:X1">
    <sortState ref="A2:X33">
      <sortCondition ref="T1"/>
    </sortState>
  </autoFilter>
  <conditionalFormatting sqref="B2:S33">
    <cfRule type="cellIs" dxfId="4" priority="1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U34"/>
  <sheetViews>
    <sheetView workbookViewId="0">
      <pane ySplit="2" topLeftCell="A3" activePane="bottomLeft" state="frozen"/>
      <selection activeCell="AG2" sqref="AG2:AG33"/>
      <selection pane="bottomLeft" activeCell="AG2" sqref="AG2:AG33"/>
    </sheetView>
  </sheetViews>
  <sheetFormatPr defaultRowHeight="10.5" x14ac:dyDescent="0.15"/>
  <cols>
    <col min="1" max="1" width="26.33203125" style="6" customWidth="1"/>
    <col min="2" max="6" width="6.83203125" style="6" customWidth="1"/>
    <col min="7" max="7" width="6.83203125" style="35" customWidth="1"/>
    <col min="8" max="11" width="6.83203125" style="6" customWidth="1"/>
    <col min="12" max="14" width="6.83203125" style="36" customWidth="1"/>
    <col min="15" max="15" width="6.83203125" style="35" customWidth="1"/>
    <col min="16" max="16" width="6.83203125" style="36" customWidth="1"/>
    <col min="17" max="17" width="6.83203125" style="35" customWidth="1"/>
    <col min="18" max="18" width="6.83203125" style="36" customWidth="1"/>
    <col min="19" max="19" width="6.83203125" style="6" customWidth="1"/>
    <col min="20" max="20" width="6.83203125" style="36" customWidth="1"/>
    <col min="21" max="21" width="6.83203125" style="6" customWidth="1"/>
    <col min="22" max="22" width="7.1640625" style="6" customWidth="1"/>
    <col min="23" max="24" width="6.83203125" style="6" customWidth="1"/>
    <col min="25" max="25" width="9" style="37" customWidth="1"/>
    <col min="26" max="26" width="6.83203125" style="6" customWidth="1"/>
    <col min="27" max="27" width="6.83203125" style="37" customWidth="1"/>
    <col min="28" max="36" width="6.83203125" style="6" customWidth="1"/>
    <col min="37" max="44" width="9.33203125" style="6"/>
    <col min="45" max="45" width="20" style="6" bestFit="1" customWidth="1"/>
    <col min="46" max="256" width="9.33203125" style="6"/>
    <col min="257" max="257" width="26.33203125" style="6" customWidth="1"/>
    <col min="258" max="277" width="6.83203125" style="6" customWidth="1"/>
    <col min="278" max="278" width="7.1640625" style="6" customWidth="1"/>
    <col min="279" max="280" width="6.83203125" style="6" customWidth="1"/>
    <col min="281" max="281" width="9" style="6" customWidth="1"/>
    <col min="282" max="292" width="6.83203125" style="6" customWidth="1"/>
    <col min="293" max="512" width="9.33203125" style="6"/>
    <col min="513" max="513" width="26.33203125" style="6" customWidth="1"/>
    <col min="514" max="533" width="6.83203125" style="6" customWidth="1"/>
    <col min="534" max="534" width="7.1640625" style="6" customWidth="1"/>
    <col min="535" max="536" width="6.83203125" style="6" customWidth="1"/>
    <col min="537" max="537" width="9" style="6" customWidth="1"/>
    <col min="538" max="548" width="6.83203125" style="6" customWidth="1"/>
    <col min="549" max="768" width="9.33203125" style="6"/>
    <col min="769" max="769" width="26.33203125" style="6" customWidth="1"/>
    <col min="770" max="789" width="6.83203125" style="6" customWidth="1"/>
    <col min="790" max="790" width="7.1640625" style="6" customWidth="1"/>
    <col min="791" max="792" width="6.83203125" style="6" customWidth="1"/>
    <col min="793" max="793" width="9" style="6" customWidth="1"/>
    <col min="794" max="804" width="6.83203125" style="6" customWidth="1"/>
    <col min="805" max="1024" width="9.33203125" style="6"/>
    <col min="1025" max="1025" width="26.33203125" style="6" customWidth="1"/>
    <col min="1026" max="1045" width="6.83203125" style="6" customWidth="1"/>
    <col min="1046" max="1046" width="7.1640625" style="6" customWidth="1"/>
    <col min="1047" max="1048" width="6.83203125" style="6" customWidth="1"/>
    <col min="1049" max="1049" width="9" style="6" customWidth="1"/>
    <col min="1050" max="1060" width="6.83203125" style="6" customWidth="1"/>
    <col min="1061" max="1280" width="9.33203125" style="6"/>
    <col min="1281" max="1281" width="26.33203125" style="6" customWidth="1"/>
    <col min="1282" max="1301" width="6.83203125" style="6" customWidth="1"/>
    <col min="1302" max="1302" width="7.1640625" style="6" customWidth="1"/>
    <col min="1303" max="1304" width="6.83203125" style="6" customWidth="1"/>
    <col min="1305" max="1305" width="9" style="6" customWidth="1"/>
    <col min="1306" max="1316" width="6.83203125" style="6" customWidth="1"/>
    <col min="1317" max="1536" width="9.33203125" style="6"/>
    <col min="1537" max="1537" width="26.33203125" style="6" customWidth="1"/>
    <col min="1538" max="1557" width="6.83203125" style="6" customWidth="1"/>
    <col min="1558" max="1558" width="7.1640625" style="6" customWidth="1"/>
    <col min="1559" max="1560" width="6.83203125" style="6" customWidth="1"/>
    <col min="1561" max="1561" width="9" style="6" customWidth="1"/>
    <col min="1562" max="1572" width="6.83203125" style="6" customWidth="1"/>
    <col min="1573" max="1792" width="9.33203125" style="6"/>
    <col min="1793" max="1793" width="26.33203125" style="6" customWidth="1"/>
    <col min="1794" max="1813" width="6.83203125" style="6" customWidth="1"/>
    <col min="1814" max="1814" width="7.1640625" style="6" customWidth="1"/>
    <col min="1815" max="1816" width="6.83203125" style="6" customWidth="1"/>
    <col min="1817" max="1817" width="9" style="6" customWidth="1"/>
    <col min="1818" max="1828" width="6.83203125" style="6" customWidth="1"/>
    <col min="1829" max="2048" width="9.33203125" style="6"/>
    <col min="2049" max="2049" width="26.33203125" style="6" customWidth="1"/>
    <col min="2050" max="2069" width="6.83203125" style="6" customWidth="1"/>
    <col min="2070" max="2070" width="7.1640625" style="6" customWidth="1"/>
    <col min="2071" max="2072" width="6.83203125" style="6" customWidth="1"/>
    <col min="2073" max="2073" width="9" style="6" customWidth="1"/>
    <col min="2074" max="2084" width="6.83203125" style="6" customWidth="1"/>
    <col min="2085" max="2304" width="9.33203125" style="6"/>
    <col min="2305" max="2305" width="26.33203125" style="6" customWidth="1"/>
    <col min="2306" max="2325" width="6.83203125" style="6" customWidth="1"/>
    <col min="2326" max="2326" width="7.1640625" style="6" customWidth="1"/>
    <col min="2327" max="2328" width="6.83203125" style="6" customWidth="1"/>
    <col min="2329" max="2329" width="9" style="6" customWidth="1"/>
    <col min="2330" max="2340" width="6.83203125" style="6" customWidth="1"/>
    <col min="2341" max="2560" width="9.33203125" style="6"/>
    <col min="2561" max="2561" width="26.33203125" style="6" customWidth="1"/>
    <col min="2562" max="2581" width="6.83203125" style="6" customWidth="1"/>
    <col min="2582" max="2582" width="7.1640625" style="6" customWidth="1"/>
    <col min="2583" max="2584" width="6.83203125" style="6" customWidth="1"/>
    <col min="2585" max="2585" width="9" style="6" customWidth="1"/>
    <col min="2586" max="2596" width="6.83203125" style="6" customWidth="1"/>
    <col min="2597" max="2816" width="9.33203125" style="6"/>
    <col min="2817" max="2817" width="26.33203125" style="6" customWidth="1"/>
    <col min="2818" max="2837" width="6.83203125" style="6" customWidth="1"/>
    <col min="2838" max="2838" width="7.1640625" style="6" customWidth="1"/>
    <col min="2839" max="2840" width="6.83203125" style="6" customWidth="1"/>
    <col min="2841" max="2841" width="9" style="6" customWidth="1"/>
    <col min="2842" max="2852" width="6.83203125" style="6" customWidth="1"/>
    <col min="2853" max="3072" width="9.33203125" style="6"/>
    <col min="3073" max="3073" width="26.33203125" style="6" customWidth="1"/>
    <col min="3074" max="3093" width="6.83203125" style="6" customWidth="1"/>
    <col min="3094" max="3094" width="7.1640625" style="6" customWidth="1"/>
    <col min="3095" max="3096" width="6.83203125" style="6" customWidth="1"/>
    <col min="3097" max="3097" width="9" style="6" customWidth="1"/>
    <col min="3098" max="3108" width="6.83203125" style="6" customWidth="1"/>
    <col min="3109" max="3328" width="9.33203125" style="6"/>
    <col min="3329" max="3329" width="26.33203125" style="6" customWidth="1"/>
    <col min="3330" max="3349" width="6.83203125" style="6" customWidth="1"/>
    <col min="3350" max="3350" width="7.1640625" style="6" customWidth="1"/>
    <col min="3351" max="3352" width="6.83203125" style="6" customWidth="1"/>
    <col min="3353" max="3353" width="9" style="6" customWidth="1"/>
    <col min="3354" max="3364" width="6.83203125" style="6" customWidth="1"/>
    <col min="3365" max="3584" width="9.33203125" style="6"/>
    <col min="3585" max="3585" width="26.33203125" style="6" customWidth="1"/>
    <col min="3586" max="3605" width="6.83203125" style="6" customWidth="1"/>
    <col min="3606" max="3606" width="7.1640625" style="6" customWidth="1"/>
    <col min="3607" max="3608" width="6.83203125" style="6" customWidth="1"/>
    <col min="3609" max="3609" width="9" style="6" customWidth="1"/>
    <col min="3610" max="3620" width="6.83203125" style="6" customWidth="1"/>
    <col min="3621" max="3840" width="9.33203125" style="6"/>
    <col min="3841" max="3841" width="26.33203125" style="6" customWidth="1"/>
    <col min="3842" max="3861" width="6.83203125" style="6" customWidth="1"/>
    <col min="3862" max="3862" width="7.1640625" style="6" customWidth="1"/>
    <col min="3863" max="3864" width="6.83203125" style="6" customWidth="1"/>
    <col min="3865" max="3865" width="9" style="6" customWidth="1"/>
    <col min="3866" max="3876" width="6.83203125" style="6" customWidth="1"/>
    <col min="3877" max="4096" width="9.33203125" style="6"/>
    <col min="4097" max="4097" width="26.33203125" style="6" customWidth="1"/>
    <col min="4098" max="4117" width="6.83203125" style="6" customWidth="1"/>
    <col min="4118" max="4118" width="7.1640625" style="6" customWidth="1"/>
    <col min="4119" max="4120" width="6.83203125" style="6" customWidth="1"/>
    <col min="4121" max="4121" width="9" style="6" customWidth="1"/>
    <col min="4122" max="4132" width="6.83203125" style="6" customWidth="1"/>
    <col min="4133" max="4352" width="9.33203125" style="6"/>
    <col min="4353" max="4353" width="26.33203125" style="6" customWidth="1"/>
    <col min="4354" max="4373" width="6.83203125" style="6" customWidth="1"/>
    <col min="4374" max="4374" width="7.1640625" style="6" customWidth="1"/>
    <col min="4375" max="4376" width="6.83203125" style="6" customWidth="1"/>
    <col min="4377" max="4377" width="9" style="6" customWidth="1"/>
    <col min="4378" max="4388" width="6.83203125" style="6" customWidth="1"/>
    <col min="4389" max="4608" width="9.33203125" style="6"/>
    <col min="4609" max="4609" width="26.33203125" style="6" customWidth="1"/>
    <col min="4610" max="4629" width="6.83203125" style="6" customWidth="1"/>
    <col min="4630" max="4630" width="7.1640625" style="6" customWidth="1"/>
    <col min="4631" max="4632" width="6.83203125" style="6" customWidth="1"/>
    <col min="4633" max="4633" width="9" style="6" customWidth="1"/>
    <col min="4634" max="4644" width="6.83203125" style="6" customWidth="1"/>
    <col min="4645" max="4864" width="9.33203125" style="6"/>
    <col min="4865" max="4865" width="26.33203125" style="6" customWidth="1"/>
    <col min="4866" max="4885" width="6.83203125" style="6" customWidth="1"/>
    <col min="4886" max="4886" width="7.1640625" style="6" customWidth="1"/>
    <col min="4887" max="4888" width="6.83203125" style="6" customWidth="1"/>
    <col min="4889" max="4889" width="9" style="6" customWidth="1"/>
    <col min="4890" max="4900" width="6.83203125" style="6" customWidth="1"/>
    <col min="4901" max="5120" width="9.33203125" style="6"/>
    <col min="5121" max="5121" width="26.33203125" style="6" customWidth="1"/>
    <col min="5122" max="5141" width="6.83203125" style="6" customWidth="1"/>
    <col min="5142" max="5142" width="7.1640625" style="6" customWidth="1"/>
    <col min="5143" max="5144" width="6.83203125" style="6" customWidth="1"/>
    <col min="5145" max="5145" width="9" style="6" customWidth="1"/>
    <col min="5146" max="5156" width="6.83203125" style="6" customWidth="1"/>
    <col min="5157" max="5376" width="9.33203125" style="6"/>
    <col min="5377" max="5377" width="26.33203125" style="6" customWidth="1"/>
    <col min="5378" max="5397" width="6.83203125" style="6" customWidth="1"/>
    <col min="5398" max="5398" width="7.1640625" style="6" customWidth="1"/>
    <col min="5399" max="5400" width="6.83203125" style="6" customWidth="1"/>
    <col min="5401" max="5401" width="9" style="6" customWidth="1"/>
    <col min="5402" max="5412" width="6.83203125" style="6" customWidth="1"/>
    <col min="5413" max="5632" width="9.33203125" style="6"/>
    <col min="5633" max="5633" width="26.33203125" style="6" customWidth="1"/>
    <col min="5634" max="5653" width="6.83203125" style="6" customWidth="1"/>
    <col min="5654" max="5654" width="7.1640625" style="6" customWidth="1"/>
    <col min="5655" max="5656" width="6.83203125" style="6" customWidth="1"/>
    <col min="5657" max="5657" width="9" style="6" customWidth="1"/>
    <col min="5658" max="5668" width="6.83203125" style="6" customWidth="1"/>
    <col min="5669" max="5888" width="9.33203125" style="6"/>
    <col min="5889" max="5889" width="26.33203125" style="6" customWidth="1"/>
    <col min="5890" max="5909" width="6.83203125" style="6" customWidth="1"/>
    <col min="5910" max="5910" width="7.1640625" style="6" customWidth="1"/>
    <col min="5911" max="5912" width="6.83203125" style="6" customWidth="1"/>
    <col min="5913" max="5913" width="9" style="6" customWidth="1"/>
    <col min="5914" max="5924" width="6.83203125" style="6" customWidth="1"/>
    <col min="5925" max="6144" width="9.33203125" style="6"/>
    <col min="6145" max="6145" width="26.33203125" style="6" customWidth="1"/>
    <col min="6146" max="6165" width="6.83203125" style="6" customWidth="1"/>
    <col min="6166" max="6166" width="7.1640625" style="6" customWidth="1"/>
    <col min="6167" max="6168" width="6.83203125" style="6" customWidth="1"/>
    <col min="6169" max="6169" width="9" style="6" customWidth="1"/>
    <col min="6170" max="6180" width="6.83203125" style="6" customWidth="1"/>
    <col min="6181" max="6400" width="9.33203125" style="6"/>
    <col min="6401" max="6401" width="26.33203125" style="6" customWidth="1"/>
    <col min="6402" max="6421" width="6.83203125" style="6" customWidth="1"/>
    <col min="6422" max="6422" width="7.1640625" style="6" customWidth="1"/>
    <col min="6423" max="6424" width="6.83203125" style="6" customWidth="1"/>
    <col min="6425" max="6425" width="9" style="6" customWidth="1"/>
    <col min="6426" max="6436" width="6.83203125" style="6" customWidth="1"/>
    <col min="6437" max="6656" width="9.33203125" style="6"/>
    <col min="6657" max="6657" width="26.33203125" style="6" customWidth="1"/>
    <col min="6658" max="6677" width="6.83203125" style="6" customWidth="1"/>
    <col min="6678" max="6678" width="7.1640625" style="6" customWidth="1"/>
    <col min="6679" max="6680" width="6.83203125" style="6" customWidth="1"/>
    <col min="6681" max="6681" width="9" style="6" customWidth="1"/>
    <col min="6682" max="6692" width="6.83203125" style="6" customWidth="1"/>
    <col min="6693" max="6912" width="9.33203125" style="6"/>
    <col min="6913" max="6913" width="26.33203125" style="6" customWidth="1"/>
    <col min="6914" max="6933" width="6.83203125" style="6" customWidth="1"/>
    <col min="6934" max="6934" width="7.1640625" style="6" customWidth="1"/>
    <col min="6935" max="6936" width="6.83203125" style="6" customWidth="1"/>
    <col min="6937" max="6937" width="9" style="6" customWidth="1"/>
    <col min="6938" max="6948" width="6.83203125" style="6" customWidth="1"/>
    <col min="6949" max="7168" width="9.33203125" style="6"/>
    <col min="7169" max="7169" width="26.33203125" style="6" customWidth="1"/>
    <col min="7170" max="7189" width="6.83203125" style="6" customWidth="1"/>
    <col min="7190" max="7190" width="7.1640625" style="6" customWidth="1"/>
    <col min="7191" max="7192" width="6.83203125" style="6" customWidth="1"/>
    <col min="7193" max="7193" width="9" style="6" customWidth="1"/>
    <col min="7194" max="7204" width="6.83203125" style="6" customWidth="1"/>
    <col min="7205" max="7424" width="9.33203125" style="6"/>
    <col min="7425" max="7425" width="26.33203125" style="6" customWidth="1"/>
    <col min="7426" max="7445" width="6.83203125" style="6" customWidth="1"/>
    <col min="7446" max="7446" width="7.1640625" style="6" customWidth="1"/>
    <col min="7447" max="7448" width="6.83203125" style="6" customWidth="1"/>
    <col min="7449" max="7449" width="9" style="6" customWidth="1"/>
    <col min="7450" max="7460" width="6.83203125" style="6" customWidth="1"/>
    <col min="7461" max="7680" width="9.33203125" style="6"/>
    <col min="7681" max="7681" width="26.33203125" style="6" customWidth="1"/>
    <col min="7682" max="7701" width="6.83203125" style="6" customWidth="1"/>
    <col min="7702" max="7702" width="7.1640625" style="6" customWidth="1"/>
    <col min="7703" max="7704" width="6.83203125" style="6" customWidth="1"/>
    <col min="7705" max="7705" width="9" style="6" customWidth="1"/>
    <col min="7706" max="7716" width="6.83203125" style="6" customWidth="1"/>
    <col min="7717" max="7936" width="9.33203125" style="6"/>
    <col min="7937" max="7937" width="26.33203125" style="6" customWidth="1"/>
    <col min="7938" max="7957" width="6.83203125" style="6" customWidth="1"/>
    <col min="7958" max="7958" width="7.1640625" style="6" customWidth="1"/>
    <col min="7959" max="7960" width="6.83203125" style="6" customWidth="1"/>
    <col min="7961" max="7961" width="9" style="6" customWidth="1"/>
    <col min="7962" max="7972" width="6.83203125" style="6" customWidth="1"/>
    <col min="7973" max="8192" width="9.33203125" style="6"/>
    <col min="8193" max="8193" width="26.33203125" style="6" customWidth="1"/>
    <col min="8194" max="8213" width="6.83203125" style="6" customWidth="1"/>
    <col min="8214" max="8214" width="7.1640625" style="6" customWidth="1"/>
    <col min="8215" max="8216" width="6.83203125" style="6" customWidth="1"/>
    <col min="8217" max="8217" width="9" style="6" customWidth="1"/>
    <col min="8218" max="8228" width="6.83203125" style="6" customWidth="1"/>
    <col min="8229" max="8448" width="9.33203125" style="6"/>
    <col min="8449" max="8449" width="26.33203125" style="6" customWidth="1"/>
    <col min="8450" max="8469" width="6.83203125" style="6" customWidth="1"/>
    <col min="8470" max="8470" width="7.1640625" style="6" customWidth="1"/>
    <col min="8471" max="8472" width="6.83203125" style="6" customWidth="1"/>
    <col min="8473" max="8473" width="9" style="6" customWidth="1"/>
    <col min="8474" max="8484" width="6.83203125" style="6" customWidth="1"/>
    <col min="8485" max="8704" width="9.33203125" style="6"/>
    <col min="8705" max="8705" width="26.33203125" style="6" customWidth="1"/>
    <col min="8706" max="8725" width="6.83203125" style="6" customWidth="1"/>
    <col min="8726" max="8726" width="7.1640625" style="6" customWidth="1"/>
    <col min="8727" max="8728" width="6.83203125" style="6" customWidth="1"/>
    <col min="8729" max="8729" width="9" style="6" customWidth="1"/>
    <col min="8730" max="8740" width="6.83203125" style="6" customWidth="1"/>
    <col min="8741" max="8960" width="9.33203125" style="6"/>
    <col min="8961" max="8961" width="26.33203125" style="6" customWidth="1"/>
    <col min="8962" max="8981" width="6.83203125" style="6" customWidth="1"/>
    <col min="8982" max="8982" width="7.1640625" style="6" customWidth="1"/>
    <col min="8983" max="8984" width="6.83203125" style="6" customWidth="1"/>
    <col min="8985" max="8985" width="9" style="6" customWidth="1"/>
    <col min="8986" max="8996" width="6.83203125" style="6" customWidth="1"/>
    <col min="8997" max="9216" width="9.33203125" style="6"/>
    <col min="9217" max="9217" width="26.33203125" style="6" customWidth="1"/>
    <col min="9218" max="9237" width="6.83203125" style="6" customWidth="1"/>
    <col min="9238" max="9238" width="7.1640625" style="6" customWidth="1"/>
    <col min="9239" max="9240" width="6.83203125" style="6" customWidth="1"/>
    <col min="9241" max="9241" width="9" style="6" customWidth="1"/>
    <col min="9242" max="9252" width="6.83203125" style="6" customWidth="1"/>
    <col min="9253" max="9472" width="9.33203125" style="6"/>
    <col min="9473" max="9473" width="26.33203125" style="6" customWidth="1"/>
    <col min="9474" max="9493" width="6.83203125" style="6" customWidth="1"/>
    <col min="9494" max="9494" width="7.1640625" style="6" customWidth="1"/>
    <col min="9495" max="9496" width="6.83203125" style="6" customWidth="1"/>
    <col min="9497" max="9497" width="9" style="6" customWidth="1"/>
    <col min="9498" max="9508" width="6.83203125" style="6" customWidth="1"/>
    <col min="9509" max="9728" width="9.33203125" style="6"/>
    <col min="9729" max="9729" width="26.33203125" style="6" customWidth="1"/>
    <col min="9730" max="9749" width="6.83203125" style="6" customWidth="1"/>
    <col min="9750" max="9750" width="7.1640625" style="6" customWidth="1"/>
    <col min="9751" max="9752" width="6.83203125" style="6" customWidth="1"/>
    <col min="9753" max="9753" width="9" style="6" customWidth="1"/>
    <col min="9754" max="9764" width="6.83203125" style="6" customWidth="1"/>
    <col min="9765" max="9984" width="9.33203125" style="6"/>
    <col min="9985" max="9985" width="26.33203125" style="6" customWidth="1"/>
    <col min="9986" max="10005" width="6.83203125" style="6" customWidth="1"/>
    <col min="10006" max="10006" width="7.1640625" style="6" customWidth="1"/>
    <col min="10007" max="10008" width="6.83203125" style="6" customWidth="1"/>
    <col min="10009" max="10009" width="9" style="6" customWidth="1"/>
    <col min="10010" max="10020" width="6.83203125" style="6" customWidth="1"/>
    <col min="10021" max="10240" width="9.33203125" style="6"/>
    <col min="10241" max="10241" width="26.33203125" style="6" customWidth="1"/>
    <col min="10242" max="10261" width="6.83203125" style="6" customWidth="1"/>
    <col min="10262" max="10262" width="7.1640625" style="6" customWidth="1"/>
    <col min="10263" max="10264" width="6.83203125" style="6" customWidth="1"/>
    <col min="10265" max="10265" width="9" style="6" customWidth="1"/>
    <col min="10266" max="10276" width="6.83203125" style="6" customWidth="1"/>
    <col min="10277" max="10496" width="9.33203125" style="6"/>
    <col min="10497" max="10497" width="26.33203125" style="6" customWidth="1"/>
    <col min="10498" max="10517" width="6.83203125" style="6" customWidth="1"/>
    <col min="10518" max="10518" width="7.1640625" style="6" customWidth="1"/>
    <col min="10519" max="10520" width="6.83203125" style="6" customWidth="1"/>
    <col min="10521" max="10521" width="9" style="6" customWidth="1"/>
    <col min="10522" max="10532" width="6.83203125" style="6" customWidth="1"/>
    <col min="10533" max="10752" width="9.33203125" style="6"/>
    <col min="10753" max="10753" width="26.33203125" style="6" customWidth="1"/>
    <col min="10754" max="10773" width="6.83203125" style="6" customWidth="1"/>
    <col min="10774" max="10774" width="7.1640625" style="6" customWidth="1"/>
    <col min="10775" max="10776" width="6.83203125" style="6" customWidth="1"/>
    <col min="10777" max="10777" width="9" style="6" customWidth="1"/>
    <col min="10778" max="10788" width="6.83203125" style="6" customWidth="1"/>
    <col min="10789" max="11008" width="9.33203125" style="6"/>
    <col min="11009" max="11009" width="26.33203125" style="6" customWidth="1"/>
    <col min="11010" max="11029" width="6.83203125" style="6" customWidth="1"/>
    <col min="11030" max="11030" width="7.1640625" style="6" customWidth="1"/>
    <col min="11031" max="11032" width="6.83203125" style="6" customWidth="1"/>
    <col min="11033" max="11033" width="9" style="6" customWidth="1"/>
    <col min="11034" max="11044" width="6.83203125" style="6" customWidth="1"/>
    <col min="11045" max="11264" width="9.33203125" style="6"/>
    <col min="11265" max="11265" width="26.33203125" style="6" customWidth="1"/>
    <col min="11266" max="11285" width="6.83203125" style="6" customWidth="1"/>
    <col min="11286" max="11286" width="7.1640625" style="6" customWidth="1"/>
    <col min="11287" max="11288" width="6.83203125" style="6" customWidth="1"/>
    <col min="11289" max="11289" width="9" style="6" customWidth="1"/>
    <col min="11290" max="11300" width="6.83203125" style="6" customWidth="1"/>
    <col min="11301" max="11520" width="9.33203125" style="6"/>
    <col min="11521" max="11521" width="26.33203125" style="6" customWidth="1"/>
    <col min="11522" max="11541" width="6.83203125" style="6" customWidth="1"/>
    <col min="11542" max="11542" width="7.1640625" style="6" customWidth="1"/>
    <col min="11543" max="11544" width="6.83203125" style="6" customWidth="1"/>
    <col min="11545" max="11545" width="9" style="6" customWidth="1"/>
    <col min="11546" max="11556" width="6.83203125" style="6" customWidth="1"/>
    <col min="11557" max="11776" width="9.33203125" style="6"/>
    <col min="11777" max="11777" width="26.33203125" style="6" customWidth="1"/>
    <col min="11778" max="11797" width="6.83203125" style="6" customWidth="1"/>
    <col min="11798" max="11798" width="7.1640625" style="6" customWidth="1"/>
    <col min="11799" max="11800" width="6.83203125" style="6" customWidth="1"/>
    <col min="11801" max="11801" width="9" style="6" customWidth="1"/>
    <col min="11802" max="11812" width="6.83203125" style="6" customWidth="1"/>
    <col min="11813" max="12032" width="9.33203125" style="6"/>
    <col min="12033" max="12033" width="26.33203125" style="6" customWidth="1"/>
    <col min="12034" max="12053" width="6.83203125" style="6" customWidth="1"/>
    <col min="12054" max="12054" width="7.1640625" style="6" customWidth="1"/>
    <col min="12055" max="12056" width="6.83203125" style="6" customWidth="1"/>
    <col min="12057" max="12057" width="9" style="6" customWidth="1"/>
    <col min="12058" max="12068" width="6.83203125" style="6" customWidth="1"/>
    <col min="12069" max="12288" width="9.33203125" style="6"/>
    <col min="12289" max="12289" width="26.33203125" style="6" customWidth="1"/>
    <col min="12290" max="12309" width="6.83203125" style="6" customWidth="1"/>
    <col min="12310" max="12310" width="7.1640625" style="6" customWidth="1"/>
    <col min="12311" max="12312" width="6.83203125" style="6" customWidth="1"/>
    <col min="12313" max="12313" width="9" style="6" customWidth="1"/>
    <col min="12314" max="12324" width="6.83203125" style="6" customWidth="1"/>
    <col min="12325" max="12544" width="9.33203125" style="6"/>
    <col min="12545" max="12545" width="26.33203125" style="6" customWidth="1"/>
    <col min="12546" max="12565" width="6.83203125" style="6" customWidth="1"/>
    <col min="12566" max="12566" width="7.1640625" style="6" customWidth="1"/>
    <col min="12567" max="12568" width="6.83203125" style="6" customWidth="1"/>
    <col min="12569" max="12569" width="9" style="6" customWidth="1"/>
    <col min="12570" max="12580" width="6.83203125" style="6" customWidth="1"/>
    <col min="12581" max="12800" width="9.33203125" style="6"/>
    <col min="12801" max="12801" width="26.33203125" style="6" customWidth="1"/>
    <col min="12802" max="12821" width="6.83203125" style="6" customWidth="1"/>
    <col min="12822" max="12822" width="7.1640625" style="6" customWidth="1"/>
    <col min="12823" max="12824" width="6.83203125" style="6" customWidth="1"/>
    <col min="12825" max="12825" width="9" style="6" customWidth="1"/>
    <col min="12826" max="12836" width="6.83203125" style="6" customWidth="1"/>
    <col min="12837" max="13056" width="9.33203125" style="6"/>
    <col min="13057" max="13057" width="26.33203125" style="6" customWidth="1"/>
    <col min="13058" max="13077" width="6.83203125" style="6" customWidth="1"/>
    <col min="13078" max="13078" width="7.1640625" style="6" customWidth="1"/>
    <col min="13079" max="13080" width="6.83203125" style="6" customWidth="1"/>
    <col min="13081" max="13081" width="9" style="6" customWidth="1"/>
    <col min="13082" max="13092" width="6.83203125" style="6" customWidth="1"/>
    <col min="13093" max="13312" width="9.33203125" style="6"/>
    <col min="13313" max="13313" width="26.33203125" style="6" customWidth="1"/>
    <col min="13314" max="13333" width="6.83203125" style="6" customWidth="1"/>
    <col min="13334" max="13334" width="7.1640625" style="6" customWidth="1"/>
    <col min="13335" max="13336" width="6.83203125" style="6" customWidth="1"/>
    <col min="13337" max="13337" width="9" style="6" customWidth="1"/>
    <col min="13338" max="13348" width="6.83203125" style="6" customWidth="1"/>
    <col min="13349" max="13568" width="9.33203125" style="6"/>
    <col min="13569" max="13569" width="26.33203125" style="6" customWidth="1"/>
    <col min="13570" max="13589" width="6.83203125" style="6" customWidth="1"/>
    <col min="13590" max="13590" width="7.1640625" style="6" customWidth="1"/>
    <col min="13591" max="13592" width="6.83203125" style="6" customWidth="1"/>
    <col min="13593" max="13593" width="9" style="6" customWidth="1"/>
    <col min="13594" max="13604" width="6.83203125" style="6" customWidth="1"/>
    <col min="13605" max="13824" width="9.33203125" style="6"/>
    <col min="13825" max="13825" width="26.33203125" style="6" customWidth="1"/>
    <col min="13826" max="13845" width="6.83203125" style="6" customWidth="1"/>
    <col min="13846" max="13846" width="7.1640625" style="6" customWidth="1"/>
    <col min="13847" max="13848" width="6.83203125" style="6" customWidth="1"/>
    <col min="13849" max="13849" width="9" style="6" customWidth="1"/>
    <col min="13850" max="13860" width="6.83203125" style="6" customWidth="1"/>
    <col min="13861" max="14080" width="9.33203125" style="6"/>
    <col min="14081" max="14081" width="26.33203125" style="6" customWidth="1"/>
    <col min="14082" max="14101" width="6.83203125" style="6" customWidth="1"/>
    <col min="14102" max="14102" width="7.1640625" style="6" customWidth="1"/>
    <col min="14103" max="14104" width="6.83203125" style="6" customWidth="1"/>
    <col min="14105" max="14105" width="9" style="6" customWidth="1"/>
    <col min="14106" max="14116" width="6.83203125" style="6" customWidth="1"/>
    <col min="14117" max="14336" width="9.33203125" style="6"/>
    <col min="14337" max="14337" width="26.33203125" style="6" customWidth="1"/>
    <col min="14338" max="14357" width="6.83203125" style="6" customWidth="1"/>
    <col min="14358" max="14358" width="7.1640625" style="6" customWidth="1"/>
    <col min="14359" max="14360" width="6.83203125" style="6" customWidth="1"/>
    <col min="14361" max="14361" width="9" style="6" customWidth="1"/>
    <col min="14362" max="14372" width="6.83203125" style="6" customWidth="1"/>
    <col min="14373" max="14592" width="9.33203125" style="6"/>
    <col min="14593" max="14593" width="26.33203125" style="6" customWidth="1"/>
    <col min="14594" max="14613" width="6.83203125" style="6" customWidth="1"/>
    <col min="14614" max="14614" width="7.1640625" style="6" customWidth="1"/>
    <col min="14615" max="14616" width="6.83203125" style="6" customWidth="1"/>
    <col min="14617" max="14617" width="9" style="6" customWidth="1"/>
    <col min="14618" max="14628" width="6.83203125" style="6" customWidth="1"/>
    <col min="14629" max="14848" width="9.33203125" style="6"/>
    <col min="14849" max="14849" width="26.33203125" style="6" customWidth="1"/>
    <col min="14850" max="14869" width="6.83203125" style="6" customWidth="1"/>
    <col min="14870" max="14870" width="7.1640625" style="6" customWidth="1"/>
    <col min="14871" max="14872" width="6.83203125" style="6" customWidth="1"/>
    <col min="14873" max="14873" width="9" style="6" customWidth="1"/>
    <col min="14874" max="14884" width="6.83203125" style="6" customWidth="1"/>
    <col min="14885" max="15104" width="9.33203125" style="6"/>
    <col min="15105" max="15105" width="26.33203125" style="6" customWidth="1"/>
    <col min="15106" max="15125" width="6.83203125" style="6" customWidth="1"/>
    <col min="15126" max="15126" width="7.1640625" style="6" customWidth="1"/>
    <col min="15127" max="15128" width="6.83203125" style="6" customWidth="1"/>
    <col min="15129" max="15129" width="9" style="6" customWidth="1"/>
    <col min="15130" max="15140" width="6.83203125" style="6" customWidth="1"/>
    <col min="15141" max="15360" width="9.33203125" style="6"/>
    <col min="15361" max="15361" width="26.33203125" style="6" customWidth="1"/>
    <col min="15362" max="15381" width="6.83203125" style="6" customWidth="1"/>
    <col min="15382" max="15382" width="7.1640625" style="6" customWidth="1"/>
    <col min="15383" max="15384" width="6.83203125" style="6" customWidth="1"/>
    <col min="15385" max="15385" width="9" style="6" customWidth="1"/>
    <col min="15386" max="15396" width="6.83203125" style="6" customWidth="1"/>
    <col min="15397" max="15616" width="9.33203125" style="6"/>
    <col min="15617" max="15617" width="26.33203125" style="6" customWidth="1"/>
    <col min="15618" max="15637" width="6.83203125" style="6" customWidth="1"/>
    <col min="15638" max="15638" width="7.1640625" style="6" customWidth="1"/>
    <col min="15639" max="15640" width="6.83203125" style="6" customWidth="1"/>
    <col min="15641" max="15641" width="9" style="6" customWidth="1"/>
    <col min="15642" max="15652" width="6.83203125" style="6" customWidth="1"/>
    <col min="15653" max="15872" width="9.33203125" style="6"/>
    <col min="15873" max="15873" width="26.33203125" style="6" customWidth="1"/>
    <col min="15874" max="15893" width="6.83203125" style="6" customWidth="1"/>
    <col min="15894" max="15894" width="7.1640625" style="6" customWidth="1"/>
    <col min="15895" max="15896" width="6.83203125" style="6" customWidth="1"/>
    <col min="15897" max="15897" width="9" style="6" customWidth="1"/>
    <col min="15898" max="15908" width="6.83203125" style="6" customWidth="1"/>
    <col min="15909" max="16128" width="9.33203125" style="6"/>
    <col min="16129" max="16129" width="26.33203125" style="6" customWidth="1"/>
    <col min="16130" max="16149" width="6.83203125" style="6" customWidth="1"/>
    <col min="16150" max="16150" width="7.1640625" style="6" customWidth="1"/>
    <col min="16151" max="16152" width="6.83203125" style="6" customWidth="1"/>
    <col min="16153" max="16153" width="9" style="6" customWidth="1"/>
    <col min="16154" max="16164" width="6.83203125" style="6" customWidth="1"/>
    <col min="16165" max="16384" width="9.33203125" style="6"/>
  </cols>
  <sheetData>
    <row r="1" spans="1:47" ht="15.95" customHeight="1" x14ac:dyDescent="0.15">
      <c r="Z1" s="38">
        <f>SUM(Z3:Z34)</f>
        <v>30</v>
      </c>
    </row>
    <row r="2" spans="1:47" s="5" customFormat="1" ht="65.099999999999994" customHeight="1" x14ac:dyDescent="0.15">
      <c r="A2" s="20" t="s">
        <v>180</v>
      </c>
      <c r="B2" s="20" t="s">
        <v>181</v>
      </c>
      <c r="C2" s="20" t="s">
        <v>182</v>
      </c>
      <c r="D2" s="20" t="s">
        <v>2</v>
      </c>
      <c r="E2" s="20" t="s">
        <v>3</v>
      </c>
      <c r="F2" s="20" t="s">
        <v>183</v>
      </c>
      <c r="G2" s="39" t="s">
        <v>184</v>
      </c>
      <c r="H2" s="20" t="s">
        <v>185</v>
      </c>
      <c r="I2" s="20" t="s">
        <v>186</v>
      </c>
      <c r="J2" s="20" t="s">
        <v>187</v>
      </c>
      <c r="K2" s="20" t="s">
        <v>188</v>
      </c>
      <c r="L2" s="40" t="s">
        <v>189</v>
      </c>
      <c r="M2" s="40" t="s">
        <v>190</v>
      </c>
      <c r="N2" s="40" t="s">
        <v>182</v>
      </c>
      <c r="O2" s="39" t="s">
        <v>184</v>
      </c>
      <c r="P2" s="40" t="s">
        <v>181</v>
      </c>
      <c r="Q2" s="39" t="s">
        <v>184</v>
      </c>
      <c r="R2" s="40" t="s">
        <v>191</v>
      </c>
      <c r="S2" s="20" t="s">
        <v>192</v>
      </c>
      <c r="T2" s="40" t="s">
        <v>193</v>
      </c>
      <c r="U2" s="41" t="s">
        <v>194</v>
      </c>
      <c r="V2" s="41" t="s">
        <v>195</v>
      </c>
      <c r="W2" s="41" t="s">
        <v>196</v>
      </c>
      <c r="X2" s="42" t="s">
        <v>197</v>
      </c>
      <c r="Y2" s="43" t="s">
        <v>198</v>
      </c>
      <c r="Z2" s="44" t="s">
        <v>199</v>
      </c>
      <c r="AA2" s="45" t="s">
        <v>5</v>
      </c>
      <c r="AB2" s="3" t="s">
        <v>200</v>
      </c>
      <c r="AC2" s="3" t="s">
        <v>200</v>
      </c>
      <c r="AD2" s="3" t="s">
        <v>200</v>
      </c>
      <c r="AE2" s="3" t="s">
        <v>200</v>
      </c>
      <c r="AF2" s="3" t="s">
        <v>200</v>
      </c>
      <c r="AG2" s="3" t="s">
        <v>200</v>
      </c>
      <c r="AH2" s="3" t="s">
        <v>200</v>
      </c>
      <c r="AI2" s="3" t="s">
        <v>200</v>
      </c>
      <c r="AJ2" s="3" t="s">
        <v>200</v>
      </c>
      <c r="AK2" s="3" t="s">
        <v>200</v>
      </c>
      <c r="AL2" s="3" t="s">
        <v>200</v>
      </c>
      <c r="AM2" s="3" t="s">
        <v>200</v>
      </c>
      <c r="AN2" s="3" t="s">
        <v>200</v>
      </c>
      <c r="AO2" s="3" t="s">
        <v>200</v>
      </c>
      <c r="AP2" s="3" t="s">
        <v>200</v>
      </c>
      <c r="AQ2" s="3" t="s">
        <v>200</v>
      </c>
      <c r="AR2" s="3" t="s">
        <v>200</v>
      </c>
      <c r="AS2" s="5" t="s">
        <v>1</v>
      </c>
      <c r="AT2" s="5" t="s">
        <v>201</v>
      </c>
      <c r="AU2" s="5" t="s">
        <v>202</v>
      </c>
    </row>
    <row r="3" spans="1:47" s="5" customFormat="1" ht="15.95" customHeight="1" x14ac:dyDescent="0.15">
      <c r="A3" s="5" t="s">
        <v>203</v>
      </c>
      <c r="B3" s="5" t="s">
        <v>204</v>
      </c>
      <c r="C3" s="5" t="s">
        <v>205</v>
      </c>
      <c r="D3" s="5">
        <v>6</v>
      </c>
      <c r="E3" s="5">
        <v>0</v>
      </c>
      <c r="F3" s="5">
        <v>0</v>
      </c>
      <c r="G3" s="46">
        <v>1</v>
      </c>
      <c r="H3" s="5">
        <v>171</v>
      </c>
      <c r="I3" s="5">
        <v>113</v>
      </c>
      <c r="J3" s="5">
        <v>58</v>
      </c>
      <c r="K3" s="5">
        <v>19</v>
      </c>
      <c r="L3" s="47" t="s">
        <v>206</v>
      </c>
      <c r="M3" s="47" t="s">
        <v>206</v>
      </c>
      <c r="N3" s="47" t="s">
        <v>207</v>
      </c>
      <c r="O3" s="46">
        <v>1</v>
      </c>
      <c r="P3" s="47" t="s">
        <v>208</v>
      </c>
      <c r="Q3" s="46">
        <v>1</v>
      </c>
      <c r="R3" s="47" t="s">
        <v>209</v>
      </c>
      <c r="S3" s="5" t="s">
        <v>210</v>
      </c>
      <c r="T3" s="47" t="s">
        <v>211</v>
      </c>
      <c r="U3" s="9">
        <f>H3/(D3+E3+F3)</f>
        <v>28.5</v>
      </c>
      <c r="V3" s="9">
        <f>I3/(D3+E3+F3)</f>
        <v>18.833333333333332</v>
      </c>
      <c r="W3" s="9">
        <f>U3-V3</f>
        <v>9.6666666666666679</v>
      </c>
      <c r="X3" s="5">
        <f>SUM(D3:F3)</f>
        <v>6</v>
      </c>
      <c r="Y3" s="48">
        <v>1</v>
      </c>
      <c r="Z3" s="5">
        <v>0</v>
      </c>
      <c r="AA3" s="49" t="str">
        <f>VLOOKUP(A3,howfared!$A$2:$B$33,2,FALSE)</f>
        <v>ATL</v>
      </c>
      <c r="AB3" s="5" t="str">
        <f>VLOOKUP(AA3,howfared!$B$2:$AH$33,2,FALSE)</f>
        <v>KC</v>
      </c>
      <c r="AC3" s="5" t="str">
        <f>VLOOKUP(AA3,howfared!$B$2:$AH$33,3,FALSE)</f>
        <v>DEN</v>
      </c>
      <c r="AD3" s="5" t="str">
        <f>VLOOKUP(AA3,howfared!$B$2:$AH$33,4,FALSE)</f>
        <v>SD</v>
      </c>
      <c r="AE3" s="5" t="str">
        <f>VLOOKUP(AA3,howfared!$B$2:$AH$33,5,FALSE)</f>
        <v>CAR</v>
      </c>
      <c r="AF3" s="5" t="str">
        <f>VLOOKUP(AA3,howfared!$B$2:$AH$33,6,FALSE)</f>
        <v>WAS</v>
      </c>
      <c r="AG3" s="5" t="str">
        <f>VLOOKUP(AA3,howfared!$B$2:$AH$33,7,FALSE)</f>
        <v>OAK</v>
      </c>
      <c r="AH3" s="5">
        <f>VLOOKUP(AA3,howfared!$B$2:$AH$33,8,FALSE)</f>
        <v>0</v>
      </c>
      <c r="AI3" s="5">
        <f>VLOOKUP(AA3,howfared!$B$2:$AH$33,9,FALSE)</f>
        <v>0</v>
      </c>
      <c r="AJ3" s="5">
        <f>VLOOKUP(AA3,howfared!$B$2:$AH$33,10,FALSE)</f>
        <v>0</v>
      </c>
      <c r="AK3" s="5">
        <f>VLOOKUP(AA3,howfared!$B$2:$AH$33,11,FALSE)</f>
        <v>0</v>
      </c>
      <c r="AL3" s="5">
        <f>VLOOKUP(AA3,howfared!$B$2:$AH$33,12,FALSE)</f>
        <v>0</v>
      </c>
      <c r="AM3" s="5">
        <f>VLOOKUP(AA3,howfared!$B$2:$AH$33,13,FALSE)</f>
        <v>0</v>
      </c>
      <c r="AN3" s="5">
        <f>VLOOKUP(AA3,howfared!$B$2:$AH$33,14,FALSE)</f>
        <v>0</v>
      </c>
      <c r="AO3" s="5">
        <f>VLOOKUP(AA3,howfared!$B$2:$AH$33,15,FALSE)</f>
        <v>0</v>
      </c>
      <c r="AP3" s="5">
        <f>VLOOKUP(AA3,howfared!$B$2:$AH$33,16,FALSE)</f>
        <v>0</v>
      </c>
      <c r="AQ3" s="5">
        <f>VLOOKUP(AA3,howfared!$B$2:$AH$33,17,FALSE)</f>
        <v>0</v>
      </c>
      <c r="AR3" s="5">
        <f>VLOOKUP(AA3,howfared!$B$2:$AH$33,18,FALSE)</f>
        <v>0</v>
      </c>
      <c r="AS3" s="5" t="str">
        <f>AA3</f>
        <v>ATL</v>
      </c>
      <c r="AT3" s="5">
        <f>D3</f>
        <v>6</v>
      </c>
      <c r="AU3" s="5">
        <f>E3</f>
        <v>0</v>
      </c>
    </row>
    <row r="4" spans="1:47" s="5" customFormat="1" ht="15.95" customHeight="1" x14ac:dyDescent="0.15">
      <c r="A4" s="5" t="s">
        <v>212</v>
      </c>
      <c r="B4" s="5" t="s">
        <v>204</v>
      </c>
      <c r="C4" s="5" t="s">
        <v>213</v>
      </c>
      <c r="D4" s="5">
        <v>5</v>
      </c>
      <c r="E4" s="5">
        <v>1</v>
      </c>
      <c r="F4" s="5">
        <v>0</v>
      </c>
      <c r="G4" s="46">
        <v>0.83299999999999996</v>
      </c>
      <c r="H4" s="5">
        <v>173</v>
      </c>
      <c r="I4" s="5">
        <v>115</v>
      </c>
      <c r="J4" s="5">
        <v>58</v>
      </c>
      <c r="K4" s="5">
        <v>20</v>
      </c>
      <c r="L4" s="47" t="s">
        <v>214</v>
      </c>
      <c r="M4" s="47" t="s">
        <v>206</v>
      </c>
      <c r="N4" s="47" t="s">
        <v>208</v>
      </c>
      <c r="O4" s="46">
        <v>1</v>
      </c>
      <c r="P4" s="47" t="s">
        <v>211</v>
      </c>
      <c r="Q4" s="46">
        <v>1</v>
      </c>
      <c r="R4" s="47" t="s">
        <v>215</v>
      </c>
      <c r="S4" s="5" t="s">
        <v>216</v>
      </c>
      <c r="T4" s="47" t="s">
        <v>217</v>
      </c>
      <c r="U4" s="9">
        <f>H4/(D4+E4+F4)</f>
        <v>28.833333333333332</v>
      </c>
      <c r="V4" s="9">
        <f>I4/(D4+E4+F4)</f>
        <v>19.166666666666668</v>
      </c>
      <c r="W4" s="9">
        <f>U4-V4</f>
        <v>9.6666666666666643</v>
      </c>
      <c r="X4" s="5">
        <f>SUM(D4:F4)</f>
        <v>6</v>
      </c>
      <c r="Y4" s="50">
        <v>2</v>
      </c>
      <c r="Z4" s="5">
        <f>COUNTIF(AA$3:AA3,AB4)+COUNTIF(AA$3:AA4,AC4)+COUNTIF(AA$3:AA4,AD4)+COUNTIF(AA$3:AA4,AE4)+COUNTIF(AA$3:AA4,AF4)+COUNTIF(AA$3:AA4,AG4)+COUNTIF(AA$3:AA4,AH4)+COUNTIF(AA$3:AA4,AI4)+COUNTIF(AA$3:AA4,AJ4)+COUNTIF(AA$3:AA4,AK4)+COUNTIF(AA$3:AA4,AL4)+COUNTIF(AA$3:AA4,AM4)+COUNTIF(AA$3:AA4,AN4)+COUNTIF(AA$3:AA4,AO4)+COUNTIF(AA$3:AA4,AP4)+COUNTIF(AA$3:AA4,AQ4)+COUNTIF(AA$3:AA4,AR4)</f>
        <v>0</v>
      </c>
      <c r="AA4" s="49" t="str">
        <f>VLOOKUP(A4,howfared!$A$2:$B$33,2,FALSE)</f>
        <v>HOU</v>
      </c>
      <c r="AB4" s="5" t="str">
        <f>VLOOKUP(AA4,howfared!$B$2:$AH$33,2,FALSE)</f>
        <v>MIA</v>
      </c>
      <c r="AC4" s="5" t="str">
        <f>VLOOKUP(AA4,howfared!$B$2:$AH$33,3,FALSE)</f>
        <v>JAC</v>
      </c>
      <c r="AD4" s="5" t="str">
        <f>VLOOKUP(AA4,howfared!$B$2:$AH$33,4,FALSE)</f>
        <v>DEN</v>
      </c>
      <c r="AE4" s="5" t="str">
        <f>VLOOKUP(AA4,howfared!$B$2:$AH$33,5,FALSE)</f>
        <v>TEN</v>
      </c>
      <c r="AF4" s="5" t="str">
        <f>VLOOKUP(AA4,howfared!$B$2:$AH$33,6,FALSE)</f>
        <v>NYJ</v>
      </c>
      <c r="AG4" s="5">
        <f>VLOOKUP(AA4,howfared!$B$2:$AH$33,7,FALSE)</f>
        <v>0</v>
      </c>
      <c r="AH4" s="5">
        <f>VLOOKUP(AA4,howfared!$B$2:$AH$33,8,FALSE)</f>
        <v>0</v>
      </c>
      <c r="AI4" s="5">
        <f>VLOOKUP(AA4,howfared!$B$2:$AH$33,9,FALSE)</f>
        <v>0</v>
      </c>
      <c r="AJ4" s="5">
        <f>VLOOKUP(AA4,howfared!$B$2:$AH$33,10,FALSE)</f>
        <v>0</v>
      </c>
      <c r="AK4" s="5">
        <f>VLOOKUP(AA4,howfared!$B$2:$AH$33,11,FALSE)</f>
        <v>0</v>
      </c>
      <c r="AL4" s="5">
        <f>VLOOKUP(AA4,howfared!$B$2:$AH$33,12,FALSE)</f>
        <v>0</v>
      </c>
      <c r="AM4" s="5">
        <f>VLOOKUP(AA4,howfared!$B$2:$AH$33,13,FALSE)</f>
        <v>0</v>
      </c>
      <c r="AN4" s="5">
        <f>VLOOKUP(AA4,howfared!$B$2:$AH$33,14,FALSE)</f>
        <v>0</v>
      </c>
      <c r="AO4" s="5">
        <f>VLOOKUP(AA4,howfared!$B$2:$AH$33,15,FALSE)</f>
        <v>0</v>
      </c>
      <c r="AP4" s="5">
        <f>VLOOKUP(AA4,howfared!$B$2:$AH$33,16,FALSE)</f>
        <v>0</v>
      </c>
      <c r="AQ4" s="5">
        <f>VLOOKUP(AA4,howfared!$B$2:$AH$33,17,FALSE)</f>
        <v>0</v>
      </c>
      <c r="AR4" s="5">
        <f>VLOOKUP(AA4,howfared!$B$2:$AH$33,18,FALSE)</f>
        <v>0</v>
      </c>
      <c r="AS4" s="5" t="str">
        <f t="shared" ref="AS4:AS34" si="0">AA4</f>
        <v>HOU</v>
      </c>
      <c r="AT4" s="5">
        <f t="shared" ref="AT4:AU34" si="1">D4</f>
        <v>5</v>
      </c>
      <c r="AU4" s="5">
        <f t="shared" si="1"/>
        <v>1</v>
      </c>
    </row>
    <row r="5" spans="1:47" s="5" customFormat="1" ht="15.95" customHeight="1" x14ac:dyDescent="0.15">
      <c r="A5" s="5" t="s">
        <v>218</v>
      </c>
      <c r="B5" s="5" t="s">
        <v>204</v>
      </c>
      <c r="C5" s="5" t="s">
        <v>219</v>
      </c>
      <c r="D5" s="5">
        <v>4</v>
      </c>
      <c r="E5" s="5">
        <v>2</v>
      </c>
      <c r="F5" s="5">
        <v>0</v>
      </c>
      <c r="G5" s="46">
        <v>0.66700000000000004</v>
      </c>
      <c r="H5" s="5">
        <v>178</v>
      </c>
      <c r="I5" s="5">
        <v>114</v>
      </c>
      <c r="J5" s="5">
        <v>64</v>
      </c>
      <c r="K5" s="5">
        <v>18</v>
      </c>
      <c r="L5" s="47" t="s">
        <v>214</v>
      </c>
      <c r="M5" s="47" t="s">
        <v>214</v>
      </c>
      <c r="N5" s="47" t="s">
        <v>220</v>
      </c>
      <c r="O5" s="46">
        <v>0</v>
      </c>
      <c r="P5" s="47" t="s">
        <v>221</v>
      </c>
      <c r="Q5" s="46">
        <v>0.6</v>
      </c>
      <c r="R5" s="47" t="s">
        <v>207</v>
      </c>
      <c r="S5" s="5" t="s">
        <v>222</v>
      </c>
      <c r="T5" s="47" t="s">
        <v>217</v>
      </c>
      <c r="U5" s="9">
        <f>H5/(D5+E5+F5)</f>
        <v>29.666666666666668</v>
      </c>
      <c r="V5" s="9">
        <f>I5/(D5+E5+F5)</f>
        <v>19</v>
      </c>
      <c r="W5" s="9">
        <f>U5-V5</f>
        <v>10.666666666666668</v>
      </c>
      <c r="X5" s="5">
        <f>SUM(D5:F5)</f>
        <v>6</v>
      </c>
      <c r="Y5" s="50">
        <v>3</v>
      </c>
      <c r="Z5" s="5">
        <f>COUNTIF(AA$3:AA4,AB5)+COUNTIF(AA$3:AA5,AC5)+COUNTIF(AA$3:AA5,AD5)+COUNTIF(AA$3:AA5,AE5)+COUNTIF(AA$3:AA5,AF5)+COUNTIF(AA$3:AA5,AG5)+COUNTIF(AA$3:AA5,AH5)+COUNTIF(AA$3:AA5,AI5)+COUNTIF(AA$3:AA5,AJ5)+COUNTIF(AA$3:AA5,AK5)+COUNTIF(AA$3:AA5,AL5)+COUNTIF(AA$3:AA5,AM5)+COUNTIF(AA$3:AA5,AN5)+COUNTIF(AA$3:AA5,AO5)+COUNTIF(AA$3:AA5,AP5)+COUNTIF(AA$3:AA5,AQ5)+COUNTIF(AA$3:AA5,AR5)</f>
        <v>0</v>
      </c>
      <c r="AA5" s="49" t="str">
        <f>VLOOKUP(A5,howfared!$A$2:$B$33,2,FALSE)</f>
        <v>NYG</v>
      </c>
      <c r="AB5" s="5">
        <f>VLOOKUP(AA5,howfared!$B$2:$AH$33,2,FALSE)</f>
        <v>0</v>
      </c>
      <c r="AC5" s="5" t="str">
        <f>VLOOKUP(AA5,howfared!$B$2:$AH$33,3,FALSE)</f>
        <v>TB</v>
      </c>
      <c r="AD5" s="5" t="str">
        <f>VLOOKUP(AA5,howfared!$B$2:$AH$33,4,FALSE)</f>
        <v>CAR</v>
      </c>
      <c r="AE5" s="5">
        <f>VLOOKUP(AA5,howfared!$B$2:$AH$33,5,FALSE)</f>
        <v>0</v>
      </c>
      <c r="AF5" s="5" t="str">
        <f>VLOOKUP(AA5,howfared!$B$2:$AH$33,6,FALSE)</f>
        <v>CLE</v>
      </c>
      <c r="AG5" s="5" t="str">
        <f>VLOOKUP(AA5,howfared!$B$2:$AH$33,7,FALSE)</f>
        <v>SF</v>
      </c>
      <c r="AH5" s="5">
        <f>VLOOKUP(AA5,howfared!$B$2:$AH$33,8,FALSE)</f>
        <v>0</v>
      </c>
      <c r="AI5" s="5">
        <f>VLOOKUP(AA5,howfared!$B$2:$AH$33,9,FALSE)</f>
        <v>0</v>
      </c>
      <c r="AJ5" s="5">
        <f>VLOOKUP(AA5,howfared!$B$2:$AH$33,10,FALSE)</f>
        <v>0</v>
      </c>
      <c r="AK5" s="5">
        <f>VLOOKUP(AA5,howfared!$B$2:$AH$33,11,FALSE)</f>
        <v>0</v>
      </c>
      <c r="AL5" s="5">
        <f>VLOOKUP(AA5,howfared!$B$2:$AH$33,12,FALSE)</f>
        <v>0</v>
      </c>
      <c r="AM5" s="5">
        <f>VLOOKUP(AA5,howfared!$B$2:$AH$33,13,FALSE)</f>
        <v>0</v>
      </c>
      <c r="AN5" s="5">
        <f>VLOOKUP(AA5,howfared!$B$2:$AH$33,14,FALSE)</f>
        <v>0</v>
      </c>
      <c r="AO5" s="5">
        <f>VLOOKUP(AA5,howfared!$B$2:$AH$33,15,FALSE)</f>
        <v>0</v>
      </c>
      <c r="AP5" s="5">
        <f>VLOOKUP(AA5,howfared!$B$2:$AH$33,16,FALSE)</f>
        <v>0</v>
      </c>
      <c r="AQ5" s="5">
        <f>VLOOKUP(AA5,howfared!$B$2:$AH$33,17,FALSE)</f>
        <v>0</v>
      </c>
      <c r="AR5" s="5">
        <f>VLOOKUP(AA5,howfared!$B$2:$AH$33,18,FALSE)</f>
        <v>0</v>
      </c>
      <c r="AS5" s="5" t="str">
        <f t="shared" si="0"/>
        <v>NYG</v>
      </c>
      <c r="AT5" s="5">
        <f t="shared" si="1"/>
        <v>4</v>
      </c>
      <c r="AU5" s="5">
        <f t="shared" si="1"/>
        <v>2</v>
      </c>
    </row>
    <row r="6" spans="1:47" s="5" customFormat="1" ht="15.95" customHeight="1" x14ac:dyDescent="0.15">
      <c r="A6" s="5" t="s">
        <v>223</v>
      </c>
      <c r="B6" s="5" t="s">
        <v>224</v>
      </c>
      <c r="C6" s="5" t="s">
        <v>225</v>
      </c>
      <c r="D6" s="5">
        <v>5</v>
      </c>
      <c r="E6" s="5">
        <v>1</v>
      </c>
      <c r="F6" s="5">
        <v>0</v>
      </c>
      <c r="G6" s="46">
        <v>0.83299999999999996</v>
      </c>
      <c r="H6" s="5">
        <v>161</v>
      </c>
      <c r="I6" s="5">
        <v>118</v>
      </c>
      <c r="J6" s="5">
        <v>43</v>
      </c>
      <c r="K6" s="5">
        <v>18</v>
      </c>
      <c r="L6" s="47" t="s">
        <v>209</v>
      </c>
      <c r="M6" s="47" t="s">
        <v>226</v>
      </c>
      <c r="N6" s="47" t="s">
        <v>208</v>
      </c>
      <c r="O6" s="46">
        <v>1</v>
      </c>
      <c r="P6" s="47" t="s">
        <v>209</v>
      </c>
      <c r="Q6" s="46">
        <v>1</v>
      </c>
      <c r="R6" s="47" t="s">
        <v>226</v>
      </c>
      <c r="S6" s="5" t="s">
        <v>227</v>
      </c>
      <c r="T6" s="47" t="s">
        <v>217</v>
      </c>
      <c r="U6" s="9">
        <f>H6/(D6+E6+F6)</f>
        <v>26.833333333333332</v>
      </c>
      <c r="V6" s="9">
        <f>I6/(D6+E6+F6)</f>
        <v>19.666666666666668</v>
      </c>
      <c r="W6" s="9">
        <f>U6-V6</f>
        <v>7.1666666666666643</v>
      </c>
      <c r="X6" s="5">
        <f>SUM(D6:F6)</f>
        <v>6</v>
      </c>
      <c r="Y6" s="48">
        <v>4</v>
      </c>
      <c r="Z6" s="5">
        <f>COUNTIF(AA$3:AA5,AB6)+COUNTIF(AA$3:AA6,AC6)+COUNTIF(AA$3:AA6,AD6)+COUNTIF(AA$3:AA6,AE6)+COUNTIF(AA$3:AA6,AF6)+COUNTIF(AA$3:AA6,AG6)+COUNTIF(AA$3:AA6,AH6)+COUNTIF(AA$3:AA6,AI6)+COUNTIF(AA$3:AA6,AJ6)+COUNTIF(AA$3:AA6,AK6)+COUNTIF(AA$3:AA6,AL6)+COUNTIF(AA$3:AA6,AM6)+COUNTIF(AA$3:AA6,AN6)+COUNTIF(AA$3:AA6,AO6)+COUNTIF(AA$3:AA6,AP6)+COUNTIF(AA$3:AA6,AQ6)+COUNTIF(AA$3:AA6,AR6)</f>
        <v>0</v>
      </c>
      <c r="AA6" s="49" t="str">
        <f>VLOOKUP(A6,howfared!$A$2:$B$33,2,FALSE)</f>
        <v>BAL</v>
      </c>
      <c r="AB6" s="5" t="str">
        <f>VLOOKUP(AA6,howfared!$B$2:$AH$33,2,FALSE)</f>
        <v>CIN</v>
      </c>
      <c r="AC6" s="5">
        <f>VLOOKUP(AA6,howfared!$B$2:$AH$33,3,FALSE)</f>
        <v>0</v>
      </c>
      <c r="AD6" s="5" t="str">
        <f>VLOOKUP(AA6,howfared!$B$2:$AH$33,4,FALSE)</f>
        <v>NE</v>
      </c>
      <c r="AE6" s="5" t="str">
        <f>VLOOKUP(AA6,howfared!$B$2:$AH$33,5,FALSE)</f>
        <v>CLE</v>
      </c>
      <c r="AF6" s="5" t="str">
        <f>VLOOKUP(AA6,howfared!$B$2:$AH$33,6,FALSE)</f>
        <v>KC</v>
      </c>
      <c r="AG6" s="5" t="str">
        <f>VLOOKUP(AA6,howfared!$B$2:$AH$33,7,FALSE)</f>
        <v>DAL</v>
      </c>
      <c r="AH6" s="5">
        <f>VLOOKUP(AA6,howfared!$B$2:$AH$33,8,FALSE)</f>
        <v>0</v>
      </c>
      <c r="AI6" s="5">
        <f>VLOOKUP(AA6,howfared!$B$2:$AH$33,9,FALSE)</f>
        <v>0</v>
      </c>
      <c r="AJ6" s="5">
        <f>VLOOKUP(AA6,howfared!$B$2:$AH$33,10,FALSE)</f>
        <v>0</v>
      </c>
      <c r="AK6" s="5">
        <f>VLOOKUP(AA6,howfared!$B$2:$AH$33,11,FALSE)</f>
        <v>0</v>
      </c>
      <c r="AL6" s="5">
        <f>VLOOKUP(AA6,howfared!$B$2:$AH$33,12,FALSE)</f>
        <v>0</v>
      </c>
      <c r="AM6" s="5">
        <f>VLOOKUP(AA6,howfared!$B$2:$AH$33,13,FALSE)</f>
        <v>0</v>
      </c>
      <c r="AN6" s="5">
        <f>VLOOKUP(AA6,howfared!$B$2:$AH$33,14,FALSE)</f>
        <v>0</v>
      </c>
      <c r="AO6" s="5">
        <f>VLOOKUP(AA6,howfared!$B$2:$AH$33,15,FALSE)</f>
        <v>0</v>
      </c>
      <c r="AP6" s="5">
        <f>VLOOKUP(AA6,howfared!$B$2:$AH$33,16,FALSE)</f>
        <v>0</v>
      </c>
      <c r="AQ6" s="5">
        <f>VLOOKUP(AA6,howfared!$B$2:$AH$33,17,FALSE)</f>
        <v>0</v>
      </c>
      <c r="AR6" s="5">
        <f>VLOOKUP(AA6,howfared!$B$2:$AH$33,18,FALSE)</f>
        <v>0</v>
      </c>
      <c r="AS6" s="5" t="str">
        <f t="shared" si="0"/>
        <v>BAL</v>
      </c>
      <c r="AT6" s="5">
        <f t="shared" si="1"/>
        <v>5</v>
      </c>
      <c r="AU6" s="5">
        <f t="shared" si="1"/>
        <v>1</v>
      </c>
    </row>
    <row r="7" spans="1:47" s="5" customFormat="1" ht="15.95" customHeight="1" x14ac:dyDescent="0.15">
      <c r="A7" s="5" t="s">
        <v>228</v>
      </c>
      <c r="B7" s="5" t="s">
        <v>204</v>
      </c>
      <c r="C7" s="5" t="s">
        <v>229</v>
      </c>
      <c r="D7" s="5">
        <v>4</v>
      </c>
      <c r="E7" s="5">
        <v>2</v>
      </c>
      <c r="F7" s="5">
        <v>0</v>
      </c>
      <c r="G7" s="46">
        <v>0.66700000000000004</v>
      </c>
      <c r="H7" s="5">
        <v>152</v>
      </c>
      <c r="I7" s="5">
        <v>94</v>
      </c>
      <c r="J7" s="5">
        <v>58</v>
      </c>
      <c r="K7" s="5">
        <v>17</v>
      </c>
      <c r="L7" s="47" t="s">
        <v>214</v>
      </c>
      <c r="M7" s="47" t="s">
        <v>214</v>
      </c>
      <c r="N7" s="47" t="s">
        <v>230</v>
      </c>
      <c r="O7" s="46">
        <v>0</v>
      </c>
      <c r="P7" s="47" t="s">
        <v>231</v>
      </c>
      <c r="Q7" s="46">
        <v>0.5</v>
      </c>
      <c r="R7" s="47" t="s">
        <v>208</v>
      </c>
      <c r="S7" s="5" t="s">
        <v>216</v>
      </c>
      <c r="T7" s="47" t="s">
        <v>221</v>
      </c>
      <c r="U7" s="9">
        <f>H7/(D7+E7+F7)</f>
        <v>25.333333333333332</v>
      </c>
      <c r="V7" s="9">
        <f>I7/(D7+E7+F7)</f>
        <v>15.666666666666666</v>
      </c>
      <c r="W7" s="9">
        <f>U7-V7</f>
        <v>9.6666666666666661</v>
      </c>
      <c r="X7" s="5">
        <f>SUM(D7:F7)</f>
        <v>6</v>
      </c>
      <c r="Y7" s="50">
        <v>5</v>
      </c>
      <c r="Z7" s="5">
        <f>COUNTIF(AA$3:AA6,AB7)+COUNTIF(AA$3:AA7,AC7)+COUNTIF(AA$3:AA7,AD7)+COUNTIF(AA$3:AA7,AE7)+COUNTIF(AA$3:AA7,AF7)+COUNTIF(AA$3:AA7,AG7)+COUNTIF(AA$3:AA7,AH7)+COUNTIF(AA$3:AA7,AI7)+COUNTIF(AA$3:AA7,AJ7)+COUNTIF(AA$3:AA7,AK7)+COUNTIF(AA$3:AA7,AL7)+COUNTIF(AA$3:AA7,AM7)+COUNTIF(AA$3:AA7,AN7)+COUNTIF(AA$3:AA7,AO7)+COUNTIF(AA$3:AA7,AP7)+COUNTIF(AA$3:AA7,AQ7)+COUNTIF(AA$3:AA7,AR7)</f>
        <v>0</v>
      </c>
      <c r="AA7" s="49" t="str">
        <f>VLOOKUP(A7,howfared!$A$2:$B$33,2,FALSE)</f>
        <v>SF</v>
      </c>
      <c r="AB7" s="5" t="str">
        <f>VLOOKUP(AA7,howfared!$B$2:$AH$33,2,FALSE)</f>
        <v>GB</v>
      </c>
      <c r="AC7" s="5" t="str">
        <f>VLOOKUP(AA7,howfared!$B$2:$AH$33,3,FALSE)</f>
        <v>DET</v>
      </c>
      <c r="AD7" s="5">
        <f>VLOOKUP(AA7,howfared!$B$2:$AH$33,4,FALSE)</f>
        <v>0</v>
      </c>
      <c r="AE7" s="5" t="str">
        <f>VLOOKUP(AA7,howfared!$B$2:$AH$33,5,FALSE)</f>
        <v>NYJ</v>
      </c>
      <c r="AF7" s="5" t="str">
        <f>VLOOKUP(AA7,howfared!$B$2:$AH$33,6,FALSE)</f>
        <v>BUF</v>
      </c>
      <c r="AG7" s="5">
        <f>VLOOKUP(AA7,howfared!$B$2:$AH$33,7,FALSE)</f>
        <v>0</v>
      </c>
      <c r="AH7" s="5">
        <f>VLOOKUP(AA7,howfared!$B$2:$AH$33,8,FALSE)</f>
        <v>0</v>
      </c>
      <c r="AI7" s="5">
        <f>VLOOKUP(AA7,howfared!$B$2:$AH$33,9,FALSE)</f>
        <v>0</v>
      </c>
      <c r="AJ7" s="5">
        <f>VLOOKUP(AA7,howfared!$B$2:$AH$33,10,FALSE)</f>
        <v>0</v>
      </c>
      <c r="AK7" s="5">
        <f>VLOOKUP(AA7,howfared!$B$2:$AH$33,11,FALSE)</f>
        <v>0</v>
      </c>
      <c r="AL7" s="5">
        <f>VLOOKUP(AA7,howfared!$B$2:$AH$33,12,FALSE)</f>
        <v>0</v>
      </c>
      <c r="AM7" s="5">
        <f>VLOOKUP(AA7,howfared!$B$2:$AH$33,13,FALSE)</f>
        <v>0</v>
      </c>
      <c r="AN7" s="5">
        <f>VLOOKUP(AA7,howfared!$B$2:$AH$33,14,FALSE)</f>
        <v>0</v>
      </c>
      <c r="AO7" s="5">
        <f>VLOOKUP(AA7,howfared!$B$2:$AH$33,15,FALSE)</f>
        <v>0</v>
      </c>
      <c r="AP7" s="5">
        <f>VLOOKUP(AA7,howfared!$B$2:$AH$33,16,FALSE)</f>
        <v>0</v>
      </c>
      <c r="AQ7" s="5">
        <f>VLOOKUP(AA7,howfared!$B$2:$AH$33,17,FALSE)</f>
        <v>0</v>
      </c>
      <c r="AR7" s="5">
        <f>VLOOKUP(AA7,howfared!$B$2:$AH$33,18,FALSE)</f>
        <v>0</v>
      </c>
      <c r="AS7" s="5" t="str">
        <f t="shared" si="0"/>
        <v>SF</v>
      </c>
      <c r="AT7" s="5">
        <f t="shared" si="1"/>
        <v>4</v>
      </c>
      <c r="AU7" s="5">
        <f t="shared" si="1"/>
        <v>2</v>
      </c>
    </row>
    <row r="8" spans="1:47" s="5" customFormat="1" ht="15.95" customHeight="1" x14ac:dyDescent="0.15">
      <c r="A8" s="5" t="s">
        <v>232</v>
      </c>
      <c r="B8" s="5" t="s">
        <v>224</v>
      </c>
      <c r="C8" s="5" t="s">
        <v>233</v>
      </c>
      <c r="D8" s="5">
        <v>4</v>
      </c>
      <c r="E8" s="5">
        <v>1</v>
      </c>
      <c r="F8" s="5">
        <v>0</v>
      </c>
      <c r="G8" s="46">
        <v>0.8</v>
      </c>
      <c r="H8" s="5">
        <v>149</v>
      </c>
      <c r="I8" s="5">
        <v>71</v>
      </c>
      <c r="J8" s="5">
        <v>78</v>
      </c>
      <c r="K8" s="5">
        <v>17</v>
      </c>
      <c r="L8" s="47" t="s">
        <v>208</v>
      </c>
      <c r="M8" s="47" t="s">
        <v>214</v>
      </c>
      <c r="N8" s="47" t="s">
        <v>215</v>
      </c>
      <c r="O8" s="46">
        <v>0</v>
      </c>
      <c r="P8" s="47" t="s">
        <v>214</v>
      </c>
      <c r="Q8" s="46">
        <v>0.66700000000000004</v>
      </c>
      <c r="R8" s="47" t="s">
        <v>208</v>
      </c>
      <c r="S8" s="5" t="s">
        <v>234</v>
      </c>
      <c r="T8" s="47" t="s">
        <v>217</v>
      </c>
      <c r="U8" s="9">
        <f>H8/(D8+E8+F8)</f>
        <v>29.8</v>
      </c>
      <c r="V8" s="9">
        <f>I8/(D8+E8+F8)</f>
        <v>14.2</v>
      </c>
      <c r="W8" s="9">
        <f>U8-V8</f>
        <v>15.600000000000001</v>
      </c>
      <c r="X8" s="5">
        <f>SUM(D8:F8)</f>
        <v>5</v>
      </c>
      <c r="Y8" s="50">
        <v>6</v>
      </c>
      <c r="Z8" s="5">
        <f>COUNTIF(AA$3:AA7,AB8)+COUNTIF(AA$3:AA8,AC8)+COUNTIF(AA$3:AA8,AD8)+COUNTIF(AA$3:AA8,AE8)+COUNTIF(AA$3:AA8,AF8)+COUNTIF(AA$3:AA8,AG8)+COUNTIF(AA$3:AA8,AH8)+COUNTIF(AA$3:AA8,AI8)+COUNTIF(AA$3:AA8,AJ8)+COUNTIF(AA$3:AA8,AK8)+COUNTIF(AA$3:AA8,AL8)+COUNTIF(AA$3:AA8,AM8)+COUNTIF(AA$3:AA8,AN8)+COUNTIF(AA$3:AA8,AO8)+COUNTIF(AA$3:AA8,AP8)+COUNTIF(AA$3:AA8,AQ8)+COUNTIF(AA$3:AA8,AR8)</f>
        <v>0</v>
      </c>
      <c r="AA8" s="49" t="str">
        <f>VLOOKUP(A8,howfared!$A$2:$B$33,2,FALSE)</f>
        <v>CHI</v>
      </c>
      <c r="AB8" s="5" t="str">
        <f>VLOOKUP(AA8,howfared!$B$2:$AH$33,2,FALSE)</f>
        <v>IND</v>
      </c>
      <c r="AC8" s="5">
        <f>VLOOKUP(AA8,howfared!$B$2:$AH$33,3,FALSE)</f>
        <v>0</v>
      </c>
      <c r="AD8" s="5" t="str">
        <f>VLOOKUP(AA8,howfared!$B$2:$AH$33,4,FALSE)</f>
        <v>STL</v>
      </c>
      <c r="AE8" s="5" t="str">
        <f>VLOOKUP(AA8,howfared!$B$2:$AH$33,5,FALSE)</f>
        <v>DAL</v>
      </c>
      <c r="AF8" s="5" t="str">
        <f>VLOOKUP(AA8,howfared!$B$2:$AH$33,6,FALSE)</f>
        <v>JAC</v>
      </c>
      <c r="AG8" s="5">
        <f>VLOOKUP(AA8,howfared!$B$2:$AH$33,7,FALSE)</f>
        <v>0</v>
      </c>
      <c r="AH8" s="5">
        <f>VLOOKUP(AA8,howfared!$B$2:$AH$33,8,FALSE)</f>
        <v>0</v>
      </c>
      <c r="AI8" s="5">
        <f>VLOOKUP(AA8,howfared!$B$2:$AH$33,9,FALSE)</f>
        <v>0</v>
      </c>
      <c r="AJ8" s="5">
        <f>VLOOKUP(AA8,howfared!$B$2:$AH$33,10,FALSE)</f>
        <v>0</v>
      </c>
      <c r="AK8" s="5">
        <f>VLOOKUP(AA8,howfared!$B$2:$AH$33,11,FALSE)</f>
        <v>0</v>
      </c>
      <c r="AL8" s="5">
        <f>VLOOKUP(AA8,howfared!$B$2:$AH$33,12,FALSE)</f>
        <v>0</v>
      </c>
      <c r="AM8" s="5">
        <f>VLOOKUP(AA8,howfared!$B$2:$AH$33,13,FALSE)</f>
        <v>0</v>
      </c>
      <c r="AN8" s="5">
        <f>VLOOKUP(AA8,howfared!$B$2:$AH$33,14,FALSE)</f>
        <v>0</v>
      </c>
      <c r="AO8" s="5">
        <f>VLOOKUP(AA8,howfared!$B$2:$AH$33,15,FALSE)</f>
        <v>0</v>
      </c>
      <c r="AP8" s="5">
        <f>VLOOKUP(AA8,howfared!$B$2:$AH$33,16,FALSE)</f>
        <v>0</v>
      </c>
      <c r="AQ8" s="5">
        <f>VLOOKUP(AA8,howfared!$B$2:$AH$33,17,FALSE)</f>
        <v>0</v>
      </c>
      <c r="AR8" s="5">
        <f>VLOOKUP(AA8,howfared!$B$2:$AH$33,18,FALSE)</f>
        <v>0</v>
      </c>
      <c r="AS8" s="5" t="str">
        <f t="shared" si="0"/>
        <v>CHI</v>
      </c>
      <c r="AT8" s="5">
        <f t="shared" si="1"/>
        <v>4</v>
      </c>
      <c r="AU8" s="5">
        <f t="shared" si="1"/>
        <v>1</v>
      </c>
    </row>
    <row r="9" spans="1:47" s="5" customFormat="1" ht="15.95" customHeight="1" x14ac:dyDescent="0.15">
      <c r="A9" s="5" t="s">
        <v>235</v>
      </c>
      <c r="B9" s="5" t="s">
        <v>224</v>
      </c>
      <c r="C9" s="5" t="s">
        <v>236</v>
      </c>
      <c r="D9" s="5">
        <v>3</v>
      </c>
      <c r="E9" s="5">
        <v>3</v>
      </c>
      <c r="F9" s="5">
        <v>0</v>
      </c>
      <c r="G9" s="46">
        <v>0.5</v>
      </c>
      <c r="H9" s="5">
        <v>188</v>
      </c>
      <c r="I9" s="5">
        <v>137</v>
      </c>
      <c r="J9" s="5">
        <v>51</v>
      </c>
      <c r="K9" s="5">
        <v>21</v>
      </c>
      <c r="L9" s="47" t="s">
        <v>226</v>
      </c>
      <c r="M9" s="47" t="s">
        <v>231</v>
      </c>
      <c r="N9" s="47" t="s">
        <v>207</v>
      </c>
      <c r="O9" s="46">
        <v>1</v>
      </c>
      <c r="P9" s="47" t="s">
        <v>237</v>
      </c>
      <c r="Q9" s="46">
        <v>0.75</v>
      </c>
      <c r="R9" s="47" t="s">
        <v>220</v>
      </c>
      <c r="S9" s="5" t="s">
        <v>216</v>
      </c>
      <c r="T9" s="47" t="s">
        <v>238</v>
      </c>
      <c r="U9" s="9">
        <f>H9/(D9+E9+F9)</f>
        <v>31.333333333333332</v>
      </c>
      <c r="V9" s="9">
        <f>I9/(D9+E9+F9)</f>
        <v>22.833333333333332</v>
      </c>
      <c r="W9" s="9">
        <f>U9-V9</f>
        <v>8.5</v>
      </c>
      <c r="X9" s="5">
        <f>SUM(D9:F9)</f>
        <v>6</v>
      </c>
      <c r="Y9" s="48">
        <v>7</v>
      </c>
      <c r="Z9" s="5">
        <f>COUNTIF(AA$3:AA8,AB9)+COUNTIF(AA$3:AA9,AC9)+COUNTIF(AA$3:AA9,AD9)+COUNTIF(AA$3:AA9,AE9)+COUNTIF(AA$3:AA9,AF9)+COUNTIF(AA$3:AA9,AG9)+COUNTIF(AA$3:AA9,AH9)+COUNTIF(AA$3:AA9,AI9)+COUNTIF(AA$3:AA9,AJ9)+COUNTIF(AA$3:AA9,AK9)+COUNTIF(AA$3:AA9,AL9)+COUNTIF(AA$3:AA9,AM9)+COUNTIF(AA$3:AA9,AN9)+COUNTIF(AA$3:AA9,AO9)+COUNTIF(AA$3:AA9,AP9)+COUNTIF(AA$3:AA9,AQ9)+COUNTIF(AA$3:AA9,AR9)</f>
        <v>0</v>
      </c>
      <c r="AA9" s="49" t="str">
        <f>VLOOKUP(A9,howfared!$A$2:$B$33,2,FALSE)</f>
        <v>NE</v>
      </c>
      <c r="AB9" s="5" t="str">
        <f>VLOOKUP(AA9,howfared!$B$2:$AH$33,2,FALSE)</f>
        <v>TEN</v>
      </c>
      <c r="AC9" s="5">
        <f>VLOOKUP(AA9,howfared!$B$2:$AH$33,3,FALSE)</f>
        <v>0</v>
      </c>
      <c r="AD9" s="5">
        <f>VLOOKUP(AA9,howfared!$B$2:$AH$33,4,FALSE)</f>
        <v>0</v>
      </c>
      <c r="AE9" s="5" t="str">
        <f>VLOOKUP(AA9,howfared!$B$2:$AH$33,5,FALSE)</f>
        <v>BUF</v>
      </c>
      <c r="AF9" s="5" t="str">
        <f>VLOOKUP(AA9,howfared!$B$2:$AH$33,6,FALSE)</f>
        <v>DEN</v>
      </c>
      <c r="AG9" s="5">
        <f>VLOOKUP(AA9,howfared!$B$2:$AH$33,7,FALSE)</f>
        <v>0</v>
      </c>
      <c r="AH9" s="5">
        <f>VLOOKUP(AA9,howfared!$B$2:$AH$33,8,FALSE)</f>
        <v>0</v>
      </c>
      <c r="AI9" s="5">
        <f>VLOOKUP(AA9,howfared!$B$2:$AH$33,9,FALSE)</f>
        <v>0</v>
      </c>
      <c r="AJ9" s="5">
        <f>VLOOKUP(AA9,howfared!$B$2:$AH$33,10,FALSE)</f>
        <v>0</v>
      </c>
      <c r="AK9" s="5">
        <f>VLOOKUP(AA9,howfared!$B$2:$AH$33,11,FALSE)</f>
        <v>0</v>
      </c>
      <c r="AL9" s="5">
        <f>VLOOKUP(AA9,howfared!$B$2:$AH$33,12,FALSE)</f>
        <v>0</v>
      </c>
      <c r="AM9" s="5">
        <f>VLOOKUP(AA9,howfared!$B$2:$AH$33,13,FALSE)</f>
        <v>0</v>
      </c>
      <c r="AN9" s="5">
        <f>VLOOKUP(AA9,howfared!$B$2:$AH$33,14,FALSE)</f>
        <v>0</v>
      </c>
      <c r="AO9" s="5">
        <f>VLOOKUP(AA9,howfared!$B$2:$AH$33,15,FALSE)</f>
        <v>0</v>
      </c>
      <c r="AP9" s="5">
        <f>VLOOKUP(AA9,howfared!$B$2:$AH$33,16,FALSE)</f>
        <v>0</v>
      </c>
      <c r="AQ9" s="5">
        <f>VLOOKUP(AA9,howfared!$B$2:$AH$33,17,FALSE)</f>
        <v>0</v>
      </c>
      <c r="AR9" s="5">
        <f>VLOOKUP(AA9,howfared!$B$2:$AH$33,18,FALSE)</f>
        <v>0</v>
      </c>
      <c r="AS9" s="5" t="str">
        <f t="shared" si="0"/>
        <v>NE</v>
      </c>
      <c r="AT9" s="5">
        <f t="shared" si="1"/>
        <v>3</v>
      </c>
      <c r="AU9" s="5">
        <f t="shared" si="1"/>
        <v>3</v>
      </c>
    </row>
    <row r="10" spans="1:47" s="5" customFormat="1" ht="15.95" customHeight="1" x14ac:dyDescent="0.15">
      <c r="A10" s="5" t="s">
        <v>239</v>
      </c>
      <c r="B10" s="5" t="s">
        <v>204</v>
      </c>
      <c r="C10" s="5" t="s">
        <v>233</v>
      </c>
      <c r="D10" s="5">
        <v>3</v>
      </c>
      <c r="E10" s="5">
        <v>3</v>
      </c>
      <c r="F10" s="5">
        <v>0</v>
      </c>
      <c r="G10" s="46">
        <v>0.5</v>
      </c>
      <c r="H10" s="5">
        <v>154</v>
      </c>
      <c r="I10" s="5">
        <v>135</v>
      </c>
      <c r="J10" s="5">
        <v>19</v>
      </c>
      <c r="K10" s="5">
        <v>20</v>
      </c>
      <c r="L10" s="47" t="s">
        <v>214</v>
      </c>
      <c r="M10" s="47" t="s">
        <v>240</v>
      </c>
      <c r="N10" s="47" t="s">
        <v>207</v>
      </c>
      <c r="O10" s="46">
        <v>1</v>
      </c>
      <c r="P10" s="47" t="s">
        <v>231</v>
      </c>
      <c r="Q10" s="46">
        <v>0.5</v>
      </c>
      <c r="R10" s="47" t="s">
        <v>226</v>
      </c>
      <c r="S10" s="5" t="s">
        <v>241</v>
      </c>
      <c r="T10" s="47" t="s">
        <v>221</v>
      </c>
      <c r="U10" s="9">
        <f>H10/(D10+E10+F10)</f>
        <v>25.666666666666668</v>
      </c>
      <c r="V10" s="9">
        <f>I10/(D10+E10+F10)</f>
        <v>22.5</v>
      </c>
      <c r="W10" s="9">
        <f>U10-V10</f>
        <v>3.1666666666666679</v>
      </c>
      <c r="X10" s="5">
        <f>SUM(D10:F10)</f>
        <v>6</v>
      </c>
      <c r="Y10" s="50">
        <v>8</v>
      </c>
      <c r="Z10" s="5">
        <f>COUNTIF(AA$3:AA9,AB10)+COUNTIF(AA$3:AA10,AC10)+COUNTIF(AA$3:AA10,AD10)+COUNTIF(AA$3:AA10,AE10)+COUNTIF(AA$3:AA10,AF10)+COUNTIF(AA$3:AA10,AG10)+COUNTIF(AA$3:AA10,AH10)+COUNTIF(AA$3:AA10,AI10)+COUNTIF(AA$3:AA10,AJ10)+COUNTIF(AA$3:AA10,AK10)+COUNTIF(AA$3:AA10,AL10)+COUNTIF(AA$3:AA10,AM10)+COUNTIF(AA$3:AA10,AN10)+COUNTIF(AA$3:AA10,AO10)+COUNTIF(AA$3:AA10,AP10)+COUNTIF(AA$3:AA10,AQ10)+COUNTIF(AA$3:AA10,AR10)</f>
        <v>2</v>
      </c>
      <c r="AA10" s="49" t="str">
        <f>VLOOKUP(A10,howfared!$A$2:$B$33,2,FALSE)</f>
        <v>GB</v>
      </c>
      <c r="AB10" s="5">
        <f>VLOOKUP(AA10,howfared!$B$2:$AH$33,2,FALSE)</f>
        <v>0</v>
      </c>
      <c r="AC10" s="5" t="str">
        <f>VLOOKUP(AA10,howfared!$B$2:$AH$33,3,FALSE)</f>
        <v>CHI</v>
      </c>
      <c r="AD10" s="5">
        <f>VLOOKUP(AA10,howfared!$B$2:$AH$33,4,FALSE)</f>
        <v>0</v>
      </c>
      <c r="AE10" s="5" t="str">
        <f>VLOOKUP(AA10,howfared!$B$2:$AH$33,5,FALSE)</f>
        <v>NO</v>
      </c>
      <c r="AF10" s="5">
        <f>VLOOKUP(AA10,howfared!$B$2:$AH$33,6,FALSE)</f>
        <v>0</v>
      </c>
      <c r="AG10" s="5" t="str">
        <f>VLOOKUP(AA10,howfared!$B$2:$AH$33,7,FALSE)</f>
        <v>HOU</v>
      </c>
      <c r="AH10" s="5">
        <f>VLOOKUP(AA10,howfared!$B$2:$AH$33,8,FALSE)</f>
        <v>0</v>
      </c>
      <c r="AI10" s="5">
        <f>VLOOKUP(AA10,howfared!$B$2:$AH$33,9,FALSE)</f>
        <v>0</v>
      </c>
      <c r="AJ10" s="5">
        <f>VLOOKUP(AA10,howfared!$B$2:$AH$33,10,FALSE)</f>
        <v>0</v>
      </c>
      <c r="AK10" s="5">
        <f>VLOOKUP(AA10,howfared!$B$2:$AH$33,11,FALSE)</f>
        <v>0</v>
      </c>
      <c r="AL10" s="5">
        <f>VLOOKUP(AA10,howfared!$B$2:$AH$33,12,FALSE)</f>
        <v>0</v>
      </c>
      <c r="AM10" s="5">
        <f>VLOOKUP(AA10,howfared!$B$2:$AH$33,13,FALSE)</f>
        <v>0</v>
      </c>
      <c r="AN10" s="5">
        <f>VLOOKUP(AA10,howfared!$B$2:$AH$33,14,FALSE)</f>
        <v>0</v>
      </c>
      <c r="AO10" s="5">
        <f>VLOOKUP(AA10,howfared!$B$2:$AH$33,15,FALSE)</f>
        <v>0</v>
      </c>
      <c r="AP10" s="5">
        <f>VLOOKUP(AA10,howfared!$B$2:$AH$33,16,FALSE)</f>
        <v>0</v>
      </c>
      <c r="AQ10" s="5">
        <f>VLOOKUP(AA10,howfared!$B$2:$AH$33,17,FALSE)</f>
        <v>0</v>
      </c>
      <c r="AR10" s="5">
        <f>VLOOKUP(AA10,howfared!$B$2:$AH$33,18,FALSE)</f>
        <v>0</v>
      </c>
      <c r="AS10" s="5" t="str">
        <f t="shared" si="0"/>
        <v>GB</v>
      </c>
      <c r="AT10" s="5">
        <f t="shared" si="1"/>
        <v>3</v>
      </c>
      <c r="AU10" s="5">
        <f t="shared" si="1"/>
        <v>3</v>
      </c>
    </row>
    <row r="11" spans="1:47" s="5" customFormat="1" ht="15.95" customHeight="1" x14ac:dyDescent="0.15">
      <c r="A11" s="5" t="s">
        <v>242</v>
      </c>
      <c r="B11" s="5" t="s">
        <v>224</v>
      </c>
      <c r="C11" s="5" t="s">
        <v>229</v>
      </c>
      <c r="D11" s="5">
        <v>4</v>
      </c>
      <c r="E11" s="5">
        <v>2</v>
      </c>
      <c r="F11" s="5">
        <v>0</v>
      </c>
      <c r="G11" s="46">
        <v>0.66700000000000004</v>
      </c>
      <c r="H11" s="5">
        <v>110</v>
      </c>
      <c r="I11" s="5">
        <v>93</v>
      </c>
      <c r="J11" s="5">
        <v>17</v>
      </c>
      <c r="K11" s="5">
        <v>11</v>
      </c>
      <c r="L11" s="47" t="s">
        <v>206</v>
      </c>
      <c r="M11" s="47" t="s">
        <v>240</v>
      </c>
      <c r="N11" s="47" t="s">
        <v>220</v>
      </c>
      <c r="O11" s="46">
        <v>0</v>
      </c>
      <c r="P11" s="47" t="s">
        <v>221</v>
      </c>
      <c r="Q11" s="46">
        <v>0.6</v>
      </c>
      <c r="R11" s="47" t="s">
        <v>207</v>
      </c>
      <c r="S11" s="5" t="s">
        <v>222</v>
      </c>
      <c r="T11" s="47" t="s">
        <v>217</v>
      </c>
      <c r="U11" s="9">
        <f>H11/(D11+E11+F11)</f>
        <v>18.333333333333332</v>
      </c>
      <c r="V11" s="9">
        <f>I11/(D11+E11+F11)</f>
        <v>15.5</v>
      </c>
      <c r="W11" s="9">
        <f>U11-V11</f>
        <v>2.8333333333333321</v>
      </c>
      <c r="X11" s="5">
        <f>SUM(D11:F11)</f>
        <v>6</v>
      </c>
      <c r="Y11" s="50">
        <v>9</v>
      </c>
      <c r="Z11" s="5">
        <f>COUNTIF(AA$3:AA10,AB11)+COUNTIF(AA$3:AA11,AC11)+COUNTIF(AA$3:AA11,AD11)+COUNTIF(AA$3:AA11,AE11)+COUNTIF(AA$3:AA11,AF11)+COUNTIF(AA$3:AA11,AG11)+COUNTIF(AA$3:AA11,AH11)+COUNTIF(AA$3:AA11,AI11)+COUNTIF(AA$3:AA11,AJ11)+COUNTIF(AA$3:AA11,AK11)+COUNTIF(AA$3:AA11,AL11)+COUNTIF(AA$3:AA11,AM11)+COUNTIF(AA$3:AA11,AN11)+COUNTIF(AA$3:AA11,AO11)+COUNTIF(AA$3:AA11,AP11)+COUNTIF(AA$3:AA11,AQ11)+COUNTIF(AA$3:AA11,AR11)</f>
        <v>2</v>
      </c>
      <c r="AA11" s="49" t="str">
        <f>VLOOKUP(A11,howfared!$A$2:$B$33,2,FALSE)</f>
        <v>SEA</v>
      </c>
      <c r="AB11" s="5">
        <f>VLOOKUP(AA11,howfared!$B$2:$AH$33,2,FALSE)</f>
        <v>0</v>
      </c>
      <c r="AC11" s="5" t="str">
        <f>VLOOKUP(AA11,howfared!$B$2:$AH$33,3,FALSE)</f>
        <v>DAL</v>
      </c>
      <c r="AD11" s="5" t="str">
        <f>VLOOKUP(AA11,howfared!$B$2:$AH$33,4,FALSE)</f>
        <v>GB</v>
      </c>
      <c r="AE11" s="5">
        <f>VLOOKUP(AA11,howfared!$B$2:$AH$33,5,FALSE)</f>
        <v>0</v>
      </c>
      <c r="AF11" s="5" t="str">
        <f>VLOOKUP(AA11,howfared!$B$2:$AH$33,6,FALSE)</f>
        <v>CAR</v>
      </c>
      <c r="AG11" s="5" t="str">
        <f>VLOOKUP(AA11,howfared!$B$2:$AH$33,7,FALSE)</f>
        <v>NE</v>
      </c>
      <c r="AH11" s="5">
        <f>VLOOKUP(AA11,howfared!$B$2:$AH$33,8,FALSE)</f>
        <v>0</v>
      </c>
      <c r="AI11" s="5">
        <f>VLOOKUP(AA11,howfared!$B$2:$AH$33,9,FALSE)</f>
        <v>0</v>
      </c>
      <c r="AJ11" s="5">
        <f>VLOOKUP(AA11,howfared!$B$2:$AH$33,10,FALSE)</f>
        <v>0</v>
      </c>
      <c r="AK11" s="5">
        <f>VLOOKUP(AA11,howfared!$B$2:$AH$33,11,FALSE)</f>
        <v>0</v>
      </c>
      <c r="AL11" s="5">
        <f>VLOOKUP(AA11,howfared!$B$2:$AH$33,12,FALSE)</f>
        <v>0</v>
      </c>
      <c r="AM11" s="5">
        <f>VLOOKUP(AA11,howfared!$B$2:$AH$33,13,FALSE)</f>
        <v>0</v>
      </c>
      <c r="AN11" s="5">
        <f>VLOOKUP(AA11,howfared!$B$2:$AH$33,14,FALSE)</f>
        <v>0</v>
      </c>
      <c r="AO11" s="5">
        <f>VLOOKUP(AA11,howfared!$B$2:$AH$33,15,FALSE)</f>
        <v>0</v>
      </c>
      <c r="AP11" s="5">
        <f>VLOOKUP(AA11,howfared!$B$2:$AH$33,16,FALSE)</f>
        <v>0</v>
      </c>
      <c r="AQ11" s="5">
        <f>VLOOKUP(AA11,howfared!$B$2:$AH$33,17,FALSE)</f>
        <v>0</v>
      </c>
      <c r="AR11" s="5">
        <f>VLOOKUP(AA11,howfared!$B$2:$AH$33,18,FALSE)</f>
        <v>0</v>
      </c>
      <c r="AS11" s="5" t="str">
        <f t="shared" si="0"/>
        <v>SEA</v>
      </c>
      <c r="AT11" s="5">
        <f t="shared" si="1"/>
        <v>4</v>
      </c>
      <c r="AU11" s="5">
        <f t="shared" si="1"/>
        <v>2</v>
      </c>
    </row>
    <row r="12" spans="1:47" s="5" customFormat="1" ht="15.95" customHeight="1" x14ac:dyDescent="0.15">
      <c r="A12" s="5" t="s">
        <v>243</v>
      </c>
      <c r="B12" s="5" t="s">
        <v>204</v>
      </c>
      <c r="C12" s="5" t="s">
        <v>233</v>
      </c>
      <c r="D12" s="5">
        <v>4</v>
      </c>
      <c r="E12" s="5">
        <v>2</v>
      </c>
      <c r="F12" s="5">
        <v>0</v>
      </c>
      <c r="G12" s="46">
        <v>0.66700000000000004</v>
      </c>
      <c r="H12" s="5">
        <v>146</v>
      </c>
      <c r="I12" s="5">
        <v>117</v>
      </c>
      <c r="J12" s="5">
        <v>29</v>
      </c>
      <c r="K12" s="5">
        <v>14</v>
      </c>
      <c r="L12" s="47" t="s">
        <v>206</v>
      </c>
      <c r="M12" s="47" t="s">
        <v>240</v>
      </c>
      <c r="N12" s="47" t="s">
        <v>207</v>
      </c>
      <c r="O12" s="46">
        <v>1</v>
      </c>
      <c r="P12" s="47" t="s">
        <v>214</v>
      </c>
      <c r="Q12" s="46">
        <v>0.66700000000000004</v>
      </c>
      <c r="R12" s="47" t="s">
        <v>214</v>
      </c>
      <c r="S12" s="5" t="s">
        <v>216</v>
      </c>
      <c r="T12" s="47" t="s">
        <v>221</v>
      </c>
      <c r="U12" s="9">
        <f>H12/(D12+E12+F12)</f>
        <v>24.333333333333332</v>
      </c>
      <c r="V12" s="9">
        <f>I12/(D12+E12+F12)</f>
        <v>19.5</v>
      </c>
      <c r="W12" s="9">
        <f>U12-V12</f>
        <v>4.8333333333333321</v>
      </c>
      <c r="X12" s="5">
        <f>SUM(D12:F12)</f>
        <v>6</v>
      </c>
      <c r="Y12" s="48">
        <v>10</v>
      </c>
      <c r="Z12" s="5">
        <f>COUNTIF(AA$3:AA11,AB12)+COUNTIF(AA$3:AA12,AC12)+COUNTIF(AA$3:AA12,AD12)+COUNTIF(AA$3:AA12,AE12)+COUNTIF(AA$3:AA12,AF12)+COUNTIF(AA$3:AA12,AG12)+COUNTIF(AA$3:AA12,AH12)+COUNTIF(AA$3:AA12,AI12)+COUNTIF(AA$3:AA12,AJ12)+COUNTIF(AA$3:AA12,AK12)+COUNTIF(AA$3:AA12,AL12)+COUNTIF(AA$3:AA12,AM12)+COUNTIF(AA$3:AA12,AN12)+COUNTIF(AA$3:AA12,AO12)+COUNTIF(AA$3:AA12,AP12)+COUNTIF(AA$3:AA12,AQ12)+COUNTIF(AA$3:AA12,AR12)</f>
        <v>2</v>
      </c>
      <c r="AA12" s="49" t="str">
        <f>VLOOKUP(A12,howfared!$A$2:$B$33,2,FALSE)</f>
        <v>MIN</v>
      </c>
      <c r="AB12" s="5" t="str">
        <f>VLOOKUP(AA12,howfared!$B$2:$AH$33,2,FALSE)</f>
        <v>JAC</v>
      </c>
      <c r="AC12" s="5">
        <f>VLOOKUP(AA12,howfared!$B$2:$AH$33,3,FALSE)</f>
        <v>0</v>
      </c>
      <c r="AD12" s="5" t="str">
        <f>VLOOKUP(AA12,howfared!$B$2:$AH$33,4,FALSE)</f>
        <v>SF</v>
      </c>
      <c r="AE12" s="5" t="str">
        <f>VLOOKUP(AA12,howfared!$B$2:$AH$33,5,FALSE)</f>
        <v>DET</v>
      </c>
      <c r="AF12" s="5" t="str">
        <f>VLOOKUP(AA12,howfared!$B$2:$AH$33,6,FALSE)</f>
        <v>MIN</v>
      </c>
      <c r="AG12" s="5">
        <f>VLOOKUP(AA12,howfared!$B$2:$AH$33,7,FALSE)</f>
        <v>0</v>
      </c>
      <c r="AH12" s="5">
        <f>VLOOKUP(AA12,howfared!$B$2:$AH$33,8,FALSE)</f>
        <v>0</v>
      </c>
      <c r="AI12" s="5">
        <f>VLOOKUP(AA12,howfared!$B$2:$AH$33,9,FALSE)</f>
        <v>0</v>
      </c>
      <c r="AJ12" s="5">
        <f>VLOOKUP(AA12,howfared!$B$2:$AH$33,10,FALSE)</f>
        <v>0</v>
      </c>
      <c r="AK12" s="5">
        <f>VLOOKUP(AA12,howfared!$B$2:$AH$33,11,FALSE)</f>
        <v>0</v>
      </c>
      <c r="AL12" s="5">
        <f>VLOOKUP(AA12,howfared!$B$2:$AH$33,12,FALSE)</f>
        <v>0</v>
      </c>
      <c r="AM12" s="5">
        <f>VLOOKUP(AA12,howfared!$B$2:$AH$33,13,FALSE)</f>
        <v>0</v>
      </c>
      <c r="AN12" s="5">
        <f>VLOOKUP(AA12,howfared!$B$2:$AH$33,14,FALSE)</f>
        <v>0</v>
      </c>
      <c r="AO12" s="5">
        <f>VLOOKUP(AA12,howfared!$B$2:$AH$33,15,FALSE)</f>
        <v>0</v>
      </c>
      <c r="AP12" s="5">
        <f>VLOOKUP(AA12,howfared!$B$2:$AH$33,16,FALSE)</f>
        <v>0</v>
      </c>
      <c r="AQ12" s="5">
        <f>VLOOKUP(AA12,howfared!$B$2:$AH$33,17,FALSE)</f>
        <v>0</v>
      </c>
      <c r="AR12" s="5">
        <f>VLOOKUP(AA12,howfared!$B$2:$AH$33,18,FALSE)</f>
        <v>0</v>
      </c>
      <c r="AS12" s="5" t="str">
        <f t="shared" si="0"/>
        <v>MIN</v>
      </c>
      <c r="AT12" s="5">
        <f t="shared" si="1"/>
        <v>4</v>
      </c>
      <c r="AU12" s="5">
        <f t="shared" si="1"/>
        <v>2</v>
      </c>
    </row>
    <row r="13" spans="1:47" s="5" customFormat="1" ht="15.95" customHeight="1" x14ac:dyDescent="0.15">
      <c r="A13" s="5" t="s">
        <v>244</v>
      </c>
      <c r="B13" s="5" t="s">
        <v>204</v>
      </c>
      <c r="C13" s="5" t="s">
        <v>229</v>
      </c>
      <c r="D13" s="5">
        <v>4</v>
      </c>
      <c r="E13" s="5">
        <v>2</v>
      </c>
      <c r="F13" s="5">
        <v>0</v>
      </c>
      <c r="G13" s="46">
        <v>0.66700000000000004</v>
      </c>
      <c r="H13" s="5">
        <v>110</v>
      </c>
      <c r="I13" s="5">
        <v>97</v>
      </c>
      <c r="J13" s="5">
        <v>13</v>
      </c>
      <c r="K13" s="5">
        <v>11</v>
      </c>
      <c r="L13" s="47" t="s">
        <v>237</v>
      </c>
      <c r="M13" s="47" t="s">
        <v>226</v>
      </c>
      <c r="N13" s="47" t="s">
        <v>226</v>
      </c>
      <c r="O13" s="46">
        <v>0.5</v>
      </c>
      <c r="P13" s="47" t="s">
        <v>214</v>
      </c>
      <c r="Q13" s="46">
        <v>0.66700000000000004</v>
      </c>
      <c r="R13" s="47" t="s">
        <v>214</v>
      </c>
      <c r="S13" s="5" t="s">
        <v>245</v>
      </c>
      <c r="T13" s="47" t="s">
        <v>221</v>
      </c>
      <c r="U13" s="9">
        <f>H13/(D13+E13+F13)</f>
        <v>18.333333333333332</v>
      </c>
      <c r="V13" s="9">
        <f>I13/(D13+E13+F13)</f>
        <v>16.166666666666668</v>
      </c>
      <c r="W13" s="9">
        <f>U13-V13</f>
        <v>2.1666666666666643</v>
      </c>
      <c r="X13" s="5">
        <f>SUM(D13:F13)</f>
        <v>6</v>
      </c>
      <c r="Y13" s="50">
        <v>11</v>
      </c>
      <c r="Z13" s="5">
        <f>COUNTIF(AA$3:AA12,AB13)+COUNTIF(AA$3:AA13,AC13)+COUNTIF(AA$3:AA13,AD13)+COUNTIF(AA$3:AA13,AE13)+COUNTIF(AA$3:AA13,AF13)+COUNTIF(AA$3:AA13,AG13)+COUNTIF(AA$3:AA13,AH13)+COUNTIF(AA$3:AA13,AI13)+COUNTIF(AA$3:AA13,AJ13)+COUNTIF(AA$3:AA13,AK13)+COUNTIF(AA$3:AA13,AL13)+COUNTIF(AA$3:AA13,AM13)+COUNTIF(AA$3:AA13,AN13)+COUNTIF(AA$3:AA13,AO13)+COUNTIF(AA$3:AA13,AP13)+COUNTIF(AA$3:AA13,AQ13)+COUNTIF(AA$3:AA13,AR13)</f>
        <v>2</v>
      </c>
      <c r="AA13" s="49" t="str">
        <f>VLOOKUP(A13,howfared!$A$2:$B$33,2,FALSE)</f>
        <v>ARI</v>
      </c>
      <c r="AB13" s="5" t="str">
        <f>VLOOKUP(AA13,howfared!$B$2:$AH$33,2,FALSE)</f>
        <v>SEA</v>
      </c>
      <c r="AC13" s="5" t="str">
        <f>VLOOKUP(AA13,howfared!$B$2:$AH$33,3,FALSE)</f>
        <v>NE</v>
      </c>
      <c r="AD13" s="5" t="str">
        <f>VLOOKUP(AA13,howfared!$B$2:$AH$33,4,FALSE)</f>
        <v>PHI</v>
      </c>
      <c r="AE13" s="5" t="str">
        <f>VLOOKUP(AA13,howfared!$B$2:$AH$33,5,FALSE)</f>
        <v>MIA</v>
      </c>
      <c r="AF13" s="5">
        <f>VLOOKUP(AA13,howfared!$B$2:$AH$33,6,FALSE)</f>
        <v>0</v>
      </c>
      <c r="AG13" s="5">
        <f>VLOOKUP(AA13,howfared!$B$2:$AH$33,7,FALSE)</f>
        <v>0</v>
      </c>
      <c r="AH13" s="5">
        <f>VLOOKUP(AA13,howfared!$B$2:$AH$33,8,FALSE)</f>
        <v>0</v>
      </c>
      <c r="AI13" s="5">
        <f>VLOOKUP(AA13,howfared!$B$2:$AH$33,9,FALSE)</f>
        <v>0</v>
      </c>
      <c r="AJ13" s="5">
        <f>VLOOKUP(AA13,howfared!$B$2:$AH$33,10,FALSE)</f>
        <v>0</v>
      </c>
      <c r="AK13" s="5">
        <f>VLOOKUP(AA13,howfared!$B$2:$AH$33,11,FALSE)</f>
        <v>0</v>
      </c>
      <c r="AL13" s="5">
        <f>VLOOKUP(AA13,howfared!$B$2:$AH$33,12,FALSE)</f>
        <v>0</v>
      </c>
      <c r="AM13" s="5">
        <f>VLOOKUP(AA13,howfared!$B$2:$AH$33,13,FALSE)</f>
        <v>0</v>
      </c>
      <c r="AN13" s="5">
        <f>VLOOKUP(AA13,howfared!$B$2:$AH$33,14,FALSE)</f>
        <v>0</v>
      </c>
      <c r="AO13" s="5">
        <f>VLOOKUP(AA13,howfared!$B$2:$AH$33,15,FALSE)</f>
        <v>0</v>
      </c>
      <c r="AP13" s="5">
        <f>VLOOKUP(AA13,howfared!$B$2:$AH$33,16,FALSE)</f>
        <v>0</v>
      </c>
      <c r="AQ13" s="5">
        <f>VLOOKUP(AA13,howfared!$B$2:$AH$33,17,FALSE)</f>
        <v>0</v>
      </c>
      <c r="AR13" s="5">
        <f>VLOOKUP(AA13,howfared!$B$2:$AH$33,18,FALSE)</f>
        <v>0</v>
      </c>
      <c r="AS13" s="5" t="str">
        <f t="shared" si="0"/>
        <v>ARI</v>
      </c>
      <c r="AT13" s="5">
        <f t="shared" si="1"/>
        <v>4</v>
      </c>
      <c r="AU13" s="5">
        <f t="shared" si="1"/>
        <v>2</v>
      </c>
    </row>
    <row r="14" spans="1:47" s="5" customFormat="1" ht="15.95" customHeight="1" x14ac:dyDescent="0.15">
      <c r="A14" s="5" t="s">
        <v>246</v>
      </c>
      <c r="B14" s="5" t="s">
        <v>224</v>
      </c>
      <c r="C14" s="5" t="s">
        <v>247</v>
      </c>
      <c r="D14" s="5">
        <v>3</v>
      </c>
      <c r="E14" s="5">
        <v>3</v>
      </c>
      <c r="F14" s="5">
        <v>0</v>
      </c>
      <c r="G14" s="46">
        <v>0.5</v>
      </c>
      <c r="H14" s="5">
        <v>170</v>
      </c>
      <c r="I14" s="5">
        <v>138</v>
      </c>
      <c r="J14" s="5">
        <v>32</v>
      </c>
      <c r="K14" s="5">
        <v>21</v>
      </c>
      <c r="L14" s="47" t="s">
        <v>214</v>
      </c>
      <c r="M14" s="47" t="s">
        <v>240</v>
      </c>
      <c r="N14" s="47" t="s">
        <v>208</v>
      </c>
      <c r="O14" s="46">
        <v>1</v>
      </c>
      <c r="P14" s="47" t="s">
        <v>221</v>
      </c>
      <c r="Q14" s="46">
        <v>0.6</v>
      </c>
      <c r="R14" s="47" t="s">
        <v>215</v>
      </c>
      <c r="S14" s="5" t="s">
        <v>241</v>
      </c>
      <c r="T14" s="47" t="s">
        <v>238</v>
      </c>
      <c r="U14" s="9">
        <f>H14/(D14+E14+F14)</f>
        <v>28.333333333333332</v>
      </c>
      <c r="V14" s="9">
        <f>I14/(D14+E14+F14)</f>
        <v>23</v>
      </c>
      <c r="W14" s="9">
        <f>U14-V14</f>
        <v>5.3333333333333321</v>
      </c>
      <c r="X14" s="5">
        <f>SUM(D14:F14)</f>
        <v>6</v>
      </c>
      <c r="Y14" s="50">
        <v>12</v>
      </c>
      <c r="Z14" s="5">
        <f>COUNTIF(AA$3:AA13,AB14)+COUNTIF(AA$3:AA14,AC14)+COUNTIF(AA$3:AA14,AD14)+COUNTIF(AA$3:AA14,AE14)+COUNTIF(AA$3:AA14,AF14)+COUNTIF(AA$3:AA14,AG14)+COUNTIF(AA$3:AA14,AH14)+COUNTIF(AA$3:AA14,AI14)+COUNTIF(AA$3:AA14,AJ14)+COUNTIF(AA$3:AA14,AK14)+COUNTIF(AA$3:AA14,AL14)+COUNTIF(AA$3:AA14,AM14)+COUNTIF(AA$3:AA14,AN14)+COUNTIF(AA$3:AA14,AO14)+COUNTIF(AA$3:AA14,AP14)+COUNTIF(AA$3:AA14,AQ14)+COUNTIF(AA$3:AA14,AR14)</f>
        <v>0</v>
      </c>
      <c r="AA14" s="49" t="str">
        <f>VLOOKUP(A14,howfared!$A$2:$B$33,2,FALSE)</f>
        <v>DEN</v>
      </c>
      <c r="AB14" s="5" t="str">
        <f>VLOOKUP(AA14,howfared!$B$2:$AH$33,2,FALSE)</f>
        <v>PIT</v>
      </c>
      <c r="AC14" s="5">
        <f>VLOOKUP(AA14,howfared!$B$2:$AH$33,3,FALSE)</f>
        <v>0</v>
      </c>
      <c r="AD14" s="5">
        <f>VLOOKUP(AA14,howfared!$B$2:$AH$33,4,FALSE)</f>
        <v>0</v>
      </c>
      <c r="AE14" s="5" t="str">
        <f>VLOOKUP(AA14,howfared!$B$2:$AH$33,5,FALSE)</f>
        <v>OAK</v>
      </c>
      <c r="AF14" s="5">
        <f>VLOOKUP(AA14,howfared!$B$2:$AH$33,6,FALSE)</f>
        <v>0</v>
      </c>
      <c r="AG14" s="5" t="str">
        <f>VLOOKUP(AA14,howfared!$B$2:$AH$33,7,FALSE)</f>
        <v>SD</v>
      </c>
      <c r="AH14" s="5">
        <f>VLOOKUP(AA14,howfared!$B$2:$AH$33,8,FALSE)</f>
        <v>0</v>
      </c>
      <c r="AI14" s="5">
        <f>VLOOKUP(AA14,howfared!$B$2:$AH$33,9,FALSE)</f>
        <v>0</v>
      </c>
      <c r="AJ14" s="5">
        <f>VLOOKUP(AA14,howfared!$B$2:$AH$33,10,FALSE)</f>
        <v>0</v>
      </c>
      <c r="AK14" s="5">
        <f>VLOOKUP(AA14,howfared!$B$2:$AH$33,11,FALSE)</f>
        <v>0</v>
      </c>
      <c r="AL14" s="5">
        <f>VLOOKUP(AA14,howfared!$B$2:$AH$33,12,FALSE)</f>
        <v>0</v>
      </c>
      <c r="AM14" s="5">
        <f>VLOOKUP(AA14,howfared!$B$2:$AH$33,13,FALSE)</f>
        <v>0</v>
      </c>
      <c r="AN14" s="5">
        <f>VLOOKUP(AA14,howfared!$B$2:$AH$33,14,FALSE)</f>
        <v>0</v>
      </c>
      <c r="AO14" s="5">
        <f>VLOOKUP(AA14,howfared!$B$2:$AH$33,15,FALSE)</f>
        <v>0</v>
      </c>
      <c r="AP14" s="5">
        <f>VLOOKUP(AA14,howfared!$B$2:$AH$33,16,FALSE)</f>
        <v>0</v>
      </c>
      <c r="AQ14" s="5">
        <f>VLOOKUP(AA14,howfared!$B$2:$AH$33,17,FALSE)</f>
        <v>0</v>
      </c>
      <c r="AR14" s="5">
        <f>VLOOKUP(AA14,howfared!$B$2:$AH$33,18,FALSE)</f>
        <v>0</v>
      </c>
      <c r="AS14" s="5" t="str">
        <f t="shared" si="0"/>
        <v>DEN</v>
      </c>
      <c r="AT14" s="5">
        <f t="shared" si="1"/>
        <v>3</v>
      </c>
      <c r="AU14" s="5">
        <f t="shared" si="1"/>
        <v>3</v>
      </c>
    </row>
    <row r="15" spans="1:47" s="5" customFormat="1" ht="15.95" customHeight="1" x14ac:dyDescent="0.15">
      <c r="A15" s="5" t="s">
        <v>248</v>
      </c>
      <c r="B15" s="5" t="s">
        <v>224</v>
      </c>
      <c r="C15" s="5" t="s">
        <v>219</v>
      </c>
      <c r="D15" s="5">
        <v>3</v>
      </c>
      <c r="E15" s="5">
        <v>3</v>
      </c>
      <c r="F15" s="5">
        <v>0</v>
      </c>
      <c r="G15" s="46">
        <v>0.5</v>
      </c>
      <c r="H15" s="5">
        <v>103</v>
      </c>
      <c r="I15" s="5">
        <v>125</v>
      </c>
      <c r="J15" s="5">
        <v>-22</v>
      </c>
      <c r="K15" s="5">
        <v>10</v>
      </c>
      <c r="L15" s="47" t="s">
        <v>214</v>
      </c>
      <c r="M15" s="47" t="s">
        <v>240</v>
      </c>
      <c r="N15" s="47" t="s">
        <v>207</v>
      </c>
      <c r="O15" s="46">
        <v>1</v>
      </c>
      <c r="P15" s="47" t="s">
        <v>240</v>
      </c>
      <c r="Q15" s="46">
        <v>0.33300000000000002</v>
      </c>
      <c r="R15" s="47" t="s">
        <v>214</v>
      </c>
      <c r="S15" s="5" t="s">
        <v>245</v>
      </c>
      <c r="T15" s="47" t="s">
        <v>238</v>
      </c>
      <c r="U15" s="9">
        <f>H15/(D15+E15+F15)</f>
        <v>17.166666666666668</v>
      </c>
      <c r="V15" s="9">
        <f>I15/(D15+E15+F15)</f>
        <v>20.833333333333332</v>
      </c>
      <c r="W15" s="9">
        <f>U15-V15</f>
        <v>-3.6666666666666643</v>
      </c>
      <c r="X15" s="5">
        <f>SUM(D15:F15)</f>
        <v>6</v>
      </c>
      <c r="Y15" s="48">
        <v>13</v>
      </c>
      <c r="Z15" s="5">
        <f>COUNTIF(AA$3:AA14,AB15)+COUNTIF(AA$3:AA15,AC15)+COUNTIF(AA$3:AA15,AD15)+COUNTIF(AA$3:AA15,AE15)+COUNTIF(AA$3:AA15,AF15)+COUNTIF(AA$3:AA15,AG15)+COUNTIF(AA$3:AA15,AH15)+COUNTIF(AA$3:AA15,AI15)+COUNTIF(AA$3:AA15,AJ15)+COUNTIF(AA$3:AA15,AK15)+COUNTIF(AA$3:AA15,AL15)+COUNTIF(AA$3:AA15,AM15)+COUNTIF(AA$3:AA15,AN15)+COUNTIF(AA$3:AA15,AO15)+COUNTIF(AA$3:AA15,AP15)+COUNTIF(AA$3:AA15,AQ15)+COUNTIF(AA$3:AA15,AR15)</f>
        <v>2</v>
      </c>
      <c r="AA15" s="49" t="str">
        <f>VLOOKUP(A15,howfared!$A$2:$B$33,2,FALSE)</f>
        <v>PHI</v>
      </c>
      <c r="AB15" s="5" t="str">
        <f>VLOOKUP(AA15,howfared!$B$2:$AH$33,2,FALSE)</f>
        <v>CLE</v>
      </c>
      <c r="AC15" s="5" t="str">
        <f>VLOOKUP(AA15,howfared!$B$2:$AH$33,3,FALSE)</f>
        <v>BAL</v>
      </c>
      <c r="AD15" s="5">
        <f>VLOOKUP(AA15,howfared!$B$2:$AH$33,4,FALSE)</f>
        <v>0</v>
      </c>
      <c r="AE15" s="5" t="str">
        <f>VLOOKUP(AA15,howfared!$B$2:$AH$33,5,FALSE)</f>
        <v>NYG</v>
      </c>
      <c r="AF15" s="5">
        <f>VLOOKUP(AA15,howfared!$B$2:$AH$33,6,FALSE)</f>
        <v>0</v>
      </c>
      <c r="AG15" s="5">
        <f>VLOOKUP(AA15,howfared!$B$2:$AH$33,7,FALSE)</f>
        <v>0</v>
      </c>
      <c r="AH15" s="5">
        <f>VLOOKUP(AA15,howfared!$B$2:$AH$33,8,FALSE)</f>
        <v>0</v>
      </c>
      <c r="AI15" s="5">
        <f>VLOOKUP(AA15,howfared!$B$2:$AH$33,9,FALSE)</f>
        <v>0</v>
      </c>
      <c r="AJ15" s="5">
        <f>VLOOKUP(AA15,howfared!$B$2:$AH$33,10,FALSE)</f>
        <v>0</v>
      </c>
      <c r="AK15" s="5">
        <f>VLOOKUP(AA15,howfared!$B$2:$AH$33,11,FALSE)</f>
        <v>0</v>
      </c>
      <c r="AL15" s="5">
        <f>VLOOKUP(AA15,howfared!$B$2:$AH$33,12,FALSE)</f>
        <v>0</v>
      </c>
      <c r="AM15" s="5">
        <f>VLOOKUP(AA15,howfared!$B$2:$AH$33,13,FALSE)</f>
        <v>0</v>
      </c>
      <c r="AN15" s="5">
        <f>VLOOKUP(AA15,howfared!$B$2:$AH$33,14,FALSE)</f>
        <v>0</v>
      </c>
      <c r="AO15" s="5">
        <f>VLOOKUP(AA15,howfared!$B$2:$AH$33,15,FALSE)</f>
        <v>0</v>
      </c>
      <c r="AP15" s="5">
        <f>VLOOKUP(AA15,howfared!$B$2:$AH$33,16,FALSE)</f>
        <v>0</v>
      </c>
      <c r="AQ15" s="5">
        <f>VLOOKUP(AA15,howfared!$B$2:$AH$33,17,FALSE)</f>
        <v>0</v>
      </c>
      <c r="AR15" s="5">
        <f>VLOOKUP(AA15,howfared!$B$2:$AH$33,18,FALSE)</f>
        <v>0</v>
      </c>
      <c r="AS15" s="5" t="str">
        <f t="shared" si="0"/>
        <v>PHI</v>
      </c>
      <c r="AT15" s="5">
        <f t="shared" si="1"/>
        <v>3</v>
      </c>
      <c r="AU15" s="5">
        <f t="shared" si="1"/>
        <v>3</v>
      </c>
    </row>
    <row r="16" spans="1:47" s="5" customFormat="1" ht="15.95" customHeight="1" x14ac:dyDescent="0.15">
      <c r="A16" s="5" t="s">
        <v>249</v>
      </c>
      <c r="B16" s="5" t="s">
        <v>224</v>
      </c>
      <c r="C16" s="5" t="s">
        <v>225</v>
      </c>
      <c r="D16" s="5">
        <v>2</v>
      </c>
      <c r="E16" s="5">
        <v>3</v>
      </c>
      <c r="F16" s="5">
        <v>0</v>
      </c>
      <c r="G16" s="46">
        <v>0.4</v>
      </c>
      <c r="H16" s="5">
        <v>116</v>
      </c>
      <c r="I16" s="5">
        <v>115</v>
      </c>
      <c r="J16" s="5">
        <v>1</v>
      </c>
      <c r="K16" s="5">
        <v>12</v>
      </c>
      <c r="L16" s="47" t="s">
        <v>208</v>
      </c>
      <c r="M16" s="47" t="s">
        <v>250</v>
      </c>
      <c r="N16" s="47" t="s">
        <v>230</v>
      </c>
      <c r="O16" s="46">
        <v>0</v>
      </c>
      <c r="P16" s="47" t="s">
        <v>251</v>
      </c>
      <c r="Q16" s="46">
        <v>0.25</v>
      </c>
      <c r="R16" s="47" t="s">
        <v>207</v>
      </c>
      <c r="S16" s="5" t="s">
        <v>216</v>
      </c>
      <c r="T16" s="47" t="s">
        <v>238</v>
      </c>
      <c r="U16" s="9">
        <f>H16/(D16+E16+F16)</f>
        <v>23.2</v>
      </c>
      <c r="V16" s="9">
        <f>I16/(D16+E16+F16)</f>
        <v>23</v>
      </c>
      <c r="W16" s="9">
        <f>U16-V16</f>
        <v>0.19999999999999929</v>
      </c>
      <c r="X16" s="5">
        <f>SUM(D16:F16)</f>
        <v>5</v>
      </c>
      <c r="Y16" s="50">
        <v>14</v>
      </c>
      <c r="Z16" s="5">
        <f>COUNTIF(AA$3:AA15,AB16)+COUNTIF(AA$3:AA16,AC16)+COUNTIF(AA$3:AA16,AD16)+COUNTIF(AA$3:AA16,AE16)+COUNTIF(AA$3:AA16,AF16)+COUNTIF(AA$3:AA16,AG16)+COUNTIF(AA$3:AA16,AH16)+COUNTIF(AA$3:AA16,AI16)+COUNTIF(AA$3:AA16,AJ16)+COUNTIF(AA$3:AA16,AK16)+COUNTIF(AA$3:AA16,AL16)+COUNTIF(AA$3:AA16,AM16)+COUNTIF(AA$3:AA16,AN16)+COUNTIF(AA$3:AA16,AO16)+COUNTIF(AA$3:AA16,AP16)+COUNTIF(AA$3:AA16,AQ16)+COUNTIF(AA$3:AA16,AR16)</f>
        <v>1</v>
      </c>
      <c r="AA16" s="49" t="str">
        <f>VLOOKUP(A16,howfared!$A$2:$B$33,2,FALSE)</f>
        <v>PIT</v>
      </c>
      <c r="AB16" s="5">
        <f>VLOOKUP(AA16,howfared!$B$2:$AH$33,2,FALSE)</f>
        <v>0</v>
      </c>
      <c r="AC16" s="5" t="str">
        <f>VLOOKUP(AA16,howfared!$B$2:$AH$33,3,FALSE)</f>
        <v>NYJ</v>
      </c>
      <c r="AD16" s="5">
        <f>VLOOKUP(AA16,howfared!$B$2:$AH$33,4,FALSE)</f>
        <v>0</v>
      </c>
      <c r="AE16" s="5">
        <f>VLOOKUP(AA16,howfared!$B$2:$AH$33,5,FALSE)</f>
        <v>0</v>
      </c>
      <c r="AF16" s="5" t="str">
        <f>VLOOKUP(AA16,howfared!$B$2:$AH$33,6,FALSE)</f>
        <v>PHI</v>
      </c>
      <c r="AG16" s="5">
        <f>VLOOKUP(AA16,howfared!$B$2:$AH$33,7,FALSE)</f>
        <v>0</v>
      </c>
      <c r="AH16" s="5">
        <f>VLOOKUP(AA16,howfared!$B$2:$AH$33,8,FALSE)</f>
        <v>0</v>
      </c>
      <c r="AI16" s="5">
        <f>VLOOKUP(AA16,howfared!$B$2:$AH$33,9,FALSE)</f>
        <v>0</v>
      </c>
      <c r="AJ16" s="5">
        <f>VLOOKUP(AA16,howfared!$B$2:$AH$33,10,FALSE)</f>
        <v>0</v>
      </c>
      <c r="AK16" s="5">
        <f>VLOOKUP(AA16,howfared!$B$2:$AH$33,11,FALSE)</f>
        <v>0</v>
      </c>
      <c r="AL16" s="5">
        <f>VLOOKUP(AA16,howfared!$B$2:$AH$33,12,FALSE)</f>
        <v>0</v>
      </c>
      <c r="AM16" s="5">
        <f>VLOOKUP(AA16,howfared!$B$2:$AH$33,13,FALSE)</f>
        <v>0</v>
      </c>
      <c r="AN16" s="5">
        <f>VLOOKUP(AA16,howfared!$B$2:$AH$33,14,FALSE)</f>
        <v>0</v>
      </c>
      <c r="AO16" s="5">
        <f>VLOOKUP(AA16,howfared!$B$2:$AH$33,15,FALSE)</f>
        <v>0</v>
      </c>
      <c r="AP16" s="5">
        <f>VLOOKUP(AA16,howfared!$B$2:$AH$33,16,FALSE)</f>
        <v>0</v>
      </c>
      <c r="AQ16" s="5">
        <f>VLOOKUP(AA16,howfared!$B$2:$AH$33,17,FALSE)</f>
        <v>0</v>
      </c>
      <c r="AR16" s="5">
        <f>VLOOKUP(AA16,howfared!$B$2:$AH$33,18,FALSE)</f>
        <v>0</v>
      </c>
      <c r="AS16" s="5" t="str">
        <f t="shared" si="0"/>
        <v>PIT</v>
      </c>
      <c r="AT16" s="5">
        <f t="shared" si="1"/>
        <v>2</v>
      </c>
      <c r="AU16" s="5">
        <f t="shared" si="1"/>
        <v>3</v>
      </c>
    </row>
    <row r="17" spans="1:47" s="5" customFormat="1" ht="15.95" customHeight="1" x14ac:dyDescent="0.15">
      <c r="A17" s="5" t="s">
        <v>252</v>
      </c>
      <c r="B17" s="5" t="s">
        <v>224</v>
      </c>
      <c r="C17" s="5" t="s">
        <v>219</v>
      </c>
      <c r="D17" s="5">
        <v>3</v>
      </c>
      <c r="E17" s="5">
        <v>3</v>
      </c>
      <c r="F17" s="5">
        <v>0</v>
      </c>
      <c r="G17" s="46">
        <v>0.5</v>
      </c>
      <c r="H17" s="5">
        <v>178</v>
      </c>
      <c r="I17" s="5">
        <v>173</v>
      </c>
      <c r="J17" s="5">
        <v>5</v>
      </c>
      <c r="K17" s="5">
        <v>22</v>
      </c>
      <c r="L17" s="47" t="s">
        <v>240</v>
      </c>
      <c r="M17" s="47" t="s">
        <v>214</v>
      </c>
      <c r="N17" s="47" t="s">
        <v>230</v>
      </c>
      <c r="O17" s="46">
        <v>0</v>
      </c>
      <c r="P17" s="47" t="s">
        <v>221</v>
      </c>
      <c r="Q17" s="46">
        <v>0.6</v>
      </c>
      <c r="R17" s="47" t="s">
        <v>215</v>
      </c>
      <c r="S17" s="5" t="s">
        <v>241</v>
      </c>
      <c r="T17" s="47" t="s">
        <v>238</v>
      </c>
      <c r="U17" s="9">
        <f>H17/(D17+E17+F17)</f>
        <v>29.666666666666668</v>
      </c>
      <c r="V17" s="9">
        <f>I17/(D17+E17+F17)</f>
        <v>28.833333333333332</v>
      </c>
      <c r="W17" s="9">
        <f>U17-V17</f>
        <v>0.8333333333333357</v>
      </c>
      <c r="X17" s="5">
        <f>SUM(D17:F17)</f>
        <v>6</v>
      </c>
      <c r="Y17" s="50">
        <v>15</v>
      </c>
      <c r="Z17" s="5">
        <f>COUNTIF(AA$3:AA16,AB17)+COUNTIF(AA$3:AA17,AC17)+COUNTIF(AA$3:AA17,AD17)+COUNTIF(AA$3:AA17,AE17)+COUNTIF(AA$3:AA17,AF17)+COUNTIF(AA$3:AA17,AG17)+COUNTIF(AA$3:AA17,AH17)+COUNTIF(AA$3:AA17,AI17)+COUNTIF(AA$3:AA17,AJ17)+COUNTIF(AA$3:AA17,AK17)+COUNTIF(AA$3:AA17,AL17)+COUNTIF(AA$3:AA17,AM17)+COUNTIF(AA$3:AA17,AN17)+COUNTIF(AA$3:AA17,AO17)+COUNTIF(AA$3:AA17,AP17)+COUNTIF(AA$3:AA17,AQ17)+COUNTIF(AA$3:AA17,AR17)</f>
        <v>1</v>
      </c>
      <c r="AA17" s="49" t="str">
        <f>VLOOKUP(A17,howfared!$A$2:$B$33,2,FALSE)</f>
        <v>WAS</v>
      </c>
      <c r="AB17" s="5" t="str">
        <f>VLOOKUP(AA17,howfared!$B$2:$AH$33,2,FALSE)</f>
        <v>NO</v>
      </c>
      <c r="AC17" s="5">
        <f>VLOOKUP(AA17,howfared!$B$2:$AH$33,3,FALSE)</f>
        <v>0</v>
      </c>
      <c r="AD17" s="5">
        <f>VLOOKUP(AA17,howfared!$B$2:$AH$33,4,FALSE)</f>
        <v>0</v>
      </c>
      <c r="AE17" s="5" t="str">
        <f>VLOOKUP(AA17,howfared!$B$2:$AH$33,5,FALSE)</f>
        <v>TB</v>
      </c>
      <c r="AF17" s="5">
        <f>VLOOKUP(AA17,howfared!$B$2:$AH$33,6,FALSE)</f>
        <v>0</v>
      </c>
      <c r="AG17" s="5" t="str">
        <f>VLOOKUP(AA17,howfared!$B$2:$AH$33,7,FALSE)</f>
        <v>MIN</v>
      </c>
      <c r="AH17" s="5">
        <f>VLOOKUP(AA17,howfared!$B$2:$AH$33,8,FALSE)</f>
        <v>0</v>
      </c>
      <c r="AI17" s="5">
        <f>VLOOKUP(AA17,howfared!$B$2:$AH$33,9,FALSE)</f>
        <v>0</v>
      </c>
      <c r="AJ17" s="5">
        <f>VLOOKUP(AA17,howfared!$B$2:$AH$33,10,FALSE)</f>
        <v>0</v>
      </c>
      <c r="AK17" s="5">
        <f>VLOOKUP(AA17,howfared!$B$2:$AH$33,11,FALSE)</f>
        <v>0</v>
      </c>
      <c r="AL17" s="5">
        <f>VLOOKUP(AA17,howfared!$B$2:$AH$33,12,FALSE)</f>
        <v>0</v>
      </c>
      <c r="AM17" s="5">
        <f>VLOOKUP(AA17,howfared!$B$2:$AH$33,13,FALSE)</f>
        <v>0</v>
      </c>
      <c r="AN17" s="5">
        <f>VLOOKUP(AA17,howfared!$B$2:$AH$33,14,FALSE)</f>
        <v>0</v>
      </c>
      <c r="AO17" s="5">
        <f>VLOOKUP(AA17,howfared!$B$2:$AH$33,15,FALSE)</f>
        <v>0</v>
      </c>
      <c r="AP17" s="5">
        <f>VLOOKUP(AA17,howfared!$B$2:$AH$33,16,FALSE)</f>
        <v>0</v>
      </c>
      <c r="AQ17" s="5">
        <f>VLOOKUP(AA17,howfared!$B$2:$AH$33,17,FALSE)</f>
        <v>0</v>
      </c>
      <c r="AR17" s="5">
        <f>VLOOKUP(AA17,howfared!$B$2:$AH$33,18,FALSE)</f>
        <v>0</v>
      </c>
      <c r="AS17" s="5" t="str">
        <f t="shared" si="0"/>
        <v>WAS</v>
      </c>
      <c r="AT17" s="5">
        <f t="shared" si="1"/>
        <v>3</v>
      </c>
      <c r="AU17" s="5">
        <f t="shared" si="1"/>
        <v>3</v>
      </c>
    </row>
    <row r="18" spans="1:47" s="5" customFormat="1" ht="15.95" customHeight="1" x14ac:dyDescent="0.15">
      <c r="A18" s="6" t="s">
        <v>253</v>
      </c>
      <c r="B18" s="6" t="s">
        <v>204</v>
      </c>
      <c r="C18" s="6" t="s">
        <v>247</v>
      </c>
      <c r="D18" s="6">
        <v>3</v>
      </c>
      <c r="E18" s="6">
        <v>3</v>
      </c>
      <c r="F18" s="6">
        <v>0</v>
      </c>
      <c r="G18" s="35">
        <v>0.5</v>
      </c>
      <c r="H18" s="6">
        <v>148</v>
      </c>
      <c r="I18" s="6">
        <v>137</v>
      </c>
      <c r="J18" s="6">
        <v>11</v>
      </c>
      <c r="K18" s="6">
        <v>16</v>
      </c>
      <c r="L18" s="36" t="s">
        <v>240</v>
      </c>
      <c r="M18" s="36" t="s">
        <v>214</v>
      </c>
      <c r="N18" s="36" t="s">
        <v>214</v>
      </c>
      <c r="O18" s="35">
        <v>0.66666666699999999</v>
      </c>
      <c r="P18" s="36" t="s">
        <v>237</v>
      </c>
      <c r="Q18" s="35">
        <v>0.75</v>
      </c>
      <c r="R18" s="36" t="s">
        <v>220</v>
      </c>
      <c r="S18" s="6" t="s">
        <v>245</v>
      </c>
      <c r="T18" s="36" t="s">
        <v>238</v>
      </c>
      <c r="U18" s="9">
        <f>H18/(D18+E18+F18)</f>
        <v>24.666666666666668</v>
      </c>
      <c r="V18" s="9">
        <f>I18/(D18+E18+F18)</f>
        <v>22.833333333333332</v>
      </c>
      <c r="W18" s="9">
        <f>U18-V18</f>
        <v>1.8333333333333357</v>
      </c>
      <c r="X18" s="5">
        <f>SUM(D18:F18)</f>
        <v>6</v>
      </c>
      <c r="Y18" s="48">
        <v>16</v>
      </c>
      <c r="Z18" s="5">
        <f>COUNTIF(AA$3:AA17,AB18)+COUNTIF(AA$3:AA18,AC18)+COUNTIF(AA$3:AA18,AD18)+COUNTIF(AA$3:AA18,AE18)+COUNTIF(AA$3:AA18,AF18)+COUNTIF(AA$3:AA18,AG18)+COUNTIF(AA$3:AA18,AH18)+COUNTIF(AA$3:AA18,AI18)+COUNTIF(AA$3:AA18,AJ18)+COUNTIF(AA$3:AA18,AK18)+COUNTIF(AA$3:AA18,AL18)+COUNTIF(AA$3:AA18,AM18)+COUNTIF(AA$3:AA18,AN18)+COUNTIF(AA$3:AA18,AO18)+COUNTIF(AA$3:AA18,AP18)+COUNTIF(AA$3:AA18,AQ18)+COUNTIF(AA$3:AA18,AR18)</f>
        <v>0</v>
      </c>
      <c r="AA18" s="49" t="str">
        <f>VLOOKUP(A18,howfared!$A$2:$B$33,2,FALSE)</f>
        <v>SD</v>
      </c>
      <c r="AB18" s="5" t="str">
        <f>VLOOKUP(AA18,howfared!$B$2:$AH$33,2,FALSE)</f>
        <v>OAK</v>
      </c>
      <c r="AC18" s="5" t="str">
        <f>VLOOKUP(AA18,howfared!$B$2:$AH$33,3,FALSE)</f>
        <v>TEN</v>
      </c>
      <c r="AD18" s="5">
        <f>VLOOKUP(AA18,howfared!$B$2:$AH$33,4,FALSE)</f>
        <v>0</v>
      </c>
      <c r="AE18" s="5" t="str">
        <f>VLOOKUP(AA18,howfared!$B$2:$AH$33,5,FALSE)</f>
        <v>KC</v>
      </c>
      <c r="AF18" s="5">
        <f>VLOOKUP(AA18,howfared!$B$2:$AH$33,6,FALSE)</f>
        <v>0</v>
      </c>
      <c r="AG18" s="5">
        <f>VLOOKUP(AA18,howfared!$B$2:$AH$33,7,FALSE)</f>
        <v>0</v>
      </c>
      <c r="AH18" s="5">
        <f>VLOOKUP(AA18,howfared!$B$2:$AH$33,8,FALSE)</f>
        <v>0</v>
      </c>
      <c r="AI18" s="5">
        <f>VLOOKUP(AA18,howfared!$B$2:$AH$33,9,FALSE)</f>
        <v>0</v>
      </c>
      <c r="AJ18" s="5">
        <f>VLOOKUP(AA18,howfared!$B$2:$AH$33,10,FALSE)</f>
        <v>0</v>
      </c>
      <c r="AK18" s="5">
        <f>VLOOKUP(AA18,howfared!$B$2:$AH$33,11,FALSE)</f>
        <v>0</v>
      </c>
      <c r="AL18" s="5">
        <f>VLOOKUP(AA18,howfared!$B$2:$AH$33,12,FALSE)</f>
        <v>0</v>
      </c>
      <c r="AM18" s="5">
        <f>VLOOKUP(AA18,howfared!$B$2:$AH$33,13,FALSE)</f>
        <v>0</v>
      </c>
      <c r="AN18" s="5">
        <f>VLOOKUP(AA18,howfared!$B$2:$AH$33,14,FALSE)</f>
        <v>0</v>
      </c>
      <c r="AO18" s="5">
        <f>VLOOKUP(AA18,howfared!$B$2:$AH$33,15,FALSE)</f>
        <v>0</v>
      </c>
      <c r="AP18" s="5">
        <f>VLOOKUP(AA18,howfared!$B$2:$AH$33,16,FALSE)</f>
        <v>0</v>
      </c>
      <c r="AQ18" s="5">
        <f>VLOOKUP(AA18,howfared!$B$2:$AH$33,17,FALSE)</f>
        <v>0</v>
      </c>
      <c r="AR18" s="5">
        <f>VLOOKUP(AA18,howfared!$B$2:$AH$33,18,FALSE)</f>
        <v>0</v>
      </c>
      <c r="AS18" s="5" t="str">
        <f t="shared" si="0"/>
        <v>SD</v>
      </c>
      <c r="AT18" s="5">
        <f t="shared" si="1"/>
        <v>3</v>
      </c>
      <c r="AU18" s="5">
        <f t="shared" si="1"/>
        <v>3</v>
      </c>
    </row>
    <row r="19" spans="1:47" s="5" customFormat="1" ht="15.95" customHeight="1" x14ac:dyDescent="0.15">
      <c r="A19" s="5" t="s">
        <v>254</v>
      </c>
      <c r="B19" s="5" t="s">
        <v>224</v>
      </c>
      <c r="C19" s="5" t="s">
        <v>236</v>
      </c>
      <c r="D19" s="5">
        <v>3</v>
      </c>
      <c r="E19" s="5">
        <v>3</v>
      </c>
      <c r="F19" s="5">
        <v>0</v>
      </c>
      <c r="G19" s="46">
        <v>0.5</v>
      </c>
      <c r="H19" s="5">
        <v>120</v>
      </c>
      <c r="I19" s="5">
        <v>117</v>
      </c>
      <c r="J19" s="5">
        <v>3</v>
      </c>
      <c r="K19" s="5">
        <v>14</v>
      </c>
      <c r="L19" s="47" t="s">
        <v>214</v>
      </c>
      <c r="M19" s="47" t="s">
        <v>240</v>
      </c>
      <c r="N19" s="47" t="s">
        <v>215</v>
      </c>
      <c r="O19" s="46">
        <v>0</v>
      </c>
      <c r="P19" s="47" t="s">
        <v>231</v>
      </c>
      <c r="Q19" s="46">
        <v>0.5</v>
      </c>
      <c r="R19" s="47" t="s">
        <v>226</v>
      </c>
      <c r="S19" s="5" t="s">
        <v>222</v>
      </c>
      <c r="T19" s="47" t="s">
        <v>221</v>
      </c>
      <c r="U19" s="9">
        <f>H19/(D19+E19+F19)</f>
        <v>20</v>
      </c>
      <c r="V19" s="9">
        <f>I19/(D19+E19+F19)</f>
        <v>19.5</v>
      </c>
      <c r="W19" s="9">
        <f>U19-V19</f>
        <v>0.5</v>
      </c>
      <c r="X19" s="5">
        <f>SUM(D19:F19)</f>
        <v>6</v>
      </c>
      <c r="Y19" s="50">
        <v>17</v>
      </c>
      <c r="Z19" s="5">
        <f>COUNTIF(AA$3:AA18,AB19)+COUNTIF(AA$3:AA19,AC19)+COUNTIF(AA$3:AA19,AD19)+COUNTIF(AA$3:AA19,AE19)+COUNTIF(AA$3:AA19,AF19)+COUNTIF(AA$3:AA19,AG19)+COUNTIF(AA$3:AA19,AH19)+COUNTIF(AA$3:AA19,AI19)+COUNTIF(AA$3:AA19,AJ19)+COUNTIF(AA$3:AA19,AK19)+COUNTIF(AA$3:AA19,AL19)+COUNTIF(AA$3:AA19,AM19)+COUNTIF(AA$3:AA19,AN19)+COUNTIF(AA$3:AA19,AO19)+COUNTIF(AA$3:AA19,AP19)+COUNTIF(AA$3:AA19,AQ19)+COUNTIF(AA$3:AA19,AR19)</f>
        <v>0</v>
      </c>
      <c r="AA19" s="49" t="str">
        <f>VLOOKUP(A19,howfared!$A$2:$B$33,2,FALSE)</f>
        <v>MIA</v>
      </c>
      <c r="AB19" s="5">
        <f>VLOOKUP(AA19,howfared!$B$2:$AH$33,2,FALSE)</f>
        <v>0</v>
      </c>
      <c r="AC19" s="5" t="str">
        <f>VLOOKUP(AA19,howfared!$B$2:$AH$33,3,FALSE)</f>
        <v>OAK</v>
      </c>
      <c r="AD19" s="5">
        <f>VLOOKUP(AA19,howfared!$B$2:$AH$33,4,FALSE)</f>
        <v>0</v>
      </c>
      <c r="AE19" s="5">
        <f>VLOOKUP(AA19,howfared!$B$2:$AH$33,5,FALSE)</f>
        <v>0</v>
      </c>
      <c r="AF19" s="5" t="str">
        <f>VLOOKUP(AA19,howfared!$B$2:$AH$33,6,FALSE)</f>
        <v>CIN</v>
      </c>
      <c r="AG19" s="5" t="str">
        <f>VLOOKUP(AA19,howfared!$B$2:$AH$33,7,FALSE)</f>
        <v>STL</v>
      </c>
      <c r="AH19" s="5">
        <f>VLOOKUP(AA19,howfared!$B$2:$AH$33,8,FALSE)</f>
        <v>0</v>
      </c>
      <c r="AI19" s="5">
        <f>VLOOKUP(AA19,howfared!$B$2:$AH$33,9,FALSE)</f>
        <v>0</v>
      </c>
      <c r="AJ19" s="5">
        <f>VLOOKUP(AA19,howfared!$B$2:$AH$33,10,FALSE)</f>
        <v>0</v>
      </c>
      <c r="AK19" s="5">
        <f>VLOOKUP(AA19,howfared!$B$2:$AH$33,11,FALSE)</f>
        <v>0</v>
      </c>
      <c r="AL19" s="5">
        <f>VLOOKUP(AA19,howfared!$B$2:$AH$33,12,FALSE)</f>
        <v>0</v>
      </c>
      <c r="AM19" s="5">
        <f>VLOOKUP(AA19,howfared!$B$2:$AH$33,13,FALSE)</f>
        <v>0</v>
      </c>
      <c r="AN19" s="5">
        <f>VLOOKUP(AA19,howfared!$B$2:$AH$33,14,FALSE)</f>
        <v>0</v>
      </c>
      <c r="AO19" s="5">
        <f>VLOOKUP(AA19,howfared!$B$2:$AH$33,15,FALSE)</f>
        <v>0</v>
      </c>
      <c r="AP19" s="5">
        <f>VLOOKUP(AA19,howfared!$B$2:$AH$33,16,FALSE)</f>
        <v>0</v>
      </c>
      <c r="AQ19" s="5">
        <f>VLOOKUP(AA19,howfared!$B$2:$AH$33,17,FALSE)</f>
        <v>0</v>
      </c>
      <c r="AR19" s="5">
        <f>VLOOKUP(AA19,howfared!$B$2:$AH$33,18,FALSE)</f>
        <v>0</v>
      </c>
      <c r="AS19" s="5" t="str">
        <f t="shared" si="0"/>
        <v>MIA</v>
      </c>
      <c r="AT19" s="5">
        <f t="shared" si="1"/>
        <v>3</v>
      </c>
      <c r="AU19" s="5">
        <f t="shared" si="1"/>
        <v>3</v>
      </c>
    </row>
    <row r="20" spans="1:47" s="5" customFormat="1" ht="15.95" customHeight="1" x14ac:dyDescent="0.15">
      <c r="A20" s="5" t="s">
        <v>255</v>
      </c>
      <c r="B20" s="5" t="s">
        <v>204</v>
      </c>
      <c r="C20" s="5" t="s">
        <v>219</v>
      </c>
      <c r="D20" s="5">
        <v>2</v>
      </c>
      <c r="E20" s="5">
        <v>3</v>
      </c>
      <c r="F20" s="5">
        <v>0</v>
      </c>
      <c r="G20" s="46">
        <v>0.4</v>
      </c>
      <c r="H20" s="5">
        <v>94</v>
      </c>
      <c r="I20" s="5">
        <v>119</v>
      </c>
      <c r="J20" s="5">
        <v>-25</v>
      </c>
      <c r="K20" s="5">
        <v>10</v>
      </c>
      <c r="L20" s="47" t="s">
        <v>226</v>
      </c>
      <c r="M20" s="47" t="s">
        <v>240</v>
      </c>
      <c r="N20" s="47" t="s">
        <v>207</v>
      </c>
      <c r="O20" s="46">
        <v>1</v>
      </c>
      <c r="P20" s="47" t="s">
        <v>231</v>
      </c>
      <c r="Q20" s="46">
        <v>0.5</v>
      </c>
      <c r="R20" s="47" t="s">
        <v>215</v>
      </c>
      <c r="S20" s="5" t="s">
        <v>245</v>
      </c>
      <c r="T20" s="47" t="s">
        <v>238</v>
      </c>
      <c r="U20" s="9">
        <f>H20/(D20+E20+F20)</f>
        <v>18.8</v>
      </c>
      <c r="V20" s="9">
        <f>I20/(D20+E20+F20)</f>
        <v>23.8</v>
      </c>
      <c r="W20" s="9">
        <f>U20-V20</f>
        <v>-5</v>
      </c>
      <c r="X20" s="5">
        <f>SUM(D20:F20)</f>
        <v>5</v>
      </c>
      <c r="Y20" s="50">
        <v>18</v>
      </c>
      <c r="Z20" s="5">
        <f>COUNTIF(AA$3:AA19,AB20)+COUNTIF(AA$3:AA20,AC20)+COUNTIF(AA$3:AA20,AD20)+COUNTIF(AA$3:AA20,AE20)+COUNTIF(AA$3:AA20,AF20)+COUNTIF(AA$3:AA20,AG20)+COUNTIF(AA$3:AA20,AH20)+COUNTIF(AA$3:AA20,AI20)+COUNTIF(AA$3:AA20,AJ20)+COUNTIF(AA$3:AA20,AK20)+COUNTIF(AA$3:AA20,AL20)+COUNTIF(AA$3:AA20,AM20)+COUNTIF(AA$3:AA20,AN20)+COUNTIF(AA$3:AA20,AO20)+COUNTIF(AA$3:AA20,AP20)+COUNTIF(AA$3:AA20,AQ20)+COUNTIF(AA$3:AA20,AR20)</f>
        <v>1</v>
      </c>
      <c r="AA20" s="49" t="str">
        <f>VLOOKUP(A20,howfared!$A$2:$B$33,2,FALSE)</f>
        <v>DAL</v>
      </c>
      <c r="AB20" s="5" t="str">
        <f>VLOOKUP(AA20,howfared!$B$2:$AH$33,2,FALSE)</f>
        <v>NYG</v>
      </c>
      <c r="AC20" s="5">
        <f>VLOOKUP(AA20,howfared!$B$2:$AH$33,3,FALSE)</f>
        <v>0</v>
      </c>
      <c r="AD20" s="5" t="str">
        <f>VLOOKUP(AA20,howfared!$B$2:$AH$33,4,FALSE)</f>
        <v>TB</v>
      </c>
      <c r="AE20" s="5">
        <f>VLOOKUP(AA20,howfared!$B$2:$AH$33,5,FALSE)</f>
        <v>0</v>
      </c>
      <c r="AF20" s="5">
        <f>VLOOKUP(AA20,howfared!$B$2:$AH$33,6,FALSE)</f>
        <v>0</v>
      </c>
      <c r="AG20" s="5">
        <f>VLOOKUP(AA20,howfared!$B$2:$AH$33,7,FALSE)</f>
        <v>0</v>
      </c>
      <c r="AH20" s="5">
        <f>VLOOKUP(AA20,howfared!$B$2:$AH$33,8,FALSE)</f>
        <v>0</v>
      </c>
      <c r="AI20" s="5">
        <f>VLOOKUP(AA20,howfared!$B$2:$AH$33,9,FALSE)</f>
        <v>0</v>
      </c>
      <c r="AJ20" s="5">
        <f>VLOOKUP(AA20,howfared!$B$2:$AH$33,10,FALSE)</f>
        <v>0</v>
      </c>
      <c r="AK20" s="5">
        <f>VLOOKUP(AA20,howfared!$B$2:$AH$33,11,FALSE)</f>
        <v>0</v>
      </c>
      <c r="AL20" s="5">
        <f>VLOOKUP(AA20,howfared!$B$2:$AH$33,12,FALSE)</f>
        <v>0</v>
      </c>
      <c r="AM20" s="5">
        <f>VLOOKUP(AA20,howfared!$B$2:$AH$33,13,FALSE)</f>
        <v>0</v>
      </c>
      <c r="AN20" s="5">
        <f>VLOOKUP(AA20,howfared!$B$2:$AH$33,14,FALSE)</f>
        <v>0</v>
      </c>
      <c r="AO20" s="5">
        <f>VLOOKUP(AA20,howfared!$B$2:$AH$33,15,FALSE)</f>
        <v>0</v>
      </c>
      <c r="AP20" s="5">
        <f>VLOOKUP(AA20,howfared!$B$2:$AH$33,16,FALSE)</f>
        <v>0</v>
      </c>
      <c r="AQ20" s="5">
        <f>VLOOKUP(AA20,howfared!$B$2:$AH$33,17,FALSE)</f>
        <v>0</v>
      </c>
      <c r="AR20" s="5">
        <f>VLOOKUP(AA20,howfared!$B$2:$AH$33,18,FALSE)</f>
        <v>0</v>
      </c>
      <c r="AS20" s="5" t="str">
        <f t="shared" si="0"/>
        <v>DAL</v>
      </c>
      <c r="AT20" s="5">
        <f t="shared" si="1"/>
        <v>2</v>
      </c>
      <c r="AU20" s="5">
        <f t="shared" si="1"/>
        <v>3</v>
      </c>
    </row>
    <row r="21" spans="1:47" s="5" customFormat="1" ht="15.95" customHeight="1" x14ac:dyDescent="0.15">
      <c r="A21" s="5" t="s">
        <v>256</v>
      </c>
      <c r="B21" s="5" t="s">
        <v>224</v>
      </c>
      <c r="C21" s="5" t="s">
        <v>233</v>
      </c>
      <c r="D21" s="5">
        <v>2</v>
      </c>
      <c r="E21" s="5">
        <v>3</v>
      </c>
      <c r="F21" s="5">
        <v>0</v>
      </c>
      <c r="G21" s="46">
        <v>0.4</v>
      </c>
      <c r="H21" s="5">
        <v>126</v>
      </c>
      <c r="I21" s="5">
        <v>137</v>
      </c>
      <c r="J21" s="5">
        <v>-11</v>
      </c>
      <c r="K21" s="5">
        <v>11</v>
      </c>
      <c r="L21" s="47" t="s">
        <v>226</v>
      </c>
      <c r="M21" s="47" t="s">
        <v>240</v>
      </c>
      <c r="N21" s="47" t="s">
        <v>215</v>
      </c>
      <c r="O21" s="46">
        <v>0</v>
      </c>
      <c r="P21" s="47" t="s">
        <v>231</v>
      </c>
      <c r="Q21" s="46">
        <v>0.5</v>
      </c>
      <c r="R21" s="47" t="s">
        <v>215</v>
      </c>
      <c r="S21" s="5" t="s">
        <v>241</v>
      </c>
      <c r="T21" s="47" t="s">
        <v>238</v>
      </c>
      <c r="U21" s="9">
        <f>H21/(D21+E21+F21)</f>
        <v>25.2</v>
      </c>
      <c r="V21" s="9">
        <f>I21/(D21+E21+F21)</f>
        <v>27.4</v>
      </c>
      <c r="W21" s="9">
        <f>U21-V21</f>
        <v>-2.1999999999999993</v>
      </c>
      <c r="X21" s="5">
        <f>SUM(D21:F21)</f>
        <v>5</v>
      </c>
      <c r="Y21" s="48">
        <v>19</v>
      </c>
      <c r="Z21" s="5">
        <f>COUNTIF(AA$3:AA20,AB21)+COUNTIF(AA$3:AA21,AC21)+COUNTIF(AA$3:AA21,AD21)+COUNTIF(AA$3:AA21,AE21)+COUNTIF(AA$3:AA21,AF21)+COUNTIF(AA$3:AA21,AG21)+COUNTIF(AA$3:AA21,AH21)+COUNTIF(AA$3:AA21,AI21)+COUNTIF(AA$3:AA21,AJ21)+COUNTIF(AA$3:AA21,AK21)+COUNTIF(AA$3:AA21,AL21)+COUNTIF(AA$3:AA21,AM21)+COUNTIF(AA$3:AA21,AN21)+COUNTIF(AA$3:AA21,AO21)+COUNTIF(AA$3:AA21,AP21)+COUNTIF(AA$3:AA21,AQ21)+COUNTIF(AA$3:AA21,AR21)</f>
        <v>1</v>
      </c>
      <c r="AA21" s="49" t="str">
        <f>VLOOKUP(A21,howfared!$A$2:$B$33,2,FALSE)</f>
        <v>DET</v>
      </c>
      <c r="AB21" s="5" t="str">
        <f>VLOOKUP(AA21,howfared!$B$2:$AH$33,2,FALSE)</f>
        <v>STL</v>
      </c>
      <c r="AC21" s="5">
        <f>VLOOKUP(AA21,howfared!$B$2:$AH$33,3,FALSE)</f>
        <v>0</v>
      </c>
      <c r="AD21" s="5">
        <f>VLOOKUP(AA21,howfared!$B$2:$AH$33,4,FALSE)</f>
        <v>0</v>
      </c>
      <c r="AE21" s="5">
        <f>VLOOKUP(AA21,howfared!$B$2:$AH$33,5,FALSE)</f>
        <v>0</v>
      </c>
      <c r="AF21" s="5">
        <f>VLOOKUP(AA21,howfared!$B$2:$AH$33,6,FALSE)</f>
        <v>0</v>
      </c>
      <c r="AG21" s="5" t="str">
        <f>VLOOKUP(AA21,howfared!$B$2:$AH$33,7,FALSE)</f>
        <v>PHI</v>
      </c>
      <c r="AH21" s="5">
        <f>VLOOKUP(AA21,howfared!$B$2:$AH$33,8,FALSE)</f>
        <v>0</v>
      </c>
      <c r="AI21" s="5">
        <f>VLOOKUP(AA21,howfared!$B$2:$AH$33,9,FALSE)</f>
        <v>0</v>
      </c>
      <c r="AJ21" s="5">
        <f>VLOOKUP(AA21,howfared!$B$2:$AH$33,10,FALSE)</f>
        <v>0</v>
      </c>
      <c r="AK21" s="5">
        <f>VLOOKUP(AA21,howfared!$B$2:$AH$33,11,FALSE)</f>
        <v>0</v>
      </c>
      <c r="AL21" s="5">
        <f>VLOOKUP(AA21,howfared!$B$2:$AH$33,12,FALSE)</f>
        <v>0</v>
      </c>
      <c r="AM21" s="5">
        <f>VLOOKUP(AA21,howfared!$B$2:$AH$33,13,FALSE)</f>
        <v>0</v>
      </c>
      <c r="AN21" s="5">
        <f>VLOOKUP(AA21,howfared!$B$2:$AH$33,14,FALSE)</f>
        <v>0</v>
      </c>
      <c r="AO21" s="5">
        <f>VLOOKUP(AA21,howfared!$B$2:$AH$33,15,FALSE)</f>
        <v>0</v>
      </c>
      <c r="AP21" s="5">
        <f>VLOOKUP(AA21,howfared!$B$2:$AH$33,16,FALSE)</f>
        <v>0</v>
      </c>
      <c r="AQ21" s="5">
        <f>VLOOKUP(AA21,howfared!$B$2:$AH$33,17,FALSE)</f>
        <v>0</v>
      </c>
      <c r="AR21" s="5">
        <f>VLOOKUP(AA21,howfared!$B$2:$AH$33,18,FALSE)</f>
        <v>0</v>
      </c>
      <c r="AS21" s="5" t="str">
        <f t="shared" si="0"/>
        <v>DET</v>
      </c>
      <c r="AT21" s="5">
        <f t="shared" si="1"/>
        <v>2</v>
      </c>
      <c r="AU21" s="5">
        <f t="shared" si="1"/>
        <v>3</v>
      </c>
    </row>
    <row r="22" spans="1:47" s="5" customFormat="1" ht="15.95" customHeight="1" x14ac:dyDescent="0.15">
      <c r="A22" s="5" t="s">
        <v>257</v>
      </c>
      <c r="B22" s="5" t="s">
        <v>224</v>
      </c>
      <c r="C22" s="5" t="s">
        <v>229</v>
      </c>
      <c r="D22" s="5">
        <v>3</v>
      </c>
      <c r="E22" s="5">
        <v>3</v>
      </c>
      <c r="F22" s="5">
        <v>0</v>
      </c>
      <c r="G22" s="46">
        <v>0.5</v>
      </c>
      <c r="H22" s="5">
        <v>110</v>
      </c>
      <c r="I22" s="5">
        <v>111</v>
      </c>
      <c r="J22" s="5">
        <v>-1</v>
      </c>
      <c r="K22" s="5">
        <v>9</v>
      </c>
      <c r="L22" s="47" t="s">
        <v>206</v>
      </c>
      <c r="M22" s="47" t="s">
        <v>250</v>
      </c>
      <c r="N22" s="47" t="s">
        <v>208</v>
      </c>
      <c r="O22" s="46">
        <v>1</v>
      </c>
      <c r="P22" s="47" t="s">
        <v>221</v>
      </c>
      <c r="Q22" s="46">
        <v>0.6</v>
      </c>
      <c r="R22" s="47" t="s">
        <v>215</v>
      </c>
      <c r="S22" s="5" t="s">
        <v>216</v>
      </c>
      <c r="T22" s="47" t="s">
        <v>221</v>
      </c>
      <c r="U22" s="9">
        <f>H22/(D22+E22+F22)</f>
        <v>18.333333333333332</v>
      </c>
      <c r="V22" s="9">
        <f>I22/(D22+E22+F22)</f>
        <v>18.5</v>
      </c>
      <c r="W22" s="9">
        <f>U22-V22</f>
        <v>-0.16666666666666785</v>
      </c>
      <c r="X22" s="5">
        <f>SUM(D22:F22)</f>
        <v>6</v>
      </c>
      <c r="Y22" s="50">
        <v>20</v>
      </c>
      <c r="Z22" s="5">
        <f>COUNTIF(AA$3:AA21,AB22)+COUNTIF(AA$3:AA22,AC22)+COUNTIF(AA$3:AA22,AD22)+COUNTIF(AA$3:AA22,AE22)+COUNTIF(AA$3:AA22,AF22)+COUNTIF(AA$3:AA22,AG22)+COUNTIF(AA$3:AA22,AH22)+COUNTIF(AA$3:AA22,AI22)+COUNTIF(AA$3:AA22,AJ22)+COUNTIF(AA$3:AA22,AK22)+COUNTIF(AA$3:AA22,AL22)+COUNTIF(AA$3:AA22,AM22)+COUNTIF(AA$3:AA22,AN22)+COUNTIF(AA$3:AA22,AO22)+COUNTIF(AA$3:AA22,AP22)+COUNTIF(AA$3:AA22,AQ22)+COUNTIF(AA$3:AA22,AR22)</f>
        <v>3</v>
      </c>
      <c r="AA22" s="49" t="str">
        <f>VLOOKUP(A22,howfared!$A$2:$B$33,2,FALSE)</f>
        <v>STL</v>
      </c>
      <c r="AB22" s="5">
        <f>VLOOKUP(AA22,howfared!$B$2:$AH$33,2,FALSE)</f>
        <v>0</v>
      </c>
      <c r="AC22" s="5" t="str">
        <f>VLOOKUP(AA22,howfared!$B$2:$AH$33,3,FALSE)</f>
        <v>WAS</v>
      </c>
      <c r="AD22" s="5">
        <f>VLOOKUP(AA22,howfared!$B$2:$AH$33,4,FALSE)</f>
        <v>0</v>
      </c>
      <c r="AE22" s="5" t="str">
        <f>VLOOKUP(AA22,howfared!$B$2:$AH$33,5,FALSE)</f>
        <v>SEA</v>
      </c>
      <c r="AF22" s="5" t="str">
        <f>VLOOKUP(AA22,howfared!$B$2:$AH$33,6,FALSE)</f>
        <v>ARI</v>
      </c>
      <c r="AG22" s="5">
        <f>VLOOKUP(AA22,howfared!$B$2:$AH$33,7,FALSE)</f>
        <v>0</v>
      </c>
      <c r="AH22" s="5">
        <f>VLOOKUP(AA22,howfared!$B$2:$AH$33,8,FALSE)</f>
        <v>0</v>
      </c>
      <c r="AI22" s="5">
        <f>VLOOKUP(AA22,howfared!$B$2:$AH$33,9,FALSE)</f>
        <v>0</v>
      </c>
      <c r="AJ22" s="5">
        <f>VLOOKUP(AA22,howfared!$B$2:$AH$33,10,FALSE)</f>
        <v>0</v>
      </c>
      <c r="AK22" s="5">
        <f>VLOOKUP(AA22,howfared!$B$2:$AH$33,11,FALSE)</f>
        <v>0</v>
      </c>
      <c r="AL22" s="5">
        <f>VLOOKUP(AA22,howfared!$B$2:$AH$33,12,FALSE)</f>
        <v>0</v>
      </c>
      <c r="AM22" s="5">
        <f>VLOOKUP(AA22,howfared!$B$2:$AH$33,13,FALSE)</f>
        <v>0</v>
      </c>
      <c r="AN22" s="5">
        <f>VLOOKUP(AA22,howfared!$B$2:$AH$33,14,FALSE)</f>
        <v>0</v>
      </c>
      <c r="AO22" s="5">
        <f>VLOOKUP(AA22,howfared!$B$2:$AH$33,15,FALSE)</f>
        <v>0</v>
      </c>
      <c r="AP22" s="5">
        <f>VLOOKUP(AA22,howfared!$B$2:$AH$33,16,FALSE)</f>
        <v>0</v>
      </c>
      <c r="AQ22" s="5">
        <f>VLOOKUP(AA22,howfared!$B$2:$AH$33,17,FALSE)</f>
        <v>0</v>
      </c>
      <c r="AR22" s="5">
        <f>VLOOKUP(AA22,howfared!$B$2:$AH$33,18,FALSE)</f>
        <v>0</v>
      </c>
      <c r="AS22" s="5" t="str">
        <f t="shared" si="0"/>
        <v>STL</v>
      </c>
      <c r="AT22" s="5">
        <f t="shared" si="1"/>
        <v>3</v>
      </c>
      <c r="AU22" s="5">
        <f t="shared" si="1"/>
        <v>3</v>
      </c>
    </row>
    <row r="23" spans="1:47" s="5" customFormat="1" ht="15.95" customHeight="1" x14ac:dyDescent="0.15">
      <c r="A23" s="5" t="s">
        <v>258</v>
      </c>
      <c r="B23" s="5" t="s">
        <v>204</v>
      </c>
      <c r="C23" s="5" t="s">
        <v>225</v>
      </c>
      <c r="D23" s="5">
        <v>3</v>
      </c>
      <c r="E23" s="5">
        <v>3</v>
      </c>
      <c r="F23" s="5">
        <v>0</v>
      </c>
      <c r="G23" s="46">
        <v>0.5</v>
      </c>
      <c r="H23" s="5">
        <v>149</v>
      </c>
      <c r="I23" s="5">
        <v>163</v>
      </c>
      <c r="J23" s="5">
        <v>-14</v>
      </c>
      <c r="K23" s="5">
        <v>17</v>
      </c>
      <c r="L23" s="47" t="s">
        <v>226</v>
      </c>
      <c r="M23" s="47" t="s">
        <v>231</v>
      </c>
      <c r="N23" s="47" t="s">
        <v>240</v>
      </c>
      <c r="O23" s="46">
        <v>0.33300000000000002</v>
      </c>
      <c r="P23" s="47" t="s">
        <v>238</v>
      </c>
      <c r="Q23" s="46">
        <v>0.4</v>
      </c>
      <c r="R23" s="47" t="s">
        <v>207</v>
      </c>
      <c r="S23" s="5" t="s">
        <v>245</v>
      </c>
      <c r="T23" s="47" t="s">
        <v>221</v>
      </c>
      <c r="U23" s="9">
        <f>H23/(D23+E23+F23)</f>
        <v>24.833333333333332</v>
      </c>
      <c r="V23" s="9">
        <f>I23/(D23+E23+F23)</f>
        <v>27.166666666666668</v>
      </c>
      <c r="W23" s="9">
        <f>U23-V23</f>
        <v>-2.3333333333333357</v>
      </c>
      <c r="X23" s="5">
        <f>SUM(D23:F23)</f>
        <v>6</v>
      </c>
      <c r="Y23" s="48">
        <v>21</v>
      </c>
      <c r="Z23" s="5">
        <f>COUNTIF(AA$3:AA22,AB23)+COUNTIF(AA$3:AA23,AC23)+COUNTIF(AA$3:AA23,AD23)+COUNTIF(AA$3:AA23,AE23)+COUNTIF(AA$3:AA23,AF23)+COUNTIF(AA$3:AA23,AG23)+COUNTIF(AA$3:AA23,AH23)+COUNTIF(AA$3:AA23,AI23)+COUNTIF(AA$3:AA23,AJ23)+COUNTIF(AA$3:AA23,AK23)+COUNTIF(AA$3:AA23,AL23)+COUNTIF(AA$3:AA23,AM23)+COUNTIF(AA$3:AA23,AN23)+COUNTIF(AA$3:AA23,AO23)+COUNTIF(AA$3:AA23,AP23)+COUNTIF(AA$3:AA23,AQ23)+COUNTIF(AA$3:AA23,AR23)</f>
        <v>1</v>
      </c>
      <c r="AA23" s="49" t="str">
        <f>VLOOKUP(A23,howfared!$A$2:$B$33,2,FALSE)</f>
        <v>CIN</v>
      </c>
      <c r="AB23" s="5">
        <f>VLOOKUP(AA23,howfared!$B$2:$AH$33,2,FALSE)</f>
        <v>0</v>
      </c>
      <c r="AC23" s="5" t="str">
        <f>VLOOKUP(AA23,howfared!$B$2:$AH$33,3,FALSE)</f>
        <v>CLE</v>
      </c>
      <c r="AD23" s="5" t="str">
        <f>VLOOKUP(AA23,howfared!$B$2:$AH$33,4,FALSE)</f>
        <v>WAS</v>
      </c>
      <c r="AE23" s="5" t="str">
        <f>VLOOKUP(AA23,howfared!$B$2:$AH$33,5,FALSE)</f>
        <v>JAC</v>
      </c>
      <c r="AF23" s="5">
        <f>VLOOKUP(AA23,howfared!$B$2:$AH$33,6,FALSE)</f>
        <v>0</v>
      </c>
      <c r="AG23" s="5">
        <f>VLOOKUP(AA23,howfared!$B$2:$AH$33,7,FALSE)</f>
        <v>0</v>
      </c>
      <c r="AH23" s="5">
        <f>VLOOKUP(AA23,howfared!$B$2:$AH$33,8,FALSE)</f>
        <v>0</v>
      </c>
      <c r="AI23" s="5">
        <f>VLOOKUP(AA23,howfared!$B$2:$AH$33,9,FALSE)</f>
        <v>0</v>
      </c>
      <c r="AJ23" s="5">
        <f>VLOOKUP(AA23,howfared!$B$2:$AH$33,10,FALSE)</f>
        <v>0</v>
      </c>
      <c r="AK23" s="5">
        <f>VLOOKUP(AA23,howfared!$B$2:$AH$33,11,FALSE)</f>
        <v>0</v>
      </c>
      <c r="AL23" s="5">
        <f>VLOOKUP(AA23,howfared!$B$2:$AH$33,12,FALSE)</f>
        <v>0</v>
      </c>
      <c r="AM23" s="5">
        <f>VLOOKUP(AA23,howfared!$B$2:$AH$33,13,FALSE)</f>
        <v>0</v>
      </c>
      <c r="AN23" s="5">
        <f>VLOOKUP(AA23,howfared!$B$2:$AH$33,14,FALSE)</f>
        <v>0</v>
      </c>
      <c r="AO23" s="5">
        <f>VLOOKUP(AA23,howfared!$B$2:$AH$33,15,FALSE)</f>
        <v>0</v>
      </c>
      <c r="AP23" s="5">
        <f>VLOOKUP(AA23,howfared!$B$2:$AH$33,16,FALSE)</f>
        <v>0</v>
      </c>
      <c r="AQ23" s="5">
        <f>VLOOKUP(AA23,howfared!$B$2:$AH$33,17,FALSE)</f>
        <v>0</v>
      </c>
      <c r="AR23" s="5">
        <f>VLOOKUP(AA23,howfared!$B$2:$AH$33,18,FALSE)</f>
        <v>0</v>
      </c>
      <c r="AS23" s="5" t="str">
        <f t="shared" si="0"/>
        <v>CIN</v>
      </c>
      <c r="AT23" s="5">
        <f t="shared" si="1"/>
        <v>3</v>
      </c>
      <c r="AU23" s="5">
        <f t="shared" si="1"/>
        <v>3</v>
      </c>
    </row>
    <row r="24" spans="1:47" s="5" customFormat="1" ht="15.95" customHeight="1" x14ac:dyDescent="0.15">
      <c r="A24" s="5" t="s">
        <v>259</v>
      </c>
      <c r="B24" s="5" t="s">
        <v>204</v>
      </c>
      <c r="C24" s="5" t="s">
        <v>205</v>
      </c>
      <c r="D24" s="5">
        <v>2</v>
      </c>
      <c r="E24" s="5">
        <v>3</v>
      </c>
      <c r="F24" s="5">
        <v>0</v>
      </c>
      <c r="G24" s="46">
        <v>0.4</v>
      </c>
      <c r="H24" s="5">
        <v>120</v>
      </c>
      <c r="I24" s="5">
        <v>101</v>
      </c>
      <c r="J24" s="5">
        <v>19</v>
      </c>
      <c r="K24" s="5">
        <v>13</v>
      </c>
      <c r="L24" s="47" t="s">
        <v>214</v>
      </c>
      <c r="M24" s="47" t="s">
        <v>220</v>
      </c>
      <c r="N24" s="47" t="s">
        <v>207</v>
      </c>
      <c r="O24" s="46">
        <v>1</v>
      </c>
      <c r="P24" s="47" t="s">
        <v>251</v>
      </c>
      <c r="Q24" s="46">
        <v>0.25</v>
      </c>
      <c r="R24" s="47" t="s">
        <v>207</v>
      </c>
      <c r="S24" s="5" t="s">
        <v>241</v>
      </c>
      <c r="T24" s="47" t="s">
        <v>238</v>
      </c>
      <c r="U24" s="9">
        <f>H24/(D24+E24+F24)</f>
        <v>24</v>
      </c>
      <c r="V24" s="9">
        <f>I24/(D24+E24+F24)</f>
        <v>20.2</v>
      </c>
      <c r="W24" s="9">
        <f>U24-V24</f>
        <v>3.8000000000000007</v>
      </c>
      <c r="X24" s="5">
        <f>SUM(D24:F24)</f>
        <v>5</v>
      </c>
      <c r="Y24" s="50">
        <v>22</v>
      </c>
      <c r="Z24" s="5">
        <f>COUNTIF(AA$3:AA23,AB24)+COUNTIF(AA$3:AA24,AC24)+COUNTIF(AA$3:AA24,AD24)+COUNTIF(AA$3:AA24,AE24)+COUNTIF(AA$3:AA24,AF24)+COUNTIF(AA$3:AA24,AG24)+COUNTIF(AA$3:AA24,AH24)+COUNTIF(AA$3:AA24,AI24)+COUNTIF(AA$3:AA24,AJ24)+COUNTIF(AA$3:AA24,AK24)+COUNTIF(AA$3:AA24,AL24)+COUNTIF(AA$3:AA24,AM24)+COUNTIF(AA$3:AA24,AN24)+COUNTIF(AA$3:AA24,AO24)+COUNTIF(AA$3:AA24,AP24)+COUNTIF(AA$3:AA24,AQ24)+COUNTIF(AA$3:AA24,AR24)</f>
        <v>0</v>
      </c>
      <c r="AA24" s="49" t="str">
        <f>VLOOKUP(A24,howfared!$A$2:$B$33,2,FALSE)</f>
        <v>TB</v>
      </c>
      <c r="AB24" s="5" t="str">
        <f>VLOOKUP(AA24,howfared!$B$2:$AH$33,2,FALSE)</f>
        <v>CAR</v>
      </c>
      <c r="AC24" s="5">
        <f>VLOOKUP(AA24,howfared!$B$2:$AH$33,3,FALSE)</f>
        <v>0</v>
      </c>
      <c r="AD24" s="5">
        <f>VLOOKUP(AA24,howfared!$B$2:$AH$33,4,FALSE)</f>
        <v>0</v>
      </c>
      <c r="AE24" s="5">
        <f>VLOOKUP(AA24,howfared!$B$2:$AH$33,5,FALSE)</f>
        <v>0</v>
      </c>
      <c r="AF24" s="5">
        <f>VLOOKUP(AA24,howfared!$B$2:$AH$33,6,FALSE)</f>
        <v>0</v>
      </c>
      <c r="AG24" s="5" t="str">
        <f>VLOOKUP(AA24,howfared!$B$2:$AH$33,7,FALSE)</f>
        <v>KC</v>
      </c>
      <c r="AH24" s="5">
        <f>VLOOKUP(AA24,howfared!$B$2:$AH$33,8,FALSE)</f>
        <v>0</v>
      </c>
      <c r="AI24" s="5">
        <f>VLOOKUP(AA24,howfared!$B$2:$AH$33,9,FALSE)</f>
        <v>0</v>
      </c>
      <c r="AJ24" s="5">
        <f>VLOOKUP(AA24,howfared!$B$2:$AH$33,10,FALSE)</f>
        <v>0</v>
      </c>
      <c r="AK24" s="5">
        <f>VLOOKUP(AA24,howfared!$B$2:$AH$33,11,FALSE)</f>
        <v>0</v>
      </c>
      <c r="AL24" s="5">
        <f>VLOOKUP(AA24,howfared!$B$2:$AH$33,12,FALSE)</f>
        <v>0</v>
      </c>
      <c r="AM24" s="5">
        <f>VLOOKUP(AA24,howfared!$B$2:$AH$33,13,FALSE)</f>
        <v>0</v>
      </c>
      <c r="AN24" s="5">
        <f>VLOOKUP(AA24,howfared!$B$2:$AH$33,14,FALSE)</f>
        <v>0</v>
      </c>
      <c r="AO24" s="5">
        <f>VLOOKUP(AA24,howfared!$B$2:$AH$33,15,FALSE)</f>
        <v>0</v>
      </c>
      <c r="AP24" s="5">
        <f>VLOOKUP(AA24,howfared!$B$2:$AH$33,16,FALSE)</f>
        <v>0</v>
      </c>
      <c r="AQ24" s="5">
        <f>VLOOKUP(AA24,howfared!$B$2:$AH$33,17,FALSE)</f>
        <v>0</v>
      </c>
      <c r="AR24" s="5">
        <f>VLOOKUP(AA24,howfared!$B$2:$AH$33,18,FALSE)</f>
        <v>0</v>
      </c>
      <c r="AS24" s="5" t="str">
        <f t="shared" si="0"/>
        <v>TB</v>
      </c>
      <c r="AT24" s="5">
        <f t="shared" si="1"/>
        <v>2</v>
      </c>
      <c r="AU24" s="5">
        <f t="shared" si="1"/>
        <v>3</v>
      </c>
    </row>
    <row r="25" spans="1:47" s="5" customFormat="1" ht="15.95" customHeight="1" x14ac:dyDescent="0.15">
      <c r="A25" s="5" t="s">
        <v>260</v>
      </c>
      <c r="B25" s="5" t="s">
        <v>224</v>
      </c>
      <c r="C25" s="5" t="s">
        <v>236</v>
      </c>
      <c r="D25" s="5">
        <v>3</v>
      </c>
      <c r="E25" s="5">
        <v>3</v>
      </c>
      <c r="F25" s="5">
        <v>0</v>
      </c>
      <c r="G25" s="46">
        <v>0.5</v>
      </c>
      <c r="H25" s="5">
        <v>133</v>
      </c>
      <c r="I25" s="5">
        <v>141</v>
      </c>
      <c r="J25" s="5">
        <v>-8</v>
      </c>
      <c r="K25" s="5">
        <v>16</v>
      </c>
      <c r="L25" s="47" t="s">
        <v>231</v>
      </c>
      <c r="M25" s="47" t="s">
        <v>226</v>
      </c>
      <c r="N25" s="47" t="s">
        <v>208</v>
      </c>
      <c r="O25" s="46">
        <v>1</v>
      </c>
      <c r="P25" s="47" t="s">
        <v>221</v>
      </c>
      <c r="Q25" s="46">
        <v>0.6</v>
      </c>
      <c r="R25" s="47" t="s">
        <v>215</v>
      </c>
      <c r="S25" s="5" t="s">
        <v>241</v>
      </c>
      <c r="T25" s="47" t="s">
        <v>238</v>
      </c>
      <c r="U25" s="9">
        <f>H25/(D25+E25+F25)</f>
        <v>22.166666666666668</v>
      </c>
      <c r="V25" s="9">
        <f>I25/(D25+E25+F25)</f>
        <v>23.5</v>
      </c>
      <c r="W25" s="9">
        <f>U25-V25</f>
        <v>-1.3333333333333321</v>
      </c>
      <c r="X25" s="5">
        <f>SUM(D25:F25)</f>
        <v>6</v>
      </c>
      <c r="Y25" s="50">
        <v>23</v>
      </c>
      <c r="Z25" s="5">
        <f>COUNTIF(AA$3:AA24,AB25)+COUNTIF(AA$3:AA25,AC25)+COUNTIF(AA$3:AA25,AD25)+COUNTIF(AA$3:AA25,AE25)+COUNTIF(AA$3:AA25,AF25)+COUNTIF(AA$3:AA25,AG25)+COUNTIF(AA$3:AA25,AH25)+COUNTIF(AA$3:AA25,AI25)+COUNTIF(AA$3:AA25,AJ25)+COUNTIF(AA$3:AA25,AK25)+COUNTIF(AA$3:AA25,AL25)+COUNTIF(AA$3:AA25,AM25)+COUNTIF(AA$3:AA25,AN25)+COUNTIF(AA$3:AA25,AO25)+COUNTIF(AA$3:AA25,AP25)+COUNTIF(AA$3:AA25,AQ25)+COUNTIF(AA$3:AA25,AR25)</f>
        <v>1</v>
      </c>
      <c r="AA25" s="49" t="str">
        <f>VLOOKUP(A25,howfared!$A$2:$B$33,2,FALSE)</f>
        <v>NYJ</v>
      </c>
      <c r="AB25" s="5" t="str">
        <f>VLOOKUP(AA25,howfared!$B$2:$AH$33,2,FALSE)</f>
        <v>BUF</v>
      </c>
      <c r="AC25" s="5">
        <f>VLOOKUP(AA25,howfared!$B$2:$AH$33,3,FALSE)</f>
        <v>0</v>
      </c>
      <c r="AD25" s="5" t="str">
        <f>VLOOKUP(AA25,howfared!$B$2:$AH$33,4,FALSE)</f>
        <v>MIA</v>
      </c>
      <c r="AE25" s="5">
        <f>VLOOKUP(AA25,howfared!$B$2:$AH$33,5,FALSE)</f>
        <v>0</v>
      </c>
      <c r="AF25" s="5">
        <f>VLOOKUP(AA25,howfared!$B$2:$AH$33,6,FALSE)</f>
        <v>0</v>
      </c>
      <c r="AG25" s="5" t="str">
        <f>VLOOKUP(AA25,howfared!$B$2:$AH$33,7,FALSE)</f>
        <v>IND</v>
      </c>
      <c r="AH25" s="5">
        <f>VLOOKUP(AA25,howfared!$B$2:$AH$33,8,FALSE)</f>
        <v>0</v>
      </c>
      <c r="AI25" s="5">
        <f>VLOOKUP(AA25,howfared!$B$2:$AH$33,9,FALSE)</f>
        <v>0</v>
      </c>
      <c r="AJ25" s="5">
        <f>VLOOKUP(AA25,howfared!$B$2:$AH$33,10,FALSE)</f>
        <v>0</v>
      </c>
      <c r="AK25" s="5">
        <f>VLOOKUP(AA25,howfared!$B$2:$AH$33,11,FALSE)</f>
        <v>0</v>
      </c>
      <c r="AL25" s="5">
        <f>VLOOKUP(AA25,howfared!$B$2:$AH$33,12,FALSE)</f>
        <v>0</v>
      </c>
      <c r="AM25" s="5">
        <f>VLOOKUP(AA25,howfared!$B$2:$AH$33,13,FALSE)</f>
        <v>0</v>
      </c>
      <c r="AN25" s="5">
        <f>VLOOKUP(AA25,howfared!$B$2:$AH$33,14,FALSE)</f>
        <v>0</v>
      </c>
      <c r="AO25" s="5">
        <f>VLOOKUP(AA25,howfared!$B$2:$AH$33,15,FALSE)</f>
        <v>0</v>
      </c>
      <c r="AP25" s="5">
        <f>VLOOKUP(AA25,howfared!$B$2:$AH$33,16,FALSE)</f>
        <v>0</v>
      </c>
      <c r="AQ25" s="5">
        <f>VLOOKUP(AA25,howfared!$B$2:$AH$33,17,FALSE)</f>
        <v>0</v>
      </c>
      <c r="AR25" s="5">
        <f>VLOOKUP(AA25,howfared!$B$2:$AH$33,18,FALSE)</f>
        <v>0</v>
      </c>
      <c r="AS25" s="5" t="str">
        <f t="shared" si="0"/>
        <v>NYJ</v>
      </c>
      <c r="AT25" s="5">
        <f t="shared" si="1"/>
        <v>3</v>
      </c>
      <c r="AU25" s="5">
        <f t="shared" si="1"/>
        <v>3</v>
      </c>
    </row>
    <row r="26" spans="1:47" s="5" customFormat="1" ht="15.95" customHeight="1" x14ac:dyDescent="0.15">
      <c r="A26" s="6" t="s">
        <v>261</v>
      </c>
      <c r="B26" s="6" t="s">
        <v>224</v>
      </c>
      <c r="C26" s="6" t="s">
        <v>205</v>
      </c>
      <c r="D26" s="6">
        <v>1</v>
      </c>
      <c r="E26" s="6">
        <v>4</v>
      </c>
      <c r="F26" s="6">
        <v>0</v>
      </c>
      <c r="G26" s="35">
        <v>0.2</v>
      </c>
      <c r="H26" s="6">
        <v>141</v>
      </c>
      <c r="I26" s="6">
        <v>154</v>
      </c>
      <c r="J26" s="6">
        <v>-13</v>
      </c>
      <c r="K26" s="6">
        <v>17</v>
      </c>
      <c r="L26" s="36" t="s">
        <v>240</v>
      </c>
      <c r="M26" s="36" t="s">
        <v>220</v>
      </c>
      <c r="N26" s="36" t="s">
        <v>215</v>
      </c>
      <c r="O26" s="35">
        <v>0</v>
      </c>
      <c r="P26" s="36" t="s">
        <v>250</v>
      </c>
      <c r="Q26" s="35">
        <v>0</v>
      </c>
      <c r="R26" s="36" t="s">
        <v>226</v>
      </c>
      <c r="S26" s="6" t="s">
        <v>241</v>
      </c>
      <c r="T26" s="36" t="s">
        <v>262</v>
      </c>
      <c r="U26" s="9">
        <f>H26/(D26+E26+F26)</f>
        <v>28.2</v>
      </c>
      <c r="V26" s="9">
        <f>I26/(D26+E26+F26)</f>
        <v>30.8</v>
      </c>
      <c r="W26" s="9">
        <f>U26-V26</f>
        <v>-2.6000000000000014</v>
      </c>
      <c r="X26" s="5">
        <f>SUM(D26:F26)</f>
        <v>5</v>
      </c>
      <c r="Y26" s="48">
        <v>24</v>
      </c>
      <c r="Z26" s="5">
        <f>COUNTIF(AA$3:AA25,AB26)+COUNTIF(AA$3:AA26,AC26)+COUNTIF(AA$3:AA26,AD26)+COUNTIF(AA$3:AA26,AE26)+COUNTIF(AA$3:AA26,AF26)+COUNTIF(AA$3:AA26,AG26)+COUNTIF(AA$3:AA26,AH26)+COUNTIF(AA$3:AA26,AI26)+COUNTIF(AA$3:AA26,AJ26)+COUNTIF(AA$3:AA26,AK26)+COUNTIF(AA$3:AA26,AL26)+COUNTIF(AA$3:AA26,AM26)+COUNTIF(AA$3:AA26,AN26)+COUNTIF(AA$3:AA26,AO26)+COUNTIF(AA$3:AA26,AP26)+COUNTIF(AA$3:AA26,AQ26)+COUNTIF(AA$3:AA26,AR26)</f>
        <v>1</v>
      </c>
      <c r="AA26" s="49" t="str">
        <f>VLOOKUP(A26,howfared!$A$2:$B$33,2,FALSE)</f>
        <v>NO</v>
      </c>
      <c r="AB26" s="5">
        <f>VLOOKUP(AA26,howfared!$B$2:$AH$33,2,FALSE)</f>
        <v>0</v>
      </c>
      <c r="AC26" s="5">
        <f>VLOOKUP(AA26,howfared!$B$2:$AH$33,3,FALSE)</f>
        <v>0</v>
      </c>
      <c r="AD26" s="5">
        <f>VLOOKUP(AA26,howfared!$B$2:$AH$33,4,FALSE)</f>
        <v>0</v>
      </c>
      <c r="AE26" s="5">
        <f>VLOOKUP(AA26,howfared!$B$2:$AH$33,5,FALSE)</f>
        <v>0</v>
      </c>
      <c r="AF26" s="5" t="str">
        <f>VLOOKUP(AA26,howfared!$B$2:$AH$33,6,FALSE)</f>
        <v>SD</v>
      </c>
      <c r="AG26" s="5">
        <f>VLOOKUP(AA26,howfared!$B$2:$AH$33,7,FALSE)</f>
        <v>0</v>
      </c>
      <c r="AH26" s="5">
        <f>VLOOKUP(AA26,howfared!$B$2:$AH$33,8,FALSE)</f>
        <v>0</v>
      </c>
      <c r="AI26" s="5">
        <f>VLOOKUP(AA26,howfared!$B$2:$AH$33,9,FALSE)</f>
        <v>0</v>
      </c>
      <c r="AJ26" s="5">
        <f>VLOOKUP(AA26,howfared!$B$2:$AH$33,10,FALSE)</f>
        <v>0</v>
      </c>
      <c r="AK26" s="5">
        <f>VLOOKUP(AA26,howfared!$B$2:$AH$33,11,FALSE)</f>
        <v>0</v>
      </c>
      <c r="AL26" s="5">
        <f>VLOOKUP(AA26,howfared!$B$2:$AH$33,12,FALSE)</f>
        <v>0</v>
      </c>
      <c r="AM26" s="5">
        <f>VLOOKUP(AA26,howfared!$B$2:$AH$33,13,FALSE)</f>
        <v>0</v>
      </c>
      <c r="AN26" s="5">
        <f>VLOOKUP(AA26,howfared!$B$2:$AH$33,14,FALSE)</f>
        <v>0</v>
      </c>
      <c r="AO26" s="5">
        <f>VLOOKUP(AA26,howfared!$B$2:$AH$33,15,FALSE)</f>
        <v>0</v>
      </c>
      <c r="AP26" s="5">
        <f>VLOOKUP(AA26,howfared!$B$2:$AH$33,16,FALSE)</f>
        <v>0</v>
      </c>
      <c r="AQ26" s="5">
        <f>VLOOKUP(AA26,howfared!$B$2:$AH$33,17,FALSE)</f>
        <v>0</v>
      </c>
      <c r="AR26" s="5">
        <f>VLOOKUP(AA26,howfared!$B$2:$AH$33,18,FALSE)</f>
        <v>0</v>
      </c>
      <c r="AS26" s="5" t="str">
        <f t="shared" si="0"/>
        <v>NO</v>
      </c>
      <c r="AT26" s="5">
        <f t="shared" si="1"/>
        <v>1</v>
      </c>
      <c r="AU26" s="5">
        <f t="shared" si="1"/>
        <v>4</v>
      </c>
    </row>
    <row r="27" spans="1:47" s="5" customFormat="1" ht="15.95" customHeight="1" x14ac:dyDescent="0.15">
      <c r="A27" s="5" t="s">
        <v>263</v>
      </c>
      <c r="B27" s="5" t="s">
        <v>204</v>
      </c>
      <c r="C27" s="5" t="s">
        <v>236</v>
      </c>
      <c r="D27" s="5">
        <v>3</v>
      </c>
      <c r="E27" s="5">
        <v>3</v>
      </c>
      <c r="F27" s="5">
        <v>0</v>
      </c>
      <c r="G27" s="46">
        <v>0.5</v>
      </c>
      <c r="H27" s="5">
        <v>137</v>
      </c>
      <c r="I27" s="5">
        <v>192</v>
      </c>
      <c r="J27" s="5">
        <v>-55</v>
      </c>
      <c r="K27" s="5">
        <v>18</v>
      </c>
      <c r="L27" s="47" t="s">
        <v>226</v>
      </c>
      <c r="M27" s="47" t="s">
        <v>231</v>
      </c>
      <c r="N27" s="47" t="s">
        <v>220</v>
      </c>
      <c r="O27" s="46">
        <v>0</v>
      </c>
      <c r="P27" s="47" t="s">
        <v>231</v>
      </c>
      <c r="Q27" s="46">
        <v>0.5</v>
      </c>
      <c r="R27" s="47" t="s">
        <v>226</v>
      </c>
      <c r="S27" s="5" t="s">
        <v>241</v>
      </c>
      <c r="T27" s="47" t="s">
        <v>221</v>
      </c>
      <c r="U27" s="9">
        <f>H27/(D27+E27+F27)</f>
        <v>22.833333333333332</v>
      </c>
      <c r="V27" s="9">
        <f>I27/(D27+E27+F27)</f>
        <v>32</v>
      </c>
      <c r="W27" s="9">
        <f>U27-V27</f>
        <v>-9.1666666666666679</v>
      </c>
      <c r="X27" s="5">
        <f>SUM(D27:F27)</f>
        <v>6</v>
      </c>
      <c r="Y27" s="50">
        <v>25</v>
      </c>
      <c r="Z27" s="5">
        <f>COUNTIF(AA$3:AA26,AB27)+COUNTIF(AA$3:AA27,AC27)+COUNTIF(AA$3:AA27,AD27)+COUNTIF(AA$3:AA27,AE27)+COUNTIF(AA$3:AA27,AF27)+COUNTIF(AA$3:AA27,AG27)+COUNTIF(AA$3:AA27,AH27)+COUNTIF(AA$3:AA27,AI27)+COUNTIF(AA$3:AA27,AJ27)+COUNTIF(AA$3:AA27,AK27)+COUNTIF(AA$3:AA27,AL27)+COUNTIF(AA$3:AA27,AM27)+COUNTIF(AA$3:AA27,AN27)+COUNTIF(AA$3:AA27,AO27)+COUNTIF(AA$3:AA27,AP27)+COUNTIF(AA$3:AA27,AQ27)+COUNTIF(AA$3:AA27,AR27)</f>
        <v>1</v>
      </c>
      <c r="AA27" s="49" t="str">
        <f>VLOOKUP(A27,howfared!$A$2:$B$33,2,FALSE)</f>
        <v>BUF</v>
      </c>
      <c r="AB27" s="5">
        <f>VLOOKUP(AA27,howfared!$B$2:$AH$33,2,FALSE)</f>
        <v>0</v>
      </c>
      <c r="AC27" s="5" t="str">
        <f>VLOOKUP(AA27,howfared!$B$2:$AH$33,3,FALSE)</f>
        <v>KC</v>
      </c>
      <c r="AD27" s="5" t="str">
        <f>VLOOKUP(AA27,howfared!$B$2:$AH$33,4,FALSE)</f>
        <v>CLE</v>
      </c>
      <c r="AE27" s="5">
        <f>VLOOKUP(AA27,howfared!$B$2:$AH$33,5,FALSE)</f>
        <v>0</v>
      </c>
      <c r="AF27" s="5">
        <f>VLOOKUP(AA27,howfared!$B$2:$AH$33,6,FALSE)</f>
        <v>0</v>
      </c>
      <c r="AG27" s="5" t="str">
        <f>VLOOKUP(AA27,howfared!$B$2:$AH$33,7,FALSE)</f>
        <v>ARI</v>
      </c>
      <c r="AH27" s="5">
        <f>VLOOKUP(AA27,howfared!$B$2:$AH$33,8,FALSE)</f>
        <v>0</v>
      </c>
      <c r="AI27" s="5">
        <f>VLOOKUP(AA27,howfared!$B$2:$AH$33,9,FALSE)</f>
        <v>0</v>
      </c>
      <c r="AJ27" s="5">
        <f>VLOOKUP(AA27,howfared!$B$2:$AH$33,10,FALSE)</f>
        <v>0</v>
      </c>
      <c r="AK27" s="5">
        <f>VLOOKUP(AA27,howfared!$B$2:$AH$33,11,FALSE)</f>
        <v>0</v>
      </c>
      <c r="AL27" s="5">
        <f>VLOOKUP(AA27,howfared!$B$2:$AH$33,12,FALSE)</f>
        <v>0</v>
      </c>
      <c r="AM27" s="5">
        <f>VLOOKUP(AA27,howfared!$B$2:$AH$33,13,FALSE)</f>
        <v>0</v>
      </c>
      <c r="AN27" s="5">
        <f>VLOOKUP(AA27,howfared!$B$2:$AH$33,14,FALSE)</f>
        <v>0</v>
      </c>
      <c r="AO27" s="5">
        <f>VLOOKUP(AA27,howfared!$B$2:$AH$33,15,FALSE)</f>
        <v>0</v>
      </c>
      <c r="AP27" s="5">
        <f>VLOOKUP(AA27,howfared!$B$2:$AH$33,16,FALSE)</f>
        <v>0</v>
      </c>
      <c r="AQ27" s="5">
        <f>VLOOKUP(AA27,howfared!$B$2:$AH$33,17,FALSE)</f>
        <v>0</v>
      </c>
      <c r="AR27" s="5">
        <f>VLOOKUP(AA27,howfared!$B$2:$AH$33,18,FALSE)</f>
        <v>0</v>
      </c>
      <c r="AS27" s="5" t="str">
        <f t="shared" si="0"/>
        <v>BUF</v>
      </c>
      <c r="AT27" s="5">
        <f t="shared" si="1"/>
        <v>3</v>
      </c>
      <c r="AU27" s="5">
        <f t="shared" si="1"/>
        <v>3</v>
      </c>
    </row>
    <row r="28" spans="1:47" s="5" customFormat="1" ht="15.95" customHeight="1" x14ac:dyDescent="0.15">
      <c r="A28" s="5" t="s">
        <v>264</v>
      </c>
      <c r="B28" s="5" t="s">
        <v>204</v>
      </c>
      <c r="C28" s="5" t="s">
        <v>213</v>
      </c>
      <c r="D28" s="5">
        <v>2</v>
      </c>
      <c r="E28" s="5">
        <v>3</v>
      </c>
      <c r="F28" s="5">
        <v>0</v>
      </c>
      <c r="G28" s="46">
        <v>0.4</v>
      </c>
      <c r="H28" s="5">
        <v>100</v>
      </c>
      <c r="I28" s="5">
        <v>145</v>
      </c>
      <c r="J28" s="5">
        <v>-45</v>
      </c>
      <c r="K28" s="5">
        <v>10</v>
      </c>
      <c r="L28" s="47" t="s">
        <v>214</v>
      </c>
      <c r="M28" s="47" t="s">
        <v>220</v>
      </c>
      <c r="N28" s="47" t="s">
        <v>215</v>
      </c>
      <c r="O28" s="46">
        <v>0</v>
      </c>
      <c r="P28" s="47" t="s">
        <v>220</v>
      </c>
      <c r="Q28" s="46">
        <v>0</v>
      </c>
      <c r="R28" s="47" t="s">
        <v>214</v>
      </c>
      <c r="S28" s="5" t="s">
        <v>216</v>
      </c>
      <c r="T28" s="47" t="s">
        <v>238</v>
      </c>
      <c r="U28" s="9">
        <f>H28/(D28+E28+F28)</f>
        <v>20</v>
      </c>
      <c r="V28" s="9">
        <f>I28/(D28+E28+F28)</f>
        <v>29</v>
      </c>
      <c r="W28" s="9">
        <f>U28-V28</f>
        <v>-9</v>
      </c>
      <c r="X28" s="5">
        <f>SUM(D28:F28)</f>
        <v>5</v>
      </c>
      <c r="Y28" s="48">
        <v>26</v>
      </c>
      <c r="Z28" s="5">
        <f>COUNTIF(AA$3:AA27,AB28)+COUNTIF(AA$3:AA28,AC28)+COUNTIF(AA$3:AA28,AD28)+COUNTIF(AA$3:AA28,AE28)+COUNTIF(AA$3:AA28,AF28)+COUNTIF(AA$3:AA28,AG28)+COUNTIF(AA$3:AA28,AH28)+COUNTIF(AA$3:AA28,AI28)+COUNTIF(AA$3:AA28,AJ28)+COUNTIF(AA$3:AA28,AK28)+COUNTIF(AA$3:AA28,AL28)+COUNTIF(AA$3:AA28,AM28)+COUNTIF(AA$3:AA28,AN28)+COUNTIF(AA$3:AA28,AO28)+COUNTIF(AA$3:AA28,AP28)+COUNTIF(AA$3:AA28,AQ28)+COUNTIF(AA$3:AA28,AR28)</f>
        <v>2</v>
      </c>
      <c r="AA28" s="49" t="str">
        <f>VLOOKUP(A28,howfared!$A$2:$B$33,2,FALSE)</f>
        <v>IND</v>
      </c>
      <c r="AB28" s="5">
        <f>VLOOKUP(AA28,howfared!$B$2:$AH$33,2,FALSE)</f>
        <v>0</v>
      </c>
      <c r="AC28" s="5" t="str">
        <f>VLOOKUP(AA28,howfared!$B$2:$AH$33,3,FALSE)</f>
        <v>MIN</v>
      </c>
      <c r="AD28" s="5">
        <f>VLOOKUP(AA28,howfared!$B$2:$AH$33,4,FALSE)</f>
        <v>0</v>
      </c>
      <c r="AE28" s="5">
        <f>VLOOKUP(AA28,howfared!$B$2:$AH$33,5,FALSE)</f>
        <v>0</v>
      </c>
      <c r="AF28" s="5" t="str">
        <f>VLOOKUP(AA28,howfared!$B$2:$AH$33,6,FALSE)</f>
        <v>GB</v>
      </c>
      <c r="AG28" s="5">
        <f>VLOOKUP(AA28,howfared!$B$2:$AH$33,7,FALSE)</f>
        <v>0</v>
      </c>
      <c r="AH28" s="5">
        <f>VLOOKUP(AA28,howfared!$B$2:$AH$33,8,FALSE)</f>
        <v>0</v>
      </c>
      <c r="AI28" s="5">
        <f>VLOOKUP(AA28,howfared!$B$2:$AH$33,9,FALSE)</f>
        <v>0</v>
      </c>
      <c r="AJ28" s="5">
        <f>VLOOKUP(AA28,howfared!$B$2:$AH$33,10,FALSE)</f>
        <v>0</v>
      </c>
      <c r="AK28" s="5">
        <f>VLOOKUP(AA28,howfared!$B$2:$AH$33,11,FALSE)</f>
        <v>0</v>
      </c>
      <c r="AL28" s="5">
        <f>VLOOKUP(AA28,howfared!$B$2:$AH$33,12,FALSE)</f>
        <v>0</v>
      </c>
      <c r="AM28" s="5">
        <f>VLOOKUP(AA28,howfared!$B$2:$AH$33,13,FALSE)</f>
        <v>0</v>
      </c>
      <c r="AN28" s="5">
        <f>VLOOKUP(AA28,howfared!$B$2:$AH$33,14,FALSE)</f>
        <v>0</v>
      </c>
      <c r="AO28" s="5">
        <f>VLOOKUP(AA28,howfared!$B$2:$AH$33,15,FALSE)</f>
        <v>0</v>
      </c>
      <c r="AP28" s="5">
        <f>VLOOKUP(AA28,howfared!$B$2:$AH$33,16,FALSE)</f>
        <v>0</v>
      </c>
      <c r="AQ28" s="5">
        <f>VLOOKUP(AA28,howfared!$B$2:$AH$33,17,FALSE)</f>
        <v>0</v>
      </c>
      <c r="AR28" s="5">
        <f>VLOOKUP(AA28,howfared!$B$2:$AH$33,18,FALSE)</f>
        <v>0</v>
      </c>
      <c r="AS28" s="5" t="str">
        <f t="shared" si="0"/>
        <v>IND</v>
      </c>
      <c r="AT28" s="5">
        <f t="shared" si="1"/>
        <v>2</v>
      </c>
      <c r="AU28" s="5">
        <f t="shared" si="1"/>
        <v>3</v>
      </c>
    </row>
    <row r="29" spans="1:47" s="5" customFormat="1" ht="15.95" customHeight="1" x14ac:dyDescent="0.15">
      <c r="A29" s="5" t="s">
        <v>265</v>
      </c>
      <c r="B29" s="5" t="s">
        <v>204</v>
      </c>
      <c r="C29" s="5" t="s">
        <v>213</v>
      </c>
      <c r="D29" s="5">
        <v>2</v>
      </c>
      <c r="E29" s="5">
        <v>4</v>
      </c>
      <c r="F29" s="5">
        <v>0</v>
      </c>
      <c r="G29" s="46">
        <v>0.33300000000000002</v>
      </c>
      <c r="H29" s="5">
        <v>114</v>
      </c>
      <c r="I29" s="5">
        <v>204</v>
      </c>
      <c r="J29" s="5">
        <v>-90</v>
      </c>
      <c r="K29" s="5">
        <v>12</v>
      </c>
      <c r="L29" s="47" t="s">
        <v>214</v>
      </c>
      <c r="M29" s="47" t="s">
        <v>250</v>
      </c>
      <c r="N29" s="47" t="s">
        <v>215</v>
      </c>
      <c r="O29" s="46">
        <v>0</v>
      </c>
      <c r="P29" s="47" t="s">
        <v>251</v>
      </c>
      <c r="Q29" s="46">
        <v>0.25</v>
      </c>
      <c r="R29" s="47" t="s">
        <v>226</v>
      </c>
      <c r="S29" s="5" t="s">
        <v>241</v>
      </c>
      <c r="T29" s="47" t="s">
        <v>238</v>
      </c>
      <c r="U29" s="9">
        <f>H29/(D29+E29+F29)</f>
        <v>19</v>
      </c>
      <c r="V29" s="9">
        <f>I29/(D29+E29+F29)</f>
        <v>34</v>
      </c>
      <c r="W29" s="9">
        <f>U29-V29</f>
        <v>-15</v>
      </c>
      <c r="X29" s="5">
        <f>SUM(D29:F29)</f>
        <v>6</v>
      </c>
      <c r="Y29" s="50">
        <v>27</v>
      </c>
      <c r="Z29" s="5">
        <f>COUNTIF(AA$3:AA28,AB29)+COUNTIF(AA$3:AA29,AC29)+COUNTIF(AA$3:AA29,AD29)+COUNTIF(AA$3:AA29,AE29)+COUNTIF(AA$3:AA29,AF29)+COUNTIF(AA$3:AA29,AG29)+COUNTIF(AA$3:AA29,AH29)+COUNTIF(AA$3:AA29,AI29)+COUNTIF(AA$3:AA29,AJ29)+COUNTIF(AA$3:AA29,AK29)+COUNTIF(AA$3:AA29,AL29)+COUNTIF(AA$3:AA29,AM29)+COUNTIF(AA$3:AA29,AN29)+COUNTIF(AA$3:AA29,AO29)+COUNTIF(AA$3:AA29,AP29)+COUNTIF(AA$3:AA29,AQ29)+COUNTIF(AA$3:AA29,AR29)</f>
        <v>2</v>
      </c>
      <c r="AA29" s="49" t="str">
        <f>VLOOKUP(A29,howfared!$A$2:$B$33,2,FALSE)</f>
        <v>TEN</v>
      </c>
      <c r="AB29" s="5">
        <f>VLOOKUP(AA29,howfared!$B$2:$AH$33,2,FALSE)</f>
        <v>0</v>
      </c>
      <c r="AC29" s="5">
        <f>VLOOKUP(AA29,howfared!$B$2:$AH$33,3,FALSE)</f>
        <v>0</v>
      </c>
      <c r="AD29" s="5" t="str">
        <f>VLOOKUP(AA29,howfared!$B$2:$AH$33,4,FALSE)</f>
        <v>DET</v>
      </c>
      <c r="AE29" s="5">
        <f>VLOOKUP(AA29,howfared!$B$2:$AH$33,5,FALSE)</f>
        <v>0</v>
      </c>
      <c r="AF29" s="5">
        <f>VLOOKUP(AA29,howfared!$B$2:$AH$33,6,FALSE)</f>
        <v>0</v>
      </c>
      <c r="AG29" s="5" t="str">
        <f>VLOOKUP(AA29,howfared!$B$2:$AH$33,7,FALSE)</f>
        <v>PIT</v>
      </c>
      <c r="AH29" s="5">
        <f>VLOOKUP(AA29,howfared!$B$2:$AH$33,8,FALSE)</f>
        <v>0</v>
      </c>
      <c r="AI29" s="5">
        <f>VLOOKUP(AA29,howfared!$B$2:$AH$33,9,FALSE)</f>
        <v>0</v>
      </c>
      <c r="AJ29" s="5">
        <f>VLOOKUP(AA29,howfared!$B$2:$AH$33,10,FALSE)</f>
        <v>0</v>
      </c>
      <c r="AK29" s="5">
        <f>VLOOKUP(AA29,howfared!$B$2:$AH$33,11,FALSE)</f>
        <v>0</v>
      </c>
      <c r="AL29" s="5">
        <f>VLOOKUP(AA29,howfared!$B$2:$AH$33,12,FALSE)</f>
        <v>0</v>
      </c>
      <c r="AM29" s="5">
        <f>VLOOKUP(AA29,howfared!$B$2:$AH$33,13,FALSE)</f>
        <v>0</v>
      </c>
      <c r="AN29" s="5">
        <f>VLOOKUP(AA29,howfared!$B$2:$AH$33,14,FALSE)</f>
        <v>0</v>
      </c>
      <c r="AO29" s="5">
        <f>VLOOKUP(AA29,howfared!$B$2:$AH$33,15,FALSE)</f>
        <v>0</v>
      </c>
      <c r="AP29" s="5">
        <f>VLOOKUP(AA29,howfared!$B$2:$AH$33,16,FALSE)</f>
        <v>0</v>
      </c>
      <c r="AQ29" s="5">
        <f>VLOOKUP(AA29,howfared!$B$2:$AH$33,17,FALSE)</f>
        <v>0</v>
      </c>
      <c r="AR29" s="5">
        <f>VLOOKUP(AA29,howfared!$B$2:$AH$33,18,FALSE)</f>
        <v>0</v>
      </c>
      <c r="AS29" s="5" t="str">
        <f t="shared" si="0"/>
        <v>TEN</v>
      </c>
      <c r="AT29" s="5">
        <f t="shared" si="1"/>
        <v>2</v>
      </c>
      <c r="AU29" s="5">
        <f t="shared" si="1"/>
        <v>4</v>
      </c>
    </row>
    <row r="30" spans="1:47" s="5" customFormat="1" ht="15.95" customHeight="1" x14ac:dyDescent="0.15">
      <c r="A30" s="5" t="s">
        <v>266</v>
      </c>
      <c r="B30" s="5" t="s">
        <v>204</v>
      </c>
      <c r="C30" s="5" t="s">
        <v>205</v>
      </c>
      <c r="D30" s="5">
        <v>1</v>
      </c>
      <c r="E30" s="5">
        <v>4</v>
      </c>
      <c r="F30" s="5">
        <v>0</v>
      </c>
      <c r="G30" s="46">
        <v>0.2</v>
      </c>
      <c r="H30" s="5">
        <v>92</v>
      </c>
      <c r="I30" s="5">
        <v>125</v>
      </c>
      <c r="J30" s="5">
        <v>-33</v>
      </c>
      <c r="K30" s="5">
        <v>12</v>
      </c>
      <c r="L30" s="47" t="s">
        <v>240</v>
      </c>
      <c r="M30" s="47" t="s">
        <v>220</v>
      </c>
      <c r="N30" s="47" t="s">
        <v>240</v>
      </c>
      <c r="O30" s="46">
        <v>0.33300000000000002</v>
      </c>
      <c r="P30" s="47" t="s">
        <v>262</v>
      </c>
      <c r="Q30" s="46">
        <v>0.2</v>
      </c>
      <c r="R30" s="47" t="s">
        <v>230</v>
      </c>
      <c r="S30" s="5" t="s">
        <v>267</v>
      </c>
      <c r="T30" s="47" t="s">
        <v>262</v>
      </c>
      <c r="U30" s="9">
        <f>H30/(D30+E30+F30)</f>
        <v>18.399999999999999</v>
      </c>
      <c r="V30" s="9">
        <f>I30/(D30+E30+F30)</f>
        <v>25</v>
      </c>
      <c r="W30" s="9">
        <f>U30-V30</f>
        <v>-6.6000000000000014</v>
      </c>
      <c r="X30" s="5">
        <f>SUM(D30:F30)</f>
        <v>5</v>
      </c>
      <c r="Y30" s="50">
        <v>28</v>
      </c>
      <c r="Z30" s="5">
        <f>COUNTIF(AA$3:AA29,AB30)+COUNTIF(AA$3:AA30,AC30)+COUNTIF(AA$3:AA30,AD30)+COUNTIF(AA$3:AA30,AE30)+COUNTIF(AA$3:AA30,AF30)+COUNTIF(AA$3:AA30,AG30)+COUNTIF(AA$3:AA30,AH30)+COUNTIF(AA$3:AA30,AI30)+COUNTIF(AA$3:AA30,AJ30)+COUNTIF(AA$3:AA30,AK30)+COUNTIF(AA$3:AA30,AL30)+COUNTIF(AA$3:AA30,AM30)+COUNTIF(AA$3:AA30,AN30)+COUNTIF(AA$3:AA30,AO30)+COUNTIF(AA$3:AA30,AP30)+COUNTIF(AA$3:AA30,AQ30)+COUNTIF(AA$3:AA30,AR30)</f>
        <v>1</v>
      </c>
      <c r="AA30" s="49" t="str">
        <f>VLOOKUP(A30,howfared!$A$2:$B$33,2,FALSE)</f>
        <v>CAR</v>
      </c>
      <c r="AB30" s="5">
        <f>VLOOKUP(AA30,howfared!$B$2:$AH$33,2,FALSE)</f>
        <v>0</v>
      </c>
      <c r="AC30" s="5" t="str">
        <f>VLOOKUP(AA30,howfared!$B$2:$AH$33,3,FALSE)</f>
        <v>NO</v>
      </c>
      <c r="AD30" s="5">
        <f>VLOOKUP(AA30,howfared!$B$2:$AH$33,4,FALSE)</f>
        <v>0</v>
      </c>
      <c r="AE30" s="5">
        <f>VLOOKUP(AA30,howfared!$B$2:$AH$33,5,FALSE)</f>
        <v>0</v>
      </c>
      <c r="AF30" s="5">
        <f>VLOOKUP(AA30,howfared!$B$2:$AH$33,6,FALSE)</f>
        <v>0</v>
      </c>
      <c r="AG30" s="5">
        <f>VLOOKUP(AA30,howfared!$B$2:$AH$33,7,FALSE)</f>
        <v>0</v>
      </c>
      <c r="AH30" s="5">
        <f>VLOOKUP(AA30,howfared!$B$2:$AH$33,8,FALSE)</f>
        <v>0</v>
      </c>
      <c r="AI30" s="5">
        <f>VLOOKUP(AA30,howfared!$B$2:$AH$33,9,FALSE)</f>
        <v>0</v>
      </c>
      <c r="AJ30" s="5">
        <f>VLOOKUP(AA30,howfared!$B$2:$AH$33,10,FALSE)</f>
        <v>0</v>
      </c>
      <c r="AK30" s="5">
        <f>VLOOKUP(AA30,howfared!$B$2:$AH$33,11,FALSE)</f>
        <v>0</v>
      </c>
      <c r="AL30" s="5">
        <f>VLOOKUP(AA30,howfared!$B$2:$AH$33,12,FALSE)</f>
        <v>0</v>
      </c>
      <c r="AM30" s="5">
        <f>VLOOKUP(AA30,howfared!$B$2:$AH$33,13,FALSE)</f>
        <v>0</v>
      </c>
      <c r="AN30" s="5">
        <f>VLOOKUP(AA30,howfared!$B$2:$AH$33,14,FALSE)</f>
        <v>0</v>
      </c>
      <c r="AO30" s="5">
        <f>VLOOKUP(AA30,howfared!$B$2:$AH$33,15,FALSE)</f>
        <v>0</v>
      </c>
      <c r="AP30" s="5">
        <f>VLOOKUP(AA30,howfared!$B$2:$AH$33,16,FALSE)</f>
        <v>0</v>
      </c>
      <c r="AQ30" s="5">
        <f>VLOOKUP(AA30,howfared!$B$2:$AH$33,17,FALSE)</f>
        <v>0</v>
      </c>
      <c r="AR30" s="5">
        <f>VLOOKUP(AA30,howfared!$B$2:$AH$33,18,FALSE)</f>
        <v>0</v>
      </c>
      <c r="AS30" s="5" t="str">
        <f t="shared" si="0"/>
        <v>CAR</v>
      </c>
      <c r="AT30" s="5">
        <f t="shared" si="1"/>
        <v>1</v>
      </c>
      <c r="AU30" s="5">
        <f t="shared" si="1"/>
        <v>4</v>
      </c>
    </row>
    <row r="31" spans="1:47" s="5" customFormat="1" ht="15.95" customHeight="1" x14ac:dyDescent="0.15">
      <c r="A31" s="5" t="s">
        <v>268</v>
      </c>
      <c r="B31" s="5" t="s">
        <v>224</v>
      </c>
      <c r="C31" s="5" t="s">
        <v>247</v>
      </c>
      <c r="D31" s="5">
        <v>1</v>
      </c>
      <c r="E31" s="5">
        <v>4</v>
      </c>
      <c r="F31" s="5">
        <v>0</v>
      </c>
      <c r="G31" s="46">
        <v>0.2</v>
      </c>
      <c r="H31" s="5">
        <v>87</v>
      </c>
      <c r="I31" s="5">
        <v>148</v>
      </c>
      <c r="J31" s="5">
        <v>-61</v>
      </c>
      <c r="K31" s="5">
        <v>8</v>
      </c>
      <c r="L31" s="47" t="s">
        <v>226</v>
      </c>
      <c r="M31" s="47" t="s">
        <v>250</v>
      </c>
      <c r="N31" s="47" t="s">
        <v>220</v>
      </c>
      <c r="O31" s="46">
        <v>0</v>
      </c>
      <c r="P31" s="47" t="s">
        <v>251</v>
      </c>
      <c r="Q31" s="46">
        <v>0.25</v>
      </c>
      <c r="R31" s="47" t="s">
        <v>215</v>
      </c>
      <c r="S31" s="5" t="s">
        <v>245</v>
      </c>
      <c r="T31" s="47" t="s">
        <v>262</v>
      </c>
      <c r="U31" s="9">
        <f>H31/(D31+E31+F31)</f>
        <v>17.399999999999999</v>
      </c>
      <c r="V31" s="9">
        <f>I31/(D31+E31+F31)</f>
        <v>29.6</v>
      </c>
      <c r="W31" s="9">
        <f>U31-V31</f>
        <v>-12.200000000000003</v>
      </c>
      <c r="X31" s="5">
        <f>SUM(D31:F31)</f>
        <v>5</v>
      </c>
      <c r="Y31" s="48">
        <v>29</v>
      </c>
      <c r="Z31" s="5">
        <f>COUNTIF(AA$3:AA30,AB31)+COUNTIF(AA$3:AA31,AC31)+COUNTIF(AA$3:AA31,AD31)+COUNTIF(AA$3:AA31,AE31)+COUNTIF(AA$3:AA31,AF31)+COUNTIF(AA$3:AA31,AG31)+COUNTIF(AA$3:AA31,AH31)+COUNTIF(AA$3:AA31,AI31)+COUNTIF(AA$3:AA31,AJ31)+COUNTIF(AA$3:AA31,AK31)+COUNTIF(AA$3:AA31,AL31)+COUNTIF(AA$3:AA31,AM31)+COUNTIF(AA$3:AA31,AN31)+COUNTIF(AA$3:AA31,AO31)+COUNTIF(AA$3:AA31,AP31)+COUNTIF(AA$3:AA31,AQ31)+COUNTIF(AA$3:AA31,AR31)</f>
        <v>1</v>
      </c>
      <c r="AA31" s="49" t="str">
        <f>VLOOKUP(A31,howfared!$A$2:$B$33,2,FALSE)</f>
        <v>OAK</v>
      </c>
      <c r="AB31" s="5">
        <f>VLOOKUP(AA31,howfared!$B$2:$AH$33,2,FALSE)</f>
        <v>0</v>
      </c>
      <c r="AC31" s="5">
        <f>VLOOKUP(AA31,howfared!$B$2:$AH$33,3,FALSE)</f>
        <v>0</v>
      </c>
      <c r="AD31" s="5" t="str">
        <f>VLOOKUP(AA31,howfared!$B$2:$AH$33,4,FALSE)</f>
        <v>PIT</v>
      </c>
      <c r="AE31" s="5">
        <f>VLOOKUP(AA31,howfared!$B$2:$AH$33,5,FALSE)</f>
        <v>0</v>
      </c>
      <c r="AF31" s="5">
        <f>VLOOKUP(AA31,howfared!$B$2:$AH$33,6,FALSE)</f>
        <v>0</v>
      </c>
      <c r="AG31" s="5">
        <f>VLOOKUP(AA31,howfared!$B$2:$AH$33,7,FALSE)</f>
        <v>0</v>
      </c>
      <c r="AH31" s="5">
        <f>VLOOKUP(AA31,howfared!$B$2:$AH$33,8,FALSE)</f>
        <v>0</v>
      </c>
      <c r="AI31" s="5">
        <f>VLOOKUP(AA31,howfared!$B$2:$AH$33,9,FALSE)</f>
        <v>0</v>
      </c>
      <c r="AJ31" s="5">
        <f>VLOOKUP(AA31,howfared!$B$2:$AH$33,10,FALSE)</f>
        <v>0</v>
      </c>
      <c r="AK31" s="5">
        <f>VLOOKUP(AA31,howfared!$B$2:$AH$33,11,FALSE)</f>
        <v>0</v>
      </c>
      <c r="AL31" s="5">
        <f>VLOOKUP(AA31,howfared!$B$2:$AH$33,12,FALSE)</f>
        <v>0</v>
      </c>
      <c r="AM31" s="5">
        <f>VLOOKUP(AA31,howfared!$B$2:$AH$33,13,FALSE)</f>
        <v>0</v>
      </c>
      <c r="AN31" s="5">
        <f>VLOOKUP(AA31,howfared!$B$2:$AH$33,14,FALSE)</f>
        <v>0</v>
      </c>
      <c r="AO31" s="5">
        <f>VLOOKUP(AA31,howfared!$B$2:$AH$33,15,FALSE)</f>
        <v>0</v>
      </c>
      <c r="AP31" s="5">
        <f>VLOOKUP(AA31,howfared!$B$2:$AH$33,16,FALSE)</f>
        <v>0</v>
      </c>
      <c r="AQ31" s="5">
        <f>VLOOKUP(AA31,howfared!$B$2:$AH$33,17,FALSE)</f>
        <v>0</v>
      </c>
      <c r="AR31" s="5">
        <f>VLOOKUP(AA31,howfared!$B$2:$AH$33,18,FALSE)</f>
        <v>0</v>
      </c>
      <c r="AS31" s="5" t="str">
        <f t="shared" si="0"/>
        <v>OAK</v>
      </c>
      <c r="AT31" s="5">
        <f t="shared" si="1"/>
        <v>1</v>
      </c>
      <c r="AU31" s="5">
        <f t="shared" si="1"/>
        <v>4</v>
      </c>
    </row>
    <row r="32" spans="1:47" s="5" customFormat="1" ht="15.95" customHeight="1" x14ac:dyDescent="0.15">
      <c r="A32" s="5" t="s">
        <v>269</v>
      </c>
      <c r="B32" s="5" t="s">
        <v>224</v>
      </c>
      <c r="C32" s="5" t="s">
        <v>225</v>
      </c>
      <c r="D32" s="5">
        <v>1</v>
      </c>
      <c r="E32" s="5">
        <v>5</v>
      </c>
      <c r="F32" s="5">
        <v>0</v>
      </c>
      <c r="G32" s="46">
        <v>0.16700000000000001</v>
      </c>
      <c r="H32" s="5">
        <v>134</v>
      </c>
      <c r="I32" s="5">
        <v>163</v>
      </c>
      <c r="J32" s="5">
        <v>-29</v>
      </c>
      <c r="K32" s="5">
        <v>14</v>
      </c>
      <c r="L32" s="47" t="s">
        <v>240</v>
      </c>
      <c r="M32" s="47" t="s">
        <v>250</v>
      </c>
      <c r="N32" s="47" t="s">
        <v>240</v>
      </c>
      <c r="O32" s="46">
        <v>0.33300000000000002</v>
      </c>
      <c r="P32" s="47" t="s">
        <v>251</v>
      </c>
      <c r="Q32" s="46">
        <v>0.25</v>
      </c>
      <c r="R32" s="47" t="s">
        <v>220</v>
      </c>
      <c r="S32" s="5" t="s">
        <v>241</v>
      </c>
      <c r="T32" s="47" t="s">
        <v>262</v>
      </c>
      <c r="U32" s="9">
        <f>H32/(D32+E32+F32)</f>
        <v>22.333333333333332</v>
      </c>
      <c r="V32" s="9">
        <f>I32/(D32+E32+F32)</f>
        <v>27.166666666666668</v>
      </c>
      <c r="W32" s="9">
        <f>U32-V32</f>
        <v>-4.8333333333333357</v>
      </c>
      <c r="X32" s="5">
        <f>SUM(D32:F32)</f>
        <v>6</v>
      </c>
      <c r="Y32" s="50">
        <v>30</v>
      </c>
      <c r="Z32" s="5">
        <f>COUNTIF(AA$3:AA31,AB32)+COUNTIF(AA$3:AA32,AC32)+COUNTIF(AA$3:AA32,AD32)+COUNTIF(AA$3:AA32,AE32)+COUNTIF(AA$3:AA32,AF32)+COUNTIF(AA$3:AA32,AG32)+COUNTIF(AA$3:AA32,AH32)+COUNTIF(AA$3:AA32,AI32)+COUNTIF(AA$3:AA32,AJ32)+COUNTIF(AA$3:AA32,AK32)+COUNTIF(AA$3:AA32,AL32)+COUNTIF(AA$3:AA32,AM32)+COUNTIF(AA$3:AA32,AN32)+COUNTIF(AA$3:AA32,AO32)+COUNTIF(AA$3:AA32,AP32)+COUNTIF(AA$3:AA32,AQ32)+COUNTIF(AA$3:AA32,AR32)</f>
        <v>1</v>
      </c>
      <c r="AA32" s="49" t="str">
        <f>VLOOKUP(A32,howfared!$A$2:$B$33,2,FALSE)</f>
        <v>CLE</v>
      </c>
      <c r="AB32" s="5">
        <f>VLOOKUP(AA32,howfared!$B$2:$AH$33,2,FALSE)</f>
        <v>0</v>
      </c>
      <c r="AC32" s="5">
        <f>VLOOKUP(AA32,howfared!$B$2:$AH$33,3,FALSE)</f>
        <v>0</v>
      </c>
      <c r="AD32" s="5">
        <f>VLOOKUP(AA32,howfared!$B$2:$AH$33,4,FALSE)</f>
        <v>0</v>
      </c>
      <c r="AE32" s="5">
        <f>VLOOKUP(AA32,howfared!$B$2:$AH$33,5,FALSE)</f>
        <v>0</v>
      </c>
      <c r="AF32" s="5">
        <f>VLOOKUP(AA32,howfared!$B$2:$AH$33,6,FALSE)</f>
        <v>0</v>
      </c>
      <c r="AG32" s="5" t="str">
        <f>VLOOKUP(AA32,howfared!$B$2:$AH$33,7,FALSE)</f>
        <v>CIN</v>
      </c>
      <c r="AH32" s="5">
        <f>VLOOKUP(AA32,howfared!$B$2:$AH$33,8,FALSE)</f>
        <v>0</v>
      </c>
      <c r="AI32" s="5">
        <f>VLOOKUP(AA32,howfared!$B$2:$AH$33,9,FALSE)</f>
        <v>0</v>
      </c>
      <c r="AJ32" s="5">
        <f>VLOOKUP(AA32,howfared!$B$2:$AH$33,10,FALSE)</f>
        <v>0</v>
      </c>
      <c r="AK32" s="5">
        <f>VLOOKUP(AA32,howfared!$B$2:$AH$33,11,FALSE)</f>
        <v>0</v>
      </c>
      <c r="AL32" s="5">
        <f>VLOOKUP(AA32,howfared!$B$2:$AH$33,12,FALSE)</f>
        <v>0</v>
      </c>
      <c r="AM32" s="5">
        <f>VLOOKUP(AA32,howfared!$B$2:$AH$33,13,FALSE)</f>
        <v>0</v>
      </c>
      <c r="AN32" s="5">
        <f>VLOOKUP(AA32,howfared!$B$2:$AH$33,14,FALSE)</f>
        <v>0</v>
      </c>
      <c r="AO32" s="5">
        <f>VLOOKUP(AA32,howfared!$B$2:$AH$33,15,FALSE)</f>
        <v>0</v>
      </c>
      <c r="AP32" s="5">
        <f>VLOOKUP(AA32,howfared!$B$2:$AH$33,16,FALSE)</f>
        <v>0</v>
      </c>
      <c r="AQ32" s="5">
        <f>VLOOKUP(AA32,howfared!$B$2:$AH$33,17,FALSE)</f>
        <v>0</v>
      </c>
      <c r="AR32" s="5">
        <f>VLOOKUP(AA32,howfared!$B$2:$AH$33,18,FALSE)</f>
        <v>0</v>
      </c>
      <c r="AS32" s="5" t="str">
        <f t="shared" si="0"/>
        <v>CLE</v>
      </c>
      <c r="AT32" s="5">
        <f t="shared" si="1"/>
        <v>1</v>
      </c>
      <c r="AU32" s="5">
        <f t="shared" si="1"/>
        <v>5</v>
      </c>
    </row>
    <row r="33" spans="1:47" s="5" customFormat="1" ht="15.95" customHeight="1" x14ac:dyDescent="0.15">
      <c r="A33" s="5" t="s">
        <v>270</v>
      </c>
      <c r="B33" s="5" t="s">
        <v>204</v>
      </c>
      <c r="C33" s="5" t="s">
        <v>213</v>
      </c>
      <c r="D33" s="5">
        <v>1</v>
      </c>
      <c r="E33" s="5">
        <v>4</v>
      </c>
      <c r="F33" s="5">
        <v>0</v>
      </c>
      <c r="G33" s="46">
        <v>0.2</v>
      </c>
      <c r="H33" s="5">
        <v>65</v>
      </c>
      <c r="I33" s="5">
        <v>138</v>
      </c>
      <c r="J33" s="5">
        <v>-73</v>
      </c>
      <c r="K33" s="5">
        <v>6</v>
      </c>
      <c r="L33" s="47" t="s">
        <v>250</v>
      </c>
      <c r="M33" s="47" t="s">
        <v>226</v>
      </c>
      <c r="N33" s="47" t="s">
        <v>226</v>
      </c>
      <c r="O33" s="46">
        <v>0.5</v>
      </c>
      <c r="P33" s="47" t="s">
        <v>240</v>
      </c>
      <c r="Q33" s="46">
        <v>0.33300000000000002</v>
      </c>
      <c r="R33" s="47" t="s">
        <v>220</v>
      </c>
      <c r="S33" s="5" t="s">
        <v>245</v>
      </c>
      <c r="T33" s="47" t="s">
        <v>262</v>
      </c>
      <c r="U33" s="9">
        <f>H33/(D33+E33+F33)</f>
        <v>13</v>
      </c>
      <c r="V33" s="9">
        <f>I33/(D33+E33+F33)</f>
        <v>27.6</v>
      </c>
      <c r="W33" s="9">
        <f>U33-V33</f>
        <v>-14.600000000000001</v>
      </c>
      <c r="X33" s="5">
        <f>SUM(D33:F33)</f>
        <v>5</v>
      </c>
      <c r="Y33" s="48">
        <v>31</v>
      </c>
      <c r="Z33" s="5">
        <f>COUNTIF(AA$3:AA32,AB33)+COUNTIF(AA$3:AA33,AC33)+COUNTIF(AA$3:AA33,AD33)+COUNTIF(AA$3:AA33,AE33)+COUNTIF(AA$3:AA33,AF33)+COUNTIF(AA$3:AA33,AG33)+COUNTIF(AA$3:AA33,AH33)+COUNTIF(AA$3:AA33,AI33)+COUNTIF(AA$3:AA33,AJ33)+COUNTIF(AA$3:AA33,AK33)+COUNTIF(AA$3:AA33,AL33)+COUNTIF(AA$3:AA33,AM33)+COUNTIF(AA$3:AA33,AN33)+COUNTIF(AA$3:AA33,AO33)+COUNTIF(AA$3:AA33,AP33)+COUNTIF(AA$3:AA33,AQ33)+COUNTIF(AA$3:AA33,AR33)</f>
        <v>1</v>
      </c>
      <c r="AA33" s="49" t="str">
        <f>VLOOKUP(A33,howfared!$A$2:$B$33,2,FALSE)</f>
        <v>JAC</v>
      </c>
      <c r="AB33" s="5">
        <f>VLOOKUP(AA33,howfared!$B$2:$AH$33,2,FALSE)</f>
        <v>0</v>
      </c>
      <c r="AC33" s="5">
        <f>VLOOKUP(AA33,howfared!$B$2:$AH$33,3,FALSE)</f>
        <v>0</v>
      </c>
      <c r="AD33" s="5" t="str">
        <f>VLOOKUP(AA33,howfared!$B$2:$AH$33,4,FALSE)</f>
        <v>IND</v>
      </c>
      <c r="AE33" s="5">
        <f>VLOOKUP(AA33,howfared!$B$2:$AH$33,5,FALSE)</f>
        <v>0</v>
      </c>
      <c r="AF33" s="5">
        <f>VLOOKUP(AA33,howfared!$B$2:$AH$33,6,FALSE)</f>
        <v>0</v>
      </c>
      <c r="AG33" s="5">
        <f>VLOOKUP(AA33,howfared!$B$2:$AH$33,7,FALSE)</f>
        <v>0</v>
      </c>
      <c r="AH33" s="5">
        <f>VLOOKUP(AA33,howfared!$B$2:$AH$33,8,FALSE)</f>
        <v>0</v>
      </c>
      <c r="AI33" s="5">
        <f>VLOOKUP(AA33,howfared!$B$2:$AH$33,9,FALSE)</f>
        <v>0</v>
      </c>
      <c r="AJ33" s="5">
        <f>VLOOKUP(AA33,howfared!$B$2:$AH$33,10,FALSE)</f>
        <v>0</v>
      </c>
      <c r="AK33" s="5">
        <f>VLOOKUP(AA33,howfared!$B$2:$AH$33,11,FALSE)</f>
        <v>0</v>
      </c>
      <c r="AL33" s="5">
        <f>VLOOKUP(AA33,howfared!$B$2:$AH$33,12,FALSE)</f>
        <v>0</v>
      </c>
      <c r="AM33" s="5">
        <f>VLOOKUP(AA33,howfared!$B$2:$AH$33,13,FALSE)</f>
        <v>0</v>
      </c>
      <c r="AN33" s="5">
        <f>VLOOKUP(AA33,howfared!$B$2:$AH$33,14,FALSE)</f>
        <v>0</v>
      </c>
      <c r="AO33" s="5">
        <f>VLOOKUP(AA33,howfared!$B$2:$AH$33,15,FALSE)</f>
        <v>0</v>
      </c>
      <c r="AP33" s="5">
        <f>VLOOKUP(AA33,howfared!$B$2:$AH$33,16,FALSE)</f>
        <v>0</v>
      </c>
      <c r="AQ33" s="5">
        <f>VLOOKUP(AA33,howfared!$B$2:$AH$33,17,FALSE)</f>
        <v>0</v>
      </c>
      <c r="AR33" s="5">
        <f>VLOOKUP(AA33,howfared!$B$2:$AH$33,18,FALSE)</f>
        <v>0</v>
      </c>
      <c r="AS33" s="5" t="str">
        <f t="shared" si="0"/>
        <v>JAC</v>
      </c>
      <c r="AT33" s="5">
        <f t="shared" si="1"/>
        <v>1</v>
      </c>
      <c r="AU33" s="5">
        <f t="shared" si="1"/>
        <v>4</v>
      </c>
    </row>
    <row r="34" spans="1:47" s="5" customFormat="1" ht="15.95" customHeight="1" x14ac:dyDescent="0.15">
      <c r="A34" s="5" t="s">
        <v>271</v>
      </c>
      <c r="B34" s="5" t="s">
        <v>224</v>
      </c>
      <c r="C34" s="5" t="s">
        <v>247</v>
      </c>
      <c r="D34" s="5">
        <v>1</v>
      </c>
      <c r="E34" s="5">
        <v>5</v>
      </c>
      <c r="F34" s="5">
        <v>0</v>
      </c>
      <c r="G34" s="46">
        <v>0.16700000000000001</v>
      </c>
      <c r="H34" s="5">
        <v>104</v>
      </c>
      <c r="I34" s="5">
        <v>183</v>
      </c>
      <c r="J34" s="5">
        <v>-79</v>
      </c>
      <c r="K34" s="5">
        <v>10</v>
      </c>
      <c r="L34" s="47" t="s">
        <v>250</v>
      </c>
      <c r="M34" s="47" t="s">
        <v>240</v>
      </c>
      <c r="N34" s="47" t="s">
        <v>215</v>
      </c>
      <c r="O34" s="46">
        <v>0</v>
      </c>
      <c r="P34" s="47" t="s">
        <v>250</v>
      </c>
      <c r="Q34" s="46">
        <v>0</v>
      </c>
      <c r="R34" s="47" t="s">
        <v>240</v>
      </c>
      <c r="S34" s="5" t="s">
        <v>267</v>
      </c>
      <c r="T34" s="47" t="s">
        <v>262</v>
      </c>
      <c r="U34" s="9">
        <f>H34/(D34+E34+F34)</f>
        <v>17.333333333333332</v>
      </c>
      <c r="V34" s="9">
        <f>I34/(D34+E34+F34)</f>
        <v>30.5</v>
      </c>
      <c r="W34" s="9">
        <f>U34-V34</f>
        <v>-13.166666666666668</v>
      </c>
      <c r="X34" s="5">
        <f>SUM(D34:F34)</f>
        <v>6</v>
      </c>
      <c r="Y34" s="50">
        <v>32</v>
      </c>
      <c r="Z34" s="5">
        <f>COUNTIF(AA$3:AA33,AB34)+COUNTIF(AA$3:AA34,AC34)+COUNTIF(AA$3:AA34,AD34)+COUNTIF(AA$3:AA34,AE34)+COUNTIF(AA$3:AA34,AF34)+COUNTIF(AA$3:AA34,AG34)+COUNTIF(AA$3:AA34,AH34)+COUNTIF(AA$3:AA34,AI34)+COUNTIF(AA$3:AA34,AJ34)+COUNTIF(AA$3:AA34,AK34)+COUNTIF(AA$3:AA34,AL34)+COUNTIF(AA$3:AA34,AM34)+COUNTIF(AA$3:AA34,AN34)+COUNTIF(AA$3:AA34,AO34)+COUNTIF(AA$3:AA34,AP34)+COUNTIF(AA$3:AA34,AQ34)+COUNTIF(AA$3:AA34,AR34)</f>
        <v>1</v>
      </c>
      <c r="AA34" s="49" t="str">
        <f>VLOOKUP(A34,howfared!$A$2:$B$33,2,FALSE)</f>
        <v>KC</v>
      </c>
      <c r="AB34" s="5">
        <f>VLOOKUP(AA34,howfared!$B$2:$AH$33,2,FALSE)</f>
        <v>0</v>
      </c>
      <c r="AC34" s="5">
        <f>VLOOKUP(AA34,howfared!$B$2:$AH$33,3,FALSE)</f>
        <v>0</v>
      </c>
      <c r="AD34" s="5" t="str">
        <f>VLOOKUP(AA34,howfared!$B$2:$AH$33,4,FALSE)</f>
        <v>NO</v>
      </c>
      <c r="AE34" s="5">
        <f>VLOOKUP(AA34,howfared!$B$2:$AH$33,5,FALSE)</f>
        <v>0</v>
      </c>
      <c r="AF34" s="5">
        <f>VLOOKUP(AA34,howfared!$B$2:$AH$33,6,FALSE)</f>
        <v>0</v>
      </c>
      <c r="AG34" s="5">
        <f>VLOOKUP(AA34,howfared!$B$2:$AH$33,7,FALSE)</f>
        <v>0</v>
      </c>
      <c r="AH34" s="5">
        <f>VLOOKUP(AA34,howfared!$B$2:$AH$33,8,FALSE)</f>
        <v>0</v>
      </c>
      <c r="AI34" s="5">
        <f>VLOOKUP(AA34,howfared!$B$2:$AH$33,9,FALSE)</f>
        <v>0</v>
      </c>
      <c r="AJ34" s="5">
        <f>VLOOKUP(AA34,howfared!$B$2:$AH$33,10,FALSE)</f>
        <v>0</v>
      </c>
      <c r="AK34" s="5">
        <f>VLOOKUP(AA34,howfared!$B$2:$AH$33,11,FALSE)</f>
        <v>0</v>
      </c>
      <c r="AL34" s="5">
        <f>VLOOKUP(AA34,howfared!$B$2:$AH$33,12,FALSE)</f>
        <v>0</v>
      </c>
      <c r="AM34" s="5">
        <f>VLOOKUP(AA34,howfared!$B$2:$AH$33,13,FALSE)</f>
        <v>0</v>
      </c>
      <c r="AN34" s="5">
        <f>VLOOKUP(AA34,howfared!$B$2:$AH$33,14,FALSE)</f>
        <v>0</v>
      </c>
      <c r="AO34" s="5">
        <f>VLOOKUP(AA34,howfared!$B$2:$AH$33,15,FALSE)</f>
        <v>0</v>
      </c>
      <c r="AP34" s="5">
        <f>VLOOKUP(AA34,howfared!$B$2:$AH$33,16,FALSE)</f>
        <v>0</v>
      </c>
      <c r="AQ34" s="5">
        <f>VLOOKUP(AA34,howfared!$B$2:$AH$33,17,FALSE)</f>
        <v>0</v>
      </c>
      <c r="AR34" s="5">
        <f>VLOOKUP(AA34,howfared!$B$2:$AH$33,18,FALSE)</f>
        <v>0</v>
      </c>
      <c r="AS34" s="5" t="str">
        <f t="shared" si="0"/>
        <v>KC</v>
      </c>
      <c r="AT34" s="5">
        <f t="shared" si="1"/>
        <v>1</v>
      </c>
      <c r="AU34" s="5">
        <f t="shared" si="1"/>
        <v>5</v>
      </c>
    </row>
  </sheetData>
  <autoFilter ref="A2:Y34">
    <sortState ref="A3:Y34">
      <sortCondition ref="Y2:Y34"/>
    </sortState>
  </autoFilter>
  <conditionalFormatting sqref="Y3:Y34">
    <cfRule type="duplicateValues" dxfId="3" priority="1" stopIfTrue="1"/>
  </conditionalFormatting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Y34"/>
  <sheetViews>
    <sheetView workbookViewId="0">
      <pane xSplit="1" topLeftCell="F1" activePane="topRight" state="frozen"/>
      <selection activeCell="AG2" sqref="AG2:AG33"/>
      <selection pane="topRight" activeCell="AG2" sqref="AG2:AG33"/>
    </sheetView>
  </sheetViews>
  <sheetFormatPr defaultRowHeight="10.5" x14ac:dyDescent="0.15"/>
  <cols>
    <col min="1" max="1" width="22.5" style="11" customWidth="1"/>
    <col min="2" max="18" width="9.33203125" style="11"/>
    <col min="19" max="19" width="11.83203125" style="11" bestFit="1" customWidth="1"/>
    <col min="20" max="20" width="11.5" style="11" bestFit="1" customWidth="1"/>
    <col min="21" max="21" width="11.1640625" style="11" bestFit="1" customWidth="1"/>
    <col min="22" max="22" width="15" style="11" bestFit="1" customWidth="1"/>
    <col min="23" max="23" width="25.5" style="11" customWidth="1"/>
    <col min="24" max="24" width="9.33203125" style="11"/>
    <col min="25" max="25" width="12" style="11" customWidth="1"/>
    <col min="26" max="16384" width="9.33203125" style="11"/>
  </cols>
  <sheetData>
    <row r="1" spans="1:25" s="5" customFormat="1" ht="36" customHeight="1" x14ac:dyDescent="0.15">
      <c r="A1" s="5" t="s">
        <v>1</v>
      </c>
      <c r="B1" s="5" t="s">
        <v>149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166</v>
      </c>
      <c r="J1" s="5" t="s">
        <v>167</v>
      </c>
      <c r="K1" s="5" t="s">
        <v>168</v>
      </c>
      <c r="L1" s="5" t="s">
        <v>169</v>
      </c>
      <c r="M1" s="5" t="s">
        <v>170</v>
      </c>
      <c r="N1" s="5" t="s">
        <v>171</v>
      </c>
      <c r="O1" s="5" t="s">
        <v>172</v>
      </c>
      <c r="P1" s="5" t="s">
        <v>173</v>
      </c>
      <c r="Q1" s="5" t="s">
        <v>174</v>
      </c>
      <c r="R1" s="5" t="s">
        <v>175</v>
      </c>
      <c r="S1" s="5" t="s">
        <v>11</v>
      </c>
      <c r="T1" s="5" t="s">
        <v>177</v>
      </c>
      <c r="U1" s="5" t="s">
        <v>178</v>
      </c>
      <c r="V1" s="5" t="s">
        <v>14</v>
      </c>
      <c r="W1" s="5" t="s">
        <v>272</v>
      </c>
      <c r="X1" s="5" t="s">
        <v>273</v>
      </c>
      <c r="Y1" s="5" t="s">
        <v>274</v>
      </c>
    </row>
    <row r="2" spans="1:25" s="5" customFormat="1" ht="14.1" customHeight="1" x14ac:dyDescent="0.15">
      <c r="A2" s="5" t="s">
        <v>65</v>
      </c>
      <c r="B2" s="5">
        <v>6</v>
      </c>
      <c r="C2" s="5">
        <v>4</v>
      </c>
      <c r="D2" s="5">
        <v>2</v>
      </c>
      <c r="E2" s="5">
        <v>1</v>
      </c>
      <c r="F2" s="5">
        <v>1</v>
      </c>
      <c r="G2" s="5">
        <v>1</v>
      </c>
      <c r="H2" s="5">
        <v>2</v>
      </c>
      <c r="S2" s="51">
        <f>AVERAGE(B2:R2)</f>
        <v>2.4285714285714284</v>
      </c>
      <c r="T2" s="5">
        <f>MINA(B2:R2)</f>
        <v>1</v>
      </c>
      <c r="U2" s="5">
        <f>MAXA(B2:R2)</f>
        <v>6</v>
      </c>
      <c r="V2" s="5">
        <f>U2-T2</f>
        <v>5</v>
      </c>
      <c r="W2" s="5" t="str">
        <f>IF(X2&lt;0,CONCATENATE(A2," (-",ABS(X2),"), "),IF(X2=0,CONCATENATE(A2,", "),CONCATENATE(A2," (+",ABS(X2),"), ")))</f>
        <v xml:space="preserve">Houston Texans (-1), </v>
      </c>
      <c r="X2" s="5">
        <f>G2-H2</f>
        <v>-1</v>
      </c>
      <c r="Y2" s="5">
        <f>G2-B2</f>
        <v>-5</v>
      </c>
    </row>
    <row r="3" spans="1:25" s="5" customFormat="1" ht="14.1" customHeight="1" x14ac:dyDescent="0.15">
      <c r="A3" s="5" t="s">
        <v>94</v>
      </c>
      <c r="B3" s="5">
        <v>5</v>
      </c>
      <c r="C3" s="5">
        <v>2</v>
      </c>
      <c r="D3" s="5">
        <v>1</v>
      </c>
      <c r="E3" s="5">
        <v>4</v>
      </c>
      <c r="F3" s="5">
        <v>4</v>
      </c>
      <c r="G3" s="5">
        <v>3</v>
      </c>
      <c r="H3" s="5">
        <v>5</v>
      </c>
      <c r="S3" s="51">
        <f>AVERAGE(B3:R3)</f>
        <v>3.4285714285714284</v>
      </c>
      <c r="T3" s="5">
        <f>MINA(B3:R3)</f>
        <v>1</v>
      </c>
      <c r="U3" s="5">
        <f>MAXA(B3:R3)</f>
        <v>5</v>
      </c>
      <c r="V3" s="5">
        <f>U3-T3</f>
        <v>4</v>
      </c>
      <c r="W3" s="5" t="str">
        <f>IF(X3&lt;0,CONCATENATE(A3," (-",ABS(X3),"), "),IF(X3=0,CONCATENATE(A3,", "),CONCATENATE(A3," (+",ABS(X3),"), ")))</f>
        <v xml:space="preserve">San Francisco 49ers (-2), </v>
      </c>
      <c r="X3" s="5">
        <f>G3-H3</f>
        <v>-2</v>
      </c>
      <c r="Y3" s="5">
        <f>G3-B3</f>
        <v>-2</v>
      </c>
    </row>
    <row r="4" spans="1:25" s="5" customFormat="1" ht="14.1" customHeight="1" x14ac:dyDescent="0.15">
      <c r="A4" s="5" t="s">
        <v>40</v>
      </c>
      <c r="B4" s="5">
        <v>4</v>
      </c>
      <c r="C4" s="5">
        <v>3</v>
      </c>
      <c r="D4" s="5">
        <v>6</v>
      </c>
      <c r="E4" s="5">
        <v>3</v>
      </c>
      <c r="F4" s="5">
        <v>3</v>
      </c>
      <c r="G4" s="5">
        <v>4</v>
      </c>
      <c r="H4" s="5">
        <v>4</v>
      </c>
      <c r="S4" s="51">
        <f>AVERAGE(B4:R4)</f>
        <v>3.8571428571428572</v>
      </c>
      <c r="T4" s="5">
        <f>MINA(B4:R4)</f>
        <v>3</v>
      </c>
      <c r="U4" s="5">
        <f>MAXA(B4:R4)</f>
        <v>6</v>
      </c>
      <c r="V4" s="5">
        <f>U4-T4</f>
        <v>3</v>
      </c>
      <c r="W4" s="5" t="str">
        <f>IF(X4&lt;0,CONCATENATE(A4," (-",ABS(X4),"), "),IF(X4=0,CONCATENATE(A4,", "),CONCATENATE(A4," (+",ABS(X4),"), ")))</f>
        <v xml:space="preserve">Baltimore Ravens, </v>
      </c>
      <c r="X4" s="5">
        <f>G4-H4</f>
        <v>0</v>
      </c>
      <c r="Y4" s="5">
        <f>G4-B4</f>
        <v>0</v>
      </c>
    </row>
    <row r="5" spans="1:25" s="5" customFormat="1" ht="14.1" customHeight="1" x14ac:dyDescent="0.15">
      <c r="A5" s="5" t="s">
        <v>37</v>
      </c>
      <c r="B5" s="5">
        <v>12</v>
      </c>
      <c r="C5" s="5">
        <v>6</v>
      </c>
      <c r="D5" s="5">
        <v>3</v>
      </c>
      <c r="E5" s="5">
        <v>2</v>
      </c>
      <c r="F5" s="5">
        <v>2</v>
      </c>
      <c r="G5" s="5">
        <v>2</v>
      </c>
      <c r="H5" s="5">
        <v>1</v>
      </c>
      <c r="S5" s="51">
        <f>AVERAGE(B5:R5)</f>
        <v>4</v>
      </c>
      <c r="T5" s="5">
        <f>MINA(B5:R5)</f>
        <v>1</v>
      </c>
      <c r="U5" s="5">
        <f>MAXA(B5:R5)</f>
        <v>12</v>
      </c>
      <c r="V5" s="5">
        <f>U5-T5</f>
        <v>11</v>
      </c>
      <c r="W5" s="5" t="str">
        <f>IF(X5&lt;0,CONCATENATE(A5," (-",ABS(X5),"), "),IF(X5=0,CONCATENATE(A5,", "),CONCATENATE(A5," (+",ABS(X5),"), ")))</f>
        <v xml:space="preserve">Atlanta Falcons (+1), </v>
      </c>
      <c r="X5" s="5">
        <f>G5-H5</f>
        <v>1</v>
      </c>
      <c r="Y5" s="5">
        <f>G5-B5</f>
        <v>-10</v>
      </c>
    </row>
    <row r="6" spans="1:25" s="5" customFormat="1" ht="14.1" customHeight="1" x14ac:dyDescent="0.15">
      <c r="A6" s="5" t="s">
        <v>78</v>
      </c>
      <c r="B6" s="5">
        <v>2</v>
      </c>
      <c r="C6" s="5">
        <v>1</v>
      </c>
      <c r="D6" s="5">
        <v>5</v>
      </c>
      <c r="E6" s="5">
        <v>8</v>
      </c>
      <c r="F6" s="5">
        <v>6</v>
      </c>
      <c r="G6" s="5">
        <v>5</v>
      </c>
      <c r="H6" s="5">
        <v>7</v>
      </c>
      <c r="S6" s="51">
        <f>AVERAGE(B6:R6)</f>
        <v>4.8571428571428568</v>
      </c>
      <c r="T6" s="5">
        <f>MINA(B6:R6)</f>
        <v>1</v>
      </c>
      <c r="U6" s="5">
        <f>MAXA(B6:R6)</f>
        <v>8</v>
      </c>
      <c r="V6" s="5">
        <f>U6-T6</f>
        <v>7</v>
      </c>
      <c r="W6" s="5" t="str">
        <f>IF(X6&lt;0,CONCATENATE(A6," (-",ABS(X6),"), "),IF(X6=0,CONCATENATE(A6,", "),CONCATENATE(A6," (+",ABS(X6),"), ")))</f>
        <v xml:space="preserve">New England Patriots (-2), </v>
      </c>
      <c r="X6" s="5">
        <f>G6-H6</f>
        <v>-2</v>
      </c>
      <c r="Y6" s="5">
        <f>G6-B6</f>
        <v>3</v>
      </c>
    </row>
    <row r="7" spans="1:25" s="5" customFormat="1" ht="14.1" customHeight="1" x14ac:dyDescent="0.15">
      <c r="A7" s="5" t="s">
        <v>82</v>
      </c>
      <c r="B7" s="5">
        <v>1</v>
      </c>
      <c r="C7" s="5">
        <v>7</v>
      </c>
      <c r="D7" s="5">
        <v>8</v>
      </c>
      <c r="E7" s="5">
        <v>6</v>
      </c>
      <c r="F7" s="5">
        <v>10</v>
      </c>
      <c r="G7" s="5">
        <v>7</v>
      </c>
      <c r="H7" s="5">
        <v>3</v>
      </c>
      <c r="S7" s="51">
        <f>AVERAGE(B7:R7)</f>
        <v>6</v>
      </c>
      <c r="T7" s="5">
        <f>MINA(B7:R7)</f>
        <v>1</v>
      </c>
      <c r="U7" s="5">
        <f>MAXA(B7:R7)</f>
        <v>10</v>
      </c>
      <c r="V7" s="5">
        <f>U7-T7</f>
        <v>9</v>
      </c>
      <c r="W7" s="5" t="str">
        <f>IF(X7&lt;0,CONCATENATE(A7," (-",ABS(X7),"), "),IF(X7=0,CONCATENATE(A7,", "),CONCATENATE(A7," (+",ABS(X7),"), ")))</f>
        <v xml:space="preserve">New York Giants (+4), </v>
      </c>
      <c r="X7" s="5">
        <f>G7-H7</f>
        <v>4</v>
      </c>
      <c r="Y7" s="5">
        <f>G7-B7</f>
        <v>6</v>
      </c>
    </row>
    <row r="8" spans="1:25" s="5" customFormat="1" ht="14.1" customHeight="1" x14ac:dyDescent="0.15">
      <c r="A8" s="5" t="s">
        <v>63</v>
      </c>
      <c r="B8" s="5">
        <v>3</v>
      </c>
      <c r="C8" s="5">
        <v>5</v>
      </c>
      <c r="D8" s="5">
        <v>4</v>
      </c>
      <c r="E8" s="5">
        <v>7</v>
      </c>
      <c r="F8" s="5">
        <v>8</v>
      </c>
      <c r="G8" s="5">
        <v>12</v>
      </c>
      <c r="H8" s="5">
        <v>8</v>
      </c>
      <c r="S8" s="51">
        <f>AVERAGE(B8:R8)</f>
        <v>6.7142857142857144</v>
      </c>
      <c r="T8" s="5">
        <f>MINA(B8:R8)</f>
        <v>3</v>
      </c>
      <c r="U8" s="5">
        <f>MAXA(B8:R8)</f>
        <v>12</v>
      </c>
      <c r="V8" s="5">
        <f>U8-T8</f>
        <v>9</v>
      </c>
      <c r="W8" s="5" t="str">
        <f>IF(X8&lt;0,CONCATENATE(A8," (-",ABS(X8),"), "),IF(X8=0,CONCATENATE(A8,", "),CONCATENATE(A8," (+",ABS(X8),"), ")))</f>
        <v xml:space="preserve">Green Bay Packers (+4), </v>
      </c>
      <c r="X8" s="5">
        <f>G8-H8</f>
        <v>4</v>
      </c>
      <c r="Y8" s="5">
        <f>G8-B8</f>
        <v>9</v>
      </c>
    </row>
    <row r="9" spans="1:25" s="5" customFormat="1" ht="14.1" customHeight="1" x14ac:dyDescent="0.15">
      <c r="A9" s="5" t="s">
        <v>48</v>
      </c>
      <c r="B9" s="5">
        <v>11</v>
      </c>
      <c r="C9" s="5">
        <v>8</v>
      </c>
      <c r="D9" s="5">
        <v>12</v>
      </c>
      <c r="E9" s="5">
        <v>11</v>
      </c>
      <c r="F9" s="5">
        <v>9</v>
      </c>
      <c r="G9" s="5">
        <v>6</v>
      </c>
      <c r="H9" s="5">
        <v>6</v>
      </c>
      <c r="S9" s="51">
        <f>AVERAGE(B9:R9)</f>
        <v>9</v>
      </c>
      <c r="T9" s="5">
        <f>MINA(B9:R9)</f>
        <v>6</v>
      </c>
      <c r="U9" s="5">
        <f>MAXA(B9:R9)</f>
        <v>12</v>
      </c>
      <c r="V9" s="5">
        <f>U9-T9</f>
        <v>6</v>
      </c>
      <c r="W9" s="5" t="str">
        <f>IF(X9&lt;0,CONCATENATE(A9," (-",ABS(X9),"), "),IF(X9=0,CONCATENATE(A9,", "),CONCATENATE(A9," (+",ABS(X9),"), ")))</f>
        <v xml:space="preserve">Chicago Bears, </v>
      </c>
      <c r="X9" s="5">
        <f>G9-H9</f>
        <v>0</v>
      </c>
      <c r="Y9" s="5">
        <f>G9-B9</f>
        <v>-5</v>
      </c>
    </row>
    <row r="10" spans="1:25" s="5" customFormat="1" ht="14.1" customHeight="1" x14ac:dyDescent="0.15">
      <c r="A10" s="5" t="s">
        <v>88</v>
      </c>
      <c r="B10" s="5">
        <v>7</v>
      </c>
      <c r="C10" s="5">
        <v>12</v>
      </c>
      <c r="D10" s="5">
        <v>7</v>
      </c>
      <c r="E10" s="5">
        <v>9</v>
      </c>
      <c r="F10" s="5">
        <v>7</v>
      </c>
      <c r="G10" s="5">
        <v>11</v>
      </c>
      <c r="H10" s="5">
        <v>13</v>
      </c>
      <c r="S10" s="51">
        <f>AVERAGE(B10:R10)</f>
        <v>9.4285714285714288</v>
      </c>
      <c r="T10" s="5">
        <f>MINA(B10:R10)</f>
        <v>7</v>
      </c>
      <c r="U10" s="5">
        <f>MAXA(B10:R10)</f>
        <v>13</v>
      </c>
      <c r="V10" s="5">
        <f>U10-T10</f>
        <v>6</v>
      </c>
      <c r="W10" s="5" t="str">
        <f>IF(X10&lt;0,CONCATENATE(A10," (-",ABS(X10),"), "),IF(X10=0,CONCATENATE(A10,", "),CONCATENATE(A10," (+",ABS(X10),"), ")))</f>
        <v xml:space="preserve">Philadelphia Eagles (-2), </v>
      </c>
      <c r="X10" s="5">
        <f>G10-H10</f>
        <v>-2</v>
      </c>
      <c r="Y10" s="5">
        <f>G10-B10</f>
        <v>4</v>
      </c>
    </row>
    <row r="11" spans="1:25" s="5" customFormat="1" ht="14.1" customHeight="1" x14ac:dyDescent="0.15">
      <c r="A11" s="5" t="s">
        <v>34</v>
      </c>
      <c r="B11" s="5">
        <v>19</v>
      </c>
      <c r="C11" s="5">
        <v>20</v>
      </c>
      <c r="D11" s="5">
        <v>14</v>
      </c>
      <c r="E11" s="5">
        <v>5</v>
      </c>
      <c r="F11" s="5">
        <v>5</v>
      </c>
      <c r="G11" s="5">
        <v>9</v>
      </c>
      <c r="H11" s="5">
        <v>11</v>
      </c>
      <c r="S11" s="51">
        <f>AVERAGE(B11:R11)</f>
        <v>11.857142857142858</v>
      </c>
      <c r="T11" s="5">
        <f>MINA(B11:R11)</f>
        <v>5</v>
      </c>
      <c r="U11" s="5">
        <f>MAXA(B11:R11)</f>
        <v>20</v>
      </c>
      <c r="V11" s="5">
        <f>U11-T11</f>
        <v>15</v>
      </c>
      <c r="W11" s="5" t="str">
        <f>IF(X11&lt;0,CONCATENATE(A11," (-",ABS(X11),"), "),IF(X11=0,CONCATENATE(A11,", "),CONCATENATE(A11," (+",ABS(X11),"), ")))</f>
        <v xml:space="preserve">Arizona Cardinals (-2), </v>
      </c>
      <c r="X11" s="5">
        <f>G11-H11</f>
        <v>-2</v>
      </c>
      <c r="Y11" s="5">
        <f>G11-B11</f>
        <v>-10</v>
      </c>
    </row>
    <row r="12" spans="1:25" s="5" customFormat="1" ht="14.1" customHeight="1" x14ac:dyDescent="0.15">
      <c r="A12" s="5" t="s">
        <v>90</v>
      </c>
      <c r="B12" s="5">
        <v>8</v>
      </c>
      <c r="C12" s="5">
        <v>11</v>
      </c>
      <c r="D12" s="5">
        <v>9</v>
      </c>
      <c r="E12" s="5">
        <v>16</v>
      </c>
      <c r="F12" s="5">
        <v>16</v>
      </c>
      <c r="G12" s="5">
        <v>10</v>
      </c>
      <c r="H12" s="5">
        <v>14</v>
      </c>
      <c r="S12" s="51">
        <f>AVERAGE(B12:R12)</f>
        <v>12</v>
      </c>
      <c r="T12" s="5">
        <f>MINA(B12:R12)</f>
        <v>8</v>
      </c>
      <c r="U12" s="5">
        <f>MAXA(B12:R12)</f>
        <v>16</v>
      </c>
      <c r="V12" s="5">
        <f>U12-T12</f>
        <v>8</v>
      </c>
      <c r="W12" s="5" t="str">
        <f>IF(X12&lt;0,CONCATENATE(A12," (-",ABS(X12),"), "),IF(X12=0,CONCATENATE(A12,", "),CONCATENATE(A12," (+",ABS(X12),"), ")))</f>
        <v xml:space="preserve">Pittsburgh Steelers (-4), </v>
      </c>
      <c r="X12" s="5">
        <f>G12-H12</f>
        <v>-4</v>
      </c>
      <c r="Y12" s="5">
        <f>G12-B12</f>
        <v>2</v>
      </c>
    </row>
    <row r="13" spans="1:25" s="5" customFormat="1" ht="14.1" customHeight="1" x14ac:dyDescent="0.15">
      <c r="A13" s="5" t="s">
        <v>58</v>
      </c>
      <c r="B13" s="5">
        <v>10</v>
      </c>
      <c r="C13" s="5">
        <v>9</v>
      </c>
      <c r="D13" s="5">
        <v>10</v>
      </c>
      <c r="E13" s="5">
        <v>14</v>
      </c>
      <c r="F13" s="5">
        <v>13</v>
      </c>
      <c r="G13" s="5">
        <v>17</v>
      </c>
      <c r="H13" s="5">
        <v>12</v>
      </c>
      <c r="S13" s="51">
        <f>AVERAGE(B13:R13)</f>
        <v>12.142857142857142</v>
      </c>
      <c r="T13" s="5">
        <f>MINA(B13:R13)</f>
        <v>9</v>
      </c>
      <c r="U13" s="5">
        <f>MAXA(B13:R13)</f>
        <v>17</v>
      </c>
      <c r="V13" s="5">
        <f>U13-T13</f>
        <v>8</v>
      </c>
      <c r="W13" s="5" t="str">
        <f>IF(X13&lt;0,CONCATENATE(A13," (-",ABS(X13),"), "),IF(X13=0,CONCATENATE(A13,", "),CONCATENATE(A13," (+",ABS(X13),"), ")))</f>
        <v xml:space="preserve">Denver Broncos (+5), </v>
      </c>
      <c r="X13" s="5">
        <f>G13-H13</f>
        <v>5</v>
      </c>
      <c r="Y13" s="5">
        <f>G13-B13</f>
        <v>7</v>
      </c>
    </row>
    <row r="14" spans="1:25" s="5" customFormat="1" ht="14.1" customHeight="1" x14ac:dyDescent="0.15">
      <c r="A14" s="5" t="s">
        <v>92</v>
      </c>
      <c r="B14" s="5">
        <v>15</v>
      </c>
      <c r="C14" s="5">
        <v>14</v>
      </c>
      <c r="D14" s="5">
        <v>11</v>
      </c>
      <c r="E14" s="5">
        <v>13</v>
      </c>
      <c r="F14" s="5">
        <v>11</v>
      </c>
      <c r="G14" s="5">
        <v>14</v>
      </c>
      <c r="H14" s="5">
        <v>16</v>
      </c>
      <c r="S14" s="51">
        <f>AVERAGE(B14:R14)</f>
        <v>13.428571428571429</v>
      </c>
      <c r="T14" s="5">
        <f>MINA(B14:R14)</f>
        <v>11</v>
      </c>
      <c r="U14" s="5">
        <f>MAXA(B14:R14)</f>
        <v>16</v>
      </c>
      <c r="V14" s="5">
        <f>U14-T14</f>
        <v>5</v>
      </c>
      <c r="W14" s="5" t="str">
        <f>IF(X14&lt;0,CONCATENATE(A14," (-",ABS(X14),"), "),IF(X14=0,CONCATENATE(A14,", "),CONCATENATE(A14," (+",ABS(X14),"), ")))</f>
        <v xml:space="preserve">San Diego Chargers (-2), </v>
      </c>
      <c r="X14" s="5">
        <f>G14-H14</f>
        <v>-2</v>
      </c>
      <c r="Y14" s="5">
        <f>G14-B14</f>
        <v>-1</v>
      </c>
    </row>
    <row r="15" spans="1:25" s="5" customFormat="1" ht="14.1" customHeight="1" x14ac:dyDescent="0.15">
      <c r="A15" s="5" t="s">
        <v>55</v>
      </c>
      <c r="B15" s="5">
        <v>14</v>
      </c>
      <c r="C15" s="5">
        <v>10</v>
      </c>
      <c r="D15" s="5">
        <v>15</v>
      </c>
      <c r="E15" s="5">
        <v>12</v>
      </c>
      <c r="F15" s="5">
        <v>15</v>
      </c>
      <c r="G15" s="5">
        <v>13</v>
      </c>
      <c r="H15" s="5">
        <v>18</v>
      </c>
      <c r="S15" s="51">
        <f>AVERAGE(B15:R15)</f>
        <v>13.857142857142858</v>
      </c>
      <c r="T15" s="5">
        <f>MINA(B15:R15)</f>
        <v>10</v>
      </c>
      <c r="U15" s="5">
        <f>MAXA(B15:R15)</f>
        <v>18</v>
      </c>
      <c r="V15" s="5">
        <f>U15-T15</f>
        <v>8</v>
      </c>
      <c r="W15" s="5" t="str">
        <f>IF(X15&lt;0,CONCATENATE(A15," (-",ABS(X15),"), "),IF(X15=0,CONCATENATE(A15,", "),CONCATENATE(A15," (+",ABS(X15),"), ")))</f>
        <v xml:space="preserve">Dallas Cowboys (-5), </v>
      </c>
      <c r="X15" s="5">
        <f>G15-H15</f>
        <v>-5</v>
      </c>
      <c r="Y15" s="5">
        <f>G15-B15</f>
        <v>-1</v>
      </c>
    </row>
    <row r="16" spans="1:25" s="5" customFormat="1" ht="14.1" customHeight="1" x14ac:dyDescent="0.15">
      <c r="A16" s="5" t="s">
        <v>61</v>
      </c>
      <c r="B16" s="5">
        <v>9</v>
      </c>
      <c r="C16" s="5">
        <v>13</v>
      </c>
      <c r="D16" s="5">
        <v>13</v>
      </c>
      <c r="E16" s="5">
        <v>18</v>
      </c>
      <c r="F16" s="5">
        <v>20</v>
      </c>
      <c r="G16" s="5">
        <v>20</v>
      </c>
      <c r="H16" s="5">
        <v>19</v>
      </c>
      <c r="S16" s="51">
        <f>AVERAGE(B16:R16)</f>
        <v>16</v>
      </c>
      <c r="T16" s="5">
        <f>MINA(B16:R16)</f>
        <v>9</v>
      </c>
      <c r="U16" s="5">
        <f>MAXA(B16:R16)</f>
        <v>20</v>
      </c>
      <c r="V16" s="5">
        <f>U16-T16</f>
        <v>11</v>
      </c>
      <c r="W16" s="5" t="str">
        <f>IF(X16&lt;0,CONCATENATE(A16," (-",ABS(X16),"), "),IF(X16=0,CONCATENATE(A16,", "),CONCATENATE(A16," (+",ABS(X16),"), ")))</f>
        <v xml:space="preserve">Detroit Lions (+1), </v>
      </c>
      <c r="X16" s="5">
        <f>G16-H16</f>
        <v>1</v>
      </c>
      <c r="Y16" s="5">
        <f>G16-B16</f>
        <v>11</v>
      </c>
    </row>
    <row r="17" spans="1:25" s="5" customFormat="1" ht="14.1" customHeight="1" x14ac:dyDescent="0.15">
      <c r="A17" s="5" t="s">
        <v>51</v>
      </c>
      <c r="B17" s="5">
        <v>16</v>
      </c>
      <c r="C17" s="5">
        <v>18</v>
      </c>
      <c r="D17" s="5">
        <v>16</v>
      </c>
      <c r="E17" s="5">
        <v>15</v>
      </c>
      <c r="F17" s="5">
        <v>12</v>
      </c>
      <c r="G17" s="5">
        <v>15</v>
      </c>
      <c r="H17" s="5">
        <v>21</v>
      </c>
      <c r="S17" s="51">
        <f>AVERAGE(B17:R17)</f>
        <v>16.142857142857142</v>
      </c>
      <c r="T17" s="5">
        <f>MINA(B17:R17)</f>
        <v>12</v>
      </c>
      <c r="U17" s="5">
        <f>MAXA(B17:R17)</f>
        <v>21</v>
      </c>
      <c r="V17" s="5">
        <f>U17-T17</f>
        <v>9</v>
      </c>
      <c r="W17" s="5" t="str">
        <f>IF(X17&lt;0,CONCATENATE(A17," (-",ABS(X17),"), "),IF(X17=0,CONCATENATE(A17,", "),CONCATENATE(A17," (+",ABS(X17),"), ")))</f>
        <v xml:space="preserve">Cincinnati Bengals (-6), </v>
      </c>
      <c r="X17" s="5">
        <f>G17-H17</f>
        <v>-6</v>
      </c>
      <c r="Y17" s="5">
        <f>G17-B17</f>
        <v>-1</v>
      </c>
    </row>
    <row r="18" spans="1:25" s="5" customFormat="1" ht="14.1" customHeight="1" x14ac:dyDescent="0.15">
      <c r="A18" s="5" t="s">
        <v>96</v>
      </c>
      <c r="B18" s="5">
        <v>22</v>
      </c>
      <c r="C18" s="5">
        <v>26</v>
      </c>
      <c r="D18" s="5">
        <v>17</v>
      </c>
      <c r="E18" s="5">
        <v>10</v>
      </c>
      <c r="F18" s="5">
        <v>17</v>
      </c>
      <c r="G18" s="5">
        <v>16</v>
      </c>
      <c r="H18" s="5">
        <v>9</v>
      </c>
      <c r="S18" s="51">
        <f>AVERAGE(B18:R18)</f>
        <v>16.714285714285715</v>
      </c>
      <c r="T18" s="5">
        <f>MINA(B18:R18)</f>
        <v>9</v>
      </c>
      <c r="U18" s="5">
        <f>MAXA(B18:R18)</f>
        <v>26</v>
      </c>
      <c r="V18" s="5">
        <f>U18-T18</f>
        <v>17</v>
      </c>
      <c r="W18" s="5" t="str">
        <f>IF(X18&lt;0,CONCATENATE(A18," (-",ABS(X18),"), "),IF(X18=0,CONCATENATE(A18,", "),CONCATENATE(A18," (+",ABS(X18),"), ")))</f>
        <v xml:space="preserve">Seattle Seahawks (+7), </v>
      </c>
      <c r="X18" s="5">
        <f>G18-H18</f>
        <v>7</v>
      </c>
      <c r="Y18" s="5">
        <f>G18-B18</f>
        <v>-6</v>
      </c>
    </row>
    <row r="19" spans="1:25" s="5" customFormat="1" ht="14.1" customHeight="1" x14ac:dyDescent="0.15">
      <c r="A19" s="5" t="s">
        <v>104</v>
      </c>
      <c r="B19" s="5">
        <v>25</v>
      </c>
      <c r="C19" s="5">
        <v>15</v>
      </c>
      <c r="D19" s="5">
        <v>20</v>
      </c>
      <c r="E19" s="5">
        <v>22</v>
      </c>
      <c r="F19" s="5">
        <v>18</v>
      </c>
      <c r="G19" s="5">
        <v>21</v>
      </c>
      <c r="H19" s="5">
        <v>15</v>
      </c>
      <c r="S19" s="51">
        <f>AVERAGE(B19:R19)</f>
        <v>19.428571428571427</v>
      </c>
      <c r="T19" s="5">
        <f>MINA(B19:R19)</f>
        <v>15</v>
      </c>
      <c r="U19" s="5">
        <f>MAXA(B19:R19)</f>
        <v>25</v>
      </c>
      <c r="V19" s="5">
        <f>U19-T19</f>
        <v>10</v>
      </c>
      <c r="W19" s="5" t="str">
        <f>IF(X19&lt;0,CONCATENATE(A19," (-",ABS(X19),"), "),IF(X19=0,CONCATENATE(A19,", "),CONCATENATE(A19," (+",ABS(X19),"), ")))</f>
        <v xml:space="preserve">Washington Redskins (+6), </v>
      </c>
      <c r="X19" s="5">
        <f>G19-H19</f>
        <v>6</v>
      </c>
      <c r="Y19" s="5">
        <f>G19-B19</f>
        <v>-4</v>
      </c>
    </row>
    <row r="20" spans="1:25" s="5" customFormat="1" ht="14.1" customHeight="1" x14ac:dyDescent="0.15">
      <c r="A20" s="5" t="s">
        <v>76</v>
      </c>
      <c r="B20" s="5">
        <v>31</v>
      </c>
      <c r="C20" s="5">
        <v>28</v>
      </c>
      <c r="D20" s="5">
        <v>29</v>
      </c>
      <c r="E20" s="5">
        <v>21</v>
      </c>
      <c r="F20" s="5">
        <v>14</v>
      </c>
      <c r="G20" s="5">
        <v>8</v>
      </c>
      <c r="H20" s="5">
        <v>10</v>
      </c>
      <c r="S20" s="51">
        <f>AVERAGE(B20:R20)</f>
        <v>20.142857142857142</v>
      </c>
      <c r="T20" s="5">
        <f>MINA(B20:R20)</f>
        <v>8</v>
      </c>
      <c r="U20" s="5">
        <f>MAXA(B20:R20)</f>
        <v>31</v>
      </c>
      <c r="V20" s="5">
        <f>U20-T20</f>
        <v>23</v>
      </c>
      <c r="W20" s="5" t="str">
        <f>IF(X20&lt;0,CONCATENATE(A20," (-",ABS(X20),"), "),IF(X20=0,CONCATENATE(A20,", "),CONCATENATE(A20," (+",ABS(X20),"), ")))</f>
        <v xml:space="preserve">Minnesota Vikings (-2), </v>
      </c>
      <c r="X20" s="5">
        <f>G20-H20</f>
        <v>-2</v>
      </c>
      <c r="Y20" s="5">
        <f>G20-B20</f>
        <v>-23</v>
      </c>
    </row>
    <row r="21" spans="1:25" s="5" customFormat="1" ht="14.1" customHeight="1" x14ac:dyDescent="0.15">
      <c r="A21" s="5" t="s">
        <v>84</v>
      </c>
      <c r="B21" s="5">
        <v>20</v>
      </c>
      <c r="C21" s="5">
        <v>17</v>
      </c>
      <c r="D21" s="5">
        <v>18</v>
      </c>
      <c r="E21" s="5">
        <v>17</v>
      </c>
      <c r="F21" s="5">
        <v>23</v>
      </c>
      <c r="G21" s="5">
        <v>25</v>
      </c>
      <c r="H21" s="5">
        <v>23</v>
      </c>
      <c r="S21" s="51">
        <f>AVERAGE(B21:R21)</f>
        <v>20.428571428571427</v>
      </c>
      <c r="T21" s="5">
        <f>MINA(B21:R21)</f>
        <v>17</v>
      </c>
      <c r="U21" s="5">
        <f>MAXA(B21:R21)</f>
        <v>25</v>
      </c>
      <c r="V21" s="5">
        <f>U21-T21</f>
        <v>8</v>
      </c>
      <c r="W21" s="5" t="str">
        <f>IF(X21&lt;0,CONCATENATE(A21," (-",ABS(X21),"), "),IF(X21=0,CONCATENATE(A21,", "),CONCATENATE(A21," (+",ABS(X21),"), ")))</f>
        <v xml:space="preserve">New York Jets (+2), </v>
      </c>
      <c r="X21" s="5">
        <f>G21-H21</f>
        <v>2</v>
      </c>
      <c r="Y21" s="5">
        <f>G21-B21</f>
        <v>5</v>
      </c>
    </row>
    <row r="22" spans="1:25" s="5" customFormat="1" ht="14.1" customHeight="1" x14ac:dyDescent="0.15">
      <c r="A22" s="5" t="s">
        <v>100</v>
      </c>
      <c r="B22" s="5">
        <v>24</v>
      </c>
      <c r="C22" s="5">
        <v>21</v>
      </c>
      <c r="D22" s="5">
        <v>21</v>
      </c>
      <c r="E22" s="5">
        <v>20</v>
      </c>
      <c r="F22" s="5">
        <v>22</v>
      </c>
      <c r="G22" s="5">
        <v>23</v>
      </c>
      <c r="H22" s="5">
        <v>22</v>
      </c>
      <c r="S22" s="51">
        <f>AVERAGE(B22:R22)</f>
        <v>21.857142857142858</v>
      </c>
      <c r="T22" s="5">
        <f>MINA(B22:R22)</f>
        <v>20</v>
      </c>
      <c r="U22" s="5">
        <f>MAXA(B22:R22)</f>
        <v>24</v>
      </c>
      <c r="V22" s="5">
        <f>U22-T22</f>
        <v>4</v>
      </c>
      <c r="W22" s="5" t="str">
        <f>IF(X22&lt;0,CONCATENATE(A22," (-",ABS(X22),"), "),IF(X22=0,CONCATENATE(A22,", "),CONCATENATE(A22," (+",ABS(X22),"), ")))</f>
        <v xml:space="preserve">Tampa Bay Bucs (+1), </v>
      </c>
      <c r="X22" s="5">
        <f>G22-H22</f>
        <v>1</v>
      </c>
      <c r="Y22" s="5">
        <f>G22-B22</f>
        <v>-1</v>
      </c>
    </row>
    <row r="23" spans="1:25" s="5" customFormat="1" ht="14.1" customHeight="1" x14ac:dyDescent="0.15">
      <c r="A23" s="5" t="s">
        <v>80</v>
      </c>
      <c r="B23" s="5">
        <v>13</v>
      </c>
      <c r="C23" s="5">
        <v>16</v>
      </c>
      <c r="D23" s="5">
        <v>24</v>
      </c>
      <c r="E23" s="5">
        <v>28</v>
      </c>
      <c r="F23" s="5">
        <v>28</v>
      </c>
      <c r="G23" s="5">
        <v>24</v>
      </c>
      <c r="H23" s="5">
        <v>24</v>
      </c>
      <c r="S23" s="51">
        <f>AVERAGE(B23:R23)</f>
        <v>22.428571428571427</v>
      </c>
      <c r="T23" s="5">
        <f>MINA(B23:R23)</f>
        <v>13</v>
      </c>
      <c r="U23" s="5">
        <f>MAXA(B23:R23)</f>
        <v>28</v>
      </c>
      <c r="V23" s="5">
        <f>U23-T23</f>
        <v>15</v>
      </c>
      <c r="W23" s="5" t="str">
        <f>IF(X23&lt;0,CONCATENATE(A23," (-",ABS(X23),"), "),IF(X23=0,CONCATENATE(A23,", "),CONCATENATE(A23," (+",ABS(X23),"), ")))</f>
        <v xml:space="preserve">New Orleans Saints, </v>
      </c>
      <c r="X23" s="5">
        <f>G23-H23</f>
        <v>0</v>
      </c>
      <c r="Y23" s="5">
        <f>G23-B23</f>
        <v>11</v>
      </c>
    </row>
    <row r="24" spans="1:25" s="5" customFormat="1" ht="14.1" customHeight="1" x14ac:dyDescent="0.15">
      <c r="A24" s="5" t="s">
        <v>43</v>
      </c>
      <c r="B24" s="5">
        <v>23</v>
      </c>
      <c r="C24" s="5">
        <v>24</v>
      </c>
      <c r="D24" s="5">
        <v>22</v>
      </c>
      <c r="E24" s="5">
        <v>19</v>
      </c>
      <c r="F24" s="5">
        <v>21</v>
      </c>
      <c r="G24" s="5">
        <v>27</v>
      </c>
      <c r="H24" s="5">
        <v>25</v>
      </c>
      <c r="S24" s="51">
        <f>AVERAGE(B24:R24)</f>
        <v>23</v>
      </c>
      <c r="T24" s="5">
        <f>MINA(B24:R24)</f>
        <v>19</v>
      </c>
      <c r="U24" s="5">
        <f>MAXA(B24:R24)</f>
        <v>27</v>
      </c>
      <c r="V24" s="5">
        <f>U24-T24</f>
        <v>8</v>
      </c>
      <c r="W24" s="5" t="str">
        <f>IF(X24&lt;0,CONCATENATE(A24," (-",ABS(X24),"), "),IF(X24=0,CONCATENATE(A24,", "),CONCATENATE(A24," (+",ABS(X24),"), ")))</f>
        <v xml:space="preserve">Buffalo Bills (+2), </v>
      </c>
      <c r="X24" s="5">
        <f>G24-H24</f>
        <v>2</v>
      </c>
      <c r="Y24" s="5">
        <f>G24-B24</f>
        <v>4</v>
      </c>
    </row>
    <row r="25" spans="1:25" s="5" customFormat="1" ht="14.1" customHeight="1" x14ac:dyDescent="0.15">
      <c r="A25" s="5" t="s">
        <v>98</v>
      </c>
      <c r="B25" s="5">
        <v>29</v>
      </c>
      <c r="C25" s="5">
        <v>27</v>
      </c>
      <c r="D25" s="5">
        <v>23</v>
      </c>
      <c r="E25" s="5">
        <v>25</v>
      </c>
      <c r="F25" s="5">
        <v>19</v>
      </c>
      <c r="G25" s="5">
        <v>18</v>
      </c>
      <c r="H25" s="5">
        <v>20</v>
      </c>
      <c r="S25" s="51">
        <f>AVERAGE(B25:R25)</f>
        <v>23</v>
      </c>
      <c r="T25" s="5">
        <f>MINA(B25:R25)</f>
        <v>18</v>
      </c>
      <c r="U25" s="5">
        <f>MAXA(B25:R25)</f>
        <v>29</v>
      </c>
      <c r="V25" s="5">
        <f>U25-T25</f>
        <v>11</v>
      </c>
      <c r="W25" s="5" t="str">
        <f>IF(X25&lt;0,CONCATENATE(A25," (-",ABS(X25),"), "),IF(X25=0,CONCATENATE(A25,", "),CONCATENATE(A25," (+",ABS(X25),"), ")))</f>
        <v xml:space="preserve">St. Louis Rams (-2), </v>
      </c>
      <c r="X25" s="5">
        <f>G25-H25</f>
        <v>-2</v>
      </c>
      <c r="Y25" s="5">
        <f>G25-B25</f>
        <v>-11</v>
      </c>
    </row>
    <row r="26" spans="1:25" s="5" customFormat="1" ht="14.1" customHeight="1" x14ac:dyDescent="0.15">
      <c r="A26" s="5" t="s">
        <v>46</v>
      </c>
      <c r="B26" s="5">
        <v>21</v>
      </c>
      <c r="C26" s="5">
        <v>23</v>
      </c>
      <c r="D26" s="5">
        <v>19</v>
      </c>
      <c r="E26" s="5">
        <v>23</v>
      </c>
      <c r="F26" s="5">
        <v>24</v>
      </c>
      <c r="G26" s="5">
        <v>26</v>
      </c>
      <c r="H26" s="5">
        <v>28</v>
      </c>
      <c r="S26" s="51">
        <f>AVERAGE(B26:R26)</f>
        <v>23.428571428571427</v>
      </c>
      <c r="T26" s="5">
        <f>MINA(B26:R26)</f>
        <v>19</v>
      </c>
      <c r="U26" s="5">
        <f>MAXA(B26:R26)</f>
        <v>28</v>
      </c>
      <c r="V26" s="5">
        <f>U26-T26</f>
        <v>9</v>
      </c>
      <c r="W26" s="5" t="str">
        <f>IF(X26&lt;0,CONCATENATE(A26," (-",ABS(X26),"), "),IF(X26=0,CONCATENATE(A26,", "),CONCATENATE(A26," (+",ABS(X26),"), ")))</f>
        <v xml:space="preserve">Carolina Panthers (-2), </v>
      </c>
      <c r="X26" s="5">
        <f>G26-H26</f>
        <v>-2</v>
      </c>
      <c r="Y26" s="5">
        <f>G26-B26</f>
        <v>5</v>
      </c>
    </row>
    <row r="27" spans="1:25" s="5" customFormat="1" ht="14.1" customHeight="1" x14ac:dyDescent="0.15">
      <c r="A27" s="5" t="s">
        <v>102</v>
      </c>
      <c r="B27" s="5">
        <v>18</v>
      </c>
      <c r="C27" s="5">
        <v>22</v>
      </c>
      <c r="D27" s="5">
        <v>26</v>
      </c>
      <c r="E27" s="5">
        <v>24</v>
      </c>
      <c r="F27" s="5">
        <v>25</v>
      </c>
      <c r="G27" s="5">
        <v>28</v>
      </c>
      <c r="H27" s="5">
        <v>27</v>
      </c>
      <c r="S27" s="51">
        <f>AVERAGE(B27:R27)</f>
        <v>24.285714285714285</v>
      </c>
      <c r="T27" s="5">
        <f>MINA(B27:R27)</f>
        <v>18</v>
      </c>
      <c r="U27" s="5">
        <f>MAXA(B27:R27)</f>
        <v>28</v>
      </c>
      <c r="V27" s="5">
        <f>U27-T27</f>
        <v>10</v>
      </c>
      <c r="W27" s="5" t="str">
        <f>IF(X27&lt;0,CONCATENATE(A27," (-",ABS(X27),"), "),IF(X27=0,CONCATENATE(A27,", "),CONCATENATE(A27," (+",ABS(X27),"), ")))</f>
        <v xml:space="preserve">Tennessee Titans (+1), </v>
      </c>
      <c r="X27" s="5">
        <f>G27-H27</f>
        <v>1</v>
      </c>
      <c r="Y27" s="5">
        <f>G27-B27</f>
        <v>10</v>
      </c>
    </row>
    <row r="28" spans="1:25" s="5" customFormat="1" ht="14.1" customHeight="1" x14ac:dyDescent="0.15">
      <c r="A28" s="5" t="s">
        <v>74</v>
      </c>
      <c r="B28" s="5">
        <v>27</v>
      </c>
      <c r="C28" s="5">
        <v>30</v>
      </c>
      <c r="D28" s="5">
        <v>25</v>
      </c>
      <c r="E28" s="5">
        <v>29</v>
      </c>
      <c r="F28" s="5">
        <v>26</v>
      </c>
      <c r="G28" s="5">
        <v>19</v>
      </c>
      <c r="H28" s="5">
        <v>17</v>
      </c>
      <c r="S28" s="51">
        <f>AVERAGE(B28:R28)</f>
        <v>24.714285714285715</v>
      </c>
      <c r="T28" s="5">
        <f>MINA(B28:R28)</f>
        <v>17</v>
      </c>
      <c r="U28" s="5">
        <f>MAXA(B28:R28)</f>
        <v>30</v>
      </c>
      <c r="V28" s="5">
        <f>U28-T28</f>
        <v>13</v>
      </c>
      <c r="W28" s="5" t="str">
        <f>IF(X28&lt;0,CONCATENATE(A28," (-",ABS(X28),"), "),IF(X28=0,CONCATENATE(A28,", "),CONCATENATE(A28," (+",ABS(X28),"), ")))</f>
        <v xml:space="preserve">Miami Dolphins (+2), </v>
      </c>
      <c r="X28" s="5">
        <f>G28-H28</f>
        <v>2</v>
      </c>
      <c r="Y28" s="5">
        <f>G28-B28</f>
        <v>-8</v>
      </c>
    </row>
    <row r="29" spans="1:25" s="5" customFormat="1" ht="14.1" customHeight="1" x14ac:dyDescent="0.15">
      <c r="A29" s="5" t="s">
        <v>72</v>
      </c>
      <c r="B29" s="5">
        <v>17</v>
      </c>
      <c r="C29" s="5">
        <v>19</v>
      </c>
      <c r="D29" s="5">
        <v>28</v>
      </c>
      <c r="E29" s="5">
        <v>26</v>
      </c>
      <c r="F29" s="5">
        <v>27</v>
      </c>
      <c r="G29" s="5">
        <v>30</v>
      </c>
      <c r="H29" s="5">
        <v>32</v>
      </c>
      <c r="S29" s="51">
        <f>AVERAGE(B29:R29)</f>
        <v>25.571428571428573</v>
      </c>
      <c r="T29" s="5">
        <f>MINA(B29:R29)</f>
        <v>17</v>
      </c>
      <c r="U29" s="5">
        <f>MAXA(B29:R29)</f>
        <v>32</v>
      </c>
      <c r="V29" s="5">
        <f>U29-T29</f>
        <v>15</v>
      </c>
      <c r="W29" s="5" t="str">
        <f>IF(X29&lt;0,CONCATENATE(A29," (-",ABS(X29),"), "),IF(X29=0,CONCATENATE(A29,", "),CONCATENATE(A29," (+",ABS(X29),"), ")))</f>
        <v xml:space="preserve">Kansas City Chiefs (-2), </v>
      </c>
      <c r="X29" s="5">
        <f>G29-H29</f>
        <v>-2</v>
      </c>
      <c r="Y29" s="5">
        <f>G29-B29</f>
        <v>13</v>
      </c>
    </row>
    <row r="30" spans="1:25" s="5" customFormat="1" ht="14.1" customHeight="1" x14ac:dyDescent="0.15">
      <c r="A30" s="5" t="s">
        <v>86</v>
      </c>
      <c r="B30" s="5">
        <v>26</v>
      </c>
      <c r="C30" s="5">
        <v>25</v>
      </c>
      <c r="D30" s="5">
        <v>30</v>
      </c>
      <c r="E30" s="5">
        <v>27</v>
      </c>
      <c r="F30" s="5">
        <v>29</v>
      </c>
      <c r="G30" s="5">
        <v>29</v>
      </c>
      <c r="H30" s="5">
        <v>29</v>
      </c>
      <c r="S30" s="51">
        <f>AVERAGE(B30:R30)</f>
        <v>27.857142857142858</v>
      </c>
      <c r="T30" s="5">
        <f>MINA(B30:R30)</f>
        <v>25</v>
      </c>
      <c r="U30" s="5">
        <f>MAXA(B30:R30)</f>
        <v>30</v>
      </c>
      <c r="V30" s="5">
        <f>U30-T30</f>
        <v>5</v>
      </c>
      <c r="W30" s="5" t="str">
        <f>IF(X30&lt;0,CONCATENATE(A30," (-",ABS(X30),"), "),IF(X30=0,CONCATENATE(A30,", "),CONCATENATE(A30," (+",ABS(X30),"), ")))</f>
        <v xml:space="preserve">Oakland Raiders, </v>
      </c>
      <c r="X30" s="5">
        <f>G30-H30</f>
        <v>0</v>
      </c>
      <c r="Y30" s="5">
        <f>G30-B30</f>
        <v>3</v>
      </c>
    </row>
    <row r="31" spans="1:25" s="5" customFormat="1" ht="14.1" customHeight="1" x14ac:dyDescent="0.15">
      <c r="A31" s="5" t="s">
        <v>68</v>
      </c>
      <c r="B31" s="5">
        <v>32</v>
      </c>
      <c r="C31" s="5">
        <v>32</v>
      </c>
      <c r="D31" s="5">
        <v>27</v>
      </c>
      <c r="E31" s="5">
        <v>31</v>
      </c>
      <c r="F31" s="5">
        <v>31</v>
      </c>
      <c r="G31" s="5">
        <v>22</v>
      </c>
      <c r="H31" s="5">
        <v>26</v>
      </c>
      <c r="S31" s="51">
        <f>AVERAGE(B31:R31)</f>
        <v>28.714285714285715</v>
      </c>
      <c r="T31" s="5">
        <f>MINA(B31:R31)</f>
        <v>22</v>
      </c>
      <c r="U31" s="5">
        <f>MAXA(B31:R31)</f>
        <v>32</v>
      </c>
      <c r="V31" s="5">
        <f>U31-T31</f>
        <v>10</v>
      </c>
      <c r="W31" s="5" t="str">
        <f>IF(X31&lt;0,CONCATENATE(A31," (-",ABS(X31),"), "),IF(X31=0,CONCATENATE(A31,", "),CONCATENATE(A31," (+",ABS(X31),"), ")))</f>
        <v xml:space="preserve">Indianapolis Colts (-4), </v>
      </c>
      <c r="X31" s="5">
        <f>G31-H31</f>
        <v>-4</v>
      </c>
      <c r="Y31" s="5">
        <f>G31-B31</f>
        <v>-10</v>
      </c>
    </row>
    <row r="32" spans="1:25" s="5" customFormat="1" ht="14.1" customHeight="1" x14ac:dyDescent="0.15">
      <c r="A32" s="5" t="s">
        <v>70</v>
      </c>
      <c r="B32" s="5">
        <v>28</v>
      </c>
      <c r="C32" s="5">
        <v>29</v>
      </c>
      <c r="D32" s="5">
        <v>31</v>
      </c>
      <c r="E32" s="5">
        <v>30</v>
      </c>
      <c r="F32" s="5">
        <v>30</v>
      </c>
      <c r="G32" s="5">
        <v>31</v>
      </c>
      <c r="H32" s="5">
        <v>31</v>
      </c>
      <c r="S32" s="51">
        <f>AVERAGE(B32:R32)</f>
        <v>30</v>
      </c>
      <c r="T32" s="5">
        <f>MINA(B32:R32)</f>
        <v>28</v>
      </c>
      <c r="U32" s="5">
        <f>MAXA(B32:R32)</f>
        <v>31</v>
      </c>
      <c r="V32" s="5">
        <f>U32-T32</f>
        <v>3</v>
      </c>
      <c r="W32" s="5" t="str">
        <f>IF(X32&lt;0,CONCATENATE(A32," (-",ABS(X32),"), "),IF(X32=0,CONCATENATE(A32,", "),CONCATENATE(A32," (+",ABS(X32),"), ")))</f>
        <v xml:space="preserve">Jacksonville Jaguars, </v>
      </c>
      <c r="X32" s="5">
        <f>G32-H32</f>
        <v>0</v>
      </c>
      <c r="Y32" s="5">
        <f>G32-B32</f>
        <v>3</v>
      </c>
    </row>
    <row r="33" spans="1:25" s="5" customFormat="1" ht="14.1" customHeight="1" x14ac:dyDescent="0.15">
      <c r="A33" s="5" t="s">
        <v>53</v>
      </c>
      <c r="B33" s="5">
        <v>30</v>
      </c>
      <c r="C33" s="5">
        <v>31</v>
      </c>
      <c r="D33" s="5">
        <v>32</v>
      </c>
      <c r="E33" s="5">
        <v>32</v>
      </c>
      <c r="F33" s="5">
        <v>32</v>
      </c>
      <c r="G33" s="5">
        <v>32</v>
      </c>
      <c r="H33" s="5">
        <v>30</v>
      </c>
      <c r="S33" s="51">
        <f>AVERAGE(B33:R33)</f>
        <v>31.285714285714285</v>
      </c>
      <c r="T33" s="5">
        <f>MINA(B33:R33)</f>
        <v>30</v>
      </c>
      <c r="U33" s="5">
        <f>MAXA(B33:R33)</f>
        <v>32</v>
      </c>
      <c r="V33" s="5">
        <f>U33-T33</f>
        <v>2</v>
      </c>
      <c r="W33" s="5" t="str">
        <f>IF(X33&lt;0,CONCATENATE(A33," (-",ABS(X33),"), "),IF(X33=0,CONCATENATE(A33,", "),CONCATENATE(A33," (+",ABS(X33),"), ")))</f>
        <v xml:space="preserve">Cleveland Browns (+2), </v>
      </c>
      <c r="X33" s="5">
        <f>G33-H33</f>
        <v>2</v>
      </c>
      <c r="Y33" s="5">
        <f>G33-B33</f>
        <v>2</v>
      </c>
    </row>
    <row r="34" spans="1:25" x14ac:dyDescent="0.15">
      <c r="F34" s="5"/>
    </row>
  </sheetData>
  <autoFilter ref="A1:Y1">
    <sortState ref="A2:Y33">
      <sortCondition ref="S1"/>
    </sortState>
  </autoFilter>
  <conditionalFormatting sqref="F3:F34 O2:R33 B2:M2 B3:E33 G3:M33">
    <cfRule type="cellIs" dxfId="2" priority="3" operator="equal">
      <formula>1</formula>
    </cfRule>
  </conditionalFormatting>
  <conditionalFormatting sqref="N13">
    <cfRule type="cellIs" dxfId="1" priority="2" operator="equal">
      <formula>1</formula>
    </cfRule>
  </conditionalFormatting>
  <conditionalFormatting sqref="N2">
    <cfRule type="cellIs" dxfId="0" priority="1" operator="equal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E33"/>
  <sheetViews>
    <sheetView workbookViewId="0">
      <selection activeCell="AG2" sqref="AG2:AG33"/>
    </sheetView>
  </sheetViews>
  <sheetFormatPr defaultColWidth="20.33203125" defaultRowHeight="10.5" x14ac:dyDescent="0.15"/>
  <cols>
    <col min="1" max="1" width="20.33203125" style="5"/>
    <col min="2" max="9" width="14.83203125" style="5" customWidth="1"/>
    <col min="10" max="10" width="18.5" style="5" customWidth="1"/>
    <col min="255" max="262" width="14.83203125" customWidth="1"/>
    <col min="263" max="263" width="12.33203125" customWidth="1"/>
    <col min="511" max="518" width="14.83203125" customWidth="1"/>
    <col min="519" max="519" width="12.33203125" customWidth="1"/>
    <col min="767" max="774" width="14.83203125" customWidth="1"/>
    <col min="775" max="775" width="12.33203125" customWidth="1"/>
    <col min="1023" max="1030" width="14.83203125" customWidth="1"/>
    <col min="1031" max="1031" width="12.33203125" customWidth="1"/>
    <col min="1279" max="1286" width="14.83203125" customWidth="1"/>
    <col min="1287" max="1287" width="12.33203125" customWidth="1"/>
    <col min="1535" max="1542" width="14.83203125" customWidth="1"/>
    <col min="1543" max="1543" width="12.33203125" customWidth="1"/>
    <col min="1791" max="1798" width="14.83203125" customWidth="1"/>
    <col min="1799" max="1799" width="12.33203125" customWidth="1"/>
    <col min="2047" max="2054" width="14.83203125" customWidth="1"/>
    <col min="2055" max="2055" width="12.33203125" customWidth="1"/>
    <col min="2303" max="2310" width="14.83203125" customWidth="1"/>
    <col min="2311" max="2311" width="12.33203125" customWidth="1"/>
    <col min="2559" max="2566" width="14.83203125" customWidth="1"/>
    <col min="2567" max="2567" width="12.33203125" customWidth="1"/>
    <col min="2815" max="2822" width="14.83203125" customWidth="1"/>
    <col min="2823" max="2823" width="12.33203125" customWidth="1"/>
    <col min="3071" max="3078" width="14.83203125" customWidth="1"/>
    <col min="3079" max="3079" width="12.33203125" customWidth="1"/>
    <col min="3327" max="3334" width="14.83203125" customWidth="1"/>
    <col min="3335" max="3335" width="12.33203125" customWidth="1"/>
    <col min="3583" max="3590" width="14.83203125" customWidth="1"/>
    <col min="3591" max="3591" width="12.33203125" customWidth="1"/>
    <col min="3839" max="3846" width="14.83203125" customWidth="1"/>
    <col min="3847" max="3847" width="12.33203125" customWidth="1"/>
    <col min="4095" max="4102" width="14.83203125" customWidth="1"/>
    <col min="4103" max="4103" width="12.33203125" customWidth="1"/>
    <col min="4351" max="4358" width="14.83203125" customWidth="1"/>
    <col min="4359" max="4359" width="12.33203125" customWidth="1"/>
    <col min="4607" max="4614" width="14.83203125" customWidth="1"/>
    <col min="4615" max="4615" width="12.33203125" customWidth="1"/>
    <col min="4863" max="4870" width="14.83203125" customWidth="1"/>
    <col min="4871" max="4871" width="12.33203125" customWidth="1"/>
    <col min="5119" max="5126" width="14.83203125" customWidth="1"/>
    <col min="5127" max="5127" width="12.33203125" customWidth="1"/>
    <col min="5375" max="5382" width="14.83203125" customWidth="1"/>
    <col min="5383" max="5383" width="12.33203125" customWidth="1"/>
    <col min="5631" max="5638" width="14.83203125" customWidth="1"/>
    <col min="5639" max="5639" width="12.33203125" customWidth="1"/>
    <col min="5887" max="5894" width="14.83203125" customWidth="1"/>
    <col min="5895" max="5895" width="12.33203125" customWidth="1"/>
    <col min="6143" max="6150" width="14.83203125" customWidth="1"/>
    <col min="6151" max="6151" width="12.33203125" customWidth="1"/>
    <col min="6399" max="6406" width="14.83203125" customWidth="1"/>
    <col min="6407" max="6407" width="12.33203125" customWidth="1"/>
    <col min="6655" max="6662" width="14.83203125" customWidth="1"/>
    <col min="6663" max="6663" width="12.33203125" customWidth="1"/>
    <col min="6911" max="6918" width="14.83203125" customWidth="1"/>
    <col min="6919" max="6919" width="12.33203125" customWidth="1"/>
    <col min="7167" max="7174" width="14.83203125" customWidth="1"/>
    <col min="7175" max="7175" width="12.33203125" customWidth="1"/>
    <col min="7423" max="7430" width="14.83203125" customWidth="1"/>
    <col min="7431" max="7431" width="12.33203125" customWidth="1"/>
    <col min="7679" max="7686" width="14.83203125" customWidth="1"/>
    <col min="7687" max="7687" width="12.33203125" customWidth="1"/>
    <col min="7935" max="7942" width="14.83203125" customWidth="1"/>
    <col min="7943" max="7943" width="12.33203125" customWidth="1"/>
    <col min="8191" max="8198" width="14.83203125" customWidth="1"/>
    <col min="8199" max="8199" width="12.33203125" customWidth="1"/>
    <col min="8447" max="8454" width="14.83203125" customWidth="1"/>
    <col min="8455" max="8455" width="12.33203125" customWidth="1"/>
    <col min="8703" max="8710" width="14.83203125" customWidth="1"/>
    <col min="8711" max="8711" width="12.33203125" customWidth="1"/>
    <col min="8959" max="8966" width="14.83203125" customWidth="1"/>
    <col min="8967" max="8967" width="12.33203125" customWidth="1"/>
    <col min="9215" max="9222" width="14.83203125" customWidth="1"/>
    <col min="9223" max="9223" width="12.33203125" customWidth="1"/>
    <col min="9471" max="9478" width="14.83203125" customWidth="1"/>
    <col min="9479" max="9479" width="12.33203125" customWidth="1"/>
    <col min="9727" max="9734" width="14.83203125" customWidth="1"/>
    <col min="9735" max="9735" width="12.33203125" customWidth="1"/>
    <col min="9983" max="9990" width="14.83203125" customWidth="1"/>
    <col min="9991" max="9991" width="12.33203125" customWidth="1"/>
    <col min="10239" max="10246" width="14.83203125" customWidth="1"/>
    <col min="10247" max="10247" width="12.33203125" customWidth="1"/>
    <col min="10495" max="10502" width="14.83203125" customWidth="1"/>
    <col min="10503" max="10503" width="12.33203125" customWidth="1"/>
    <col min="10751" max="10758" width="14.83203125" customWidth="1"/>
    <col min="10759" max="10759" width="12.33203125" customWidth="1"/>
    <col min="11007" max="11014" width="14.83203125" customWidth="1"/>
    <col min="11015" max="11015" width="12.33203125" customWidth="1"/>
    <col min="11263" max="11270" width="14.83203125" customWidth="1"/>
    <col min="11271" max="11271" width="12.33203125" customWidth="1"/>
    <col min="11519" max="11526" width="14.83203125" customWidth="1"/>
    <col min="11527" max="11527" width="12.33203125" customWidth="1"/>
    <col min="11775" max="11782" width="14.83203125" customWidth="1"/>
    <col min="11783" max="11783" width="12.33203125" customWidth="1"/>
    <col min="12031" max="12038" width="14.83203125" customWidth="1"/>
    <col min="12039" max="12039" width="12.33203125" customWidth="1"/>
    <col min="12287" max="12294" width="14.83203125" customWidth="1"/>
    <col min="12295" max="12295" width="12.33203125" customWidth="1"/>
    <col min="12543" max="12550" width="14.83203125" customWidth="1"/>
    <col min="12551" max="12551" width="12.33203125" customWidth="1"/>
    <col min="12799" max="12806" width="14.83203125" customWidth="1"/>
    <col min="12807" max="12807" width="12.33203125" customWidth="1"/>
    <col min="13055" max="13062" width="14.83203125" customWidth="1"/>
    <col min="13063" max="13063" width="12.33203125" customWidth="1"/>
    <col min="13311" max="13318" width="14.83203125" customWidth="1"/>
    <col min="13319" max="13319" width="12.33203125" customWidth="1"/>
    <col min="13567" max="13574" width="14.83203125" customWidth="1"/>
    <col min="13575" max="13575" width="12.33203125" customWidth="1"/>
    <col min="13823" max="13830" width="14.83203125" customWidth="1"/>
    <col min="13831" max="13831" width="12.33203125" customWidth="1"/>
    <col min="14079" max="14086" width="14.83203125" customWidth="1"/>
    <col min="14087" max="14087" width="12.33203125" customWidth="1"/>
    <col min="14335" max="14342" width="14.83203125" customWidth="1"/>
    <col min="14343" max="14343" width="12.33203125" customWidth="1"/>
    <col min="14591" max="14598" width="14.83203125" customWidth="1"/>
    <col min="14599" max="14599" width="12.33203125" customWidth="1"/>
    <col min="14847" max="14854" width="14.83203125" customWidth="1"/>
    <col min="14855" max="14855" width="12.33203125" customWidth="1"/>
    <col min="15103" max="15110" width="14.83203125" customWidth="1"/>
    <col min="15111" max="15111" width="12.33203125" customWidth="1"/>
    <col min="15359" max="15366" width="14.83203125" customWidth="1"/>
    <col min="15367" max="15367" width="12.33203125" customWidth="1"/>
    <col min="15615" max="15622" width="14.83203125" customWidth="1"/>
    <col min="15623" max="15623" width="12.33203125" customWidth="1"/>
    <col min="15871" max="15878" width="14.83203125" customWidth="1"/>
    <col min="15879" max="15879" width="12.33203125" customWidth="1"/>
    <col min="16127" max="16134" width="14.83203125" customWidth="1"/>
    <col min="16135" max="16135" width="12.33203125" customWidth="1"/>
  </cols>
  <sheetData>
    <row r="1" spans="1:31" s="54" customFormat="1" ht="48" customHeight="1" x14ac:dyDescent="0.15">
      <c r="A1" s="52" t="s">
        <v>275</v>
      </c>
      <c r="B1" s="52" t="s">
        <v>45</v>
      </c>
      <c r="C1" s="52" t="s">
        <v>42</v>
      </c>
      <c r="D1" s="52" t="s">
        <v>67</v>
      </c>
      <c r="E1" s="52" t="s">
        <v>60</v>
      </c>
      <c r="F1" s="52" t="s">
        <v>57</v>
      </c>
      <c r="G1" s="52" t="s">
        <v>50</v>
      </c>
      <c r="H1" s="52" t="s">
        <v>39</v>
      </c>
      <c r="I1" s="52" t="s">
        <v>36</v>
      </c>
      <c r="J1" s="53" t="s">
        <v>276</v>
      </c>
    </row>
    <row r="2" spans="1:31" ht="18" customHeight="1" x14ac:dyDescent="0.15">
      <c r="A2" s="5" t="s">
        <v>277</v>
      </c>
      <c r="B2" s="5">
        <f>AVERAGEIFS(power!$G$2:$G$33,power!$P$2:$P$33,B$1)</f>
        <v>19</v>
      </c>
      <c r="C2" s="5">
        <f>AVERAGEIFS(power!$G$2:$G$33,power!$P$2:$P$33,C$1)</f>
        <v>15.75</v>
      </c>
      <c r="D2" s="5">
        <f>AVERAGEIFS(power!$G$2:$G$33,power!$P$2:$P$33,D$1)</f>
        <v>21.25</v>
      </c>
      <c r="E2" s="5">
        <f>AVERAGEIFS(power!$G$2:$G$33,power!$P$2:$P$33,E$1)</f>
        <v>22</v>
      </c>
      <c r="F2" s="5">
        <f>AVERAGEIFS(power!$G$2:$G$33,power!$P$2:$P$33,F$1)</f>
        <v>14</v>
      </c>
      <c r="G2" s="5">
        <f>AVERAGEIFS(power!$G$2:$G$33,power!$P$2:$P$33,G$1)</f>
        <v>10.25</v>
      </c>
      <c r="H2" s="5">
        <f>AVERAGEIFS(power!$G$2:$G$33,power!$P$2:$P$33,H$1)</f>
        <v>18.5</v>
      </c>
      <c r="I2" s="5">
        <f>AVERAGEIFS(power!$G$2:$G$33,power!$P$2:$P$33,I$1)</f>
        <v>11.25</v>
      </c>
      <c r="J2" s="5">
        <f>AVERAGE(B2:I2)</f>
        <v>16.5</v>
      </c>
      <c r="AE2">
        <f>AC2-AD2</f>
        <v>0</v>
      </c>
    </row>
    <row r="3" spans="1:31" ht="18" customHeight="1" x14ac:dyDescent="0.15">
      <c r="A3" s="5" t="s">
        <v>278</v>
      </c>
      <c r="B3" s="5">
        <f>AVERAGEIFS(power!$H$2:$H$33,power!$P$2:$P$33,B$1)</f>
        <v>18.25</v>
      </c>
      <c r="C3" s="5">
        <f>AVERAGEIFS(power!$H$2:$H$33,power!$P$2:$P$33,C$1)</f>
        <v>15</v>
      </c>
      <c r="D3" s="5">
        <f>AVERAGEIFS(power!$H$2:$H$33,power!$P$2:$P$33,D$1)</f>
        <v>21.25</v>
      </c>
      <c r="E3" s="5">
        <f>AVERAGEIFS(power!$H$2:$H$33,power!$P$2:$P$33,E$1)</f>
        <v>23.25</v>
      </c>
      <c r="F3" s="5">
        <f>AVERAGEIFS(power!$H$2:$H$33,power!$P$2:$P$33,F$1)</f>
        <v>13.5</v>
      </c>
      <c r="G3" s="5">
        <f>AVERAGEIFS(power!$H$2:$H$33,power!$P$2:$P$33,G$1)</f>
        <v>10.25</v>
      </c>
      <c r="H3" s="5">
        <f>AVERAGEIFS(power!$H$2:$H$33,power!$P$2:$P$33,H$1)</f>
        <v>19</v>
      </c>
      <c r="I3" s="5">
        <f>AVERAGEIFS(power!$H$2:$H$33,power!$P$2:$P$33,I$1)</f>
        <v>11.5</v>
      </c>
      <c r="J3" s="5">
        <f>AVERAGE(B3:I3)</f>
        <v>16.5</v>
      </c>
      <c r="AE3">
        <f t="shared" ref="AE3:AE8" si="0">AC3-AD3</f>
        <v>0</v>
      </c>
    </row>
    <row r="4" spans="1:31" ht="18" customHeight="1" x14ac:dyDescent="0.15">
      <c r="A4" s="5" t="s">
        <v>279</v>
      </c>
      <c r="B4" s="5">
        <f>AVERAGEIFS(power!$I$2:$I$33,power!$P$2:$P$33,B$1)</f>
        <v>19.5</v>
      </c>
      <c r="C4" s="5">
        <f>AVERAGEIFS(power!$I$2:$I$33,power!$P$2:$P$33,C$1)</f>
        <v>18</v>
      </c>
      <c r="D4" s="5">
        <f>AVERAGEIFS(power!$I$2:$I$33,power!$P$2:$P$33,D$1)</f>
        <v>22.75</v>
      </c>
      <c r="E4" s="5">
        <f>AVERAGEIFS(power!$I$2:$I$33,power!$P$2:$P$33,E$1)</f>
        <v>21.25</v>
      </c>
      <c r="F4" s="5">
        <f>AVERAGEIFS(power!$I$2:$I$33,power!$P$2:$P$33,F$1)</f>
        <v>9.25</v>
      </c>
      <c r="G4" s="5">
        <f>AVERAGEIFS(power!$I$2:$I$33,power!$P$2:$P$33,G$1)</f>
        <v>11</v>
      </c>
      <c r="H4" s="5">
        <f>AVERAGEIFS(power!$I$2:$I$33,power!$P$2:$P$33,H$1)</f>
        <v>16.5</v>
      </c>
      <c r="I4" s="5">
        <f>AVERAGEIFS(power!$I$2:$I$33,power!$P$2:$P$33,I$1)</f>
        <v>13.75</v>
      </c>
      <c r="J4" s="5">
        <f>AVERAGE(B4:I4)</f>
        <v>16.5</v>
      </c>
      <c r="AE4">
        <f t="shared" si="0"/>
        <v>0</v>
      </c>
    </row>
    <row r="5" spans="1:31" ht="18" customHeight="1" x14ac:dyDescent="0.15">
      <c r="A5" s="5" t="s">
        <v>280</v>
      </c>
      <c r="B5" s="5">
        <f>AVERAGEIFS(power!$J$2:$J$33,power!$P$2:$P$33,B$1)</f>
        <v>17.25</v>
      </c>
      <c r="C5" s="5">
        <f>AVERAGEIFS(power!$J$2:$J$33,power!$P$2:$P$33,C$1)</f>
        <v>17.5</v>
      </c>
      <c r="D5" s="5">
        <f>AVERAGEIFS(power!$J$2:$J$33,power!$P$2:$P$33,D$1)</f>
        <v>20</v>
      </c>
      <c r="E5" s="5">
        <f>AVERAGEIFS(power!$J$2:$J$33,power!$P$2:$P$33,E$1)</f>
        <v>22.5</v>
      </c>
      <c r="F5" s="5">
        <f>AVERAGEIFS(power!$J$2:$J$33,power!$P$2:$P$33,F$1)</f>
        <v>13</v>
      </c>
      <c r="G5" s="5">
        <f>AVERAGEIFS(power!$J$2:$J$33,power!$P$2:$P$33,G$1)</f>
        <v>11.75</v>
      </c>
      <c r="H5" s="5">
        <f>AVERAGEIFS(power!$J$2:$J$33,power!$P$2:$P$33,H$1)</f>
        <v>19</v>
      </c>
      <c r="I5" s="5">
        <f>AVERAGEIFS(power!$J$2:$J$33,power!$P$2:$P$33,I$1)</f>
        <v>11</v>
      </c>
      <c r="J5" s="5">
        <f>AVERAGE(B5:I5)</f>
        <v>16.5</v>
      </c>
      <c r="AE5">
        <f t="shared" si="0"/>
        <v>0</v>
      </c>
    </row>
    <row r="6" spans="1:31" ht="18" customHeight="1" x14ac:dyDescent="0.15">
      <c r="A6" s="5" t="s">
        <v>281</v>
      </c>
      <c r="B6" s="5">
        <f>AVERAGEIFS(power!$K$2:$K$33,power!$P$2:$P$33,B$1)</f>
        <v>17.75</v>
      </c>
      <c r="C6" s="5">
        <f>AVERAGEIFS(power!$K$2:$K$33,power!$P$2:$P$33,C$1)</f>
        <v>17.5</v>
      </c>
      <c r="D6" s="5">
        <f>AVERAGEIFS(power!$K$2:$K$33,power!$P$2:$P$33,D$1)</f>
        <v>22.25</v>
      </c>
      <c r="E6" s="5">
        <f>AVERAGEIFS(power!$K$2:$K$33,power!$P$2:$P$33,E$1)</f>
        <v>22.5</v>
      </c>
      <c r="F6" s="5">
        <f>AVERAGEIFS(power!$K$2:$K$33,power!$P$2:$P$33,F$1)</f>
        <v>11.75</v>
      </c>
      <c r="G6" s="5">
        <f>AVERAGEIFS(power!$K$2:$K$33,power!$P$2:$P$33,G$1)</f>
        <v>11.25</v>
      </c>
      <c r="H6" s="5">
        <f>AVERAGEIFS(power!$K$2:$K$33,power!$P$2:$P$33,H$1)</f>
        <v>18.5</v>
      </c>
      <c r="I6" s="5">
        <f>AVERAGEIFS(power!$K$2:$K$33,power!$P$2:$P$33,I$1)</f>
        <v>10.5</v>
      </c>
      <c r="J6" s="5">
        <f>AVERAGE(B6:I6)</f>
        <v>16.5</v>
      </c>
      <c r="AE6">
        <f t="shared" si="0"/>
        <v>0</v>
      </c>
    </row>
    <row r="7" spans="1:31" x14ac:dyDescent="0.15">
      <c r="AE7">
        <f t="shared" si="0"/>
        <v>0</v>
      </c>
    </row>
    <row r="8" spans="1:31" x14ac:dyDescent="0.15">
      <c r="A8" s="5" t="s">
        <v>11</v>
      </c>
      <c r="B8" s="9">
        <f>AVERAGE(B2:B6)</f>
        <v>18.350000000000001</v>
      </c>
      <c r="C8" s="9">
        <f t="shared" ref="C8:I8" si="1">AVERAGE(C2:C6)</f>
        <v>16.75</v>
      </c>
      <c r="D8" s="9">
        <f t="shared" si="1"/>
        <v>21.5</v>
      </c>
      <c r="E8" s="9">
        <f t="shared" si="1"/>
        <v>22.3</v>
      </c>
      <c r="F8" s="9">
        <f t="shared" si="1"/>
        <v>12.3</v>
      </c>
      <c r="G8" s="9">
        <f t="shared" si="1"/>
        <v>10.9</v>
      </c>
      <c r="H8" s="9">
        <f t="shared" si="1"/>
        <v>18.3</v>
      </c>
      <c r="I8" s="9">
        <f t="shared" si="1"/>
        <v>11.6</v>
      </c>
      <c r="AE8">
        <f t="shared" si="0"/>
        <v>0</v>
      </c>
    </row>
    <row r="9" spans="1:31" x14ac:dyDescent="0.15">
      <c r="A9" s="5" t="s">
        <v>0</v>
      </c>
      <c r="B9" s="5">
        <f>RANK(B8,$B$8:$I$8,1)</f>
        <v>6</v>
      </c>
      <c r="C9" s="5">
        <f t="shared" ref="C9:I9" si="2">RANK(C8,$B$8:$I$8,1)</f>
        <v>4</v>
      </c>
      <c r="D9" s="5">
        <f t="shared" si="2"/>
        <v>7</v>
      </c>
      <c r="E9" s="5">
        <f t="shared" si="2"/>
        <v>8</v>
      </c>
      <c r="F9" s="5">
        <f t="shared" si="2"/>
        <v>3</v>
      </c>
      <c r="G9" s="5">
        <f t="shared" si="2"/>
        <v>1</v>
      </c>
      <c r="H9" s="5">
        <f t="shared" si="2"/>
        <v>5</v>
      </c>
      <c r="I9" s="5">
        <f t="shared" si="2"/>
        <v>2</v>
      </c>
    </row>
    <row r="32" spans="1:1" x14ac:dyDescent="0.15">
      <c r="A32" s="55"/>
    </row>
    <row r="33" spans="1:1" x14ac:dyDescent="0.15">
      <c r="A33" s="55"/>
    </row>
  </sheetData>
  <autoFilter ref="A1:J1">
    <sortState ref="A2:J5">
      <sortCondition ref="A1"/>
    </sortState>
  </autoFilter>
  <conditionalFormatting sqref="B2:B6">
    <cfRule type="colorScale" priority="16">
      <colorScale>
        <cfvo type="min"/>
        <cfvo type="max"/>
        <color rgb="FFFFEF9C"/>
        <color rgb="FFFF7128"/>
      </colorScale>
    </cfRule>
  </conditionalFormatting>
  <conditionalFormatting sqref="C2:C6">
    <cfRule type="colorScale" priority="15">
      <colorScale>
        <cfvo type="min"/>
        <cfvo type="max"/>
        <color rgb="FFFFEF9C"/>
        <color rgb="FFFF7128"/>
      </colorScale>
    </cfRule>
  </conditionalFormatting>
  <conditionalFormatting sqref="D2:D6">
    <cfRule type="colorScale" priority="14">
      <colorScale>
        <cfvo type="min"/>
        <cfvo type="max"/>
        <color rgb="FFFFEF9C"/>
        <color rgb="FFFF7128"/>
      </colorScale>
    </cfRule>
  </conditionalFormatting>
  <conditionalFormatting sqref="E2:E6">
    <cfRule type="colorScale" priority="13">
      <colorScale>
        <cfvo type="min"/>
        <cfvo type="max"/>
        <color rgb="FFFFEF9C"/>
        <color rgb="FFFF7128"/>
      </colorScale>
    </cfRule>
  </conditionalFormatting>
  <conditionalFormatting sqref="F2:F6">
    <cfRule type="colorScale" priority="12">
      <colorScale>
        <cfvo type="min"/>
        <cfvo type="max"/>
        <color rgb="FFFFEF9C"/>
        <color rgb="FFFF7128"/>
      </colorScale>
    </cfRule>
  </conditionalFormatting>
  <conditionalFormatting sqref="G2:G6">
    <cfRule type="colorScale" priority="11">
      <colorScale>
        <cfvo type="min"/>
        <cfvo type="max"/>
        <color rgb="FFFFEF9C"/>
        <color rgb="FFFF7128"/>
      </colorScale>
    </cfRule>
  </conditionalFormatting>
  <conditionalFormatting sqref="H2:H6">
    <cfRule type="colorScale" priority="10">
      <colorScale>
        <cfvo type="min"/>
        <cfvo type="max"/>
        <color rgb="FFFFEF9C"/>
        <color rgb="FFFF7128"/>
      </colorScale>
    </cfRule>
  </conditionalFormatting>
  <conditionalFormatting sqref="I2:I6">
    <cfRule type="colorScale" priority="9">
      <colorScale>
        <cfvo type="min"/>
        <cfvo type="max"/>
        <color rgb="FFFFEF9C"/>
        <color rgb="FFFF7128"/>
      </colorScale>
    </cfRule>
  </conditionalFormatting>
  <conditionalFormatting sqref="B17:B20">
    <cfRule type="colorScale" priority="8">
      <colorScale>
        <cfvo type="min"/>
        <cfvo type="max"/>
        <color rgb="FFFFEF9C"/>
        <color rgb="FFFF7128"/>
      </colorScale>
    </cfRule>
  </conditionalFormatting>
  <conditionalFormatting sqref="C17:C20">
    <cfRule type="colorScale" priority="7">
      <colorScale>
        <cfvo type="min"/>
        <cfvo type="max"/>
        <color rgb="FFFFEF9C"/>
        <color rgb="FFFF7128"/>
      </colorScale>
    </cfRule>
  </conditionalFormatting>
  <conditionalFormatting sqref="D17:D20">
    <cfRule type="colorScale" priority="6">
      <colorScale>
        <cfvo type="min"/>
        <cfvo type="max"/>
        <color rgb="FFFFEF9C"/>
        <color rgb="FFFF7128"/>
      </colorScale>
    </cfRule>
  </conditionalFormatting>
  <conditionalFormatting sqref="E17:E20">
    <cfRule type="colorScale" priority="5">
      <colorScale>
        <cfvo type="min"/>
        <cfvo type="max"/>
        <color rgb="FFFFEF9C"/>
        <color rgb="FFFF7128"/>
      </colorScale>
    </cfRule>
  </conditionalFormatting>
  <conditionalFormatting sqref="F17:F20">
    <cfRule type="colorScale" priority="4">
      <colorScale>
        <cfvo type="min"/>
        <cfvo type="max"/>
        <color rgb="FFFFEF9C"/>
        <color rgb="FFFF7128"/>
      </colorScale>
    </cfRule>
  </conditionalFormatting>
  <conditionalFormatting sqref="G17:G20">
    <cfRule type="colorScale" priority="3">
      <colorScale>
        <cfvo type="min"/>
        <cfvo type="max"/>
        <color rgb="FFFFEF9C"/>
        <color rgb="FFFF7128"/>
      </colorScale>
    </cfRule>
  </conditionalFormatting>
  <conditionalFormatting sqref="H17:H20">
    <cfRule type="colorScale" priority="2">
      <colorScale>
        <cfvo type="min"/>
        <cfvo type="max"/>
        <color rgb="FFFFEF9C"/>
        <color rgb="FFFF7128"/>
      </colorScale>
    </cfRule>
  </conditionalFormatting>
  <conditionalFormatting sqref="I17:I20">
    <cfRule type="colorScale" priority="1">
      <colorScale>
        <cfvo type="min"/>
        <cfvo type="max"/>
        <color rgb="FFFFEF9C"/>
        <color rgb="FFFF7128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W33"/>
  <sheetViews>
    <sheetView workbookViewId="0">
      <pane xSplit="1" topLeftCell="B1" activePane="topRight" state="frozen"/>
      <selection activeCell="AG2" sqref="AG2:AG33"/>
      <selection pane="topRight" activeCell="AG2" sqref="AG2:AG33"/>
    </sheetView>
  </sheetViews>
  <sheetFormatPr defaultRowHeight="10.5" x14ac:dyDescent="0.15"/>
  <cols>
    <col min="1" max="1" width="32.1640625" style="33" customWidth="1"/>
    <col min="2" max="2" width="9.33203125" style="56"/>
    <col min="3" max="258" width="9.33203125" style="33"/>
    <col min="259" max="259" width="32.1640625" style="33" customWidth="1"/>
    <col min="260" max="514" width="9.33203125" style="33"/>
    <col min="515" max="515" width="32.1640625" style="33" customWidth="1"/>
    <col min="516" max="770" width="9.33203125" style="33"/>
    <col min="771" max="771" width="32.1640625" style="33" customWidth="1"/>
    <col min="772" max="1026" width="9.33203125" style="33"/>
    <col min="1027" max="1027" width="32.1640625" style="33" customWidth="1"/>
    <col min="1028" max="1282" width="9.33203125" style="33"/>
    <col min="1283" max="1283" width="32.1640625" style="33" customWidth="1"/>
    <col min="1284" max="1538" width="9.33203125" style="33"/>
    <col min="1539" max="1539" width="32.1640625" style="33" customWidth="1"/>
    <col min="1540" max="1794" width="9.33203125" style="33"/>
    <col min="1795" max="1795" width="32.1640625" style="33" customWidth="1"/>
    <col min="1796" max="2050" width="9.33203125" style="33"/>
    <col min="2051" max="2051" width="32.1640625" style="33" customWidth="1"/>
    <col min="2052" max="2306" width="9.33203125" style="33"/>
    <col min="2307" max="2307" width="32.1640625" style="33" customWidth="1"/>
    <col min="2308" max="2562" width="9.33203125" style="33"/>
    <col min="2563" max="2563" width="32.1640625" style="33" customWidth="1"/>
    <col min="2564" max="2818" width="9.33203125" style="33"/>
    <col min="2819" max="2819" width="32.1640625" style="33" customWidth="1"/>
    <col min="2820" max="3074" width="9.33203125" style="33"/>
    <col min="3075" max="3075" width="32.1640625" style="33" customWidth="1"/>
    <col min="3076" max="3330" width="9.33203125" style="33"/>
    <col min="3331" max="3331" width="32.1640625" style="33" customWidth="1"/>
    <col min="3332" max="3586" width="9.33203125" style="33"/>
    <col min="3587" max="3587" width="32.1640625" style="33" customWidth="1"/>
    <col min="3588" max="3842" width="9.33203125" style="33"/>
    <col min="3843" max="3843" width="32.1640625" style="33" customWidth="1"/>
    <col min="3844" max="4098" width="9.33203125" style="33"/>
    <col min="4099" max="4099" width="32.1640625" style="33" customWidth="1"/>
    <col min="4100" max="4354" width="9.33203125" style="33"/>
    <col min="4355" max="4355" width="32.1640625" style="33" customWidth="1"/>
    <col min="4356" max="4610" width="9.33203125" style="33"/>
    <col min="4611" max="4611" width="32.1640625" style="33" customWidth="1"/>
    <col min="4612" max="4866" width="9.33203125" style="33"/>
    <col min="4867" max="4867" width="32.1640625" style="33" customWidth="1"/>
    <col min="4868" max="5122" width="9.33203125" style="33"/>
    <col min="5123" max="5123" width="32.1640625" style="33" customWidth="1"/>
    <col min="5124" max="5378" width="9.33203125" style="33"/>
    <col min="5379" max="5379" width="32.1640625" style="33" customWidth="1"/>
    <col min="5380" max="5634" width="9.33203125" style="33"/>
    <col min="5635" max="5635" width="32.1640625" style="33" customWidth="1"/>
    <col min="5636" max="5890" width="9.33203125" style="33"/>
    <col min="5891" max="5891" width="32.1640625" style="33" customWidth="1"/>
    <col min="5892" max="6146" width="9.33203125" style="33"/>
    <col min="6147" max="6147" width="32.1640625" style="33" customWidth="1"/>
    <col min="6148" max="6402" width="9.33203125" style="33"/>
    <col min="6403" max="6403" width="32.1640625" style="33" customWidth="1"/>
    <col min="6404" max="6658" width="9.33203125" style="33"/>
    <col min="6659" max="6659" width="32.1640625" style="33" customWidth="1"/>
    <col min="6660" max="6914" width="9.33203125" style="33"/>
    <col min="6915" max="6915" width="32.1640625" style="33" customWidth="1"/>
    <col min="6916" max="7170" width="9.33203125" style="33"/>
    <col min="7171" max="7171" width="32.1640625" style="33" customWidth="1"/>
    <col min="7172" max="7426" width="9.33203125" style="33"/>
    <col min="7427" max="7427" width="32.1640625" style="33" customWidth="1"/>
    <col min="7428" max="7682" width="9.33203125" style="33"/>
    <col min="7683" max="7683" width="32.1640625" style="33" customWidth="1"/>
    <col min="7684" max="7938" width="9.33203125" style="33"/>
    <col min="7939" max="7939" width="32.1640625" style="33" customWidth="1"/>
    <col min="7940" max="8194" width="9.33203125" style="33"/>
    <col min="8195" max="8195" width="32.1640625" style="33" customWidth="1"/>
    <col min="8196" max="8450" width="9.33203125" style="33"/>
    <col min="8451" max="8451" width="32.1640625" style="33" customWidth="1"/>
    <col min="8452" max="8706" width="9.33203125" style="33"/>
    <col min="8707" max="8707" width="32.1640625" style="33" customWidth="1"/>
    <col min="8708" max="8962" width="9.33203125" style="33"/>
    <col min="8963" max="8963" width="32.1640625" style="33" customWidth="1"/>
    <col min="8964" max="9218" width="9.33203125" style="33"/>
    <col min="9219" max="9219" width="32.1640625" style="33" customWidth="1"/>
    <col min="9220" max="9474" width="9.33203125" style="33"/>
    <col min="9475" max="9475" width="32.1640625" style="33" customWidth="1"/>
    <col min="9476" max="9730" width="9.33203125" style="33"/>
    <col min="9731" max="9731" width="32.1640625" style="33" customWidth="1"/>
    <col min="9732" max="9986" width="9.33203125" style="33"/>
    <col min="9987" max="9987" width="32.1640625" style="33" customWidth="1"/>
    <col min="9988" max="10242" width="9.33203125" style="33"/>
    <col min="10243" max="10243" width="32.1640625" style="33" customWidth="1"/>
    <col min="10244" max="10498" width="9.33203125" style="33"/>
    <col min="10499" max="10499" width="32.1640625" style="33" customWidth="1"/>
    <col min="10500" max="10754" width="9.33203125" style="33"/>
    <col min="10755" max="10755" width="32.1640625" style="33" customWidth="1"/>
    <col min="10756" max="11010" width="9.33203125" style="33"/>
    <col min="11011" max="11011" width="32.1640625" style="33" customWidth="1"/>
    <col min="11012" max="11266" width="9.33203125" style="33"/>
    <col min="11267" max="11267" width="32.1640625" style="33" customWidth="1"/>
    <col min="11268" max="11522" width="9.33203125" style="33"/>
    <col min="11523" max="11523" width="32.1640625" style="33" customWidth="1"/>
    <col min="11524" max="11778" width="9.33203125" style="33"/>
    <col min="11779" max="11779" width="32.1640625" style="33" customWidth="1"/>
    <col min="11780" max="12034" width="9.33203125" style="33"/>
    <col min="12035" max="12035" width="32.1640625" style="33" customWidth="1"/>
    <col min="12036" max="12290" width="9.33203125" style="33"/>
    <col min="12291" max="12291" width="32.1640625" style="33" customWidth="1"/>
    <col min="12292" max="12546" width="9.33203125" style="33"/>
    <col min="12547" max="12547" width="32.1640625" style="33" customWidth="1"/>
    <col min="12548" max="12802" width="9.33203125" style="33"/>
    <col min="12803" max="12803" width="32.1640625" style="33" customWidth="1"/>
    <col min="12804" max="13058" width="9.33203125" style="33"/>
    <col min="13059" max="13059" width="32.1640625" style="33" customWidth="1"/>
    <col min="13060" max="13314" width="9.33203125" style="33"/>
    <col min="13315" max="13315" width="32.1640625" style="33" customWidth="1"/>
    <col min="13316" max="13570" width="9.33203125" style="33"/>
    <col min="13571" max="13571" width="32.1640625" style="33" customWidth="1"/>
    <col min="13572" max="13826" width="9.33203125" style="33"/>
    <col min="13827" max="13827" width="32.1640625" style="33" customWidth="1"/>
    <col min="13828" max="14082" width="9.33203125" style="33"/>
    <col min="14083" max="14083" width="32.1640625" style="33" customWidth="1"/>
    <col min="14084" max="14338" width="9.33203125" style="33"/>
    <col min="14339" max="14339" width="32.1640625" style="33" customWidth="1"/>
    <col min="14340" max="14594" width="9.33203125" style="33"/>
    <col min="14595" max="14595" width="32.1640625" style="33" customWidth="1"/>
    <col min="14596" max="14850" width="9.33203125" style="33"/>
    <col min="14851" max="14851" width="32.1640625" style="33" customWidth="1"/>
    <col min="14852" max="15106" width="9.33203125" style="33"/>
    <col min="15107" max="15107" width="32.1640625" style="33" customWidth="1"/>
    <col min="15108" max="15362" width="9.33203125" style="33"/>
    <col min="15363" max="15363" width="32.1640625" style="33" customWidth="1"/>
    <col min="15364" max="15618" width="9.33203125" style="33"/>
    <col min="15619" max="15619" width="32.1640625" style="33" customWidth="1"/>
    <col min="15620" max="15874" width="9.33203125" style="33"/>
    <col min="15875" max="15875" width="32.1640625" style="33" customWidth="1"/>
    <col min="15876" max="16130" width="9.33203125" style="33"/>
    <col min="16131" max="16131" width="32.1640625" style="33" customWidth="1"/>
    <col min="16132" max="16384" width="9.33203125" style="33"/>
  </cols>
  <sheetData>
    <row r="1" spans="1:23" ht="54.95" customHeight="1" x14ac:dyDescent="0.15">
      <c r="A1" s="5" t="s">
        <v>1</v>
      </c>
      <c r="B1" s="56" t="s">
        <v>282</v>
      </c>
      <c r="C1" s="5" t="s">
        <v>200</v>
      </c>
      <c r="D1" s="5" t="s">
        <v>200</v>
      </c>
      <c r="E1" s="5" t="s">
        <v>200</v>
      </c>
      <c r="F1" s="5" t="s">
        <v>200</v>
      </c>
      <c r="G1" s="5" t="s">
        <v>200</v>
      </c>
      <c r="H1" s="5" t="s">
        <v>200</v>
      </c>
      <c r="I1" s="5" t="s">
        <v>200</v>
      </c>
      <c r="J1" s="5" t="s">
        <v>200</v>
      </c>
      <c r="K1" s="5" t="s">
        <v>200</v>
      </c>
      <c r="L1" s="5" t="s">
        <v>200</v>
      </c>
      <c r="M1" s="5" t="s">
        <v>200</v>
      </c>
      <c r="N1" s="5" t="s">
        <v>200</v>
      </c>
      <c r="O1" s="5" t="s">
        <v>200</v>
      </c>
      <c r="P1" s="5" t="s">
        <v>200</v>
      </c>
      <c r="Q1" s="5" t="s">
        <v>200</v>
      </c>
      <c r="R1" s="5" t="s">
        <v>200</v>
      </c>
      <c r="S1" s="5" t="s">
        <v>200</v>
      </c>
      <c r="T1" s="5" t="s">
        <v>283</v>
      </c>
      <c r="U1" s="5" t="s">
        <v>284</v>
      </c>
      <c r="V1" s="5" t="s">
        <v>285</v>
      </c>
      <c r="W1" s="5" t="s">
        <v>286</v>
      </c>
    </row>
    <row r="2" spans="1:23" ht="15.95" customHeight="1" x14ac:dyDescent="0.15">
      <c r="A2" s="5" t="s">
        <v>244</v>
      </c>
      <c r="B2" s="56" t="s">
        <v>35</v>
      </c>
      <c r="C2" s="5" t="s">
        <v>97</v>
      </c>
      <c r="D2" s="5" t="s">
        <v>79</v>
      </c>
      <c r="E2" s="5" t="s">
        <v>89</v>
      </c>
      <c r="F2" s="5" t="s">
        <v>75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>
        <f t="shared" ref="T2:T33" si="0">COUNTIF(C2:S2,"&gt;0'")</f>
        <v>4</v>
      </c>
      <c r="U2" s="5"/>
      <c r="V2" s="5"/>
      <c r="W2" s="5"/>
    </row>
    <row r="3" spans="1:23" ht="15.95" customHeight="1" x14ac:dyDescent="0.15">
      <c r="A3" s="5" t="s">
        <v>203</v>
      </c>
      <c r="B3" s="56" t="s">
        <v>38</v>
      </c>
      <c r="C3" s="5" t="s">
        <v>73</v>
      </c>
      <c r="D3" s="5" t="s">
        <v>59</v>
      </c>
      <c r="E3" s="5" t="s">
        <v>93</v>
      </c>
      <c r="F3" s="5" t="s">
        <v>47</v>
      </c>
      <c r="G3" s="5" t="s">
        <v>105</v>
      </c>
      <c r="H3" s="5" t="s">
        <v>87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>
        <f t="shared" si="0"/>
        <v>6</v>
      </c>
      <c r="U3" s="5"/>
      <c r="V3" s="5"/>
      <c r="W3" s="5"/>
    </row>
    <row r="4" spans="1:23" ht="15.95" customHeight="1" x14ac:dyDescent="0.15">
      <c r="A4" s="5" t="s">
        <v>223</v>
      </c>
      <c r="B4" s="56" t="s">
        <v>41</v>
      </c>
      <c r="C4" s="5" t="s">
        <v>52</v>
      </c>
      <c r="D4" s="5"/>
      <c r="E4" s="5" t="s">
        <v>79</v>
      </c>
      <c r="F4" s="5" t="s">
        <v>54</v>
      </c>
      <c r="G4" s="5" t="s">
        <v>73</v>
      </c>
      <c r="H4" s="5" t="s">
        <v>56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>
        <f t="shared" si="0"/>
        <v>5</v>
      </c>
      <c r="U4" s="5"/>
      <c r="V4" s="5"/>
      <c r="W4" s="5"/>
    </row>
    <row r="5" spans="1:23" ht="15.95" customHeight="1" x14ac:dyDescent="0.15">
      <c r="A5" s="5" t="s">
        <v>263</v>
      </c>
      <c r="B5" s="56" t="s">
        <v>44</v>
      </c>
      <c r="C5" s="5"/>
      <c r="D5" s="5" t="s">
        <v>73</v>
      </c>
      <c r="E5" s="5" t="s">
        <v>54</v>
      </c>
      <c r="F5" s="5"/>
      <c r="G5" s="5"/>
      <c r="H5" s="5" t="s">
        <v>35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>
        <f t="shared" si="0"/>
        <v>3</v>
      </c>
      <c r="U5" s="5"/>
      <c r="V5" s="5"/>
      <c r="W5" s="5"/>
    </row>
    <row r="6" spans="1:23" ht="15.95" customHeight="1" x14ac:dyDescent="0.15">
      <c r="A6" s="5" t="s">
        <v>266</v>
      </c>
      <c r="B6" s="56" t="s">
        <v>47</v>
      </c>
      <c r="C6" s="5"/>
      <c r="D6" s="5" t="s">
        <v>81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f t="shared" si="0"/>
        <v>1</v>
      </c>
      <c r="U6" s="5"/>
      <c r="V6" s="5"/>
      <c r="W6" s="5"/>
    </row>
    <row r="7" spans="1:23" ht="15.95" customHeight="1" x14ac:dyDescent="0.15">
      <c r="A7" s="5" t="s">
        <v>232</v>
      </c>
      <c r="B7" s="56" t="s">
        <v>49</v>
      </c>
      <c r="C7" s="5" t="s">
        <v>69</v>
      </c>
      <c r="D7" s="5"/>
      <c r="E7" s="5" t="s">
        <v>99</v>
      </c>
      <c r="F7" s="5" t="s">
        <v>56</v>
      </c>
      <c r="G7" s="5" t="s">
        <v>71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f t="shared" si="0"/>
        <v>4</v>
      </c>
      <c r="U7" s="5"/>
      <c r="V7" s="5"/>
      <c r="W7" s="5"/>
    </row>
    <row r="8" spans="1:23" ht="15.95" customHeight="1" x14ac:dyDescent="0.15">
      <c r="A8" s="5" t="s">
        <v>258</v>
      </c>
      <c r="B8" s="56" t="s">
        <v>52</v>
      </c>
      <c r="C8" s="5"/>
      <c r="D8" s="5" t="s">
        <v>54</v>
      </c>
      <c r="E8" s="5" t="s">
        <v>105</v>
      </c>
      <c r="F8" s="5" t="s">
        <v>71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f t="shared" si="0"/>
        <v>3</v>
      </c>
      <c r="U8" s="5"/>
      <c r="V8" s="5"/>
      <c r="W8" s="5"/>
    </row>
    <row r="9" spans="1:23" ht="15.95" customHeight="1" x14ac:dyDescent="0.15">
      <c r="A9" s="5" t="s">
        <v>269</v>
      </c>
      <c r="B9" s="56" t="s">
        <v>54</v>
      </c>
      <c r="C9" s="5"/>
      <c r="D9" s="5"/>
      <c r="E9" s="5"/>
      <c r="F9" s="5"/>
      <c r="G9" s="5"/>
      <c r="H9" s="5" t="s">
        <v>52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f t="shared" si="0"/>
        <v>1</v>
      </c>
      <c r="U9" s="5"/>
      <c r="V9" s="5"/>
      <c r="W9" s="5"/>
    </row>
    <row r="10" spans="1:23" ht="15.95" customHeight="1" x14ac:dyDescent="0.15">
      <c r="A10" s="5" t="s">
        <v>255</v>
      </c>
      <c r="B10" s="56" t="s">
        <v>56</v>
      </c>
      <c r="C10" s="5" t="s">
        <v>83</v>
      </c>
      <c r="D10" s="5"/>
      <c r="E10" s="5" t="s">
        <v>101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f t="shared" si="0"/>
        <v>2</v>
      </c>
      <c r="U10" s="5"/>
      <c r="V10" s="5"/>
      <c r="W10" s="5"/>
    </row>
    <row r="11" spans="1:23" ht="15.95" customHeight="1" x14ac:dyDescent="0.15">
      <c r="A11" s="5" t="s">
        <v>246</v>
      </c>
      <c r="B11" s="56" t="s">
        <v>59</v>
      </c>
      <c r="C11" s="5" t="s">
        <v>91</v>
      </c>
      <c r="D11" s="5"/>
      <c r="E11" s="5"/>
      <c r="F11" s="5" t="s">
        <v>87</v>
      </c>
      <c r="G11" s="5"/>
      <c r="H11" s="5" t="s">
        <v>93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f t="shared" si="0"/>
        <v>3</v>
      </c>
      <c r="U11" s="5"/>
      <c r="V11" s="5"/>
      <c r="W11" s="5"/>
    </row>
    <row r="12" spans="1:23" ht="15.95" customHeight="1" x14ac:dyDescent="0.15">
      <c r="A12" s="5" t="s">
        <v>256</v>
      </c>
      <c r="B12" s="56" t="s">
        <v>62</v>
      </c>
      <c r="C12" s="5" t="s">
        <v>99</v>
      </c>
      <c r="D12" s="5"/>
      <c r="E12" s="5"/>
      <c r="F12" s="5"/>
      <c r="G12" s="5"/>
      <c r="H12" s="5" t="s">
        <v>89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f t="shared" si="0"/>
        <v>2</v>
      </c>
      <c r="U12" s="5"/>
      <c r="V12" s="5"/>
      <c r="W12" s="5"/>
    </row>
    <row r="13" spans="1:23" ht="15.95" customHeight="1" x14ac:dyDescent="0.15">
      <c r="A13" s="5" t="s">
        <v>239</v>
      </c>
      <c r="B13" s="56" t="s">
        <v>64</v>
      </c>
      <c r="C13" s="5"/>
      <c r="D13" s="5" t="s">
        <v>49</v>
      </c>
      <c r="E13" s="5"/>
      <c r="F13" s="5" t="s">
        <v>81</v>
      </c>
      <c r="G13" s="5"/>
      <c r="H13" s="5" t="s">
        <v>66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f t="shared" si="0"/>
        <v>3</v>
      </c>
      <c r="U13" s="5"/>
      <c r="V13" s="5"/>
      <c r="W13" s="5"/>
    </row>
    <row r="14" spans="1:23" ht="15.95" customHeight="1" x14ac:dyDescent="0.15">
      <c r="A14" s="5" t="s">
        <v>212</v>
      </c>
      <c r="B14" s="56" t="s">
        <v>66</v>
      </c>
      <c r="C14" s="5" t="s">
        <v>75</v>
      </c>
      <c r="D14" s="5" t="s">
        <v>71</v>
      </c>
      <c r="E14" s="5" t="s">
        <v>59</v>
      </c>
      <c r="F14" s="5" t="s">
        <v>103</v>
      </c>
      <c r="G14" s="5" t="s">
        <v>85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f t="shared" si="0"/>
        <v>5</v>
      </c>
      <c r="U14" s="5"/>
      <c r="V14" s="5"/>
      <c r="W14" s="5"/>
    </row>
    <row r="15" spans="1:23" ht="15.95" customHeight="1" x14ac:dyDescent="0.15">
      <c r="A15" s="5" t="s">
        <v>264</v>
      </c>
      <c r="B15" s="56" t="s">
        <v>69</v>
      </c>
      <c r="C15" s="5"/>
      <c r="D15" s="5" t="s">
        <v>77</v>
      </c>
      <c r="E15" s="5"/>
      <c r="F15" s="5"/>
      <c r="G15" s="5" t="s">
        <v>64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f t="shared" si="0"/>
        <v>2</v>
      </c>
      <c r="U15" s="5"/>
      <c r="V15" s="5"/>
      <c r="W15" s="5"/>
    </row>
    <row r="16" spans="1:23" ht="15.95" customHeight="1" x14ac:dyDescent="0.15">
      <c r="A16" s="5" t="s">
        <v>270</v>
      </c>
      <c r="B16" s="56" t="s">
        <v>71</v>
      </c>
      <c r="C16" s="5"/>
      <c r="D16" s="5"/>
      <c r="E16" s="5" t="s">
        <v>69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f t="shared" si="0"/>
        <v>1</v>
      </c>
      <c r="U16" s="5"/>
      <c r="V16" s="5"/>
      <c r="W16" s="5"/>
    </row>
    <row r="17" spans="1:23" ht="15.95" customHeight="1" x14ac:dyDescent="0.15">
      <c r="A17" s="5" t="s">
        <v>271</v>
      </c>
      <c r="B17" s="56" t="s">
        <v>73</v>
      </c>
      <c r="C17" s="5"/>
      <c r="D17" s="5"/>
      <c r="E17" s="5" t="s">
        <v>81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f t="shared" si="0"/>
        <v>1</v>
      </c>
      <c r="U17" s="5"/>
      <c r="V17" s="5"/>
      <c r="W17" s="5"/>
    </row>
    <row r="18" spans="1:23" ht="15.95" customHeight="1" x14ac:dyDescent="0.15">
      <c r="A18" s="5" t="s">
        <v>254</v>
      </c>
      <c r="B18" s="56" t="s">
        <v>75</v>
      </c>
      <c r="C18" s="5"/>
      <c r="D18" s="5" t="s">
        <v>87</v>
      </c>
      <c r="E18" s="5"/>
      <c r="F18" s="5"/>
      <c r="G18" s="5" t="s">
        <v>52</v>
      </c>
      <c r="H18" s="5" t="s">
        <v>99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f t="shared" si="0"/>
        <v>3</v>
      </c>
      <c r="U18" s="5"/>
      <c r="V18" s="5"/>
      <c r="W18" s="5"/>
    </row>
    <row r="19" spans="1:23" ht="15.95" customHeight="1" x14ac:dyDescent="0.15">
      <c r="A19" s="5" t="s">
        <v>243</v>
      </c>
      <c r="B19" s="56" t="s">
        <v>77</v>
      </c>
      <c r="C19" s="5" t="s">
        <v>71</v>
      </c>
      <c r="D19" s="5"/>
      <c r="E19" s="5" t="s">
        <v>95</v>
      </c>
      <c r="F19" s="5" t="s">
        <v>62</v>
      </c>
      <c r="G19" s="5" t="s">
        <v>77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f t="shared" si="0"/>
        <v>4</v>
      </c>
      <c r="U19" s="5"/>
      <c r="V19" s="5"/>
      <c r="W19" s="5"/>
    </row>
    <row r="20" spans="1:23" ht="15.95" customHeight="1" x14ac:dyDescent="0.15">
      <c r="A20" s="5" t="s">
        <v>235</v>
      </c>
      <c r="B20" s="56" t="s">
        <v>79</v>
      </c>
      <c r="C20" s="5" t="s">
        <v>103</v>
      </c>
      <c r="D20" s="5"/>
      <c r="E20" s="5"/>
      <c r="F20" s="5" t="s">
        <v>44</v>
      </c>
      <c r="G20" s="5" t="s">
        <v>59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f t="shared" si="0"/>
        <v>3</v>
      </c>
      <c r="U20" s="5"/>
      <c r="V20" s="5"/>
      <c r="W20" s="5"/>
    </row>
    <row r="21" spans="1:23" ht="15.95" customHeight="1" x14ac:dyDescent="0.15">
      <c r="A21" s="5" t="s">
        <v>261</v>
      </c>
      <c r="B21" s="56" t="s">
        <v>81</v>
      </c>
      <c r="C21" s="5"/>
      <c r="D21" s="5"/>
      <c r="E21" s="5"/>
      <c r="F21" s="5"/>
      <c r="G21" s="5" t="s">
        <v>93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f t="shared" si="0"/>
        <v>1</v>
      </c>
      <c r="U21" s="5"/>
      <c r="V21" s="5"/>
      <c r="W21" s="5"/>
    </row>
    <row r="22" spans="1:23" ht="15.95" customHeight="1" x14ac:dyDescent="0.15">
      <c r="A22" s="5" t="s">
        <v>218</v>
      </c>
      <c r="B22" s="56" t="s">
        <v>83</v>
      </c>
      <c r="C22" s="5"/>
      <c r="D22" s="5" t="s">
        <v>101</v>
      </c>
      <c r="E22" s="5" t="s">
        <v>47</v>
      </c>
      <c r="F22" s="5"/>
      <c r="G22" s="5" t="s">
        <v>54</v>
      </c>
      <c r="H22" s="5" t="s">
        <v>95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f t="shared" si="0"/>
        <v>4</v>
      </c>
      <c r="U22" s="5"/>
      <c r="V22" s="5"/>
      <c r="W22" s="5"/>
    </row>
    <row r="23" spans="1:23" ht="15.95" customHeight="1" x14ac:dyDescent="0.15">
      <c r="A23" s="5" t="s">
        <v>260</v>
      </c>
      <c r="B23" s="56" t="s">
        <v>85</v>
      </c>
      <c r="C23" s="5" t="s">
        <v>44</v>
      </c>
      <c r="D23" s="5"/>
      <c r="E23" s="5" t="s">
        <v>75</v>
      </c>
      <c r="F23" s="5"/>
      <c r="G23" s="5"/>
      <c r="H23" s="5" t="s">
        <v>69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f t="shared" si="0"/>
        <v>3</v>
      </c>
      <c r="U23" s="5"/>
      <c r="V23" s="5"/>
      <c r="W23" s="5"/>
    </row>
    <row r="24" spans="1:23" ht="15.95" customHeight="1" x14ac:dyDescent="0.15">
      <c r="A24" s="5" t="s">
        <v>268</v>
      </c>
      <c r="B24" s="56" t="s">
        <v>87</v>
      </c>
      <c r="C24" s="5"/>
      <c r="D24" s="5"/>
      <c r="E24" s="5" t="s">
        <v>91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f t="shared" si="0"/>
        <v>1</v>
      </c>
      <c r="U24" s="5"/>
      <c r="V24" s="5"/>
      <c r="W24" s="5"/>
    </row>
    <row r="25" spans="1:23" ht="15.95" customHeight="1" x14ac:dyDescent="0.15">
      <c r="A25" s="5" t="s">
        <v>248</v>
      </c>
      <c r="B25" s="56" t="s">
        <v>89</v>
      </c>
      <c r="C25" s="5" t="s">
        <v>54</v>
      </c>
      <c r="D25" s="5" t="s">
        <v>41</v>
      </c>
      <c r="E25" s="5"/>
      <c r="F25" s="5" t="s">
        <v>83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f t="shared" si="0"/>
        <v>3</v>
      </c>
      <c r="U25" s="5"/>
      <c r="V25" s="5"/>
      <c r="W25" s="5"/>
    </row>
    <row r="26" spans="1:23" ht="15.95" customHeight="1" x14ac:dyDescent="0.15">
      <c r="A26" s="5" t="s">
        <v>249</v>
      </c>
      <c r="B26" s="56" t="s">
        <v>91</v>
      </c>
      <c r="C26" s="5"/>
      <c r="D26" s="5" t="s">
        <v>85</v>
      </c>
      <c r="E26" s="5"/>
      <c r="F26" s="5"/>
      <c r="G26" s="5" t="s">
        <v>89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f t="shared" si="0"/>
        <v>2</v>
      </c>
      <c r="U26" s="5"/>
      <c r="V26" s="5"/>
      <c r="W26" s="5"/>
    </row>
    <row r="27" spans="1:23" ht="15.95" customHeight="1" x14ac:dyDescent="0.15">
      <c r="A27" s="5" t="s">
        <v>253</v>
      </c>
      <c r="B27" s="56" t="s">
        <v>93</v>
      </c>
      <c r="C27" s="5" t="s">
        <v>87</v>
      </c>
      <c r="D27" s="5" t="s">
        <v>103</v>
      </c>
      <c r="E27" s="5"/>
      <c r="F27" s="5" t="s">
        <v>73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f t="shared" si="0"/>
        <v>3</v>
      </c>
      <c r="U27" s="5"/>
      <c r="V27" s="5"/>
      <c r="W27" s="5"/>
    </row>
    <row r="28" spans="1:23" ht="15.95" customHeight="1" x14ac:dyDescent="0.15">
      <c r="A28" s="5" t="s">
        <v>228</v>
      </c>
      <c r="B28" s="56" t="s">
        <v>95</v>
      </c>
      <c r="C28" s="5" t="s">
        <v>64</v>
      </c>
      <c r="D28" s="5" t="s">
        <v>62</v>
      </c>
      <c r="E28" s="5"/>
      <c r="F28" s="5" t="s">
        <v>85</v>
      </c>
      <c r="G28" s="5" t="s">
        <v>44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f t="shared" si="0"/>
        <v>4</v>
      </c>
      <c r="U28" s="5"/>
      <c r="V28" s="5"/>
      <c r="W28" s="5"/>
    </row>
    <row r="29" spans="1:23" ht="15.95" customHeight="1" x14ac:dyDescent="0.15">
      <c r="A29" s="5" t="s">
        <v>242</v>
      </c>
      <c r="B29" s="56" t="s">
        <v>97</v>
      </c>
      <c r="C29" s="5"/>
      <c r="D29" s="5" t="s">
        <v>56</v>
      </c>
      <c r="E29" s="5" t="s">
        <v>64</v>
      </c>
      <c r="F29" s="5"/>
      <c r="G29" s="5" t="s">
        <v>47</v>
      </c>
      <c r="H29" s="5" t="s">
        <v>79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>
        <f t="shared" si="0"/>
        <v>4</v>
      </c>
      <c r="U29" s="5"/>
      <c r="V29" s="5"/>
      <c r="W29" s="5"/>
    </row>
    <row r="30" spans="1:23" ht="15.95" customHeight="1" x14ac:dyDescent="0.15">
      <c r="A30" s="5" t="s">
        <v>257</v>
      </c>
      <c r="B30" s="56" t="s">
        <v>99</v>
      </c>
      <c r="C30" s="5"/>
      <c r="D30" s="5" t="s">
        <v>105</v>
      </c>
      <c r="E30" s="5"/>
      <c r="F30" s="5" t="s">
        <v>97</v>
      </c>
      <c r="G30" s="5" t="s">
        <v>35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f t="shared" si="0"/>
        <v>3</v>
      </c>
      <c r="U30" s="5"/>
      <c r="V30" s="5"/>
      <c r="W30" s="5"/>
    </row>
    <row r="31" spans="1:23" ht="15.95" customHeight="1" x14ac:dyDescent="0.15">
      <c r="A31" s="5" t="s">
        <v>259</v>
      </c>
      <c r="B31" s="56" t="s">
        <v>101</v>
      </c>
      <c r="C31" s="5" t="s">
        <v>47</v>
      </c>
      <c r="D31" s="5"/>
      <c r="E31" s="5"/>
      <c r="F31" s="5"/>
      <c r="G31" s="5"/>
      <c r="H31" s="5" t="s">
        <v>73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f t="shared" si="0"/>
        <v>2</v>
      </c>
      <c r="U31" s="5"/>
      <c r="V31" s="5"/>
      <c r="W31" s="5"/>
    </row>
    <row r="32" spans="1:23" ht="15.95" customHeight="1" x14ac:dyDescent="0.15">
      <c r="A32" s="5" t="s">
        <v>265</v>
      </c>
      <c r="B32" s="56" t="s">
        <v>103</v>
      </c>
      <c r="C32" s="5"/>
      <c r="D32" s="5"/>
      <c r="E32" s="5" t="s">
        <v>62</v>
      </c>
      <c r="F32" s="5"/>
      <c r="G32" s="5"/>
      <c r="H32" s="5" t="s">
        <v>91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f t="shared" si="0"/>
        <v>2</v>
      </c>
      <c r="U32" s="5"/>
      <c r="V32" s="5"/>
      <c r="W32" s="5"/>
    </row>
    <row r="33" spans="1:23" ht="15.95" customHeight="1" x14ac:dyDescent="0.15">
      <c r="A33" s="5" t="s">
        <v>252</v>
      </c>
      <c r="B33" s="56" t="s">
        <v>105</v>
      </c>
      <c r="C33" s="5" t="s">
        <v>81</v>
      </c>
      <c r="D33" s="5"/>
      <c r="E33" s="5"/>
      <c r="F33" s="5" t="s">
        <v>101</v>
      </c>
      <c r="G33" s="5"/>
      <c r="H33" s="5" t="s">
        <v>77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f t="shared" si="0"/>
        <v>3</v>
      </c>
      <c r="U33" s="5"/>
      <c r="V33" s="5"/>
      <c r="W33" s="5"/>
    </row>
  </sheetData>
  <autoFilter ref="A1:W1">
    <sortState ref="A2:W33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33"/>
  <sheetViews>
    <sheetView workbookViewId="0">
      <selection activeCell="AG2" sqref="AG2:AG33"/>
    </sheetView>
  </sheetViews>
  <sheetFormatPr defaultRowHeight="10.5" x14ac:dyDescent="0.15"/>
  <cols>
    <col min="1" max="1" width="10.1640625" style="11" bestFit="1" customWidth="1"/>
    <col min="2" max="2" width="18.5" style="11" bestFit="1" customWidth="1"/>
    <col min="3" max="3" width="5.1640625" style="11" bestFit="1" customWidth="1"/>
    <col min="4" max="16384" width="9.33203125" style="11"/>
  </cols>
  <sheetData>
    <row r="1" spans="1:5" x14ac:dyDescent="0.15">
      <c r="A1" s="11" t="str">
        <f>power!F1</f>
        <v>Team Code</v>
      </c>
      <c r="B1" s="11" t="str">
        <f>power!B1</f>
        <v>Team</v>
      </c>
      <c r="C1" s="11" t="str">
        <f>power!A1</f>
        <v>Rank</v>
      </c>
      <c r="D1" s="11" t="s">
        <v>201</v>
      </c>
      <c r="E1" s="11" t="s">
        <v>202</v>
      </c>
    </row>
    <row r="2" spans="1:5" x14ac:dyDescent="0.15">
      <c r="A2" s="11" t="str">
        <f>power!F3</f>
        <v>HOU</v>
      </c>
      <c r="B2" s="11" t="str">
        <f>power!B3</f>
        <v>Houston Texans</v>
      </c>
      <c r="C2" s="11">
        <f>power!A3</f>
        <v>2</v>
      </c>
      <c r="D2" s="11">
        <f>VLOOKUP(A2,powerflaws!AS$3:AT$34,2,FALSE)</f>
        <v>5</v>
      </c>
      <c r="E2" s="11">
        <f>VLOOKUP(A2,powerflaws!AS$3:AU$34,3,FALSE)</f>
        <v>1</v>
      </c>
    </row>
    <row r="3" spans="1:5" x14ac:dyDescent="0.15">
      <c r="A3" s="11" t="str">
        <f>power!F14</f>
        <v>PHI</v>
      </c>
      <c r="B3" s="11" t="str">
        <f>power!B14</f>
        <v>Philadelphia Eagles</v>
      </c>
      <c r="C3" s="11">
        <f>power!A14</f>
        <v>13</v>
      </c>
      <c r="D3" s="11">
        <f>VLOOKUP(A3,powerflaws!AS$3:AT$34,2,FALSE)</f>
        <v>3</v>
      </c>
      <c r="E3" s="11">
        <f>VLOOKUP(A3,powerflaws!AS$3:AU$34,3,FALSE)</f>
        <v>3</v>
      </c>
    </row>
    <row r="4" spans="1:5" x14ac:dyDescent="0.15">
      <c r="A4" s="11" t="str">
        <f>power!F22</f>
        <v>CIN</v>
      </c>
      <c r="B4" s="11" t="str">
        <f>power!B22</f>
        <v>Cincinnati Bengals</v>
      </c>
      <c r="C4" s="11">
        <f>power!A22</f>
        <v>21</v>
      </c>
      <c r="D4" s="11">
        <f>VLOOKUP(A4,powerflaws!AS$3:AT$34,2,FALSE)</f>
        <v>3</v>
      </c>
      <c r="E4" s="11">
        <f>VLOOKUP(A4,powerflaws!AS$3:AU$34,3,FALSE)</f>
        <v>3</v>
      </c>
    </row>
    <row r="5" spans="1:5" x14ac:dyDescent="0.15">
      <c r="A5" s="11" t="str">
        <f>power!F4</f>
        <v>NYG</v>
      </c>
      <c r="B5" s="11" t="str">
        <f>power!B4</f>
        <v>New York Giants</v>
      </c>
      <c r="C5" s="11">
        <f>power!A4</f>
        <v>2</v>
      </c>
      <c r="D5" s="11">
        <f>VLOOKUP(A5,powerflaws!AS$3:AT$34,2,FALSE)</f>
        <v>4</v>
      </c>
      <c r="E5" s="11">
        <f>VLOOKUP(A5,powerflaws!AS$3:AU$34,3,FALSE)</f>
        <v>2</v>
      </c>
    </row>
    <row r="6" spans="1:5" x14ac:dyDescent="0.15">
      <c r="A6" s="11" t="str">
        <f>power!F28</f>
        <v>TEN</v>
      </c>
      <c r="B6" s="11" t="str">
        <f>power!B28</f>
        <v>Tennessee Titans</v>
      </c>
      <c r="C6" s="11">
        <f>power!A28</f>
        <v>27</v>
      </c>
      <c r="D6" s="11">
        <f>VLOOKUP(A6,powerflaws!AS$3:AT$34,2,FALSE)</f>
        <v>2</v>
      </c>
      <c r="E6" s="11">
        <f>VLOOKUP(A6,powerflaws!AS$3:AU$34,3,FALSE)</f>
        <v>4</v>
      </c>
    </row>
    <row r="7" spans="1:5" x14ac:dyDescent="0.15">
      <c r="A7" s="11" t="str">
        <f>power!F7</f>
        <v>CHI</v>
      </c>
      <c r="B7" s="11" t="str">
        <f>power!B7</f>
        <v>Chicago Bears</v>
      </c>
      <c r="C7" s="11">
        <f>power!A7</f>
        <v>6</v>
      </c>
      <c r="D7" s="11">
        <f>VLOOKUP(A7,powerflaws!AS$3:AT$34,2,FALSE)</f>
        <v>4</v>
      </c>
      <c r="E7" s="11">
        <f>VLOOKUP(A7,powerflaws!AS$3:AU$34,3,FALSE)</f>
        <v>1</v>
      </c>
    </row>
    <row r="8" spans="1:5" x14ac:dyDescent="0.15">
      <c r="A8" s="11" t="str">
        <f>power!F20</f>
        <v>DET</v>
      </c>
      <c r="B8" s="11" t="str">
        <f>power!B20</f>
        <v>Detroit Lions</v>
      </c>
      <c r="C8" s="11">
        <f>power!A20</f>
        <v>19</v>
      </c>
      <c r="D8" s="11">
        <f>VLOOKUP(A8,powerflaws!AS$3:AT$34,2,FALSE)</f>
        <v>2</v>
      </c>
      <c r="E8" s="11">
        <f>VLOOKUP(A8,powerflaws!AS$3:AU$34,3,FALSE)</f>
        <v>3</v>
      </c>
    </row>
    <row r="9" spans="1:5" x14ac:dyDescent="0.15">
      <c r="A9" s="11" t="str">
        <f>power!F13</f>
        <v>DEN</v>
      </c>
      <c r="B9" s="11" t="str">
        <f>power!B13</f>
        <v>Denver Broncos</v>
      </c>
      <c r="C9" s="11">
        <f>power!A13</f>
        <v>12</v>
      </c>
      <c r="D9" s="11">
        <f>VLOOKUP(A9,powerflaws!AS$3:AT$34,2,FALSE)</f>
        <v>3</v>
      </c>
      <c r="E9" s="11">
        <f>VLOOKUP(A9,powerflaws!AS$3:AU$34,3,FALSE)</f>
        <v>3</v>
      </c>
    </row>
    <row r="10" spans="1:5" x14ac:dyDescent="0.15">
      <c r="A10" s="11" t="str">
        <f>power!F29</f>
        <v>CAR</v>
      </c>
      <c r="B10" s="11" t="str">
        <f>power!B29</f>
        <v>Carolina Panthers</v>
      </c>
      <c r="C10" s="11">
        <f>power!A29</f>
        <v>28</v>
      </c>
      <c r="D10" s="11">
        <f>VLOOKUP(A10,powerflaws!AS$3:AT$34,2,FALSE)</f>
        <v>1</v>
      </c>
      <c r="E10" s="11">
        <f>VLOOKUP(A10,powerflaws!AS$3:AU$34,3,FALSE)</f>
        <v>4</v>
      </c>
    </row>
    <row r="11" spans="1:5" x14ac:dyDescent="0.15">
      <c r="A11" s="11" t="str">
        <f>power!F2</f>
        <v>ATL</v>
      </c>
      <c r="B11" s="11" t="str">
        <f>power!B2</f>
        <v>Atlanta Falcons</v>
      </c>
      <c r="C11" s="11">
        <f>power!A2</f>
        <v>1</v>
      </c>
      <c r="D11" s="11">
        <f>VLOOKUP(A11,powerflaws!AS$3:AT$34,2,FALSE)</f>
        <v>6</v>
      </c>
      <c r="E11" s="11">
        <f>VLOOKUP(A11,powerflaws!AS$3:AU$34,3,FALSE)</f>
        <v>0</v>
      </c>
    </row>
    <row r="12" spans="1:5" x14ac:dyDescent="0.15">
      <c r="A12" s="11" t="str">
        <f>power!F19</f>
        <v>DAL</v>
      </c>
      <c r="B12" s="11" t="str">
        <f>power!B19</f>
        <v>Dallas Cowboys</v>
      </c>
      <c r="C12" s="11">
        <f>power!A19</f>
        <v>18</v>
      </c>
      <c r="D12" s="11">
        <f>VLOOKUP(A12,powerflaws!AS$3:AT$34,2,FALSE)</f>
        <v>2</v>
      </c>
      <c r="E12" s="11">
        <f>VLOOKUP(A12,powerflaws!AS$3:AU$34,3,FALSE)</f>
        <v>3</v>
      </c>
    </row>
    <row r="13" spans="1:5" x14ac:dyDescent="0.15">
      <c r="A13" s="11" t="str">
        <f>power!F11</f>
        <v>MIN</v>
      </c>
      <c r="B13" s="11" t="str">
        <f>power!B11</f>
        <v>Minnesota Vikings</v>
      </c>
      <c r="C13" s="11">
        <f>power!A11</f>
        <v>10</v>
      </c>
      <c r="D13" s="11">
        <f>VLOOKUP(A13,powerflaws!AS$3:AT$34,2,FALSE)</f>
        <v>4</v>
      </c>
      <c r="E13" s="11">
        <f>VLOOKUP(A13,powerflaws!AS$3:AU$34,3,FALSE)</f>
        <v>2</v>
      </c>
    </row>
    <row r="14" spans="1:5" x14ac:dyDescent="0.15">
      <c r="A14" s="11" t="str">
        <f>power!F25</f>
        <v>NO</v>
      </c>
      <c r="B14" s="11" t="str">
        <f>power!B25</f>
        <v>New Orleans Saints</v>
      </c>
      <c r="C14" s="11">
        <f>power!A25</f>
        <v>24</v>
      </c>
      <c r="D14" s="11">
        <f>VLOOKUP(A14,powerflaws!AS$3:AT$34,2,FALSE)</f>
        <v>1</v>
      </c>
      <c r="E14" s="11">
        <f>VLOOKUP(A14,powerflaws!AS$3:AU$34,3,FALSE)</f>
        <v>4</v>
      </c>
    </row>
    <row r="15" spans="1:5" x14ac:dyDescent="0.15">
      <c r="A15" s="11" t="str">
        <f>power!F26</f>
        <v>BUF</v>
      </c>
      <c r="B15" s="11" t="str">
        <f>power!B26</f>
        <v>Buffalo Bills</v>
      </c>
      <c r="C15" s="11">
        <f>power!A26</f>
        <v>25</v>
      </c>
      <c r="D15" s="11">
        <f>VLOOKUP(A15,powerflaws!AS$3:AT$34,2,FALSE)</f>
        <v>3</v>
      </c>
      <c r="E15" s="11">
        <f>VLOOKUP(A15,powerflaws!AS$3:AU$34,3,FALSE)</f>
        <v>3</v>
      </c>
    </row>
    <row r="16" spans="1:5" x14ac:dyDescent="0.15">
      <c r="A16" s="11" t="str">
        <f>power!F33</f>
        <v>KC</v>
      </c>
      <c r="B16" s="11" t="str">
        <f>power!B33</f>
        <v>Kansas City Chiefs</v>
      </c>
      <c r="C16" s="11">
        <f>power!A33</f>
        <v>31</v>
      </c>
      <c r="D16" s="11">
        <f>VLOOKUP(A16,powerflaws!AS$3:AT$34,2,FALSE)</f>
        <v>1</v>
      </c>
      <c r="E16" s="11">
        <f>VLOOKUP(A16,powerflaws!AS$3:AU$34,3,FALSE)</f>
        <v>5</v>
      </c>
    </row>
    <row r="17" spans="1:5" x14ac:dyDescent="0.15">
      <c r="A17" s="11" t="str">
        <f>power!F27</f>
        <v>IND</v>
      </c>
      <c r="B17" s="11" t="str">
        <f>power!B27</f>
        <v>Indianapolis Colts</v>
      </c>
      <c r="C17" s="11">
        <f>power!A27</f>
        <v>26</v>
      </c>
      <c r="D17" s="11">
        <f>VLOOKUP(A17,powerflaws!AS$3:AT$34,2,FALSE)</f>
        <v>2</v>
      </c>
      <c r="E17" s="11">
        <f>VLOOKUP(A17,powerflaws!AS$3:AU$34,3,FALSE)</f>
        <v>3</v>
      </c>
    </row>
    <row r="18" spans="1:5" x14ac:dyDescent="0.15">
      <c r="A18" s="11" t="str">
        <f>power!F18</f>
        <v>MIA</v>
      </c>
      <c r="B18" s="11" t="str">
        <f>power!B18</f>
        <v>Miami Dolphins</v>
      </c>
      <c r="C18" s="11">
        <f>power!A18</f>
        <v>17</v>
      </c>
      <c r="D18" s="11">
        <f>VLOOKUP(A18,powerflaws!AS$3:AT$34,2,FALSE)</f>
        <v>3</v>
      </c>
      <c r="E18" s="11">
        <f>VLOOKUP(A18,powerflaws!AS$3:AU$34,3,FALSE)</f>
        <v>3</v>
      </c>
    </row>
    <row r="19" spans="1:5" x14ac:dyDescent="0.15">
      <c r="A19" s="11" t="str">
        <f>power!F10</f>
        <v>SEA</v>
      </c>
      <c r="B19" s="11" t="str">
        <f>power!B10</f>
        <v>Seattle Seahawks</v>
      </c>
      <c r="C19" s="11">
        <f>power!A10</f>
        <v>9</v>
      </c>
      <c r="D19" s="11">
        <f>VLOOKUP(A19,powerflaws!AS$3:AT$34,2,FALSE)</f>
        <v>4</v>
      </c>
      <c r="E19" s="11">
        <f>VLOOKUP(A19,powerflaws!AS$3:AU$34,3,FALSE)</f>
        <v>2</v>
      </c>
    </row>
    <row r="20" spans="1:5" x14ac:dyDescent="0.15">
      <c r="A20" s="11" t="str">
        <f>power!F12</f>
        <v>ARI</v>
      </c>
      <c r="B20" s="11" t="str">
        <f>power!B12</f>
        <v>Arizona Cardinals</v>
      </c>
      <c r="C20" s="11">
        <f>power!A12</f>
        <v>10</v>
      </c>
      <c r="D20" s="11">
        <f>VLOOKUP(A20,powerflaws!AS$3:AT$34,2,FALSE)</f>
        <v>4</v>
      </c>
      <c r="E20" s="11">
        <f>VLOOKUP(A20,powerflaws!AS$3:AU$34,3,FALSE)</f>
        <v>2</v>
      </c>
    </row>
    <row r="21" spans="1:5" x14ac:dyDescent="0.15">
      <c r="A21" s="11" t="str">
        <f>power!F30</f>
        <v>OAK</v>
      </c>
      <c r="B21" s="11" t="str">
        <f>power!B30</f>
        <v>Oakland Raiders</v>
      </c>
      <c r="C21" s="11">
        <f>power!A30</f>
        <v>29</v>
      </c>
      <c r="D21" s="11">
        <f>VLOOKUP(A21,powerflaws!AS$3:AT$34,2,FALSE)</f>
        <v>1</v>
      </c>
      <c r="E21" s="11">
        <f>VLOOKUP(A21,powerflaws!AS$3:AU$34,3,FALSE)</f>
        <v>4</v>
      </c>
    </row>
    <row r="22" spans="1:5" x14ac:dyDescent="0.15">
      <c r="A22" s="11" t="str">
        <f>power!F8</f>
        <v>NE</v>
      </c>
      <c r="B22" s="11" t="str">
        <f>power!B8</f>
        <v>New England Patriots</v>
      </c>
      <c r="C22" s="11">
        <f>power!A8</f>
        <v>7</v>
      </c>
      <c r="D22" s="11">
        <f>VLOOKUP(A22,powerflaws!AS$3:AT$34,2,FALSE)</f>
        <v>3</v>
      </c>
      <c r="E22" s="11">
        <f>VLOOKUP(A22,powerflaws!AS$3:AU$34,3,FALSE)</f>
        <v>3</v>
      </c>
    </row>
    <row r="23" spans="1:5" x14ac:dyDescent="0.15">
      <c r="A23" s="11" t="str">
        <f>power!F31</f>
        <v>CLE</v>
      </c>
      <c r="B23" s="11" t="str">
        <f>power!B31</f>
        <v>Cleveland Browns</v>
      </c>
      <c r="C23" s="11">
        <f>power!A31</f>
        <v>30</v>
      </c>
      <c r="D23" s="11">
        <f>VLOOKUP(A23,powerflaws!AS$3:AT$34,2,FALSE)</f>
        <v>1</v>
      </c>
      <c r="E23" s="11">
        <f>VLOOKUP(A23,powerflaws!AS$3:AU$34,3,FALSE)</f>
        <v>5</v>
      </c>
    </row>
    <row r="24" spans="1:5" x14ac:dyDescent="0.15">
      <c r="A24" s="11" t="str">
        <f>power!F23</f>
        <v>TB</v>
      </c>
      <c r="B24" s="11" t="str">
        <f>power!B23</f>
        <v>Tampa Bay Bucs</v>
      </c>
      <c r="C24" s="11">
        <f>power!A23</f>
        <v>22</v>
      </c>
      <c r="D24" s="11">
        <f>VLOOKUP(A24,powerflaws!AS$3:AT$34,2,FALSE)</f>
        <v>2</v>
      </c>
      <c r="E24" s="11">
        <f>VLOOKUP(A24,powerflaws!AS$3:AU$34,3,FALSE)</f>
        <v>3</v>
      </c>
    </row>
    <row r="25" spans="1:5" x14ac:dyDescent="0.15">
      <c r="A25" s="11" t="str">
        <f>power!F21</f>
        <v>STL</v>
      </c>
      <c r="B25" s="11" t="str">
        <f>power!B21</f>
        <v>St. Louis Rams</v>
      </c>
      <c r="C25" s="11">
        <f>power!A21</f>
        <v>20</v>
      </c>
      <c r="D25" s="11">
        <f>VLOOKUP(A25,powerflaws!AS$3:AT$34,2,FALSE)</f>
        <v>3</v>
      </c>
      <c r="E25" s="11">
        <f>VLOOKUP(A25,powerflaws!AS$3:AU$34,3,FALSE)</f>
        <v>3</v>
      </c>
    </row>
    <row r="26" spans="1:5" x14ac:dyDescent="0.15">
      <c r="A26" s="11" t="str">
        <f>power!F5</f>
        <v>BAL</v>
      </c>
      <c r="B26" s="11" t="str">
        <f>power!B5</f>
        <v>Baltimore Ravens</v>
      </c>
      <c r="C26" s="11">
        <f>power!A5</f>
        <v>4</v>
      </c>
      <c r="D26" s="11">
        <f>VLOOKUP(A26,powerflaws!AS$3:AT$34,2,FALSE)</f>
        <v>5</v>
      </c>
      <c r="E26" s="11">
        <f>VLOOKUP(A26,powerflaws!AS$3:AU$34,3,FALSE)</f>
        <v>1</v>
      </c>
    </row>
    <row r="27" spans="1:5" x14ac:dyDescent="0.15">
      <c r="A27" s="11" t="str">
        <f>power!F15</f>
        <v>PIT</v>
      </c>
      <c r="B27" s="11" t="str">
        <f>power!B15</f>
        <v>Pittsburgh Steelers</v>
      </c>
      <c r="C27" s="11">
        <f>power!A15</f>
        <v>14</v>
      </c>
      <c r="D27" s="11">
        <f>VLOOKUP(A27,powerflaws!AS$3:AT$34,2,FALSE)</f>
        <v>2</v>
      </c>
      <c r="E27" s="11">
        <f>VLOOKUP(A27,powerflaws!AS$3:AU$34,3,FALSE)</f>
        <v>3</v>
      </c>
    </row>
    <row r="28" spans="1:5" x14ac:dyDescent="0.15">
      <c r="A28" s="11" t="str">
        <f>power!F32</f>
        <v>JAC</v>
      </c>
      <c r="B28" s="11" t="str">
        <f>power!B32</f>
        <v>Jacksonville Jaguars</v>
      </c>
      <c r="C28" s="11">
        <f>power!A32</f>
        <v>31</v>
      </c>
      <c r="D28" s="11">
        <f>VLOOKUP(A28,powerflaws!AS$3:AT$34,2,FALSE)</f>
        <v>1</v>
      </c>
      <c r="E28" s="11">
        <f>VLOOKUP(A28,powerflaws!AS$3:AU$34,3,FALSE)</f>
        <v>4</v>
      </c>
    </row>
    <row r="29" spans="1:5" x14ac:dyDescent="0.15">
      <c r="A29" s="11" t="str">
        <f>power!F6</f>
        <v>SF</v>
      </c>
      <c r="B29" s="11" t="str">
        <f>power!B6</f>
        <v>San Francisco 49ers</v>
      </c>
      <c r="C29" s="11">
        <f>power!A6</f>
        <v>5</v>
      </c>
      <c r="D29" s="11">
        <f>VLOOKUP(A29,powerflaws!AS$3:AT$34,2,FALSE)</f>
        <v>4</v>
      </c>
      <c r="E29" s="11">
        <f>VLOOKUP(A29,powerflaws!AS$3:AU$34,3,FALSE)</f>
        <v>2</v>
      </c>
    </row>
    <row r="30" spans="1:5" x14ac:dyDescent="0.15">
      <c r="A30" s="11" t="str">
        <f>power!F24</f>
        <v>NYJ</v>
      </c>
      <c r="B30" s="11" t="str">
        <f>power!B24</f>
        <v>New York Jets</v>
      </c>
      <c r="C30" s="11">
        <f>power!A24</f>
        <v>23</v>
      </c>
      <c r="D30" s="11">
        <f>VLOOKUP(A30,powerflaws!AS$3:AT$34,2,FALSE)</f>
        <v>3</v>
      </c>
      <c r="E30" s="11">
        <f>VLOOKUP(A30,powerflaws!AS$3:AU$34,3,FALSE)</f>
        <v>3</v>
      </c>
    </row>
    <row r="31" spans="1:5" x14ac:dyDescent="0.15">
      <c r="A31" s="11" t="str">
        <f>power!F9</f>
        <v>GB</v>
      </c>
      <c r="B31" s="11" t="str">
        <f>power!B9</f>
        <v>Green Bay Packers</v>
      </c>
      <c r="C31" s="11">
        <f>power!A9</f>
        <v>8</v>
      </c>
      <c r="D31" s="11">
        <f>VLOOKUP(A31,powerflaws!AS$3:AT$34,2,FALSE)</f>
        <v>3</v>
      </c>
      <c r="E31" s="11">
        <f>VLOOKUP(A31,powerflaws!AS$3:AU$34,3,FALSE)</f>
        <v>3</v>
      </c>
    </row>
    <row r="32" spans="1:5" x14ac:dyDescent="0.15">
      <c r="A32" s="11" t="str">
        <f>power!F16</f>
        <v>WAS</v>
      </c>
      <c r="B32" s="11" t="str">
        <f>power!B16</f>
        <v>Washington Redskins</v>
      </c>
      <c r="C32" s="11">
        <f>power!A16</f>
        <v>15</v>
      </c>
      <c r="D32" s="11">
        <f>VLOOKUP(A32,powerflaws!AS$3:AT$34,2,FALSE)</f>
        <v>3</v>
      </c>
      <c r="E32" s="11">
        <f>VLOOKUP(A32,powerflaws!AS$3:AU$34,3,FALSE)</f>
        <v>3</v>
      </c>
    </row>
    <row r="33" spans="1:5" x14ac:dyDescent="0.15">
      <c r="A33" s="11" t="str">
        <f>power!F17</f>
        <v>SD</v>
      </c>
      <c r="B33" s="11" t="str">
        <f>power!B17</f>
        <v>San Diego Chargers</v>
      </c>
      <c r="C33" s="11">
        <f>power!A17</f>
        <v>16</v>
      </c>
      <c r="D33" s="11">
        <f>VLOOKUP(A33,powerflaws!AS$3:AT$34,2,FALSE)</f>
        <v>3</v>
      </c>
      <c r="E33" s="11">
        <f>VLOOKUP(A33,powerflaws!AS$3:AU$34,3,FALSE)</f>
        <v>3</v>
      </c>
    </row>
  </sheetData>
  <autoFilter ref="A1:E1">
    <sortState ref="A2:E33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power</vt:lpstr>
      <vt:lpstr>Sando</vt:lpstr>
      <vt:lpstr>Clayton</vt:lpstr>
      <vt:lpstr>Graziano</vt:lpstr>
      <vt:lpstr>Hensley</vt:lpstr>
      <vt:lpstr>Fox</vt:lpstr>
      <vt:lpstr>powerflaws</vt:lpstr>
      <vt:lpstr>Power by Week</vt:lpstr>
      <vt:lpstr>divisions</vt:lpstr>
      <vt:lpstr>howfared</vt:lpstr>
      <vt:lpstr>skedlookup</vt:lpstr>
      <vt:lpstr>powerflaws!standings?category_league_season_2008_REG_split_Overall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2012-10-16T14:03:40Z</dcterms:created>
  <dcterms:modified xsi:type="dcterms:W3CDTF">2012-10-16T14:04:21Z</dcterms:modified>
</cp:coreProperties>
</file>