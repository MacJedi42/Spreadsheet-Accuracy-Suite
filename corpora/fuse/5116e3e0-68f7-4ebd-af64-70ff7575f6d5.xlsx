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6" yWindow="4764" windowWidth="20208" windowHeight="4680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C9" i="1"/>
  <c r="B9" i="1"/>
  <c r="E8" i="1"/>
  <c r="D8" i="1"/>
  <c r="C8" i="1"/>
  <c r="B8" i="1"/>
  <c r="D7" i="1"/>
  <c r="C7" i="1"/>
  <c r="B7" i="1"/>
  <c r="D6" i="1"/>
  <c r="C6" i="1"/>
  <c r="B6" i="1"/>
  <c r="D5" i="1"/>
  <c r="C5" i="1"/>
  <c r="B5" i="1"/>
  <c r="AZ579" i="3"/>
  <c r="BE579" i="3" s="1"/>
  <c r="BA579" i="3"/>
  <c r="BF579" i="3" s="1"/>
  <c r="BB579" i="3"/>
  <c r="BC579" i="3"/>
  <c r="BD579" i="3"/>
  <c r="BG579" i="3"/>
  <c r="BH579" i="3"/>
  <c r="BI579" i="3"/>
  <c r="AP579" i="3"/>
  <c r="AQ579" i="3"/>
  <c r="AR579" i="3"/>
  <c r="AS579" i="3"/>
  <c r="AT579" i="3" s="1"/>
  <c r="AU579" i="3"/>
  <c r="AI579" i="3"/>
  <c r="AJ579" i="3"/>
  <c r="AK579" i="3"/>
  <c r="AL579" i="3"/>
  <c r="AM579" i="3"/>
  <c r="AN579" i="3"/>
  <c r="Y579" i="3"/>
  <c r="Z579" i="3"/>
  <c r="AC579" i="3" s="1"/>
  <c r="AA579" i="3"/>
  <c r="AB579" i="3"/>
  <c r="O579" i="3"/>
  <c r="P579" i="3" s="1"/>
  <c r="Q579" i="3"/>
  <c r="E579" i="3"/>
  <c r="F579" i="3"/>
  <c r="G579" i="3"/>
  <c r="H579" i="3"/>
  <c r="I579" i="3"/>
  <c r="J579" i="3"/>
  <c r="A579" i="3"/>
  <c r="AW579" i="3" l="1"/>
  <c r="AX579" i="3"/>
  <c r="AV579" i="3"/>
  <c r="AD579" i="3"/>
  <c r="S579" i="3"/>
  <c r="T579" i="3"/>
  <c r="R579" i="3"/>
  <c r="AZ578" i="3"/>
  <c r="BA578" i="3"/>
  <c r="BF578" i="3" s="1"/>
  <c r="BB578" i="3"/>
  <c r="BG578" i="3" s="1"/>
  <c r="BC578" i="3"/>
  <c r="BH578" i="3" s="1"/>
  <c r="BD578" i="3"/>
  <c r="BI578" i="3" s="1"/>
  <c r="BE578" i="3"/>
  <c r="AT578" i="3"/>
  <c r="AW578" i="3" s="1"/>
  <c r="AU578" i="3"/>
  <c r="AV578" i="3"/>
  <c r="AQ578" i="3"/>
  <c r="AL578" i="3"/>
  <c r="AJ578" i="3"/>
  <c r="AK578" i="3"/>
  <c r="AM578" i="3"/>
  <c r="AN578" i="3"/>
  <c r="AI578" i="3"/>
  <c r="AS578" i="3"/>
  <c r="AR578" i="3"/>
  <c r="AP578" i="3"/>
  <c r="Y578" i="3"/>
  <c r="Z578" i="3"/>
  <c r="AC578" i="3" s="1"/>
  <c r="AA578" i="3"/>
  <c r="AB578" i="3"/>
  <c r="O578" i="3"/>
  <c r="P578" i="3"/>
  <c r="Q578" i="3"/>
  <c r="T578" i="3" s="1"/>
  <c r="R578" i="3"/>
  <c r="S578" i="3"/>
  <c r="E578" i="3"/>
  <c r="F578" i="3"/>
  <c r="I578" i="3" s="1"/>
  <c r="G578" i="3"/>
  <c r="H578" i="3"/>
  <c r="A578" i="3"/>
  <c r="AX578" i="3" l="1"/>
  <c r="AD578" i="3"/>
  <c r="J578" i="3"/>
  <c r="AZ577" i="3"/>
  <c r="BA577" i="3"/>
  <c r="BB577" i="3"/>
  <c r="BC577" i="3"/>
  <c r="BH577" i="3" s="1"/>
  <c r="BD577" i="3"/>
  <c r="BE577" i="3"/>
  <c r="BF577" i="3"/>
  <c r="BG577" i="3"/>
  <c r="BI577" i="3"/>
  <c r="AQ577" i="3"/>
  <c r="AR577" i="3"/>
  <c r="AS577" i="3"/>
  <c r="AT577" i="3" s="1"/>
  <c r="AU577" i="3"/>
  <c r="AI577" i="3"/>
  <c r="AJ577" i="3"/>
  <c r="AM577" i="3" s="1"/>
  <c r="AK577" i="3"/>
  <c r="AP577" i="3"/>
  <c r="Y577" i="3"/>
  <c r="Z577" i="3"/>
  <c r="AC577" i="3" s="1"/>
  <c r="AA577" i="3"/>
  <c r="AB577" i="3"/>
  <c r="O577" i="3"/>
  <c r="P577" i="3"/>
  <c r="Q577" i="3"/>
  <c r="R577" i="3"/>
  <c r="S577" i="3"/>
  <c r="T577" i="3"/>
  <c r="E577" i="3"/>
  <c r="H577" i="3" s="1"/>
  <c r="G577" i="3"/>
  <c r="A577" i="3"/>
  <c r="AW577" i="3" l="1"/>
  <c r="AX577" i="3"/>
  <c r="AV577" i="3"/>
  <c r="AN577" i="3"/>
  <c r="AD577" i="3"/>
  <c r="F577" i="3"/>
  <c r="AZ576" i="3"/>
  <c r="BE576" i="3" s="1"/>
  <c r="BA576" i="3"/>
  <c r="BF576" i="3" s="1"/>
  <c r="BB576" i="3"/>
  <c r="BC576" i="3"/>
  <c r="BD576" i="3"/>
  <c r="BG576" i="3"/>
  <c r="BH576" i="3"/>
  <c r="BI576" i="3"/>
  <c r="AP576" i="3"/>
  <c r="AQ576" i="3"/>
  <c r="AR576" i="3"/>
  <c r="AS576" i="3"/>
  <c r="AT576" i="3"/>
  <c r="AX576" i="3" s="1"/>
  <c r="AU576" i="3"/>
  <c r="AV576" i="3"/>
  <c r="AW576" i="3"/>
  <c r="AJ576" i="3"/>
  <c r="AK576" i="3"/>
  <c r="AL576" i="3"/>
  <c r="AM576" i="3"/>
  <c r="AN576" i="3"/>
  <c r="AI576" i="3"/>
  <c r="Y576" i="3"/>
  <c r="Z576" i="3" s="1"/>
  <c r="AA576" i="3"/>
  <c r="O576" i="3"/>
  <c r="P576" i="3" s="1"/>
  <c r="Q576" i="3"/>
  <c r="G576" i="3"/>
  <c r="E576" i="3"/>
  <c r="H576" i="3" s="1"/>
  <c r="A576" i="3"/>
  <c r="I577" i="3" l="1"/>
  <c r="J577" i="3"/>
  <c r="AC576" i="3"/>
  <c r="AD576" i="3"/>
  <c r="AB576" i="3"/>
  <c r="S576" i="3"/>
  <c r="T576" i="3"/>
  <c r="R576" i="3"/>
  <c r="BA575" i="3"/>
  <c r="BF575" i="3" s="1"/>
  <c r="BB575" i="3"/>
  <c r="BC575" i="3"/>
  <c r="BH575" i="3" s="1"/>
  <c r="BG575" i="3"/>
  <c r="AP575" i="3"/>
  <c r="AQ575" i="3"/>
  <c r="AR575" i="3"/>
  <c r="AU575" i="3"/>
  <c r="AI575" i="3"/>
  <c r="AJ575" i="3"/>
  <c r="AK575" i="3"/>
  <c r="AN575" i="3" s="1"/>
  <c r="AL575" i="3"/>
  <c r="AM575" i="3"/>
  <c r="Y575" i="3"/>
  <c r="Z575" i="3"/>
  <c r="AA575" i="3"/>
  <c r="AB575" i="3"/>
  <c r="AC575" i="3"/>
  <c r="AD575" i="3"/>
  <c r="O575" i="3"/>
  <c r="P575" i="3"/>
  <c r="T575" i="3" s="1"/>
  <c r="Q575" i="3"/>
  <c r="R575" i="3"/>
  <c r="S575" i="3"/>
  <c r="G575" i="3"/>
  <c r="E575" i="3"/>
  <c r="F576" i="3" s="1"/>
  <c r="A575" i="3"/>
  <c r="J576" i="3" l="1"/>
  <c r="I576" i="3"/>
  <c r="AS575" i="3"/>
  <c r="AZ575" i="3"/>
  <c r="H575" i="3"/>
  <c r="F575" i="3"/>
  <c r="AZ574" i="3"/>
  <c r="BE574" i="3" s="1"/>
  <c r="BA574" i="3"/>
  <c r="BF574" i="3" s="1"/>
  <c r="BB574" i="3"/>
  <c r="BG574" i="3" s="1"/>
  <c r="BC574" i="3"/>
  <c r="BD574" i="3"/>
  <c r="BH574" i="3"/>
  <c r="BI574" i="3"/>
  <c r="AQ574" i="3"/>
  <c r="AR574" i="3"/>
  <c r="AS574" i="3"/>
  <c r="AT574" i="3"/>
  <c r="AW574" i="3" s="1"/>
  <c r="AU574" i="3"/>
  <c r="AV574" i="3"/>
  <c r="AI574" i="3"/>
  <c r="AL574" i="3" s="1"/>
  <c r="AJ574" i="3"/>
  <c r="AK574" i="3"/>
  <c r="AM574" i="3"/>
  <c r="AN574" i="3"/>
  <c r="AP574" i="3"/>
  <c r="Y574" i="3"/>
  <c r="Z574" i="3"/>
  <c r="AA574" i="3"/>
  <c r="AD574" i="3" s="1"/>
  <c r="AB574" i="3"/>
  <c r="AC574" i="3"/>
  <c r="O574" i="3"/>
  <c r="P574" i="3"/>
  <c r="T574" i="3" s="1"/>
  <c r="Q574" i="3"/>
  <c r="R574" i="3"/>
  <c r="E574" i="3"/>
  <c r="F574" i="3"/>
  <c r="J574" i="3" s="1"/>
  <c r="G574" i="3"/>
  <c r="H574" i="3"/>
  <c r="I574" i="3"/>
  <c r="A574" i="3"/>
  <c r="AV575" i="3" l="1"/>
  <c r="AT575" i="3"/>
  <c r="BD575" i="3"/>
  <c r="BE575" i="3"/>
  <c r="I575" i="3"/>
  <c r="J575" i="3"/>
  <c r="AX574" i="3"/>
  <c r="S574" i="3"/>
  <c r="AZ573" i="3"/>
  <c r="BA573" i="3"/>
  <c r="BF573" i="3" s="1"/>
  <c r="BB573" i="3"/>
  <c r="BG573" i="3" s="1"/>
  <c r="BC573" i="3"/>
  <c r="BH573" i="3" s="1"/>
  <c r="BD573" i="3"/>
  <c r="BI573" i="3" s="1"/>
  <c r="BE573" i="3"/>
  <c r="AQ573" i="3"/>
  <c r="AR573" i="3"/>
  <c r="AS573" i="3"/>
  <c r="AT573" i="3"/>
  <c r="AW573" i="3" s="1"/>
  <c r="AU573" i="3"/>
  <c r="AV573" i="3"/>
  <c r="AI573" i="3"/>
  <c r="AJ573" i="3"/>
  <c r="AK573" i="3"/>
  <c r="AL573" i="3"/>
  <c r="AM573" i="3"/>
  <c r="AN573" i="3"/>
  <c r="AP573" i="3"/>
  <c r="Y573" i="3"/>
  <c r="Z573" i="3"/>
  <c r="AD573" i="3" s="1"/>
  <c r="AA573" i="3"/>
  <c r="AB573" i="3"/>
  <c r="AC573" i="3"/>
  <c r="O573" i="3"/>
  <c r="P573" i="3"/>
  <c r="Q573" i="3"/>
  <c r="R573" i="3"/>
  <c r="S573" i="3"/>
  <c r="T573" i="3"/>
  <c r="E573" i="3"/>
  <c r="F573" i="3" s="1"/>
  <c r="G573" i="3"/>
  <c r="H573" i="3"/>
  <c r="AZ572" i="3"/>
  <c r="BA572" i="3"/>
  <c r="BF572" i="3" s="1"/>
  <c r="BB572" i="3"/>
  <c r="BG572" i="3" s="1"/>
  <c r="BC572" i="3"/>
  <c r="BH572" i="3" s="1"/>
  <c r="BD572" i="3"/>
  <c r="BI572" i="3" s="1"/>
  <c r="BE572" i="3"/>
  <c r="AR572" i="3"/>
  <c r="AS572" i="3"/>
  <c r="AT572" i="3"/>
  <c r="AX572" i="3" s="1"/>
  <c r="AU572" i="3"/>
  <c r="AV572" i="3"/>
  <c r="AW572" i="3"/>
  <c r="AI572" i="3"/>
  <c r="AJ572" i="3"/>
  <c r="AK572" i="3"/>
  <c r="AL572" i="3"/>
  <c r="AM572" i="3"/>
  <c r="AN572" i="3"/>
  <c r="AQ572" i="3"/>
  <c r="AP572" i="3"/>
  <c r="Y572" i="3"/>
  <c r="Z572" i="3" s="1"/>
  <c r="AA572" i="3"/>
  <c r="AB572" i="3"/>
  <c r="O572" i="3"/>
  <c r="P572" i="3"/>
  <c r="Q572" i="3"/>
  <c r="R572" i="3"/>
  <c r="S572" i="3"/>
  <c r="T572" i="3"/>
  <c r="E572" i="3"/>
  <c r="F572" i="3"/>
  <c r="G572" i="3"/>
  <c r="H572" i="3"/>
  <c r="I572" i="3"/>
  <c r="J572" i="3"/>
  <c r="AZ571" i="3"/>
  <c r="BA571" i="3"/>
  <c r="BF571" i="3" s="1"/>
  <c r="BB571" i="3"/>
  <c r="BG571" i="3" s="1"/>
  <c r="BC571" i="3"/>
  <c r="BH571" i="3" s="1"/>
  <c r="BD571" i="3"/>
  <c r="BI571" i="3" s="1"/>
  <c r="BE571" i="3"/>
  <c r="AR571" i="3"/>
  <c r="AS571" i="3"/>
  <c r="AT571" i="3"/>
  <c r="AX571" i="3" s="1"/>
  <c r="AU571" i="3"/>
  <c r="AV571" i="3"/>
  <c r="AW571" i="3"/>
  <c r="AL567" i="3"/>
  <c r="AL571" i="3"/>
  <c r="AI571" i="3"/>
  <c r="AJ571" i="3"/>
  <c r="AK571" i="3"/>
  <c r="AM571" i="3"/>
  <c r="AN571" i="3"/>
  <c r="AQ571" i="3"/>
  <c r="AP571" i="3"/>
  <c r="Y571" i="3"/>
  <c r="Z571" i="3"/>
  <c r="AA571" i="3"/>
  <c r="AB571" i="3"/>
  <c r="AC571" i="3"/>
  <c r="AD571" i="3"/>
  <c r="O571" i="3"/>
  <c r="P571" i="3"/>
  <c r="Q571" i="3"/>
  <c r="R571" i="3"/>
  <c r="S571" i="3"/>
  <c r="T571" i="3"/>
  <c r="E571" i="3"/>
  <c r="F571" i="3" s="1"/>
  <c r="G571" i="3"/>
  <c r="A571" i="3"/>
  <c r="A572" i="3"/>
  <c r="A573" i="3"/>
  <c r="BI575" i="3" l="1"/>
  <c r="AW575" i="3"/>
  <c r="AX575" i="3"/>
  <c r="AX573" i="3"/>
  <c r="I573" i="3"/>
  <c r="J573" i="3"/>
  <c r="AD572" i="3"/>
  <c r="AC572" i="3"/>
  <c r="J571" i="3"/>
  <c r="I571" i="3"/>
  <c r="H571" i="3"/>
  <c r="AZ570" i="3"/>
  <c r="BA570" i="3"/>
  <c r="BB570" i="3"/>
  <c r="BC570" i="3"/>
  <c r="BD570" i="3"/>
  <c r="BE570" i="3"/>
  <c r="BF570" i="3"/>
  <c r="BG570" i="3"/>
  <c r="BH570" i="3"/>
  <c r="BI570" i="3"/>
  <c r="AT570" i="3"/>
  <c r="AU570" i="3"/>
  <c r="AV570" i="3"/>
  <c r="AW570" i="3"/>
  <c r="AX570" i="3"/>
  <c r="AJ570" i="3"/>
  <c r="AM570" i="3" s="1"/>
  <c r="AK570" i="3"/>
  <c r="AI570" i="3"/>
  <c r="AS570" i="3"/>
  <c r="AR570" i="3"/>
  <c r="AQ570" i="3"/>
  <c r="AP570" i="3"/>
  <c r="Y570" i="3"/>
  <c r="Z570" i="3"/>
  <c r="AC570" i="3" s="1"/>
  <c r="AA570" i="3"/>
  <c r="AB570" i="3"/>
  <c r="O570" i="3"/>
  <c r="P570" i="3"/>
  <c r="Q570" i="3"/>
  <c r="R570" i="3"/>
  <c r="S570" i="3"/>
  <c r="T570" i="3"/>
  <c r="E570" i="3"/>
  <c r="F570" i="3"/>
  <c r="J570" i="3" s="1"/>
  <c r="G570" i="3"/>
  <c r="H570" i="3"/>
  <c r="I570" i="3"/>
  <c r="A570" i="3"/>
  <c r="AN570" i="3" l="1"/>
  <c r="AD570" i="3"/>
  <c r="AZ569" i="3"/>
  <c r="BA569" i="3"/>
  <c r="BB569" i="3"/>
  <c r="BG569" i="3" s="1"/>
  <c r="BC569" i="3"/>
  <c r="BH569" i="3" s="1"/>
  <c r="BD569" i="3"/>
  <c r="BI569" i="3" s="1"/>
  <c r="BE569" i="3"/>
  <c r="BF569" i="3"/>
  <c r="AT569" i="3"/>
  <c r="AU569" i="3"/>
  <c r="AV569" i="3"/>
  <c r="AW569" i="3"/>
  <c r="AX569" i="3"/>
  <c r="AJ569" i="3"/>
  <c r="AM569" i="3" s="1"/>
  <c r="AK569" i="3"/>
  <c r="AI569" i="3"/>
  <c r="AS569" i="3" s="1"/>
  <c r="AR569" i="3"/>
  <c r="AQ569" i="3"/>
  <c r="AP569" i="3"/>
  <c r="Y569" i="3"/>
  <c r="Z569" i="3"/>
  <c r="AA569" i="3"/>
  <c r="AB569" i="3"/>
  <c r="AC569" i="3"/>
  <c r="AD569" i="3"/>
  <c r="O569" i="3"/>
  <c r="P569" i="3" s="1"/>
  <c r="Q569" i="3"/>
  <c r="E569" i="3"/>
  <c r="F569" i="3"/>
  <c r="G569" i="3"/>
  <c r="H569" i="3"/>
  <c r="I569" i="3"/>
  <c r="J569" i="3"/>
  <c r="A569" i="3"/>
  <c r="AN569" i="3" l="1"/>
  <c r="S569" i="3"/>
  <c r="T569" i="3"/>
  <c r="R569" i="3"/>
  <c r="AZ568" i="3"/>
  <c r="BA568" i="3"/>
  <c r="BB568" i="3"/>
  <c r="BG568" i="3" s="1"/>
  <c r="BC568" i="3"/>
  <c r="BH568" i="3" s="1"/>
  <c r="BD568" i="3"/>
  <c r="BI568" i="3" s="1"/>
  <c r="BE568" i="3"/>
  <c r="BF568" i="3"/>
  <c r="AP568" i="3"/>
  <c r="AQ568" i="3"/>
  <c r="AR568" i="3"/>
  <c r="AS568" i="3"/>
  <c r="AV568" i="3" s="1"/>
  <c r="AT568" i="3"/>
  <c r="AW568" i="3" s="1"/>
  <c r="AU568" i="3"/>
  <c r="AJ568" i="3"/>
  <c r="AK568" i="3"/>
  <c r="AL568" i="3"/>
  <c r="AM568" i="3"/>
  <c r="AN568" i="3"/>
  <c r="AI568" i="3"/>
  <c r="Z568" i="3"/>
  <c r="AA568" i="3"/>
  <c r="AB568" i="3"/>
  <c r="AC568" i="3"/>
  <c r="AD568" i="3"/>
  <c r="Y568" i="3"/>
  <c r="O568" i="3"/>
  <c r="R568" i="3" s="1"/>
  <c r="P568" i="3"/>
  <c r="T568" i="3" s="1"/>
  <c r="Q568" i="3"/>
  <c r="E568" i="3"/>
  <c r="F568" i="3" s="1"/>
  <c r="G568" i="3"/>
  <c r="A568" i="3"/>
  <c r="AX568" i="3" l="1"/>
  <c r="S568" i="3"/>
  <c r="J568" i="3"/>
  <c r="I568" i="3"/>
  <c r="H568" i="3"/>
  <c r="AZ567" i="3"/>
  <c r="BA567" i="3"/>
  <c r="BB567" i="3"/>
  <c r="BG567" i="3" s="1"/>
  <c r="BC567" i="3"/>
  <c r="BH567" i="3" s="1"/>
  <c r="BD567" i="3"/>
  <c r="BI567" i="3" s="1"/>
  <c r="BE567" i="3"/>
  <c r="BF567" i="3"/>
  <c r="AT567" i="3"/>
  <c r="AW567" i="3" s="1"/>
  <c r="AU567" i="3"/>
  <c r="AV567" i="3"/>
  <c r="AX567" i="3"/>
  <c r="AJ567" i="3"/>
  <c r="AK567" i="3"/>
  <c r="AM567" i="3"/>
  <c r="AN567" i="3"/>
  <c r="AI567" i="3"/>
  <c r="AS567" i="3"/>
  <c r="AR567" i="3"/>
  <c r="AQ567" i="3"/>
  <c r="AP567" i="3"/>
  <c r="Y567" i="3"/>
  <c r="Z567" i="3"/>
  <c r="AA567" i="3"/>
  <c r="AB567" i="3"/>
  <c r="AC567" i="3"/>
  <c r="AD567" i="3"/>
  <c r="O567" i="3"/>
  <c r="R567" i="3" s="1"/>
  <c r="P567" i="3"/>
  <c r="S567" i="3" s="1"/>
  <c r="Q567" i="3"/>
  <c r="T567" i="3"/>
  <c r="E567" i="3"/>
  <c r="F567" i="3" s="1"/>
  <c r="G567" i="3"/>
  <c r="H567" i="3"/>
  <c r="I567" i="3" l="1"/>
  <c r="J567" i="3"/>
  <c r="A567" i="3" l="1"/>
  <c r="AZ566" i="3" l="1"/>
  <c r="BA566" i="3"/>
  <c r="BF566" i="3" s="1"/>
  <c r="BB566" i="3"/>
  <c r="BG566" i="3" s="1"/>
  <c r="BC566" i="3"/>
  <c r="BH566" i="3" s="1"/>
  <c r="BD566" i="3"/>
  <c r="BI566" i="3" s="1"/>
  <c r="BE566" i="3"/>
  <c r="AT566" i="3"/>
  <c r="AW566" i="3" s="1"/>
  <c r="AU566" i="3"/>
  <c r="AV566" i="3"/>
  <c r="AJ566" i="3"/>
  <c r="AK566" i="3"/>
  <c r="AM566" i="3"/>
  <c r="AN566" i="3"/>
  <c r="AI566" i="3"/>
  <c r="AS566" i="3"/>
  <c r="AR566" i="3"/>
  <c r="AQ566" i="3"/>
  <c r="AP566" i="3"/>
  <c r="Z566" i="3"/>
  <c r="AA566" i="3"/>
  <c r="AB566" i="3"/>
  <c r="AC566" i="3"/>
  <c r="AD566" i="3"/>
  <c r="Y566" i="3"/>
  <c r="O566" i="3"/>
  <c r="P566" i="3"/>
  <c r="S566" i="3" s="1"/>
  <c r="Q566" i="3"/>
  <c r="R566" i="3"/>
  <c r="E566" i="3"/>
  <c r="F566" i="3"/>
  <c r="G566" i="3"/>
  <c r="J566" i="3" s="1"/>
  <c r="H566" i="3"/>
  <c r="I566" i="3"/>
  <c r="A566" i="3"/>
  <c r="AX566" i="3" l="1"/>
  <c r="T566" i="3"/>
  <c r="F565" i="3" l="1"/>
  <c r="BB565" i="3" l="1"/>
  <c r="BG565" i="3" s="1"/>
  <c r="BA565" i="3"/>
  <c r="BF565" i="3" s="1"/>
  <c r="AU565" i="3"/>
  <c r="AR565" i="3"/>
  <c r="AP565" i="3"/>
  <c r="AK565" i="3"/>
  <c r="AI565" i="3"/>
  <c r="AJ565" i="3" s="1"/>
  <c r="AQ565" i="3"/>
  <c r="AD565" i="3"/>
  <c r="AC565" i="3"/>
  <c r="AB565" i="3"/>
  <c r="AA565" i="3"/>
  <c r="Z565" i="3"/>
  <c r="Y565" i="3"/>
  <c r="T565" i="3"/>
  <c r="S565" i="3"/>
  <c r="R565" i="3"/>
  <c r="Q565" i="3"/>
  <c r="P565" i="3"/>
  <c r="O565" i="3"/>
  <c r="G565" i="3"/>
  <c r="E565" i="3"/>
  <c r="AZ565" i="3" s="1"/>
  <c r="BE565" i="3" s="1"/>
  <c r="A565" i="3"/>
  <c r="BC565" i="3" l="1"/>
  <c r="AL565" i="3"/>
  <c r="H565" i="3"/>
  <c r="AM565" i="3"/>
  <c r="AN565" i="3"/>
  <c r="AS565" i="3"/>
  <c r="I565" i="3"/>
  <c r="AZ564" i="3"/>
  <c r="BA564" i="3"/>
  <c r="BF564" i="3" s="1"/>
  <c r="BB564" i="3"/>
  <c r="BG564" i="3" s="1"/>
  <c r="BC564" i="3"/>
  <c r="BH564" i="3" s="1"/>
  <c r="BD564" i="3"/>
  <c r="BI564" i="3" s="1"/>
  <c r="BE564" i="3"/>
  <c r="AT564" i="3"/>
  <c r="AW564" i="3" s="1"/>
  <c r="AU564" i="3"/>
  <c r="AV564" i="3"/>
  <c r="AJ564" i="3"/>
  <c r="AN564" i="3" s="1"/>
  <c r="AK564" i="3"/>
  <c r="AL564" i="3"/>
  <c r="AM564" i="3"/>
  <c r="AI564" i="3"/>
  <c r="AS564" i="3"/>
  <c r="AR564" i="3"/>
  <c r="AQ564" i="3"/>
  <c r="AP564" i="3"/>
  <c r="Z564" i="3"/>
  <c r="AA564" i="3"/>
  <c r="AB564" i="3"/>
  <c r="AC564" i="3"/>
  <c r="AD564" i="3"/>
  <c r="Y564" i="3"/>
  <c r="O564" i="3"/>
  <c r="P564" i="3"/>
  <c r="T564" i="3" s="1"/>
  <c r="Q564" i="3"/>
  <c r="R564" i="3"/>
  <c r="S564" i="3"/>
  <c r="F564" i="3"/>
  <c r="G564" i="3"/>
  <c r="H564" i="3"/>
  <c r="I564" i="3"/>
  <c r="J564" i="3"/>
  <c r="E564" i="3"/>
  <c r="A564" i="3"/>
  <c r="BH565" i="3" l="1"/>
  <c r="J565" i="3"/>
  <c r="F10" i="1"/>
  <c r="AT565" i="3"/>
  <c r="BD565" i="3"/>
  <c r="AV565" i="3"/>
  <c r="AX564" i="3"/>
  <c r="AZ563" i="3"/>
  <c r="BE563" i="3" s="1"/>
  <c r="BA563" i="3"/>
  <c r="BF563" i="3" s="1"/>
  <c r="BB563" i="3"/>
  <c r="BG563" i="3" s="1"/>
  <c r="BC563" i="3"/>
  <c r="BD563" i="3"/>
  <c r="BH563" i="3"/>
  <c r="BI563" i="3"/>
  <c r="AT563" i="3"/>
  <c r="AU563" i="3"/>
  <c r="AV563" i="3"/>
  <c r="AW563" i="3"/>
  <c r="AX563" i="3"/>
  <c r="AJ563" i="3"/>
  <c r="AM563" i="3" s="1"/>
  <c r="AK563" i="3"/>
  <c r="AI563" i="3"/>
  <c r="AS563" i="3"/>
  <c r="AR563" i="3"/>
  <c r="AQ563" i="3"/>
  <c r="AP563" i="3"/>
  <c r="Z563" i="3"/>
  <c r="AC563" i="3" s="1"/>
  <c r="AA563" i="3"/>
  <c r="AB563" i="3"/>
  <c r="Y563" i="3"/>
  <c r="O563" i="3"/>
  <c r="R563" i="3" s="1"/>
  <c r="P563" i="3"/>
  <c r="T563" i="3" s="1"/>
  <c r="Q563" i="3"/>
  <c r="F563" i="3"/>
  <c r="J563" i="3" s="1"/>
  <c r="G563" i="3"/>
  <c r="H563" i="3"/>
  <c r="I563" i="3"/>
  <c r="E563" i="3"/>
  <c r="BI565" i="3" l="1"/>
  <c r="AX565" i="3"/>
  <c r="AW565" i="3"/>
  <c r="AN563" i="3"/>
  <c r="AD563" i="3"/>
  <c r="S563" i="3"/>
  <c r="AZ562" i="3" l="1"/>
  <c r="BA562" i="3"/>
  <c r="BB562" i="3"/>
  <c r="AI562" i="3"/>
  <c r="BC562" i="3" s="1"/>
  <c r="AS562" i="3"/>
  <c r="BD562" i="3" s="1"/>
  <c r="AR562" i="3"/>
  <c r="AQ562" i="3"/>
  <c r="AP562" i="3"/>
  <c r="Y562" i="3"/>
  <c r="AB562" i="3"/>
  <c r="O562" i="3"/>
  <c r="P562" i="3"/>
  <c r="R562" i="3"/>
  <c r="H562" i="3"/>
  <c r="E562" i="3"/>
  <c r="BA561" i="3" l="1"/>
  <c r="BB561" i="3"/>
  <c r="AP561" i="3"/>
  <c r="AQ561" i="3"/>
  <c r="AR561" i="3"/>
  <c r="AI561" i="3"/>
  <c r="BC561" i="3" s="1"/>
  <c r="Y561" i="3"/>
  <c r="O561" i="3"/>
  <c r="E561" i="3"/>
  <c r="AS561" i="3" l="1"/>
  <c r="AZ561" i="3"/>
  <c r="BA560" i="3"/>
  <c r="AI560" i="3"/>
  <c r="AR560" i="3"/>
  <c r="AQ560" i="3"/>
  <c r="AP560" i="3"/>
  <c r="Y560" i="3"/>
  <c r="O560" i="3"/>
  <c r="E560" i="3"/>
  <c r="AZ560" i="3" s="1"/>
  <c r="AS560" i="3" l="1"/>
  <c r="BD560" i="3" s="1"/>
  <c r="BB560" i="3"/>
  <c r="BD561" i="3"/>
  <c r="BC560" i="3"/>
  <c r="BB559" i="3" l="1"/>
  <c r="AP559" i="3"/>
  <c r="AQ559" i="3"/>
  <c r="AR559" i="3"/>
  <c r="AI559" i="3"/>
  <c r="AJ562" i="3" s="1"/>
  <c r="Y559" i="3"/>
  <c r="Z562" i="3" s="1"/>
  <c r="O559" i="3"/>
  <c r="BA559" i="3" s="1"/>
  <c r="E559" i="3"/>
  <c r="AS559" i="3" l="1"/>
  <c r="F562" i="3"/>
  <c r="AZ559" i="3"/>
  <c r="BC559" i="3"/>
  <c r="BB558" i="3"/>
  <c r="BC558" i="3"/>
  <c r="AP558" i="3"/>
  <c r="AQ558" i="3"/>
  <c r="AR558" i="3"/>
  <c r="AI558" i="3"/>
  <c r="AJ561" i="3" s="1"/>
  <c r="Y558" i="3"/>
  <c r="Z561" i="3" s="1"/>
  <c r="O558" i="3"/>
  <c r="P561" i="3" s="1"/>
  <c r="E558" i="3"/>
  <c r="BD559" i="3" l="1"/>
  <c r="AT562" i="3"/>
  <c r="AZ558" i="3"/>
  <c r="F561" i="3"/>
  <c r="BA558" i="3"/>
  <c r="AS558" i="3"/>
  <c r="AT561" i="3" s="1"/>
  <c r="AP557" i="3"/>
  <c r="AQ557" i="3"/>
  <c r="AR557" i="3"/>
  <c r="AI557" i="3"/>
  <c r="AJ560" i="3" s="1"/>
  <c r="Y557" i="3"/>
  <c r="O557" i="3"/>
  <c r="P560" i="3" s="1"/>
  <c r="E557" i="3"/>
  <c r="F560" i="3" s="1"/>
  <c r="Z560" i="3" l="1"/>
  <c r="BC557" i="3"/>
  <c r="BB557" i="3"/>
  <c r="BA557" i="3"/>
  <c r="BD558" i="3"/>
  <c r="AS557" i="3"/>
  <c r="AZ557" i="3"/>
  <c r="AT560" i="3" l="1"/>
  <c r="BD557" i="3"/>
  <c r="F8" i="1"/>
  <c r="AR556" i="3" l="1"/>
  <c r="AQ556" i="3"/>
  <c r="AP556" i="3"/>
  <c r="AI556" i="3"/>
  <c r="AJ559" i="3" s="1"/>
  <c r="Y556" i="3"/>
  <c r="O556" i="3"/>
  <c r="E556" i="3"/>
  <c r="F559" i="3" s="1"/>
  <c r="BB556" i="3" l="1"/>
  <c r="Z559" i="3"/>
  <c r="BA556" i="3"/>
  <c r="P559" i="3"/>
  <c r="AZ556" i="3"/>
  <c r="AS556" i="3"/>
  <c r="AT559" i="3" s="1"/>
  <c r="BC556" i="3"/>
  <c r="BA555" i="3"/>
  <c r="AP555" i="3"/>
  <c r="AQ555" i="3"/>
  <c r="AR555" i="3"/>
  <c r="AI555" i="3"/>
  <c r="Y555" i="3"/>
  <c r="O555" i="3"/>
  <c r="P558" i="3" s="1"/>
  <c r="E555" i="3"/>
  <c r="BB555" i="3" l="1"/>
  <c r="Z558" i="3"/>
  <c r="AS555" i="3"/>
  <c r="AT558" i="3" s="1"/>
  <c r="F558" i="3"/>
  <c r="BC555" i="3"/>
  <c r="AJ558" i="3"/>
  <c r="AZ555" i="3"/>
  <c r="BD555" i="3"/>
  <c r="BD556" i="3"/>
  <c r="AP554" i="3"/>
  <c r="AQ554" i="3"/>
  <c r="AR554" i="3"/>
  <c r="AI554" i="3"/>
  <c r="AJ557" i="3" s="1"/>
  <c r="Y554" i="3"/>
  <c r="Z557" i="3" s="1"/>
  <c r="O554" i="3"/>
  <c r="P557" i="3" s="1"/>
  <c r="E554" i="3"/>
  <c r="BB554" i="3" l="1"/>
  <c r="BC554" i="3"/>
  <c r="BA554" i="3"/>
  <c r="AZ554" i="3"/>
  <c r="F557" i="3"/>
  <c r="AS554" i="3"/>
  <c r="AT557" i="3" s="1"/>
  <c r="AP553" i="3"/>
  <c r="AQ553" i="3"/>
  <c r="AR553" i="3"/>
  <c r="AI553" i="3"/>
  <c r="AJ556" i="3" s="1"/>
  <c r="Y553" i="3"/>
  <c r="Z556" i="3" s="1"/>
  <c r="O553" i="3"/>
  <c r="E553" i="3"/>
  <c r="F556" i="3" s="1"/>
  <c r="P556" i="3" l="1"/>
  <c r="BB553" i="3"/>
  <c r="BA553" i="3"/>
  <c r="BC553" i="3"/>
  <c r="AZ553" i="3"/>
  <c r="BD554" i="3"/>
  <c r="AS553" i="3"/>
  <c r="BA552" i="3"/>
  <c r="AP552" i="3"/>
  <c r="AQ552" i="3"/>
  <c r="AR552" i="3"/>
  <c r="AI552" i="3"/>
  <c r="AJ555" i="3" s="1"/>
  <c r="Y552" i="3"/>
  <c r="O552" i="3"/>
  <c r="P555" i="3" s="1"/>
  <c r="E552" i="3"/>
  <c r="F555" i="3" s="1"/>
  <c r="BC552" i="3" l="1"/>
  <c r="Z555" i="3"/>
  <c r="BB552" i="3"/>
  <c r="AT556" i="3"/>
  <c r="BD553" i="3"/>
  <c r="AS552" i="3"/>
  <c r="AZ552" i="3"/>
  <c r="AP551" i="3"/>
  <c r="AQ551" i="3"/>
  <c r="AR551" i="3"/>
  <c r="AI551" i="3"/>
  <c r="AJ554" i="3" s="1"/>
  <c r="Y551" i="3"/>
  <c r="Z554" i="3" s="1"/>
  <c r="O551" i="3"/>
  <c r="P554" i="3" s="1"/>
  <c r="E551" i="3"/>
  <c r="F554" i="3" s="1"/>
  <c r="BA551" i="3" l="1"/>
  <c r="BB551" i="3"/>
  <c r="BC551" i="3"/>
  <c r="AS551" i="3"/>
  <c r="AZ551" i="3"/>
  <c r="AT555" i="3"/>
  <c r="BD552" i="3"/>
  <c r="BA550" i="3"/>
  <c r="AP550" i="3"/>
  <c r="AQ550" i="3"/>
  <c r="AR550" i="3"/>
  <c r="AI550" i="3"/>
  <c r="AJ553" i="3" s="1"/>
  <c r="Y550" i="3"/>
  <c r="O550" i="3"/>
  <c r="P553" i="3" s="1"/>
  <c r="E550" i="3"/>
  <c r="F553" i="3" s="1"/>
  <c r="Z553" i="3" l="1"/>
  <c r="AT554" i="3"/>
  <c r="BD551" i="3"/>
  <c r="AS550" i="3"/>
  <c r="BC550" i="3"/>
  <c r="BB550" i="3"/>
  <c r="AZ550" i="3"/>
  <c r="AR549" i="3"/>
  <c r="AQ549" i="3"/>
  <c r="AP549" i="3"/>
  <c r="AR548" i="3"/>
  <c r="AQ548" i="3"/>
  <c r="AP548" i="3"/>
  <c r="AI549" i="3"/>
  <c r="AJ552" i="3" s="1"/>
  <c r="Y549" i="3"/>
  <c r="Z552" i="3" s="1"/>
  <c r="O549" i="3"/>
  <c r="P552" i="3" s="1"/>
  <c r="E549" i="3"/>
  <c r="BB549" i="3" l="1"/>
  <c r="BA549" i="3"/>
  <c r="AT553" i="3"/>
  <c r="BD550" i="3"/>
  <c r="AZ549" i="3"/>
  <c r="F552" i="3"/>
  <c r="BC549" i="3"/>
  <c r="AS549" i="3"/>
  <c r="AT552" i="3" s="1"/>
  <c r="BD549" i="3" l="1"/>
  <c r="AI548" i="3"/>
  <c r="AJ551" i="3" s="1"/>
  <c r="Y548" i="3"/>
  <c r="BB548" i="3" s="1"/>
  <c r="O548" i="3"/>
  <c r="P551" i="3" s="1"/>
  <c r="E548" i="3"/>
  <c r="F551" i="3" s="1"/>
  <c r="BA548" i="3" l="1"/>
  <c r="Z551" i="3"/>
  <c r="BC548" i="3"/>
  <c r="AZ548" i="3"/>
  <c r="AS548" i="3"/>
  <c r="AT551" i="3" s="1"/>
  <c r="BD548" i="3" l="1"/>
  <c r="AP547" i="3"/>
  <c r="AQ547" i="3"/>
  <c r="AR547" i="3"/>
  <c r="AI547" i="3"/>
  <c r="Y547" i="3"/>
  <c r="O547" i="3"/>
  <c r="P550" i="3" s="1"/>
  <c r="E547" i="3"/>
  <c r="F550" i="3" s="1"/>
  <c r="BA547" i="3" l="1"/>
  <c r="AZ547" i="3"/>
  <c r="BB547" i="3"/>
  <c r="Z550" i="3"/>
  <c r="BC547" i="3"/>
  <c r="AJ550" i="3"/>
  <c r="AS547" i="3"/>
  <c r="AT550" i="3" s="1"/>
  <c r="AP546" i="3"/>
  <c r="AQ546" i="3"/>
  <c r="AR546" i="3"/>
  <c r="AI546" i="3"/>
  <c r="Y546" i="3"/>
  <c r="Z549" i="3" s="1"/>
  <c r="O546" i="3"/>
  <c r="BA546" i="3" s="1"/>
  <c r="E546" i="3"/>
  <c r="F549" i="3" s="1"/>
  <c r="P549" i="3" l="1"/>
  <c r="AJ549" i="3"/>
  <c r="BC546" i="3"/>
  <c r="AS546" i="3"/>
  <c r="BB546" i="3"/>
  <c r="BD547" i="3"/>
  <c r="AZ546" i="3"/>
  <c r="BB545" i="3"/>
  <c r="AP545" i="3"/>
  <c r="AQ545" i="3"/>
  <c r="AR545" i="3"/>
  <c r="AI545" i="3"/>
  <c r="AJ548" i="3" s="1"/>
  <c r="Y545" i="3"/>
  <c r="O545" i="3"/>
  <c r="P548" i="3" s="1"/>
  <c r="E545" i="3"/>
  <c r="F548" i="3" s="1"/>
  <c r="BC545" i="3" l="1"/>
  <c r="BA545" i="3"/>
  <c r="AT549" i="3"/>
  <c r="BD546" i="3"/>
  <c r="Z548" i="3"/>
  <c r="AZ545" i="3"/>
  <c r="AS545" i="3"/>
  <c r="AP544" i="3"/>
  <c r="AQ544" i="3"/>
  <c r="AR544" i="3"/>
  <c r="AI544" i="3"/>
  <c r="AJ547" i="3" s="1"/>
  <c r="Y544" i="3"/>
  <c r="BB544" i="3" s="1"/>
  <c r="O544" i="3"/>
  <c r="P547" i="3" s="1"/>
  <c r="E544" i="3"/>
  <c r="Z547" i="3" l="1"/>
  <c r="BC544" i="3"/>
  <c r="BA544" i="3"/>
  <c r="AZ544" i="3"/>
  <c r="F547" i="3"/>
  <c r="BD545" i="3"/>
  <c r="AT548" i="3"/>
  <c r="AS544" i="3"/>
  <c r="AT547" i="3" s="1"/>
  <c r="AP543" i="3"/>
  <c r="AQ543" i="3"/>
  <c r="AR543" i="3"/>
  <c r="AI543" i="3"/>
  <c r="Y543" i="3"/>
  <c r="Z546" i="3" s="1"/>
  <c r="O543" i="3"/>
  <c r="P546" i="3" s="1"/>
  <c r="E543" i="3"/>
  <c r="BB543" i="3" l="1"/>
  <c r="BA543" i="3"/>
  <c r="AS543" i="3"/>
  <c r="AT546" i="3" s="1"/>
  <c r="F546" i="3"/>
  <c r="BC543" i="3"/>
  <c r="AJ546" i="3"/>
  <c r="AZ543" i="3"/>
  <c r="BD544" i="3"/>
  <c r="BD543" i="3" l="1"/>
  <c r="AI542" i="3" l="1"/>
  <c r="AR542" i="3"/>
  <c r="AQ542" i="3"/>
  <c r="AP542" i="3"/>
  <c r="Y542" i="3"/>
  <c r="O542" i="3"/>
  <c r="E542" i="3"/>
  <c r="Z545" i="3" l="1"/>
  <c r="BB542" i="3"/>
  <c r="AJ545" i="3"/>
  <c r="BC542" i="3"/>
  <c r="BA542" i="3"/>
  <c r="P545" i="3"/>
  <c r="AZ542" i="3"/>
  <c r="F545" i="3"/>
  <c r="AS542" i="3"/>
  <c r="AT545" i="3" s="1"/>
  <c r="BD542" i="3" l="1"/>
  <c r="AP541" i="3"/>
  <c r="AQ541" i="3"/>
  <c r="AR541" i="3"/>
  <c r="AI541" i="3"/>
  <c r="AJ544" i="3" s="1"/>
  <c r="Y541" i="3"/>
  <c r="Z544" i="3" s="1"/>
  <c r="O541" i="3"/>
  <c r="P544" i="3" s="1"/>
  <c r="E541" i="3"/>
  <c r="F544" i="3" s="1"/>
  <c r="BB541" i="3" l="1"/>
  <c r="BC541" i="3"/>
  <c r="BA541" i="3"/>
  <c r="AZ541" i="3"/>
  <c r="AS541" i="3"/>
  <c r="AT544" i="3" s="1"/>
  <c r="AI540" i="3"/>
  <c r="AR540" i="3"/>
  <c r="AQ540" i="3"/>
  <c r="AP540" i="3"/>
  <c r="Y540" i="3"/>
  <c r="O540" i="3"/>
  <c r="P543" i="3" s="1"/>
  <c r="E540" i="3"/>
  <c r="F543" i="3" s="1"/>
  <c r="BC540" i="3" l="1"/>
  <c r="AJ543" i="3"/>
  <c r="BB540" i="3"/>
  <c r="Z543" i="3"/>
  <c r="BA540" i="3"/>
  <c r="AS540" i="3"/>
  <c r="BD541" i="3"/>
  <c r="AZ540" i="3"/>
  <c r="AI539" i="3"/>
  <c r="AJ542" i="3" s="1"/>
  <c r="AR539" i="3"/>
  <c r="AQ539" i="3"/>
  <c r="AP539" i="3"/>
  <c r="Y539" i="3"/>
  <c r="BB539" i="3" s="1"/>
  <c r="O539" i="3"/>
  <c r="BA539" i="3" s="1"/>
  <c r="E539" i="3"/>
  <c r="F542" i="3" s="1"/>
  <c r="BC539" i="3" l="1"/>
  <c r="Z542" i="3"/>
  <c r="AT543" i="3"/>
  <c r="P542" i="3"/>
  <c r="AS539" i="3"/>
  <c r="AZ539" i="3"/>
  <c r="BD540" i="3"/>
  <c r="BB538" i="3"/>
  <c r="AP538" i="3"/>
  <c r="AQ538" i="3"/>
  <c r="AR538" i="3"/>
  <c r="AI538" i="3"/>
  <c r="AJ541" i="3" s="1"/>
  <c r="Y538" i="3"/>
  <c r="Z541" i="3" s="1"/>
  <c r="O538" i="3"/>
  <c r="P541" i="3" s="1"/>
  <c r="E538" i="3"/>
  <c r="AS538" i="3" s="1"/>
  <c r="BC538" i="3" l="1"/>
  <c r="BA538" i="3"/>
  <c r="AZ538" i="3"/>
  <c r="AT541" i="3"/>
  <c r="F541" i="3"/>
  <c r="BD538" i="3"/>
  <c r="AT542" i="3"/>
  <c r="BD539" i="3"/>
  <c r="AP537" i="3" l="1"/>
  <c r="AQ537" i="3"/>
  <c r="AR537" i="3"/>
  <c r="AI537" i="3"/>
  <c r="AJ540" i="3" s="1"/>
  <c r="Y537" i="3"/>
  <c r="Z540" i="3" s="1"/>
  <c r="O537" i="3"/>
  <c r="P540" i="3" s="1"/>
  <c r="E537" i="3"/>
  <c r="F540" i="3" s="1"/>
  <c r="BB537" i="3" l="1"/>
  <c r="BA537" i="3"/>
  <c r="BC537" i="3"/>
  <c r="AZ537" i="3"/>
  <c r="AS537" i="3"/>
  <c r="AT540" i="3" l="1"/>
  <c r="BD537" i="3"/>
  <c r="AI536" i="3"/>
  <c r="AJ539" i="3" s="1"/>
  <c r="AR536" i="3"/>
  <c r="AQ536" i="3"/>
  <c r="AP536" i="3"/>
  <c r="Y536" i="3"/>
  <c r="Z539" i="3" s="1"/>
  <c r="O536" i="3"/>
  <c r="P539" i="3" s="1"/>
  <c r="E536" i="3"/>
  <c r="F539" i="3" s="1"/>
  <c r="BB536" i="3" l="1"/>
  <c r="BA536" i="3"/>
  <c r="BC536" i="3"/>
  <c r="AS536" i="3"/>
  <c r="AZ536" i="3"/>
  <c r="BA535" i="3"/>
  <c r="BB535" i="3"/>
  <c r="AP535" i="3"/>
  <c r="AQ535" i="3"/>
  <c r="AR535" i="3"/>
  <c r="AI535" i="3"/>
  <c r="AJ538" i="3" s="1"/>
  <c r="Y535" i="3"/>
  <c r="Z538" i="3" s="1"/>
  <c r="O535" i="3"/>
  <c r="P538" i="3" s="1"/>
  <c r="E535" i="3"/>
  <c r="F538" i="3" s="1"/>
  <c r="AS535" i="3" l="1"/>
  <c r="AZ535" i="3"/>
  <c r="AT539" i="3"/>
  <c r="BD536" i="3"/>
  <c r="BC535" i="3"/>
  <c r="AT538" i="3" l="1"/>
  <c r="BD535" i="3"/>
  <c r="AI534" i="3" l="1"/>
  <c r="AJ537" i="3" s="1"/>
  <c r="AR534" i="3"/>
  <c r="AQ534" i="3"/>
  <c r="AP534" i="3"/>
  <c r="Y534" i="3"/>
  <c r="Z537" i="3" s="1"/>
  <c r="O534" i="3"/>
  <c r="P537" i="3" s="1"/>
  <c r="E534" i="3"/>
  <c r="F537" i="3" s="1"/>
  <c r="BB534" i="3" l="1"/>
  <c r="BA534" i="3"/>
  <c r="AZ534" i="3"/>
  <c r="BC534" i="3"/>
  <c r="AS534" i="3"/>
  <c r="AT537" i="3" l="1"/>
  <c r="BD534" i="3"/>
  <c r="AI533" i="3"/>
  <c r="AJ536" i="3" s="1"/>
  <c r="AQ533" i="3"/>
  <c r="AR533" i="3"/>
  <c r="AP533" i="3"/>
  <c r="Y533" i="3"/>
  <c r="O533" i="3"/>
  <c r="E533" i="3"/>
  <c r="BC533" i="3" l="1"/>
  <c r="AZ533" i="3"/>
  <c r="F536" i="3"/>
  <c r="BA533" i="3"/>
  <c r="P536" i="3"/>
  <c r="BB533" i="3"/>
  <c r="Z536" i="3"/>
  <c r="AS533" i="3"/>
  <c r="AI532" i="3"/>
  <c r="AR532" i="3"/>
  <c r="AQ532" i="3"/>
  <c r="AP532" i="3"/>
  <c r="Y532" i="3"/>
  <c r="Z535" i="3" s="1"/>
  <c r="O532" i="3"/>
  <c r="P535" i="3" s="1"/>
  <c r="E532" i="3"/>
  <c r="AT536" i="3" l="1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BG540" i="3" s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BF540" i="3" s="1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AS532" i="3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E540" i="3" s="1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C532" i="3"/>
  <c r="AI531" i="3"/>
  <c r="AJ534" i="3" s="1"/>
  <c r="AR531" i="3"/>
  <c r="AQ531" i="3"/>
  <c r="AP531" i="3"/>
  <c r="Y531" i="3"/>
  <c r="Z534" i="3" s="1"/>
  <c r="O531" i="3"/>
  <c r="P534" i="3" s="1"/>
  <c r="E531" i="3"/>
  <c r="F534" i="3" s="1"/>
  <c r="BF561" i="3" l="1"/>
  <c r="BF562" i="3" s="1"/>
  <c r="BE561" i="3"/>
  <c r="BE562" i="3" s="1"/>
  <c r="BG561" i="3"/>
  <c r="BG562" i="3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I540" i="3" s="1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C531" i="3"/>
  <c r="BA531" i="3"/>
  <c r="BB531" i="3"/>
  <c r="AZ531" i="3"/>
  <c r="AS531" i="3"/>
  <c r="BH532" i="3"/>
  <c r="BH533" i="3" s="1"/>
  <c r="BH534" i="3" s="1"/>
  <c r="BH535" i="3" s="1"/>
  <c r="BH536" i="3" s="1"/>
  <c r="BH537" i="3" s="1"/>
  <c r="BH538" i="3" s="1"/>
  <c r="BH539" i="3" s="1"/>
  <c r="BH540" i="3" s="1"/>
  <c r="AI530" i="3"/>
  <c r="AJ533" i="3" s="1"/>
  <c r="AR530" i="3"/>
  <c r="AQ530" i="3"/>
  <c r="AP530" i="3"/>
  <c r="Y530" i="3"/>
  <c r="O530" i="3"/>
  <c r="BA530" i="3" s="1"/>
  <c r="E530" i="3"/>
  <c r="F533" i="3" s="1"/>
  <c r="BI561" i="3" l="1"/>
  <c r="BI562" i="3" s="1"/>
  <c r="BC530" i="3"/>
  <c r="AT534" i="3"/>
  <c r="BD531" i="3"/>
  <c r="AS530" i="3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BA529" i="3"/>
  <c r="AI529" i="3"/>
  <c r="BC529" i="3" s="1"/>
  <c r="Y529" i="3"/>
  <c r="BB529" i="3" s="1"/>
  <c r="O529" i="3"/>
  <c r="P532" i="3" s="1"/>
  <c r="E529" i="3"/>
  <c r="F532" i="3" s="1"/>
  <c r="Z532" i="3" l="1"/>
  <c r="BH561" i="3"/>
  <c r="BH562" i="3" s="1"/>
  <c r="AT533" i="3"/>
  <c r="BD530" i="3"/>
  <c r="AS529" i="3"/>
  <c r="AJ532" i="3"/>
  <c r="AZ529" i="3"/>
  <c r="AT532" i="3" l="1"/>
  <c r="BD529" i="3"/>
  <c r="AI528" i="3"/>
  <c r="AJ531" i="3" s="1"/>
  <c r="AR528" i="3"/>
  <c r="AQ528" i="3"/>
  <c r="AP528" i="3"/>
  <c r="Y528" i="3"/>
  <c r="Z531" i="3" s="1"/>
  <c r="O528" i="3"/>
  <c r="P531" i="3" s="1"/>
  <c r="E528" i="3"/>
  <c r="F531" i="3" s="1"/>
  <c r="BC528" i="3" l="1"/>
  <c r="BB528" i="3"/>
  <c r="AS528" i="3"/>
  <c r="BA528" i="3"/>
  <c r="AZ528" i="3"/>
  <c r="AT531" i="3" l="1"/>
  <c r="BD528" i="3"/>
  <c r="AP527" i="3"/>
  <c r="AQ527" i="3"/>
  <c r="AR527" i="3"/>
  <c r="AI527" i="3"/>
  <c r="AJ530" i="3" s="1"/>
  <c r="Y527" i="3"/>
  <c r="O527" i="3"/>
  <c r="BA527" i="3" s="1"/>
  <c r="E527" i="3"/>
  <c r="AZ527" i="3" s="1"/>
  <c r="Z530" i="3" l="1"/>
  <c r="BC527" i="3"/>
  <c r="BB527" i="3"/>
  <c r="P530" i="3"/>
  <c r="F530" i="3"/>
  <c r="AS527" i="3"/>
  <c r="AP526" i="3"/>
  <c r="AQ526" i="3"/>
  <c r="AR526" i="3"/>
  <c r="AI526" i="3"/>
  <c r="AJ529" i="3" s="1"/>
  <c r="Y526" i="3"/>
  <c r="Z529" i="3" s="1"/>
  <c r="O526" i="3"/>
  <c r="BA526" i="3" s="1"/>
  <c r="E526" i="3"/>
  <c r="F529" i="3" s="1"/>
  <c r="BB526" i="3" l="1"/>
  <c r="P529" i="3"/>
  <c r="BC526" i="3"/>
  <c r="AS526" i="3"/>
  <c r="AZ526" i="3"/>
  <c r="AT530" i="3"/>
  <c r="BD527" i="3"/>
  <c r="BB525" i="3"/>
  <c r="AI525" i="3"/>
  <c r="AJ528" i="3" s="1"/>
  <c r="AR525" i="3"/>
  <c r="AQ525" i="3"/>
  <c r="AP525" i="3"/>
  <c r="Y525" i="3"/>
  <c r="Z528" i="3" s="1"/>
  <c r="O525" i="3"/>
  <c r="P528" i="3" s="1"/>
  <c r="E525" i="3"/>
  <c r="F528" i="3" s="1"/>
  <c r="BA525" i="3" l="1"/>
  <c r="BC525" i="3"/>
  <c r="AZ525" i="3"/>
  <c r="AT529" i="3"/>
  <c r="BD526" i="3"/>
  <c r="AS525" i="3"/>
  <c r="BB524" i="3"/>
  <c r="AP524" i="3"/>
  <c r="AQ524" i="3"/>
  <c r="AR524" i="3"/>
  <c r="AI524" i="3"/>
  <c r="AJ527" i="3" s="1"/>
  <c r="Y524" i="3"/>
  <c r="Z527" i="3" s="1"/>
  <c r="O524" i="3"/>
  <c r="P527" i="3" s="1"/>
  <c r="E524" i="3"/>
  <c r="F527" i="3" s="1"/>
  <c r="BC524" i="3" l="1"/>
  <c r="AZ524" i="3"/>
  <c r="BA524" i="3"/>
  <c r="AT528" i="3"/>
  <c r="BD525" i="3"/>
  <c r="AS524" i="3"/>
  <c r="AI523" i="3"/>
  <c r="AJ526" i="3" s="1"/>
  <c r="AR523" i="3"/>
  <c r="AQ523" i="3"/>
  <c r="AP523" i="3"/>
  <c r="Y523" i="3"/>
  <c r="Z526" i="3" s="1"/>
  <c r="O523" i="3"/>
  <c r="E523" i="3"/>
  <c r="BB523" i="3" l="1"/>
  <c r="BC523" i="3"/>
  <c r="AT527" i="3"/>
  <c r="BD524" i="3"/>
  <c r="AS523" i="3"/>
  <c r="F526" i="3"/>
  <c r="P526" i="3"/>
  <c r="BA523" i="3"/>
  <c r="AZ523" i="3"/>
  <c r="AI522" i="3"/>
  <c r="AR522" i="3"/>
  <c r="AQ522" i="3"/>
  <c r="AP522" i="3"/>
  <c r="Y522" i="3"/>
  <c r="Z525" i="3" s="1"/>
  <c r="O522" i="3"/>
  <c r="E522" i="3"/>
  <c r="E520" i="3"/>
  <c r="O520" i="3"/>
  <c r="Y520" i="3"/>
  <c r="AI520" i="3"/>
  <c r="E521" i="3"/>
  <c r="O521" i="3"/>
  <c r="Y521" i="3"/>
  <c r="AI521" i="3"/>
  <c r="AJ524" i="3" l="1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Z521" i="3"/>
  <c r="BA521" i="3"/>
  <c r="BB521" i="3"/>
  <c r="BC521" i="3"/>
  <c r="AS521" i="3"/>
  <c r="AR521" i="3"/>
  <c r="AQ521" i="3"/>
  <c r="AP521" i="3"/>
  <c r="AT525" i="3" l="1"/>
  <c r="BD522" i="3"/>
  <c r="BD521" i="3"/>
  <c r="AT524" i="3"/>
  <c r="AZ520" i="3"/>
  <c r="BA520" i="3"/>
  <c r="BB520" i="3"/>
  <c r="BC520" i="3"/>
  <c r="AP520" i="3" l="1"/>
  <c r="AQ520" i="3"/>
  <c r="AR520" i="3"/>
  <c r="AS520" i="3"/>
  <c r="AT523" i="3" s="1"/>
  <c r="BD520" i="3" l="1"/>
  <c r="F9" i="1"/>
  <c r="F7" i="1"/>
  <c r="F6" i="1"/>
  <c r="F5" i="1"/>
  <c r="AP519" i="3"/>
  <c r="AQ519" i="3"/>
  <c r="AR519" i="3"/>
  <c r="AI519" i="3"/>
  <c r="BC519" i="3" s="1"/>
  <c r="Y519" i="3"/>
  <c r="Z522" i="3" s="1"/>
  <c r="O519" i="3"/>
  <c r="P522" i="3" s="1"/>
  <c r="E519" i="3"/>
  <c r="F522" i="3" s="1"/>
  <c r="BA519" i="3" l="1"/>
  <c r="AZ519" i="3"/>
  <c r="BB519" i="3"/>
  <c r="AJ522" i="3"/>
  <c r="AS519" i="3"/>
  <c r="F11" i="1"/>
  <c r="AR518" i="3"/>
  <c r="AQ518" i="3"/>
  <c r="AP518" i="3"/>
  <c r="AI518" i="3"/>
  <c r="BC518" i="3" s="1"/>
  <c r="Y518" i="3"/>
  <c r="Z521" i="3" s="1"/>
  <c r="O518" i="3"/>
  <c r="BA518" i="3" s="1"/>
  <c r="E518" i="3"/>
  <c r="AJ521" i="3" l="1"/>
  <c r="AZ518" i="3"/>
  <c r="F521" i="3"/>
  <c r="BB518" i="3"/>
  <c r="P521" i="3"/>
  <c r="AT522" i="3"/>
  <c r="BD519" i="3"/>
  <c r="AS518" i="3"/>
  <c r="AI517" i="3"/>
  <c r="AJ520" i="3" s="1"/>
  <c r="AR517" i="3"/>
  <c r="AQ517" i="3"/>
  <c r="AP517" i="3"/>
  <c r="Y517" i="3"/>
  <c r="BB517" i="3" s="1"/>
  <c r="O517" i="3"/>
  <c r="E517" i="3"/>
  <c r="BC517" i="3" l="1"/>
  <c r="AZ517" i="3"/>
  <c r="F520" i="3"/>
  <c r="Z520" i="3"/>
  <c r="BD518" i="3"/>
  <c r="AT521" i="3"/>
  <c r="BA517" i="3"/>
  <c r="P520" i="3"/>
  <c r="AS517" i="3"/>
  <c r="AT520" i="3" s="1"/>
  <c r="BD517" i="3" l="1"/>
  <c r="AP516" i="3"/>
  <c r="AQ516" i="3"/>
  <c r="AR516" i="3"/>
  <c r="AI516" i="3"/>
  <c r="AJ519" i="3" s="1"/>
  <c r="Y516" i="3"/>
  <c r="O516" i="3"/>
  <c r="E516" i="3"/>
  <c r="F519" i="3" s="1"/>
  <c r="Z519" i="3" l="1"/>
  <c r="BB516" i="3"/>
  <c r="BC516" i="3"/>
  <c r="P519" i="3"/>
  <c r="BA516" i="3"/>
  <c r="AS516" i="3"/>
  <c r="AZ516" i="3"/>
  <c r="AI515" i="3"/>
  <c r="AJ518" i="3" s="1"/>
  <c r="AR515" i="3"/>
  <c r="AQ515" i="3"/>
  <c r="AP515" i="3"/>
  <c r="Y515" i="3"/>
  <c r="O515" i="3"/>
  <c r="P518" i="3" s="1"/>
  <c r="E515" i="3"/>
  <c r="AZ515" i="3" s="1"/>
  <c r="Z518" i="3" l="1"/>
  <c r="BB515" i="3"/>
  <c r="F518" i="3"/>
  <c r="BC515" i="3"/>
  <c r="AS515" i="3"/>
  <c r="BD515" i="3" s="1"/>
  <c r="AT519" i="3"/>
  <c r="BD516" i="3"/>
  <c r="BA515" i="3"/>
  <c r="AI514" i="3"/>
  <c r="AR514" i="3"/>
  <c r="AQ514" i="3"/>
  <c r="AP514" i="3"/>
  <c r="Y514" i="3"/>
  <c r="Z517" i="3" s="1"/>
  <c r="O514" i="3"/>
  <c r="E514" i="3"/>
  <c r="AT518" i="3" l="1"/>
  <c r="P517" i="3"/>
  <c r="BA514" i="3"/>
  <c r="BB514" i="3"/>
  <c r="AZ514" i="3"/>
  <c r="F517" i="3"/>
  <c r="AJ517" i="3"/>
  <c r="BC514" i="3"/>
  <c r="AS514" i="3"/>
  <c r="Y513" i="3"/>
  <c r="Z516" i="3" s="1"/>
  <c r="Y512" i="3"/>
  <c r="Z515" i="3" s="1"/>
  <c r="O513" i="3"/>
  <c r="P516" i="3" s="1"/>
  <c r="E513" i="3"/>
  <c r="F516" i="3" s="1"/>
  <c r="BD514" i="3" l="1"/>
  <c r="AT517" i="3"/>
  <c r="AI513" i="3"/>
  <c r="AJ516" i="3" s="1"/>
  <c r="AR513" i="3"/>
  <c r="AQ513" i="3"/>
  <c r="AP513" i="3"/>
  <c r="BA513" i="3"/>
  <c r="AZ513" i="3"/>
  <c r="BC513" i="3" l="1"/>
  <c r="BB513" i="3"/>
  <c r="AS513" i="3"/>
  <c r="AT516" i="3" s="1"/>
  <c r="BD513" i="3" l="1"/>
  <c r="BB512" i="3"/>
  <c r="AQ512" i="3"/>
  <c r="AR512" i="3"/>
  <c r="AI512" i="3"/>
  <c r="AJ515" i="3" s="1"/>
  <c r="AP512" i="3"/>
  <c r="O512" i="3"/>
  <c r="P515" i="3" s="1"/>
  <c r="E512" i="3"/>
  <c r="F515" i="3" s="1"/>
  <c r="BA512" i="3" l="1"/>
  <c r="AZ512" i="3"/>
  <c r="BC512" i="3"/>
  <c r="AS512" i="3"/>
  <c r="AT515" i="3" s="1"/>
  <c r="BB511" i="3"/>
  <c r="AI511" i="3"/>
  <c r="AJ514" i="3" s="1"/>
  <c r="AR511" i="3"/>
  <c r="AQ511" i="3"/>
  <c r="AP511" i="3"/>
  <c r="Y511" i="3"/>
  <c r="Z514" i="3" s="1"/>
  <c r="O511" i="3"/>
  <c r="P514" i="3" s="1"/>
  <c r="E511" i="3"/>
  <c r="F514" i="3" s="1"/>
  <c r="AS511" i="3" l="1"/>
  <c r="BA511" i="3"/>
  <c r="AZ511" i="3"/>
  <c r="BD512" i="3"/>
  <c r="AT514" i="3"/>
  <c r="BC511" i="3"/>
  <c r="BD511" i="3"/>
  <c r="AZ510" i="3"/>
  <c r="AP510" i="3"/>
  <c r="AQ510" i="3"/>
  <c r="AR510" i="3"/>
  <c r="AI510" i="3"/>
  <c r="Y510" i="3"/>
  <c r="Z513" i="3" s="1"/>
  <c r="O510" i="3"/>
  <c r="P513" i="3" s="1"/>
  <c r="E510" i="3"/>
  <c r="F513" i="3" s="1"/>
  <c r="AJ513" i="3" l="1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F512" i="3" l="1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BD509" i="3" l="1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R559" i="3" l="1"/>
  <c r="F510" i="3"/>
  <c r="H559" i="3"/>
  <c r="Z510" i="3"/>
  <c r="AB559" i="3"/>
  <c r="BA507" i="3"/>
  <c r="P510" i="3"/>
  <c r="AT511" i="3"/>
  <c r="BD508" i="3"/>
  <c r="BC507" i="3"/>
  <c r="AJ510" i="3"/>
  <c r="AJ509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S562" i="3" l="1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AS498" i="3"/>
  <c r="AV550" i="3" s="1"/>
  <c r="BD499" i="3"/>
  <c r="AP497" i="3"/>
  <c r="AQ497" i="3"/>
  <c r="AR497" i="3"/>
  <c r="AI497" i="3"/>
  <c r="AL549" i="3" s="1"/>
  <c r="Y497" i="3"/>
  <c r="O497" i="3"/>
  <c r="E497" i="3"/>
  <c r="AC553" i="3" l="1"/>
  <c r="I553" i="3"/>
  <c r="S553" i="3"/>
  <c r="AW554" i="3"/>
  <c r="F500" i="3"/>
  <c r="H549" i="3"/>
  <c r="Z500" i="3"/>
  <c r="AB549" i="3"/>
  <c r="P500" i="3"/>
  <c r="R549" i="3"/>
  <c r="AJ500" i="3"/>
  <c r="AT501" i="3"/>
  <c r="BD498" i="3"/>
  <c r="AJ501" i="3"/>
  <c r="BC498" i="3"/>
  <c r="BB497" i="3"/>
  <c r="BC497" i="3"/>
  <c r="BA497" i="3"/>
  <c r="AZ497" i="3"/>
  <c r="AS497" i="3"/>
  <c r="AV549" i="3" s="1"/>
  <c r="S552" i="3" l="1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G528" i="3" s="1"/>
  <c r="BG529" i="3" s="1"/>
  <c r="BG530" i="3" s="1"/>
  <c r="BG531" i="3" s="1"/>
  <c r="D19" i="1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E528" i="3" s="1"/>
  <c r="BE529" i="3" s="1"/>
  <c r="BE530" i="3" s="1"/>
  <c r="BE531" i="3" s="1"/>
  <c r="B19" i="1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F528" i="3" s="1"/>
  <c r="BF529" i="3" s="1"/>
  <c r="BF530" i="3" s="1"/>
  <c r="BF531" i="3" s="1"/>
  <c r="C19" i="1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H528" i="3" s="1"/>
  <c r="BH529" i="3" s="1"/>
  <c r="BH530" i="3" s="1"/>
  <c r="BH531" i="3" s="1"/>
  <c r="E19" i="1" s="1"/>
  <c r="E17" i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I509" i="3" l="1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I511" i="3" l="1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BI528" i="3" s="1"/>
  <c r="BI529" i="3" s="1"/>
  <c r="BI530" i="3" s="1"/>
  <c r="BI531" i="3" s="1"/>
  <c r="F19" i="1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S529" i="3" l="1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S528" i="3" l="1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AW526" i="3" s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C525" i="3" l="1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AW521" i="3" s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S520" i="3" l="1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Z457" i="3"/>
  <c r="F460" i="3"/>
  <c r="BA457" i="3"/>
  <c r="P460" i="3"/>
  <c r="AS457" i="3"/>
  <c r="AV509" i="3" s="1"/>
  <c r="AJ460" i="3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L508" i="3"/>
  <c r="I512" i="3"/>
  <c r="AC512" i="3"/>
  <c r="F459" i="3"/>
  <c r="H508" i="3"/>
  <c r="P459" i="3"/>
  <c r="R508" i="3"/>
  <c r="AM512" i="3"/>
  <c r="AW513" i="3"/>
  <c r="BC456" i="3"/>
  <c r="AZ456" i="3"/>
  <c r="BA456" i="3"/>
  <c r="BB456" i="3"/>
  <c r="Z459" i="3"/>
  <c r="AS456" i="3"/>
  <c r="AV508" i="3" s="1"/>
  <c r="BD457" i="3"/>
  <c r="AT460" i="3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B507" i="3"/>
  <c r="BB455" i="3"/>
  <c r="AZ455" i="3"/>
  <c r="F458" i="3"/>
  <c r="AS455" i="3"/>
  <c r="AV507" i="3" s="1"/>
  <c r="AJ458" i="3"/>
  <c r="BA455" i="3"/>
  <c r="P458" i="3"/>
  <c r="BD456" i="3"/>
  <c r="AT459" i="3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H506" i="3"/>
  <c r="AZ454" i="3"/>
  <c r="BB454" i="3"/>
  <c r="Z457" i="3"/>
  <c r="AS454" i="3"/>
  <c r="AV506" i="3" s="1"/>
  <c r="AJ457" i="3"/>
  <c r="BD455" i="3"/>
  <c r="AT458" i="3"/>
  <c r="BA454" i="3"/>
  <c r="P457" i="3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BB453" i="3"/>
  <c r="Z456" i="3"/>
  <c r="BC453" i="3"/>
  <c r="BD454" i="3"/>
  <c r="AT457" i="3"/>
  <c r="BA453" i="3"/>
  <c r="P456" i="3"/>
  <c r="AS453" i="3"/>
  <c r="AV505" i="3" s="1"/>
  <c r="AJ456" i="3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H504" i="3"/>
  <c r="P455" i="3"/>
  <c r="R504" i="3"/>
  <c r="AZ452" i="3"/>
  <c r="BA452" i="3"/>
  <c r="BB452" i="3"/>
  <c r="Z455" i="3"/>
  <c r="AS452" i="3"/>
  <c r="AV504" i="3" s="1"/>
  <c r="AJ455" i="3"/>
  <c r="BD453" i="3"/>
  <c r="AT456" i="3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M507" i="3"/>
  <c r="AC507" i="3"/>
  <c r="BC451" i="3"/>
  <c r="S507" i="3"/>
  <c r="I507" i="3"/>
  <c r="AZ451" i="3"/>
  <c r="F454" i="3"/>
  <c r="BA451" i="3"/>
  <c r="P454" i="3"/>
  <c r="BB451" i="3"/>
  <c r="Z454" i="3"/>
  <c r="AS451" i="3"/>
  <c r="AV503" i="3" s="1"/>
  <c r="BD452" i="3"/>
  <c r="AT455" i="3"/>
  <c r="AI450" i="3"/>
  <c r="AR450" i="3"/>
  <c r="AQ450" i="3"/>
  <c r="AP450" i="3"/>
  <c r="Y450" i="3"/>
  <c r="AB502" i="3" s="1"/>
  <c r="O450" i="3"/>
  <c r="E450" i="3"/>
  <c r="H502" i="3" s="1"/>
  <c r="AW507" i="3" l="1"/>
  <c r="P453" i="3"/>
  <c r="R502" i="3"/>
  <c r="BC450" i="3"/>
  <c r="AL502" i="3"/>
  <c r="AC506" i="3"/>
  <c r="S506" i="3"/>
  <c r="I506" i="3"/>
  <c r="AM506" i="3"/>
  <c r="AZ450" i="3"/>
  <c r="F453" i="3"/>
  <c r="BA450" i="3"/>
  <c r="BB450" i="3"/>
  <c r="Z453" i="3"/>
  <c r="BD451" i="3"/>
  <c r="AT454" i="3"/>
  <c r="AS450" i="3"/>
  <c r="AV502" i="3" s="1"/>
  <c r="AJ453" i="3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B501" i="3"/>
  <c r="AM505" i="3"/>
  <c r="AW506" i="3"/>
  <c r="AC505" i="3"/>
  <c r="S505" i="3"/>
  <c r="AZ449" i="3"/>
  <c r="F452" i="3"/>
  <c r="BB449" i="3"/>
  <c r="AS449" i="3"/>
  <c r="AV501" i="3" s="1"/>
  <c r="AJ452" i="3"/>
  <c r="BA449" i="3"/>
  <c r="P452" i="3"/>
  <c r="BD450" i="3"/>
  <c r="AT453" i="3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H500" i="3"/>
  <c r="AJ451" i="3"/>
  <c r="I504" i="3"/>
  <c r="AW505" i="3"/>
  <c r="S504" i="3"/>
  <c r="AM504" i="3"/>
  <c r="AC504" i="3"/>
  <c r="AZ448" i="3"/>
  <c r="BA448" i="3"/>
  <c r="P451" i="3"/>
  <c r="BB448" i="3"/>
  <c r="Z451" i="3"/>
  <c r="AS448" i="3"/>
  <c r="AV500" i="3" s="1"/>
  <c r="BD449" i="3"/>
  <c r="AT452" i="3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L497" i="3"/>
  <c r="P449" i="3"/>
  <c r="R498" i="3"/>
  <c r="BC447" i="3"/>
  <c r="AL499" i="3"/>
  <c r="AC503" i="3"/>
  <c r="S503" i="3"/>
  <c r="AM503" i="3"/>
  <c r="I503" i="3"/>
  <c r="AJ449" i="3"/>
  <c r="Z447" i="3"/>
  <c r="BC446" i="3"/>
  <c r="BB445" i="3"/>
  <c r="Z448" i="3"/>
  <c r="AS446" i="3"/>
  <c r="F449" i="3"/>
  <c r="AZ447" i="3"/>
  <c r="F450" i="3"/>
  <c r="P447" i="3"/>
  <c r="AJ447" i="3"/>
  <c r="AJ450" i="3"/>
  <c r="BA445" i="3"/>
  <c r="P448" i="3"/>
  <c r="AZ446" i="3"/>
  <c r="BA446" i="3"/>
  <c r="BB446" i="3"/>
  <c r="Z449" i="3"/>
  <c r="BA447" i="3"/>
  <c r="P450" i="3"/>
  <c r="BB447" i="3"/>
  <c r="Z450" i="3"/>
  <c r="AS447" i="3"/>
  <c r="AV499" i="3" s="1"/>
  <c r="BD448" i="3"/>
  <c r="AT451" i="3"/>
  <c r="AZ445" i="3"/>
  <c r="F448" i="3"/>
  <c r="F447" i="3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L491" i="3"/>
  <c r="AJ444" i="3"/>
  <c r="AL493" i="3"/>
  <c r="F446" i="3"/>
  <c r="H495" i="3"/>
  <c r="Z446" i="3"/>
  <c r="AB495" i="3"/>
  <c r="AJ446" i="3"/>
  <c r="AL495" i="3"/>
  <c r="AT447" i="3"/>
  <c r="AV496" i="3"/>
  <c r="I500" i="3"/>
  <c r="AW503" i="3"/>
  <c r="AM499" i="3"/>
  <c r="I502" i="3"/>
  <c r="I501" i="3"/>
  <c r="AC500" i="3"/>
  <c r="AM501" i="3"/>
  <c r="S501" i="3"/>
  <c r="AM500" i="3"/>
  <c r="F442" i="3"/>
  <c r="H491" i="3"/>
  <c r="Z442" i="3"/>
  <c r="AB491" i="3"/>
  <c r="P446" i="3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F445" i="3"/>
  <c r="Z445" i="3"/>
  <c r="AJ445" i="3"/>
  <c r="AT448" i="3"/>
  <c r="F443" i="3"/>
  <c r="Z443" i="3"/>
  <c r="BC440" i="3"/>
  <c r="F444" i="3"/>
  <c r="BC441" i="3"/>
  <c r="AZ442" i="3"/>
  <c r="P445" i="3"/>
  <c r="BC443" i="3"/>
  <c r="AZ439" i="3"/>
  <c r="BC442" i="3"/>
  <c r="BD447" i="3"/>
  <c r="AT450" i="3"/>
  <c r="AT449" i="3"/>
  <c r="BA439" i="3"/>
  <c r="P442" i="3"/>
  <c r="BC439" i="3"/>
  <c r="BB439" i="3"/>
  <c r="AS439" i="3"/>
  <c r="AV491" i="3" s="1"/>
  <c r="BA440" i="3"/>
  <c r="P443" i="3"/>
  <c r="BB440" i="3"/>
  <c r="AZ441" i="3"/>
  <c r="BB441" i="3"/>
  <c r="Z444" i="3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R489" i="3"/>
  <c r="F441" i="3"/>
  <c r="H490" i="3"/>
  <c r="Z441" i="3"/>
  <c r="AB490" i="3"/>
  <c r="AJ441" i="3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AJ440" i="3"/>
  <c r="AZ430" i="3"/>
  <c r="H482" i="3"/>
  <c r="BB430" i="3"/>
  <c r="AB482" i="3"/>
  <c r="P434" i="3"/>
  <c r="R483" i="3"/>
  <c r="AZ432" i="3"/>
  <c r="H484" i="3"/>
  <c r="BB432" i="3"/>
  <c r="AB484" i="3"/>
  <c r="AJ435" i="3"/>
  <c r="AL484" i="3"/>
  <c r="P436" i="3"/>
  <c r="R485" i="3"/>
  <c r="F437" i="3"/>
  <c r="H486" i="3"/>
  <c r="BB434" i="3"/>
  <c r="AB486" i="3"/>
  <c r="AJ437" i="3"/>
  <c r="AL486" i="3"/>
  <c r="BA435" i="3"/>
  <c r="R487" i="3"/>
  <c r="AJ439" i="3"/>
  <c r="AL488" i="3"/>
  <c r="P433" i="3"/>
  <c r="R482" i="3"/>
  <c r="Z434" i="3"/>
  <c r="AB483" i="3"/>
  <c r="AJ434" i="3"/>
  <c r="AL483" i="3"/>
  <c r="P435" i="3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S435" i="3"/>
  <c r="AV487" i="3" s="1"/>
  <c r="BC436" i="3"/>
  <c r="AZ437" i="3"/>
  <c r="BC438" i="3"/>
  <c r="BC431" i="3"/>
  <c r="BC432" i="3"/>
  <c r="F433" i="3"/>
  <c r="Z433" i="3"/>
  <c r="AS433" i="3"/>
  <c r="AJ433" i="3"/>
  <c r="F434" i="3"/>
  <c r="Z435" i="3"/>
  <c r="F436" i="3"/>
  <c r="AS436" i="3"/>
  <c r="AV488" i="3" s="1"/>
  <c r="P439" i="3"/>
  <c r="AJ436" i="3"/>
  <c r="BA437" i="3"/>
  <c r="BB437" i="3"/>
  <c r="Z440" i="3"/>
  <c r="Z437" i="3"/>
  <c r="BA438" i="3"/>
  <c r="P441" i="3"/>
  <c r="P438" i="3"/>
  <c r="Z438" i="3"/>
  <c r="AJ438" i="3"/>
  <c r="BB431" i="3"/>
  <c r="BA432" i="3"/>
  <c r="AS432" i="3"/>
  <c r="BA433" i="3"/>
  <c r="AZ434" i="3"/>
  <c r="AZ436" i="3"/>
  <c r="F439" i="3"/>
  <c r="BA436" i="3"/>
  <c r="BB436" i="3"/>
  <c r="Z439" i="3"/>
  <c r="Z436" i="3"/>
  <c r="F438" i="3"/>
  <c r="BB438" i="3"/>
  <c r="AS438" i="3"/>
  <c r="AV490" i="3" s="1"/>
  <c r="BD441" i="3"/>
  <c r="AT444" i="3"/>
  <c r="BD440" i="3"/>
  <c r="AT443" i="3"/>
  <c r="BD443" i="3"/>
  <c r="AT446" i="3"/>
  <c r="BD442" i="3"/>
  <c r="AT442" i="3"/>
  <c r="BD439" i="3"/>
  <c r="BA430" i="3"/>
  <c r="AS430" i="3"/>
  <c r="AV482" i="3" s="1"/>
  <c r="BA431" i="3"/>
  <c r="AS431" i="3"/>
  <c r="AV483" i="3" s="1"/>
  <c r="BA434" i="3"/>
  <c r="P437" i="3"/>
  <c r="AS437" i="3"/>
  <c r="AS434" i="3"/>
  <c r="AZ435" i="3"/>
  <c r="F435" i="3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T439" i="3"/>
  <c r="BD438" i="3"/>
  <c r="AT441" i="3"/>
  <c r="BD437" i="3"/>
  <c r="AT435" i="3"/>
  <c r="BD434" i="3"/>
  <c r="AT437" i="3"/>
  <c r="BD431" i="3"/>
  <c r="AT434" i="3"/>
  <c r="BD430" i="3"/>
  <c r="AT433" i="3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B478" i="3"/>
  <c r="AJ429" i="3"/>
  <c r="AL478" i="3"/>
  <c r="P430" i="3"/>
  <c r="R479" i="3"/>
  <c r="Z430" i="3"/>
  <c r="AB479" i="3"/>
  <c r="AJ430" i="3"/>
  <c r="AL479" i="3"/>
  <c r="AW485" i="3"/>
  <c r="AW486" i="3"/>
  <c r="AW487" i="3"/>
  <c r="AZ426" i="3"/>
  <c r="H478" i="3"/>
  <c r="BA426" i="3"/>
  <c r="R478" i="3"/>
  <c r="F430" i="3"/>
  <c r="H479" i="3"/>
  <c r="BB427" i="3"/>
  <c r="F431" i="3"/>
  <c r="H480" i="3"/>
  <c r="AJ431" i="3"/>
  <c r="AL480" i="3"/>
  <c r="AJ432" i="3"/>
  <c r="AL481" i="3"/>
  <c r="AW488" i="3"/>
  <c r="BB426" i="3"/>
  <c r="BC426" i="3"/>
  <c r="AZ427" i="3"/>
  <c r="BC427" i="3"/>
  <c r="BB428" i="3"/>
  <c r="Z431" i="3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Z429" i="3"/>
  <c r="F432" i="3"/>
  <c r="BA427" i="3"/>
  <c r="AS427" i="3"/>
  <c r="AV479" i="3" s="1"/>
  <c r="P429" i="3"/>
  <c r="BA428" i="3"/>
  <c r="BF428" i="3" s="1"/>
  <c r="P431" i="3"/>
  <c r="BA429" i="3"/>
  <c r="P432" i="3"/>
  <c r="AS429" i="3"/>
  <c r="F429" i="3"/>
  <c r="AS426" i="3"/>
  <c r="AV478" i="3" s="1"/>
  <c r="BG428" i="3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H475" i="3"/>
  <c r="AZ422" i="3"/>
  <c r="H474" i="3"/>
  <c r="Z425" i="3"/>
  <c r="AB474" i="3"/>
  <c r="BC422" i="3"/>
  <c r="AL474" i="3"/>
  <c r="P426" i="3"/>
  <c r="R475" i="3"/>
  <c r="AJ426" i="3"/>
  <c r="AL475" i="3"/>
  <c r="AJ427" i="3"/>
  <c r="AL476" i="3"/>
  <c r="F428" i="3"/>
  <c r="H477" i="3"/>
  <c r="Z428" i="3"/>
  <c r="AB477" i="3"/>
  <c r="AJ428" i="3"/>
  <c r="AL477" i="3"/>
  <c r="AT431" i="3"/>
  <c r="AV480" i="3"/>
  <c r="AT432" i="3"/>
  <c r="AV481" i="3"/>
  <c r="I484" i="3"/>
  <c r="AC484" i="3"/>
  <c r="AM484" i="3"/>
  <c r="AM483" i="3"/>
  <c r="I483" i="3"/>
  <c r="F427" i="3"/>
  <c r="H476" i="3"/>
  <c r="Z427" i="3"/>
  <c r="AB476" i="3"/>
  <c r="P428" i="3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BA424" i="3"/>
  <c r="P427" i="3"/>
  <c r="P425" i="3"/>
  <c r="AJ425" i="3"/>
  <c r="BD426" i="3"/>
  <c r="AZ423" i="3"/>
  <c r="BA423" i="3"/>
  <c r="BB424" i="3"/>
  <c r="BB425" i="3"/>
  <c r="BD428" i="3"/>
  <c r="AS422" i="3"/>
  <c r="AV474" i="3" s="1"/>
  <c r="F425" i="3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L473" i="3"/>
  <c r="AT428" i="3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B472" i="3"/>
  <c r="P424" i="3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AJ417" i="3"/>
  <c r="AJ419" i="3"/>
  <c r="BB420" i="3"/>
  <c r="AZ413" i="3"/>
  <c r="AT427" i="3"/>
  <c r="AJ416" i="3"/>
  <c r="P421" i="3"/>
  <c r="AT426" i="3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Z421" i="3"/>
  <c r="F424" i="3"/>
  <c r="BB419" i="3"/>
  <c r="Z422" i="3"/>
  <c r="AS420" i="3"/>
  <c r="AV472" i="3" s="1"/>
  <c r="F423" i="3"/>
  <c r="BA420" i="3"/>
  <c r="P423" i="3"/>
  <c r="AZ419" i="3"/>
  <c r="F422" i="3"/>
  <c r="BD422" i="3"/>
  <c r="AT425" i="3"/>
  <c r="P420" i="3"/>
  <c r="P417" i="3"/>
  <c r="AS416" i="3"/>
  <c r="AV468" i="3" s="1"/>
  <c r="AS421" i="3"/>
  <c r="Z424" i="3"/>
  <c r="BD423" i="3"/>
  <c r="BD425" i="3"/>
  <c r="P422" i="3"/>
  <c r="F418" i="3"/>
  <c r="Z418" i="3"/>
  <c r="F420" i="3"/>
  <c r="BD424" i="3"/>
  <c r="BC419" i="3"/>
  <c r="AJ422" i="3"/>
  <c r="AJ418" i="3"/>
  <c r="P416" i="3"/>
  <c r="Z417" i="3"/>
  <c r="P418" i="3"/>
  <c r="P419" i="3"/>
  <c r="Z421" i="3"/>
  <c r="BB415" i="3"/>
  <c r="F419" i="3"/>
  <c r="Z416" i="3"/>
  <c r="BC418" i="3"/>
  <c r="AS419" i="3"/>
  <c r="AV471" i="3" s="1"/>
  <c r="Z420" i="3"/>
  <c r="AJ421" i="3"/>
  <c r="BA415" i="3"/>
  <c r="AS415" i="3"/>
  <c r="AV467" i="3" s="1"/>
  <c r="AS418" i="3"/>
  <c r="AV470" i="3" s="1"/>
  <c r="BB421" i="3"/>
  <c r="AJ420" i="3"/>
  <c r="AS414" i="3"/>
  <c r="AV466" i="3" s="1"/>
  <c r="AS417" i="3"/>
  <c r="AV469" i="3" s="1"/>
  <c r="Z419" i="3"/>
  <c r="BC416" i="3"/>
  <c r="F421" i="3"/>
  <c r="F417" i="3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B464" i="3"/>
  <c r="AM472" i="3"/>
  <c r="AC472" i="3"/>
  <c r="AC473" i="3"/>
  <c r="S468" i="3"/>
  <c r="S474" i="3"/>
  <c r="S469" i="3"/>
  <c r="I474" i="3"/>
  <c r="AC474" i="3"/>
  <c r="P415" i="3"/>
  <c r="R464" i="3"/>
  <c r="AJ415" i="3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L463" i="3"/>
  <c r="BA407" i="3"/>
  <c r="R459" i="3"/>
  <c r="BC410" i="3"/>
  <c r="AL462" i="3"/>
  <c r="AS407" i="3"/>
  <c r="AV459" i="3" s="1"/>
  <c r="H459" i="3"/>
  <c r="BB407" i="3"/>
  <c r="AB459" i="3"/>
  <c r="P410" i="3"/>
  <c r="R462" i="3"/>
  <c r="F414" i="3"/>
  <c r="H463" i="3"/>
  <c r="AJ410" i="3"/>
  <c r="P412" i="3"/>
  <c r="AZ411" i="3"/>
  <c r="AT422" i="3"/>
  <c r="F411" i="3"/>
  <c r="BB412" i="3"/>
  <c r="BD421" i="3"/>
  <c r="AS409" i="3"/>
  <c r="BC411" i="3"/>
  <c r="AT423" i="3"/>
  <c r="AT419" i="3"/>
  <c r="BB410" i="3"/>
  <c r="Z413" i="3"/>
  <c r="BD414" i="3"/>
  <c r="AT417" i="3"/>
  <c r="F410" i="3"/>
  <c r="AZ407" i="3"/>
  <c r="BB408" i="3"/>
  <c r="BC409" i="3"/>
  <c r="AZ410" i="3"/>
  <c r="F413" i="3"/>
  <c r="BA411" i="3"/>
  <c r="P414" i="3"/>
  <c r="Z412" i="3"/>
  <c r="BD415" i="3"/>
  <c r="AT418" i="3"/>
  <c r="BD413" i="3"/>
  <c r="AT416" i="3"/>
  <c r="P411" i="3"/>
  <c r="AS412" i="3"/>
  <c r="AV464" i="3" s="1"/>
  <c r="Z411" i="3"/>
  <c r="AS410" i="3"/>
  <c r="AV462" i="3" s="1"/>
  <c r="AJ413" i="3"/>
  <c r="AJ412" i="3"/>
  <c r="AJ411" i="3"/>
  <c r="BB411" i="3"/>
  <c r="Z414" i="3"/>
  <c r="Z410" i="3"/>
  <c r="AS411" i="3"/>
  <c r="AV463" i="3" s="1"/>
  <c r="BD418" i="3"/>
  <c r="AT421" i="3"/>
  <c r="BD417" i="3"/>
  <c r="AT420" i="3"/>
  <c r="F412" i="3"/>
  <c r="BA410" i="3"/>
  <c r="P413" i="3"/>
  <c r="BD419" i="3"/>
  <c r="AZ412" i="3"/>
  <c r="F415" i="3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H458" i="3"/>
  <c r="Z409" i="3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Z406" i="3"/>
  <c r="BD412" i="3"/>
  <c r="AT415" i="3"/>
  <c r="AS406" i="3"/>
  <c r="AV458" i="3" s="1"/>
  <c r="AJ409" i="3"/>
  <c r="BD410" i="3"/>
  <c r="AT413" i="3"/>
  <c r="AT412" i="3"/>
  <c r="BD411" i="3"/>
  <c r="AT414" i="3"/>
  <c r="BA406" i="3"/>
  <c r="P409" i="3"/>
  <c r="AT410" i="3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R456" i="3"/>
  <c r="F408" i="3"/>
  <c r="H457" i="3"/>
  <c r="Z408" i="3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B456" i="3"/>
  <c r="BC404" i="3"/>
  <c r="AL456" i="3"/>
  <c r="P408" i="3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J408" i="3"/>
  <c r="F403" i="3"/>
  <c r="G559" i="3" s="1"/>
  <c r="J559" i="3" s="1"/>
  <c r="BB403" i="3"/>
  <c r="Z406" i="3"/>
  <c r="AA562" i="3" s="1"/>
  <c r="AD562" i="3" s="1"/>
  <c r="AZ404" i="3"/>
  <c r="F407" i="3"/>
  <c r="AJ407" i="3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L323" i="3" s="1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R310" i="3" s="1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S306" i="3" s="1"/>
  <c r="BD306" i="3" s="1"/>
  <c r="AR306" i="3"/>
  <c r="AQ306" i="3"/>
  <c r="AP306" i="3"/>
  <c r="Y306" i="3"/>
  <c r="BB306" i="3" s="1"/>
  <c r="O306" i="3"/>
  <c r="E306" i="3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R302" i="3" s="1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O300" i="3"/>
  <c r="BA300" i="3" s="1"/>
  <c r="E300" i="3"/>
  <c r="AZ300" i="3" s="1"/>
  <c r="AI299" i="3"/>
  <c r="AS299" i="3" s="1"/>
  <c r="AR299" i="3"/>
  <c r="AQ299" i="3"/>
  <c r="AP299" i="3"/>
  <c r="Y299" i="3"/>
  <c r="O299" i="3"/>
  <c r="BA299" i="3" s="1"/>
  <c r="E299" i="3"/>
  <c r="AI298" i="3"/>
  <c r="BC298" i="3" s="1"/>
  <c r="AR298" i="3"/>
  <c r="AQ298" i="3"/>
  <c r="AP298" i="3"/>
  <c r="Y298" i="3"/>
  <c r="BB298" i="3" s="1"/>
  <c r="O298" i="3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E142" i="3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AL230" i="3" s="1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B324" i="3" s="1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Y182" i="3"/>
  <c r="BB182" i="3" s="1"/>
  <c r="AI182" i="3"/>
  <c r="BC182" i="3" s="1"/>
  <c r="E130" i="3"/>
  <c r="AZ130" i="3" s="1"/>
  <c r="O130" i="3"/>
  <c r="R182" i="3" s="1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L180" i="3" s="1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B176" i="3" s="1"/>
  <c r="AI176" i="3"/>
  <c r="E124" i="3"/>
  <c r="O124" i="3"/>
  <c r="Y124" i="3"/>
  <c r="AI124" i="3"/>
  <c r="BC124" i="3" s="1"/>
  <c r="AR283" i="3"/>
  <c r="AQ283" i="3"/>
  <c r="AP283" i="3"/>
  <c r="E175" i="3"/>
  <c r="O175" i="3"/>
  <c r="BA175" i="3" s="1"/>
  <c r="Y175" i="3"/>
  <c r="AI175" i="3"/>
  <c r="E123" i="3"/>
  <c r="AZ123" i="3" s="1"/>
  <c r="O123" i="3"/>
  <c r="BA123" i="3" s="1"/>
  <c r="Y123" i="3"/>
  <c r="AI123" i="3"/>
  <c r="AL175" i="3" s="1"/>
  <c r="AR282" i="3"/>
  <c r="AQ282" i="3"/>
  <c r="AP282" i="3"/>
  <c r="E174" i="3"/>
  <c r="AZ174" i="3" s="1"/>
  <c r="O174" i="3"/>
  <c r="BA174" i="3" s="1"/>
  <c r="Y174" i="3"/>
  <c r="BB174" i="3" s="1"/>
  <c r="AI174" i="3"/>
  <c r="E122" i="3"/>
  <c r="H174" i="3" s="1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O121" i="3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O115" i="3"/>
  <c r="BA115" i="3" s="1"/>
  <c r="BF115" i="3" s="1"/>
  <c r="Y115" i="3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R322" i="3" s="1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L303" i="3" s="1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L311" i="3" s="1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L319" i="3" s="1"/>
  <c r="AI268" i="3"/>
  <c r="BC268" i="3" s="1"/>
  <c r="Y259" i="3"/>
  <c r="Y246" i="3"/>
  <c r="Y247" i="3"/>
  <c r="AB299" i="3" s="1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H313" i="3" s="1"/>
  <c r="E262" i="3"/>
  <c r="H314" i="3" s="1"/>
  <c r="E263" i="3"/>
  <c r="E264" i="3"/>
  <c r="E265" i="3"/>
  <c r="E266" i="3"/>
  <c r="E267" i="3"/>
  <c r="AZ267" i="3" s="1"/>
  <c r="E268" i="3"/>
  <c r="H320" i="3" s="1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Y107" i="3"/>
  <c r="AI107" i="3"/>
  <c r="E210" i="3"/>
  <c r="AZ210" i="3" s="1"/>
  <c r="O210" i="3"/>
  <c r="Y210" i="3"/>
  <c r="BB210" i="3" s="1"/>
  <c r="AI210" i="3"/>
  <c r="BC210" i="3" s="1"/>
  <c r="E158" i="3"/>
  <c r="O158" i="3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AL194" i="3" s="1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AL202" i="3" s="1"/>
  <c r="E98" i="3"/>
  <c r="AZ98" i="3" s="1"/>
  <c r="O98" i="3"/>
  <c r="Y98" i="3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AL198" i="3" s="1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5" i="3"/>
  <c r="BC178" i="3"/>
  <c r="BB172" i="3"/>
  <c r="BB175" i="3"/>
  <c r="BA177" i="3"/>
  <c r="BA182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L227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BC19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AZ153" i="3"/>
  <c r="E46" i="3"/>
  <c r="AZ46" i="3" s="1"/>
  <c r="O46" i="3"/>
  <c r="BA46" i="3" s="1"/>
  <c r="Y46" i="3"/>
  <c r="BB46" i="3" s="1"/>
  <c r="AI46" i="3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BC46" i="3"/>
  <c r="BA58" i="3"/>
  <c r="AZ61" i="3"/>
  <c r="AZ62" i="3"/>
  <c r="BA62" i="3"/>
  <c r="BB62" i="3"/>
  <c r="BC62" i="3"/>
  <c r="BC74" i="3"/>
  <c r="BC76" i="3"/>
  <c r="BA90" i="3"/>
  <c r="BA98" i="3"/>
  <c r="BB98" i="3"/>
  <c r="BA107" i="3"/>
  <c r="BB107" i="3"/>
  <c r="AZ115" i="3"/>
  <c r="BE115" i="3" s="1"/>
  <c r="BB115" i="3"/>
  <c r="BG115" i="3" s="1"/>
  <c r="BB119" i="3"/>
  <c r="AZ121" i="3"/>
  <c r="BA121" i="3"/>
  <c r="BA124" i="3"/>
  <c r="BB124" i="3"/>
  <c r="BB129" i="3"/>
  <c r="AZ141" i="3"/>
  <c r="AZ142" i="3"/>
  <c r="BA158" i="3"/>
  <c r="BB162" i="3"/>
  <c r="BA298" i="3"/>
  <c r="BB299" i="3"/>
  <c r="BB300" i="3"/>
  <c r="AZ306" i="3"/>
  <c r="BA306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H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R306" i="3"/>
  <c r="R314" i="3"/>
  <c r="AB323" i="3"/>
  <c r="AL305" i="3" l="1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BD299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I151" i="3" s="1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M278" i="3" s="1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AC293" i="3" s="1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C152" i="3" s="1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I315" i="3" s="1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Q326" i="3" s="1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C103" i="3" s="1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AM96" i="3" s="1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AC264" i="3" s="1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I134" i="3" s="1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Z147" i="3"/>
  <c r="F147" i="3"/>
  <c r="AS208" i="3"/>
  <c r="Z210" i="3"/>
  <c r="AS200" i="3"/>
  <c r="AS196" i="3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V261" i="3" s="1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I334" i="3" s="1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V358" i="3" s="1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BD47" i="3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AV70" i="3" s="1"/>
  <c r="P73" i="3"/>
  <c r="Z74" i="3"/>
  <c r="Z72" i="3"/>
  <c r="F74" i="3"/>
  <c r="F72" i="3"/>
  <c r="AS72" i="3"/>
  <c r="P75" i="3"/>
  <c r="AJ77" i="3"/>
  <c r="AM77" i="3" s="1"/>
  <c r="AJ76" i="3"/>
  <c r="AS74" i="3"/>
  <c r="P76" i="3"/>
  <c r="AS75" i="3"/>
  <c r="P78" i="3"/>
  <c r="AS76" i="3"/>
  <c r="P79" i="3"/>
  <c r="AS77" i="3"/>
  <c r="AV77" i="3" s="1"/>
  <c r="P80" i="3"/>
  <c r="AS80" i="3"/>
  <c r="P82" i="3"/>
  <c r="S82" i="3" s="1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S154" i="3" s="1"/>
  <c r="BD196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AV64" i="3" s="1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I76" i="3" s="1"/>
  <c r="P77" i="3"/>
  <c r="P81" i="3"/>
  <c r="S81" i="3" s="1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AC88" i="3" s="1"/>
  <c r="F88" i="3"/>
  <c r="I88" i="3" s="1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S73" i="3" l="1"/>
  <c r="S77" i="3"/>
  <c r="AM235" i="3"/>
  <c r="AV123" i="3"/>
  <c r="S130" i="3"/>
  <c r="AV94" i="3"/>
  <c r="AM287" i="3"/>
  <c r="I322" i="3"/>
  <c r="G371" i="3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AC272" i="3"/>
  <c r="AM325" i="3"/>
  <c r="AM344" i="3"/>
  <c r="I94" i="3"/>
  <c r="I65" i="3"/>
  <c r="T326" i="3"/>
  <c r="AV302" i="3"/>
  <c r="G339" i="3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BE122" i="3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D362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AW309" i="3" s="1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BE313" i="3"/>
  <c r="BE314" i="3" s="1"/>
  <c r="BE315" i="3" s="1"/>
  <c r="BE316" i="3" s="1"/>
  <c r="BE317" i="3" s="1"/>
  <c r="BE318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T254" i="3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J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AD327" i="3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J231" i="3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AD181" i="3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W282" i="3" s="1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AW126" i="3" s="1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J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T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J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J211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J371" i="3"/>
  <c r="AN359" i="3"/>
  <c r="AT353" i="3"/>
  <c r="AK342" i="3"/>
  <c r="AN342" i="3" s="1"/>
  <c r="Q339" i="3"/>
  <c r="T339" i="3" s="1"/>
  <c r="Q335" i="3"/>
  <c r="T335" i="3" s="1"/>
  <c r="Q331" i="3"/>
  <c r="T331" i="3" s="1"/>
  <c r="J358" i="3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T175" i="3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W65" i="3" s="1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AW77" i="3" s="1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BG314" i="3"/>
  <c r="BG315" i="3" s="1"/>
  <c r="BG316" i="3" s="1"/>
  <c r="BG317" i="3" s="1"/>
  <c r="BG318" i="3" s="1"/>
  <c r="AT356" i="3"/>
  <c r="AT350" i="3"/>
  <c r="AT326" i="3"/>
  <c r="AN368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105" i="3" l="1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<sst xmlns="http://schemas.openxmlformats.org/spreadsheetml/2006/main" count="183" uniqueCount="64">
  <si>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</si>
  <si>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</si>
  <si>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</si>
  <si>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</si>
  <si>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</si>
  <si>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</si>
  <si>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</si>
  <si>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</si>
  <si>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</si>
  <si>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</si>
  <si>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</si>
  <si>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</si>
  <si>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</si>
  <si>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</si>
  <si>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</si>
  <si>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</si>
  <si>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</si>
  <si>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</si>
  <si>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</si>
  <si>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</si>
  <si>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</si>
  <si>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</si>
  <si>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</si>
  <si>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</si>
  <si>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</si>
  <si>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</si>
  <si>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</si>
  <si>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</si>
  <si>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</si>
  <si>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</si>
  <si>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</si>
  <si>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</si>
  <si>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</si>
  <si>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</si>
  <si>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</si>
  <si>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</si>
  <si>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</si>
  <si>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</si>
  <si>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</si>
  <si>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</si>
  <si>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</si>
  <si>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</si>
  <si>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</si>
  <si>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</si>
  <si>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</si>
  <si>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</si>
  <si>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</si>
  <si>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</si>
  <si>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</si>
  <si>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</si>
  <si>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</si>
  <si>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Weekly total - 2012</t>
  </si>
  <si>
    <t>n/a</t>
  </si>
  <si>
    <t>Yellow highlight indicates revised data</t>
  </si>
  <si>
    <t xml:space="preserve">Source:  U.S. Army Corps of Engineers </t>
  </si>
  <si>
    <t>Weekly total - 2013</t>
  </si>
  <si>
    <r>
      <t>2013 YTD</t>
    </r>
    <r>
      <rPr>
        <vertAlign val="superscript"/>
        <sz val="9"/>
        <rFont val="Times New Roman"/>
        <family val="1"/>
      </rPr>
      <t>1</t>
    </r>
  </si>
  <si>
    <t>2012 YTD</t>
  </si>
  <si>
    <t>2013 as % of 2012 YTD</t>
  </si>
  <si>
    <r>
      <t>Last 4 weeks as % of 2012</t>
    </r>
    <r>
      <rPr>
        <vertAlign val="superscript"/>
        <sz val="9"/>
        <rFont val="Times New Roman"/>
        <family val="1"/>
      </rPr>
      <t>2</t>
    </r>
  </si>
  <si>
    <t>Total 2012</t>
  </si>
  <si>
    <r>
      <t xml:space="preserve">2 </t>
    </r>
    <r>
      <rPr>
        <sz val="8"/>
        <rFont val="Times New Roman"/>
        <family val="1"/>
      </rPr>
      <t xml:space="preserve">As a percent of same period in 2012. </t>
    </r>
  </si>
  <si>
    <t xml:space="preserve">Locks 16, 17, 18, 20, 21, 22, 24, 25, and 27 closed most of the week.  </t>
  </si>
  <si>
    <t>Week ending 11/30/2013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</si>
</sst>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590"/>
  <sheetViews>
    <sheetView topLeftCell="A3" workbookViewId="0">
      <pane xSplit="1" ySplit="6" topLeftCell="AX574" activePane="bottomRight" state="frozen"/>
      <selection activeCell="A3" sqref="A3"/>
      <selection pane="topRight" activeCell="B3" sqref="B3"/>
      <selection pane="bottomLeft" activeCell="A8" sqref="A8"/>
      <selection pane="bottomRight" activeCell="AZ578" sqref="AZ578:BJ579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75" t="s">
        <v>31</v>
      </c>
      <c r="C6" s="75"/>
      <c r="D6" s="75"/>
      <c r="E6" s="75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75" t="s">
        <v>35</v>
      </c>
      <c r="M6" s="75"/>
      <c r="N6" s="75"/>
      <c r="O6" s="75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75" t="s">
        <v>34</v>
      </c>
      <c r="W6" s="75"/>
      <c r="X6" s="75"/>
      <c r="Y6" s="75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75" t="s">
        <v>33</v>
      </c>
      <c r="AG6" s="75"/>
      <c r="AH6" s="75"/>
      <c r="AI6" s="75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75" t="s">
        <v>36</v>
      </c>
      <c r="AQ6" s="75"/>
      <c r="AR6" s="75"/>
      <c r="AS6" s="75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8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f t="shared" si="6342"/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62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7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9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" si="8561">SUM(B579,L579,V579,AF579)</f>
        <v>526500</v>
      </c>
      <c r="AQ579" s="60">
        <f t="shared" ref="AQ579" si="8562">SUM(C579,M579,W579,AG579)</f>
        <v>308052</v>
      </c>
      <c r="AR579" s="60">
        <f t="shared" ref="AR579" si="8563">SUM(D579,N579,X579,AH579)</f>
        <v>70000</v>
      </c>
      <c r="AS579" s="60">
        <f t="shared" ref="AS579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/>
      <c r="B580" s="64"/>
      <c r="C580" s="64"/>
      <c r="D580" s="64"/>
      <c r="E580" s="64"/>
      <c r="F580" s="64"/>
      <c r="G580" s="71"/>
      <c r="H580" s="64"/>
      <c r="I580" s="64"/>
      <c r="J580" s="64"/>
      <c r="L580" s="53"/>
      <c r="M580" s="53"/>
      <c r="N580" s="53"/>
      <c r="O580" s="71"/>
      <c r="P580" s="71"/>
      <c r="Q580" s="71"/>
      <c r="R580" s="64"/>
      <c r="S580" s="64"/>
      <c r="T580" s="64"/>
      <c r="V580" s="64"/>
      <c r="W580" s="64"/>
      <c r="X580" s="53"/>
      <c r="Y580" s="64"/>
      <c r="Z580" s="71"/>
      <c r="AA580" s="71"/>
      <c r="AB580" s="64"/>
      <c r="AC580" s="64"/>
      <c r="AD580" s="64"/>
      <c r="AF580" s="53"/>
      <c r="AG580" s="53"/>
      <c r="AH580" s="53"/>
      <c r="AI580" s="53"/>
      <c r="AJ580" s="71"/>
      <c r="AK580" s="71"/>
      <c r="AL580" s="64"/>
      <c r="AM580" s="64"/>
      <c r="AN580" s="64"/>
      <c r="AP580" s="60"/>
      <c r="AQ580" s="60"/>
      <c r="AR580" s="60"/>
      <c r="AS580" s="60"/>
      <c r="AT580" s="64"/>
      <c r="AU580" s="71"/>
      <c r="AV580" s="64"/>
      <c r="AW580" s="64"/>
      <c r="AX580" s="64"/>
      <c r="AZ580" s="71"/>
      <c r="BA580" s="53"/>
      <c r="BB580" s="53"/>
      <c r="BC580" s="53"/>
      <c r="BD580" s="53"/>
      <c r="BE580" s="64"/>
      <c r="BF580" s="64"/>
      <c r="BG580" s="64"/>
      <c r="BH580" s="64"/>
      <c r="BI580" s="64"/>
      <c r="BJ580" s="64"/>
    </row>
    <row r="581" spans="1:62" x14ac:dyDescent="0.25">
      <c r="A581" s="51" t="s">
        <v>46</v>
      </c>
      <c r="B581" s="64"/>
      <c r="C581" s="64"/>
      <c r="D581" s="64"/>
      <c r="E581" s="64"/>
      <c r="L581" s="53"/>
      <c r="M581" s="53"/>
      <c r="N581" s="53"/>
      <c r="O581" s="71"/>
      <c r="V581" s="64"/>
      <c r="W581" s="64"/>
      <c r="X581" s="53"/>
      <c r="Y581" s="64"/>
      <c r="AS581" s="60"/>
    </row>
    <row r="582" spans="1:62" x14ac:dyDescent="0.25">
      <c r="A582" s="74" t="s">
        <v>47</v>
      </c>
      <c r="B582" s="64"/>
      <c r="C582" s="64"/>
      <c r="D582" s="64"/>
      <c r="E582" s="64"/>
      <c r="L582" s="71"/>
      <c r="M582" s="53"/>
      <c r="N582" s="53"/>
      <c r="O582" s="71"/>
      <c r="V582" s="64"/>
      <c r="W582" s="64"/>
      <c r="X582" s="64"/>
      <c r="Y582" s="64"/>
      <c r="AS582" s="60"/>
    </row>
    <row r="583" spans="1:62" x14ac:dyDescent="0.25">
      <c r="A583" s="74"/>
      <c r="B583"/>
      <c r="C583"/>
      <c r="D583"/>
      <c r="E583"/>
      <c r="F583"/>
      <c r="G583"/>
      <c r="L583" s="71"/>
      <c r="M583" s="53"/>
      <c r="N583" s="53"/>
      <c r="O583" s="71"/>
      <c r="AS583" s="60"/>
    </row>
    <row r="584" spans="1:62" x14ac:dyDescent="0.25">
      <c r="A584" s="74" t="s">
        <v>48</v>
      </c>
      <c r="B584"/>
      <c r="C584"/>
      <c r="D584" s="69"/>
      <c r="E584" s="69"/>
      <c r="F584"/>
      <c r="G584" s="70"/>
      <c r="L584" s="71"/>
      <c r="M584" s="53"/>
      <c r="N584" s="53"/>
      <c r="O584" s="71"/>
      <c r="AS584" s="60"/>
    </row>
    <row r="585" spans="1:62" x14ac:dyDescent="0.25">
      <c r="A585" s="74"/>
      <c r="B585"/>
      <c r="C585" s="69"/>
      <c r="D585" s="69"/>
      <c r="E585" s="69"/>
      <c r="F585"/>
      <c r="G585" s="70"/>
      <c r="N585" s="53"/>
      <c r="AS585" s="60"/>
    </row>
    <row r="586" spans="1:62" x14ac:dyDescent="0.25">
      <c r="B586"/>
      <c r="C586" s="69"/>
      <c r="D586" s="69"/>
      <c r="E586" s="69"/>
      <c r="F586"/>
      <c r="G586" s="70"/>
      <c r="N586" s="53"/>
    </row>
    <row r="587" spans="1:62" x14ac:dyDescent="0.25">
      <c r="A587" s="68" t="s">
        <v>53</v>
      </c>
      <c r="B587"/>
      <c r="C587" s="69"/>
      <c r="D587" s="69"/>
      <c r="E587" s="69"/>
      <c r="F587"/>
      <c r="G587" s="70"/>
      <c r="L587"/>
      <c r="M587"/>
      <c r="N587" s="53"/>
    </row>
    <row r="588" spans="1:62" x14ac:dyDescent="0.25">
      <c r="B588"/>
      <c r="C588" s="69"/>
      <c r="D588" s="69"/>
      <c r="E588" s="69"/>
      <c r="F588"/>
      <c r="G588" s="70"/>
      <c r="L588"/>
      <c r="M588"/>
      <c r="N588"/>
    </row>
    <row r="589" spans="1:62" x14ac:dyDescent="0.25">
      <c r="B589"/>
      <c r="C589" s="69"/>
      <c r="D589" s="69"/>
      <c r="E589" s="69"/>
      <c r="F589"/>
      <c r="G589" s="70"/>
      <c r="L589"/>
      <c r="M589"/>
      <c r="N589"/>
    </row>
    <row r="590" spans="1:62" x14ac:dyDescent="0.25">
      <c r="B590"/>
      <c r="C590" s="69"/>
      <c r="D590" s="69"/>
      <c r="E590" s="69"/>
      <c r="F590"/>
      <c r="G590" s="70"/>
    </row>
  </sheetData>
  <mergeCells count="7">
    <mergeCell ref="A584:A585"/>
    <mergeCell ref="A582:A583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4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4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4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4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4" s="2" customFormat="1" ht="12.75" customHeight="1" x14ac:dyDescent="0.25">
      <c r="A5" s="8" t="s">
        <v>1</v>
      </c>
      <c r="B5" s="45">
        <f>80150/1000</f>
        <v>80.150000000000006</v>
      </c>
      <c r="C5" s="45">
        <f>4500/1000</f>
        <v>4.5</v>
      </c>
      <c r="D5" s="45">
        <f>198944/1000</f>
        <v>198.94399999999999</v>
      </c>
      <c r="E5" s="45">
        <v>0</v>
      </c>
      <c r="F5" s="45">
        <f>SUM(B5:E5)</f>
        <v>283.59399999999999</v>
      </c>
      <c r="G5" s="14"/>
      <c r="H5" s="14"/>
      <c r="I5" s="13"/>
      <c r="J5" s="66"/>
    </row>
    <row r="6" spans="1:14" s="2" customFormat="1" ht="12.75" customHeight="1" x14ac:dyDescent="0.25">
      <c r="A6" s="8" t="s">
        <v>2</v>
      </c>
      <c r="B6" s="72">
        <f>162400/1000</f>
        <v>162.4</v>
      </c>
      <c r="C6" s="72">
        <f>4600/1000</f>
        <v>4.5999999999999996</v>
      </c>
      <c r="D6" s="72">
        <f>217500/1000</f>
        <v>217.5</v>
      </c>
      <c r="E6" s="72">
        <v>0</v>
      </c>
      <c r="F6" s="45">
        <f>SUM(B6:E6)</f>
        <v>384.5</v>
      </c>
      <c r="G6" s="14"/>
      <c r="H6" s="14"/>
      <c r="I6" s="13"/>
    </row>
    <row r="7" spans="1:14" s="2" customFormat="1" ht="12.75" customHeight="1" x14ac:dyDescent="0.25">
      <c r="A7" s="8" t="s">
        <v>3</v>
      </c>
      <c r="B7" s="45">
        <f>304600/1000</f>
        <v>304.60000000000002</v>
      </c>
      <c r="C7" s="45">
        <f>17100/1000</f>
        <v>17.100000000000001</v>
      </c>
      <c r="D7" s="45">
        <f>260100/1000</f>
        <v>260.10000000000002</v>
      </c>
      <c r="E7" s="45">
        <v>0</v>
      </c>
      <c r="F7" s="45">
        <f>SUM(B7:E7)</f>
        <v>581.80000000000007</v>
      </c>
      <c r="G7" s="14"/>
      <c r="H7" s="14"/>
      <c r="I7" s="13"/>
    </row>
    <row r="8" spans="1:14" s="2" customFormat="1" ht="12.75" customHeight="1" x14ac:dyDescent="0.25">
      <c r="A8" s="8" t="s">
        <v>4</v>
      </c>
      <c r="B8" s="45">
        <f>Data!B579/1000</f>
        <v>274.60000000000002</v>
      </c>
      <c r="C8" s="45">
        <f>Data!L579/1000</f>
        <v>7.8</v>
      </c>
      <c r="D8" s="45">
        <f>Data!V579/1000</f>
        <v>244.1</v>
      </c>
      <c r="E8" s="45">
        <f>Data!AF579/1000</f>
        <v>0</v>
      </c>
      <c r="F8" s="45">
        <f>SUM(B8:E8)</f>
        <v>526.5</v>
      </c>
      <c r="G8" s="14"/>
      <c r="H8" s="14"/>
      <c r="I8" s="13"/>
    </row>
    <row r="9" spans="1:14" s="2" customFormat="1" ht="12.75" customHeight="1" x14ac:dyDescent="0.25">
      <c r="A9" s="4" t="s">
        <v>5</v>
      </c>
      <c r="B9" s="45">
        <f>114400/1000</f>
        <v>114.4</v>
      </c>
      <c r="C9" s="45">
        <f>12600/1000</f>
        <v>12.6</v>
      </c>
      <c r="D9" s="45">
        <f>49300/1000</f>
        <v>49.3</v>
      </c>
      <c r="E9" s="45">
        <v>0</v>
      </c>
      <c r="F9" s="45">
        <f t="shared" ref="F9:F11" si="0">SUM(B9:E9)</f>
        <v>176.3</v>
      </c>
      <c r="G9" s="14"/>
      <c r="H9" s="14"/>
      <c r="I9" s="13"/>
    </row>
    <row r="10" spans="1:14" s="2" customFormat="1" ht="12.75" customHeight="1" x14ac:dyDescent="0.25">
      <c r="A10" s="4" t="s">
        <v>6</v>
      </c>
      <c r="B10" s="45">
        <f>Data!C579/1000</f>
        <v>137</v>
      </c>
      <c r="C10" s="45">
        <f>Data!M579/1000</f>
        <v>3.5</v>
      </c>
      <c r="D10" s="45">
        <f>Data!W579/1000</f>
        <v>164.202</v>
      </c>
      <c r="E10" s="45">
        <f>Data!AG579/1000</f>
        <v>3.35</v>
      </c>
      <c r="F10" s="45">
        <f t="shared" si="0"/>
        <v>308.05200000000002</v>
      </c>
      <c r="G10" s="45" t="s">
        <v>52</v>
      </c>
      <c r="H10" s="14"/>
      <c r="I10" s="13"/>
      <c r="J10" s="45"/>
      <c r="K10" s="45"/>
      <c r="L10" s="45"/>
      <c r="M10" s="45"/>
      <c r="N10" s="45"/>
    </row>
    <row r="11" spans="1:14" s="2" customFormat="1" ht="12.75" customHeight="1" x14ac:dyDescent="0.25">
      <c r="A11" s="4" t="s">
        <v>7</v>
      </c>
      <c r="B11" s="45">
        <f>Data!D579/1000</f>
        <v>7</v>
      </c>
      <c r="C11" s="45">
        <f>Data!N579/1000</f>
        <v>8.4</v>
      </c>
      <c r="D11" s="45">
        <f>Data!X579/1000</f>
        <v>53.2</v>
      </c>
      <c r="E11" s="45">
        <f>Data!AH579/1000</f>
        <v>1.4</v>
      </c>
      <c r="F11" s="45">
        <f t="shared" si="0"/>
        <v>70.000000000000014</v>
      </c>
      <c r="G11" s="14"/>
      <c r="H11" s="14"/>
      <c r="I11" s="13"/>
    </row>
    <row r="12" spans="1:14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4" s="2" customFormat="1" ht="12.75" customHeight="1" x14ac:dyDescent="0.25">
      <c r="A13" s="5" t="s">
        <v>55</v>
      </c>
      <c r="B13" s="45">
        <f>+Data!AZ579</f>
        <v>418.6</v>
      </c>
      <c r="C13" s="45">
        <f>+Data!BA579</f>
        <v>19.7</v>
      </c>
      <c r="D13" s="45">
        <f>+Data!BB579</f>
        <v>461.50200000000001</v>
      </c>
      <c r="E13" s="45">
        <f>+Data!BC579</f>
        <v>4.75</v>
      </c>
      <c r="F13" s="45">
        <f>+Data!BD579</f>
        <v>904.55200000000002</v>
      </c>
      <c r="G13" s="14"/>
      <c r="H13" s="40"/>
      <c r="I13" s="13"/>
    </row>
    <row r="14" spans="1:14" s="2" customFormat="1" ht="12.75" customHeight="1" x14ac:dyDescent="0.25">
      <c r="A14" s="5" t="s">
        <v>51</v>
      </c>
      <c r="B14" s="45">
        <f>Data!AZ527</f>
        <v>300.60000000000002</v>
      </c>
      <c r="C14" s="45">
        <f>Data!BA527</f>
        <v>21.4</v>
      </c>
      <c r="D14" s="45">
        <f>Data!BB527</f>
        <v>583.25</v>
      </c>
      <c r="E14" s="45">
        <f>Data!BC527</f>
        <v>1.6</v>
      </c>
      <c r="F14" s="45">
        <f>Data!BD527</f>
        <v>906.85</v>
      </c>
      <c r="G14" s="14"/>
      <c r="H14" s="43"/>
      <c r="I14" s="13"/>
    </row>
    <row r="15" spans="1:14" s="2" customFormat="1" ht="12.75" customHeight="1" x14ac:dyDescent="0.25">
      <c r="A15" s="5" t="s">
        <v>56</v>
      </c>
      <c r="B15" s="46">
        <f>Data!BE579</f>
        <v>8419.0919999999987</v>
      </c>
      <c r="C15" s="46">
        <f>Data!BF579</f>
        <v>4020.8420000000001</v>
      </c>
      <c r="D15" s="46">
        <f>Data!BG579</f>
        <v>8399.6799999999985</v>
      </c>
      <c r="E15" s="46">
        <f>Data!BH579</f>
        <v>223.62799999999999</v>
      </c>
      <c r="F15" s="46">
        <f>Data!BI579</f>
        <v>21063.241999999995</v>
      </c>
      <c r="G15" s="14"/>
      <c r="H15" s="40"/>
      <c r="I15" s="13"/>
    </row>
    <row r="16" spans="1:14" s="2" customFormat="1" ht="12.75" customHeight="1" x14ac:dyDescent="0.25">
      <c r="A16" s="5" t="s">
        <v>57</v>
      </c>
      <c r="B16" s="45">
        <f>Data!BE527</f>
        <v>14164.557999999999</v>
      </c>
      <c r="C16" s="45">
        <f>Data!BF527</f>
        <v>1721.4680000000003</v>
      </c>
      <c r="D16" s="45">
        <f>Data!BG527</f>
        <v>11298.664999999999</v>
      </c>
      <c r="E16" s="45">
        <f>Data!BH527</f>
        <v>227.35900000000001</v>
      </c>
      <c r="F16" s="45">
        <f>Data!BI527</f>
        <v>27412.05</v>
      </c>
      <c r="G16" s="14"/>
      <c r="H16" s="14"/>
      <c r="I16" s="13"/>
    </row>
    <row r="17" spans="1:17" s="2" customFormat="1" ht="12.75" customHeight="1" x14ac:dyDescent="0.25">
      <c r="A17" s="5" t="s">
        <v>58</v>
      </c>
      <c r="B17" s="45">
        <f>(B15/B16)*100</f>
        <v>59.437731837449491</v>
      </c>
      <c r="C17" s="45">
        <f>(C15/C16)*100</f>
        <v>233.57053398610947</v>
      </c>
      <c r="D17" s="45">
        <f>(D15/D16)*100</f>
        <v>74.342234237407695</v>
      </c>
      <c r="E17" s="45">
        <f>(E15/E16)*100</f>
        <v>98.358982930079733</v>
      </c>
      <c r="F17" s="45">
        <f>(F15/F16)*100</f>
        <v>76.839353495999006</v>
      </c>
      <c r="G17" s="14"/>
      <c r="H17" s="14"/>
      <c r="I17" s="13"/>
    </row>
    <row r="18" spans="1:17" s="2" customFormat="1" ht="12.75" customHeight="1" x14ac:dyDescent="0.25">
      <c r="A18" s="5" t="s">
        <v>59</v>
      </c>
      <c r="B18" s="45">
        <f>+Data!I579+100</f>
        <v>141.11003654378374</v>
      </c>
      <c r="C18" s="45">
        <f>+Data!S579+100</f>
        <v>117.89473684210526</v>
      </c>
      <c r="D18" s="45">
        <f>+Data!AC579+100</f>
        <v>100.42739057177809</v>
      </c>
      <c r="E18" s="45">
        <f>+Data!AM579+100</f>
        <v>318.42105263157896</v>
      </c>
      <c r="F18" s="45">
        <f>+Data!AW579+100</f>
        <v>116.00708765040741</v>
      </c>
      <c r="G18" s="14"/>
      <c r="H18" s="14"/>
      <c r="I18" s="13"/>
    </row>
    <row r="19" spans="1:17" s="2" customFormat="1" ht="12.75" customHeight="1" x14ac:dyDescent="0.25">
      <c r="A19" s="7" t="s">
        <v>60</v>
      </c>
      <c r="B19" s="47">
        <f>Data!BE531</f>
        <v>14836.977999999999</v>
      </c>
      <c r="C19" s="47">
        <f>Data!BF531</f>
        <v>1794.3680000000004</v>
      </c>
      <c r="D19" s="47">
        <f>Data!BG531</f>
        <v>12662.606999999998</v>
      </c>
      <c r="E19" s="47">
        <f>Data!BH531</f>
        <v>229.10900000000001</v>
      </c>
      <c r="F19" s="47">
        <f>Data!BI531</f>
        <v>29523.061999999998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61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76" t="s">
        <v>10</v>
      </c>
      <c r="B22" s="77"/>
      <c r="C22" s="77"/>
      <c r="D22" s="77"/>
      <c r="E22" s="77"/>
      <c r="F22" s="77"/>
      <c r="G22" s="12"/>
      <c r="H22" s="12"/>
      <c r="I22" s="13"/>
    </row>
    <row r="23" spans="1:17" s="9" customFormat="1" ht="9.75" customHeight="1" x14ac:dyDescent="0.25">
      <c r="A23" s="6" t="s">
        <v>54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2013-08-28T11:37:37Z</cp:lastPrinted>
  <dcterms:created xsi:type="dcterms:W3CDTF">2003-12-08T15:51:24Z</dcterms:created>
  <dcterms:modified xsi:type="dcterms:W3CDTF">2013-12-02T16:38:24Z</dcterms:modified>
</cp:coreProperties>
</file>