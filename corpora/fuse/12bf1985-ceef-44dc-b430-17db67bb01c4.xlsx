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430" yWindow="-15" windowWidth="14400" windowHeight="12840" tabRatio="679" activeTab="1"/>
  </bookViews>
  <sheets>
    <sheet name="Summary" sheetId="18" r:id="rId1"/>
    <sheet name="EPA Clinical Benefits" sheetId="6" r:id="rId2"/>
    <sheet name="EPA Clin Bfts - Allocation" sheetId="17" r:id="rId3"/>
    <sheet name="EPA" sheetId="11" r:id="rId4"/>
    <sheet name="SPA" sheetId="12" r:id="rId5"/>
    <sheet name="HCS" sheetId="20" r:id="rId6"/>
    <sheet name="Fellow - Univ Payroll" sheetId="15" r:id="rId7"/>
    <sheet name="Resident" sheetId="14" r:id="rId8"/>
    <sheet name="ECC" sheetId="16" r:id="rId9"/>
  </sheets>
  <definedNames>
    <definedName name="_PL2">SPA!#REF!</definedName>
    <definedName name="Apr_95">#REF!</definedName>
    <definedName name="Aug_94">#REF!</definedName>
    <definedName name="Charges">#REF!</definedName>
    <definedName name="Dec_94">#REF!</definedName>
    <definedName name="Expenditures">#REF!</definedName>
    <definedName name="Feb_95">#REF!</definedName>
    <definedName name="Fiscal_Yr_Expend_Budget">#REF!</definedName>
    <definedName name="Hired">Summary!$A$75:$A$76</definedName>
    <definedName name="HlthIns">Summary!$A$82:$A$86</definedName>
    <definedName name="Jan_95">#REF!</definedName>
    <definedName name="Jul_94">#REF!</definedName>
    <definedName name="Jun_95">#REF!</definedName>
    <definedName name="Mar_95">#REF!</definedName>
    <definedName name="May_95">#REF!</definedName>
    <definedName name="Nov_94">#REF!</definedName>
    <definedName name="Oct_94">#REF!</definedName>
    <definedName name="PL">'EPA Clinical Benefits'!#REF!</definedName>
    <definedName name="_xlnm.Print_Area" localSheetId="8">ECC!$A$1:$G$31</definedName>
    <definedName name="_xlnm.Print_Area" localSheetId="3">EPA!$A$1:$H$37</definedName>
    <definedName name="_xlnm.Print_Area" localSheetId="2">'EPA Clin Bfts - Allocation'!$A$1:$AE$54</definedName>
    <definedName name="_xlnm.Print_Area" localSheetId="1">'EPA Clinical Benefits'!$A$1:$J$57</definedName>
    <definedName name="_xlnm.Print_Area" localSheetId="6">'Fellow - Univ Payroll'!$A$1:$J$34</definedName>
    <definedName name="_xlnm.Print_Area" localSheetId="5">HCS!$A$1:$J$37</definedName>
    <definedName name="_xlnm.Print_Area" localSheetId="7">Resident!$A$1:$J$22</definedName>
    <definedName name="_xlnm.Print_Area" localSheetId="4">SPA!$A$1:$J$38</definedName>
    <definedName name="_xlnm.Print_Area" localSheetId="0">Summary!$A$1:$I$71</definedName>
    <definedName name="_xlnm.Print_Titles" localSheetId="8">ECC!$A:$B</definedName>
    <definedName name="_xlnm.Print_Titles" localSheetId="3">EPA!$A:$B</definedName>
    <definedName name="_xlnm.Print_Titles" localSheetId="2">'EPA Clin Bfts - Allocation'!$A:$A</definedName>
    <definedName name="_xlnm.Print_Titles" localSheetId="1">'EPA Clinical Benefits'!$A:$B</definedName>
    <definedName name="_xlnm.Print_Titles" localSheetId="6">'Fellow - Univ Payroll'!$A:$B</definedName>
    <definedName name="_xlnm.Print_Titles" localSheetId="5">HCS!$A:$B</definedName>
    <definedName name="_xlnm.Print_Titles" localSheetId="7">Resident!$A:$B</definedName>
    <definedName name="_xlnm.Print_Titles" localSheetId="4">SPA!$A:$B</definedName>
    <definedName name="_xlnm.Print_Titles" localSheetId="0">Summary!$5:$6</definedName>
    <definedName name="ProfessFees">#REF!</definedName>
    <definedName name="Receipts">#REF!</definedName>
    <definedName name="Retire">Summary!$A$78:$A$80</definedName>
    <definedName name="Sep_94">#REF!</definedName>
  </definedNames>
  <calcPr calcId="145621" fullPrecision="0"/>
</workbook>
</file>

<file path=xl/calcChain.xml><?xml version="1.0" encoding="utf-8"?>
<calcChain xmlns="http://schemas.openxmlformats.org/spreadsheetml/2006/main">
  <c r="E16" i="14" l="1"/>
  <c r="E8" i="14"/>
  <c r="E20" i="12" l="1"/>
  <c r="E19" i="15" l="1"/>
  <c r="F19" i="15" s="1"/>
  <c r="E25" i="16"/>
  <c r="F25" i="16" s="1"/>
  <c r="G25" i="16" s="1"/>
  <c r="E23" i="16"/>
  <c r="C25" i="16"/>
  <c r="E24" i="15"/>
  <c r="C19" i="15"/>
  <c r="E23" i="20"/>
  <c r="C28" i="12"/>
  <c r="E27" i="11"/>
  <c r="F27" i="11" s="1"/>
  <c r="G27" i="11" s="1"/>
  <c r="C27" i="11"/>
  <c r="E29" i="6"/>
  <c r="F29" i="6" s="1"/>
  <c r="C29" i="6"/>
  <c r="C26" i="17" l="1"/>
  <c r="G60" i="18"/>
  <c r="H59" i="18"/>
  <c r="G58" i="18"/>
  <c r="J17" i="6" s="1"/>
  <c r="G30" i="18"/>
  <c r="G29" i="18"/>
  <c r="J15" i="14" l="1"/>
  <c r="C25" i="6" l="1"/>
  <c r="H35" i="18" l="1"/>
  <c r="H36" i="18" s="1"/>
  <c r="H37" i="18" l="1"/>
  <c r="H38" i="18"/>
  <c r="C32" i="17"/>
  <c r="E32" i="17" s="1"/>
  <c r="H83" i="18"/>
  <c r="H81" i="18"/>
  <c r="H80" i="18"/>
  <c r="H79" i="18"/>
  <c r="H78" i="18"/>
  <c r="H68" i="18"/>
  <c r="H67" i="18"/>
  <c r="H61" i="18"/>
  <c r="G53" i="18"/>
  <c r="G45" i="18"/>
  <c r="J12" i="6"/>
  <c r="C21" i="20"/>
  <c r="C21" i="11"/>
  <c r="J38" i="18"/>
  <c r="J37" i="18"/>
  <c r="J36" i="18"/>
  <c r="K81" i="18"/>
  <c r="K80" i="18"/>
  <c r="K79" i="18"/>
  <c r="K78" i="18"/>
  <c r="K67" i="18"/>
  <c r="K66" i="18"/>
  <c r="K61" i="18"/>
  <c r="K60" i="18"/>
  <c r="K59" i="18"/>
  <c r="K58" i="18"/>
  <c r="J53" i="18"/>
  <c r="J45" i="18"/>
  <c r="J30" i="18"/>
  <c r="J29" i="18"/>
  <c r="J21" i="6"/>
  <c r="J16" i="6"/>
  <c r="D42" i="17" s="1"/>
  <c r="E43" i="6"/>
  <c r="F43" i="6" s="1"/>
  <c r="D41" i="6"/>
  <c r="D38" i="17" s="1"/>
  <c r="C41" i="6"/>
  <c r="C43" i="6"/>
  <c r="C39" i="6"/>
  <c r="D39" i="6"/>
  <c r="D36" i="17" s="1"/>
  <c r="E15" i="6"/>
  <c r="E17" i="6"/>
  <c r="F17" i="6" s="1"/>
  <c r="D22" i="6"/>
  <c r="E21" i="6" s="1"/>
  <c r="C18" i="17" s="1"/>
  <c r="E25" i="6"/>
  <c r="F25" i="6" s="1"/>
  <c r="E27" i="6"/>
  <c r="D38" i="6"/>
  <c r="E37" i="6" s="1"/>
  <c r="B4" i="12"/>
  <c r="D10" i="12" s="1"/>
  <c r="E10" i="12" s="1"/>
  <c r="C8" i="17"/>
  <c r="E8" i="17" s="1"/>
  <c r="F5" i="17" s="1"/>
  <c r="D21" i="6"/>
  <c r="D37" i="6"/>
  <c r="B4" i="20"/>
  <c r="D11" i="20" s="1"/>
  <c r="E11" i="20" s="1"/>
  <c r="E17" i="11"/>
  <c r="F17" i="11" s="1"/>
  <c r="G17" i="11" s="1"/>
  <c r="D20" i="11"/>
  <c r="E19" i="11" s="1"/>
  <c r="F19" i="11" s="1"/>
  <c r="G19" i="11" s="1"/>
  <c r="E25" i="11"/>
  <c r="F25" i="11" s="1"/>
  <c r="G25" i="11" s="1"/>
  <c r="E23" i="11"/>
  <c r="F23" i="11" s="1"/>
  <c r="G23" i="11" s="1"/>
  <c r="E15" i="11"/>
  <c r="F15" i="11" s="1"/>
  <c r="G15" i="11" s="1"/>
  <c r="E13" i="11"/>
  <c r="F11" i="6"/>
  <c r="F9" i="20"/>
  <c r="C15" i="20"/>
  <c r="C17" i="20"/>
  <c r="C19" i="20"/>
  <c r="A31" i="20"/>
  <c r="C23" i="16"/>
  <c r="E17" i="15"/>
  <c r="F17" i="15" s="1"/>
  <c r="C17" i="15"/>
  <c r="C24" i="12"/>
  <c r="C25" i="11"/>
  <c r="C27" i="6"/>
  <c r="E21" i="16"/>
  <c r="E15" i="16"/>
  <c r="D20" i="16"/>
  <c r="D19" i="16"/>
  <c r="E19" i="16" s="1"/>
  <c r="D18" i="16"/>
  <c r="D17" i="16"/>
  <c r="C21" i="16"/>
  <c r="C19" i="16"/>
  <c r="C17" i="16"/>
  <c r="C15" i="16"/>
  <c r="J21" i="14"/>
  <c r="J20" i="14"/>
  <c r="J19" i="14"/>
  <c r="J18" i="14"/>
  <c r="F16" i="14" s="1"/>
  <c r="E11" i="15"/>
  <c r="E13" i="15"/>
  <c r="F13" i="15" s="1"/>
  <c r="E15" i="15"/>
  <c r="F15" i="15" s="1"/>
  <c r="J9" i="15"/>
  <c r="J8" i="15"/>
  <c r="J7" i="15"/>
  <c r="J6" i="15"/>
  <c r="F24" i="15" s="1"/>
  <c r="E26" i="15"/>
  <c r="F26" i="15" s="1"/>
  <c r="C26" i="15"/>
  <c r="A22" i="14"/>
  <c r="A34" i="15"/>
  <c r="A36" i="12"/>
  <c r="A36" i="11"/>
  <c r="A35" i="11"/>
  <c r="C26" i="12"/>
  <c r="C14" i="14"/>
  <c r="C12" i="14"/>
  <c r="C15" i="15"/>
  <c r="C13" i="15"/>
  <c r="C11" i="15"/>
  <c r="C22" i="12"/>
  <c r="C18" i="12"/>
  <c r="C16" i="12"/>
  <c r="C14" i="12"/>
  <c r="C23" i="11"/>
  <c r="C19" i="11"/>
  <c r="C17" i="11"/>
  <c r="C15" i="11"/>
  <c r="C13" i="11"/>
  <c r="C37" i="6"/>
  <c r="C21" i="6"/>
  <c r="C19" i="6"/>
  <c r="C17" i="6"/>
  <c r="C15" i="6"/>
  <c r="D20" i="6"/>
  <c r="E19" i="6" s="1"/>
  <c r="F19" i="6" s="1"/>
  <c r="D19" i="6"/>
  <c r="D19" i="11"/>
  <c r="D17" i="11"/>
  <c r="D18" i="11"/>
  <c r="E14" i="14"/>
  <c r="F14" i="14" s="1"/>
  <c r="A2" i="17"/>
  <c r="G46" i="17"/>
  <c r="I46" i="17"/>
  <c r="E17" i="16"/>
  <c r="F7" i="15"/>
  <c r="F8" i="12"/>
  <c r="F9" i="11"/>
  <c r="J20" i="6"/>
  <c r="E21" i="11"/>
  <c r="F21" i="11" s="1"/>
  <c r="G21" i="11" s="1"/>
  <c r="D44" i="17" l="1"/>
  <c r="E47" i="6"/>
  <c r="F47" i="6" s="1"/>
  <c r="F28" i="15"/>
  <c r="F30" i="15" s="1"/>
  <c r="F29" i="11"/>
  <c r="G29" i="11" s="1"/>
  <c r="F30" i="12"/>
  <c r="F13" i="11"/>
  <c r="G13" i="11" s="1"/>
  <c r="E21" i="15"/>
  <c r="E27" i="16"/>
  <c r="E16" i="12"/>
  <c r="F16" i="12" s="1"/>
  <c r="E28" i="12"/>
  <c r="F28" i="12" s="1"/>
  <c r="G28" i="12" s="1"/>
  <c r="E26" i="12"/>
  <c r="F26" i="12" s="1"/>
  <c r="E24" i="12"/>
  <c r="F24" i="12" s="1"/>
  <c r="C12" i="17"/>
  <c r="C14" i="17"/>
  <c r="D40" i="6"/>
  <c r="E39" i="6" s="1"/>
  <c r="F39" i="6" s="1"/>
  <c r="E18" i="12"/>
  <c r="F18" i="12" s="1"/>
  <c r="C40" i="17"/>
  <c r="AD5" i="17"/>
  <c r="C16" i="17"/>
  <c r="F35" i="6"/>
  <c r="K63" i="18"/>
  <c r="F21" i="6"/>
  <c r="E14" i="12"/>
  <c r="F15" i="6"/>
  <c r="K62" i="18"/>
  <c r="E19" i="20"/>
  <c r="F19" i="20" s="1"/>
  <c r="E17" i="20"/>
  <c r="F17" i="20" s="1"/>
  <c r="F11" i="20"/>
  <c r="D42" i="6"/>
  <c r="E41" i="6" s="1"/>
  <c r="F11" i="15"/>
  <c r="F21" i="15" s="1"/>
  <c r="C22" i="17"/>
  <c r="R5" i="17"/>
  <c r="Z5" i="17"/>
  <c r="Z26" i="17" s="1"/>
  <c r="T5" i="17"/>
  <c r="L5" i="17"/>
  <c r="V5" i="17"/>
  <c r="X5" i="17"/>
  <c r="X26" i="17" s="1"/>
  <c r="AB5" i="17"/>
  <c r="N5" i="17"/>
  <c r="AE8" i="17"/>
  <c r="J5" i="17"/>
  <c r="J26" i="17" s="1"/>
  <c r="H5" i="17"/>
  <c r="H26" i="17" s="1"/>
  <c r="P5" i="17"/>
  <c r="F25" i="20"/>
  <c r="E23" i="6"/>
  <c r="E30" i="6" s="1"/>
  <c r="G30" i="6" s="1"/>
  <c r="C20" i="12"/>
  <c r="F20" i="12"/>
  <c r="C23" i="6"/>
  <c r="D46" i="17"/>
  <c r="E15" i="20"/>
  <c r="E22" i="12"/>
  <c r="F22" i="12" s="1"/>
  <c r="E28" i="16"/>
  <c r="F37" i="6"/>
  <c r="C34" i="17"/>
  <c r="F27" i="6"/>
  <c r="C24" i="17"/>
  <c r="E12" i="14"/>
  <c r="E21" i="20"/>
  <c r="F21" i="20" s="1"/>
  <c r="AE32" i="17"/>
  <c r="J11" i="6"/>
  <c r="F8" i="14"/>
  <c r="J13" i="6"/>
  <c r="J10" i="6"/>
  <c r="G24" i="17" l="1"/>
  <c r="C44" i="17"/>
  <c r="F31" i="11"/>
  <c r="F32" i="11" s="1"/>
  <c r="E31" i="11"/>
  <c r="F33" i="11" s="1"/>
  <c r="F14" i="12"/>
  <c r="F32" i="12" s="1"/>
  <c r="F33" i="12" s="1"/>
  <c r="E32" i="12"/>
  <c r="O36" i="17"/>
  <c r="P26" i="17"/>
  <c r="M40" i="17"/>
  <c r="N26" i="17"/>
  <c r="K40" i="17"/>
  <c r="L26" i="17"/>
  <c r="AA44" i="17"/>
  <c r="AB26" i="17"/>
  <c r="S44" i="17"/>
  <c r="T26" i="17"/>
  <c r="AC44" i="17"/>
  <c r="AD26" i="17"/>
  <c r="U18" i="17"/>
  <c r="V26" i="17"/>
  <c r="Q36" i="17"/>
  <c r="R26" i="17"/>
  <c r="I14" i="17"/>
  <c r="W12" i="17"/>
  <c r="E33" i="6"/>
  <c r="F33" i="6" s="1"/>
  <c r="C36" i="17"/>
  <c r="M36" i="17"/>
  <c r="K14" i="17"/>
  <c r="U12" i="17"/>
  <c r="AC42" i="17"/>
  <c r="AC12" i="17"/>
  <c r="AC36" i="17"/>
  <c r="AC14" i="17"/>
  <c r="AC38" i="17"/>
  <c r="AC40" i="17"/>
  <c r="Q16" i="17"/>
  <c r="AA40" i="17"/>
  <c r="M12" i="17"/>
  <c r="AC18" i="17"/>
  <c r="O40" i="17"/>
  <c r="Y40" i="17"/>
  <c r="AC22" i="17"/>
  <c r="AC16" i="17"/>
  <c r="M16" i="17"/>
  <c r="Q14" i="17"/>
  <c r="U36" i="17"/>
  <c r="Q44" i="17"/>
  <c r="S36" i="17"/>
  <c r="S12" i="17"/>
  <c r="F31" i="15"/>
  <c r="AA18" i="17"/>
  <c r="U44" i="17"/>
  <c r="E30" i="15"/>
  <c r="F32" i="15" s="1"/>
  <c r="F41" i="6"/>
  <c r="C38" i="17"/>
  <c r="O16" i="17"/>
  <c r="K18" i="17"/>
  <c r="Y44" i="17"/>
  <c r="E27" i="20"/>
  <c r="F15" i="20"/>
  <c r="F27" i="20" s="1"/>
  <c r="F28" i="20" s="1"/>
  <c r="C20" i="17"/>
  <c r="C27" i="17" s="1"/>
  <c r="F23" i="6"/>
  <c r="F30" i="6" s="1"/>
  <c r="G12" i="17"/>
  <c r="G22" i="17"/>
  <c r="G16" i="17"/>
  <c r="AE5" i="17"/>
  <c r="G14" i="17"/>
  <c r="G18" i="17"/>
  <c r="AA38" i="17"/>
  <c r="AA12" i="17"/>
  <c r="AA22" i="17"/>
  <c r="AA42" i="17"/>
  <c r="AA16" i="17"/>
  <c r="AA14" i="17"/>
  <c r="S22" i="17"/>
  <c r="S38" i="17"/>
  <c r="S42" i="17"/>
  <c r="S14" i="17"/>
  <c r="S16" i="17"/>
  <c r="S40" i="17"/>
  <c r="S18" i="17"/>
  <c r="AA36" i="17"/>
  <c r="I22" i="17"/>
  <c r="I18" i="17"/>
  <c r="I12" i="17"/>
  <c r="I16" i="17"/>
  <c r="W14" i="17"/>
  <c r="W42" i="17"/>
  <c r="W40" i="17"/>
  <c r="W18" i="17"/>
  <c r="W22" i="17"/>
  <c r="W38" i="17"/>
  <c r="W16" i="17"/>
  <c r="W36" i="17"/>
  <c r="Y42" i="17"/>
  <c r="Y38" i="17"/>
  <c r="Y22" i="17"/>
  <c r="Y16" i="17"/>
  <c r="Y18" i="17"/>
  <c r="Y36" i="17"/>
  <c r="U42" i="17"/>
  <c r="U40" i="17"/>
  <c r="U16" i="17"/>
  <c r="U22" i="17"/>
  <c r="U14" i="17"/>
  <c r="U38" i="17"/>
  <c r="Q22" i="17"/>
  <c r="Q42" i="17"/>
  <c r="Q38" i="17"/>
  <c r="Q18" i="17"/>
  <c r="Q12" i="17"/>
  <c r="Q40" i="17"/>
  <c r="E18" i="14"/>
  <c r="F12" i="14"/>
  <c r="F18" i="14" s="1"/>
  <c r="F19" i="14" s="1"/>
  <c r="AA34" i="17"/>
  <c r="Q34" i="17"/>
  <c r="U34" i="17"/>
  <c r="W34" i="17"/>
  <c r="M34" i="17"/>
  <c r="AC34" i="17"/>
  <c r="S34" i="17"/>
  <c r="O34" i="17"/>
  <c r="K34" i="17"/>
  <c r="Y34" i="17"/>
  <c r="AC24" i="17"/>
  <c r="U24" i="17"/>
  <c r="K24" i="17"/>
  <c r="I24" i="17"/>
  <c r="S24" i="17"/>
  <c r="M24" i="17"/>
  <c r="Q24" i="17"/>
  <c r="W24" i="17"/>
  <c r="O24" i="17"/>
  <c r="Y24" i="17"/>
  <c r="AA24" i="17"/>
  <c r="Y14" i="17"/>
  <c r="W44" i="17"/>
  <c r="Y12" i="17"/>
  <c r="F6" i="17"/>
  <c r="O22" i="17"/>
  <c r="O44" i="17"/>
  <c r="O12" i="17"/>
  <c r="O42" i="17"/>
  <c r="O18" i="17"/>
  <c r="O38" i="17"/>
  <c r="O14" i="17"/>
  <c r="M22" i="17"/>
  <c r="M42" i="17"/>
  <c r="M38" i="17"/>
  <c r="M14" i="17"/>
  <c r="M18" i="17"/>
  <c r="K22" i="17"/>
  <c r="K38" i="17"/>
  <c r="K12" i="17"/>
  <c r="K42" i="17"/>
  <c r="K44" i="17"/>
  <c r="K16" i="17"/>
  <c r="K36" i="17"/>
  <c r="M44" i="17"/>
  <c r="E32" i="11" l="1"/>
  <c r="C30" i="17"/>
  <c r="E24" i="17"/>
  <c r="AE24" i="17" s="1"/>
  <c r="F26" i="17"/>
  <c r="AC46" i="17"/>
  <c r="S46" i="17"/>
  <c r="E34" i="17"/>
  <c r="AE34" i="17" s="1"/>
  <c r="E31" i="15"/>
  <c r="Y46" i="17"/>
  <c r="W46" i="17"/>
  <c r="K46" i="17"/>
  <c r="U46" i="17"/>
  <c r="E19" i="14"/>
  <c r="F20" i="14"/>
  <c r="E18" i="17"/>
  <c r="AE18" i="17" s="1"/>
  <c r="E14" i="17"/>
  <c r="AE14" i="17" s="1"/>
  <c r="E22" i="17"/>
  <c r="AE22" i="17" s="1"/>
  <c r="E16" i="17"/>
  <c r="AE16" i="17" s="1"/>
  <c r="E12" i="17"/>
  <c r="F29" i="20"/>
  <c r="E28" i="20"/>
  <c r="O46" i="17"/>
  <c r="Q46" i="17"/>
  <c r="F34" i="12"/>
  <c r="E33" i="12"/>
  <c r="E30" i="17"/>
  <c r="AE30" i="17" s="1"/>
  <c r="M46" i="17"/>
  <c r="AA46" i="17"/>
  <c r="Q20" i="17"/>
  <c r="Q27" i="17" s="1"/>
  <c r="K20" i="17"/>
  <c r="K27" i="17" s="1"/>
  <c r="G20" i="17"/>
  <c r="G27" i="17" s="1"/>
  <c r="U20" i="17"/>
  <c r="U27" i="17" s="1"/>
  <c r="AC20" i="17"/>
  <c r="AC27" i="17" s="1"/>
  <c r="Y20" i="17"/>
  <c r="Y27" i="17" s="1"/>
  <c r="S20" i="17"/>
  <c r="S27" i="17" s="1"/>
  <c r="O20" i="17"/>
  <c r="O27" i="17" s="1"/>
  <c r="E20" i="17"/>
  <c r="I20" i="17"/>
  <c r="M20" i="17"/>
  <c r="M27" i="17" s="1"/>
  <c r="AA20" i="17"/>
  <c r="AA27" i="17" s="1"/>
  <c r="W20" i="17"/>
  <c r="W27" i="17" s="1"/>
  <c r="E38" i="17"/>
  <c r="AE38" i="17" s="1"/>
  <c r="AE6" i="17"/>
  <c r="E40" i="17"/>
  <c r="AE40" i="17" s="1"/>
  <c r="E36" i="17"/>
  <c r="AE36" i="17" s="1"/>
  <c r="E44" i="17"/>
  <c r="AE44" i="17" s="1"/>
  <c r="E27" i="17" l="1"/>
  <c r="I27" i="17"/>
  <c r="I47" i="17" s="1"/>
  <c r="AC47" i="17"/>
  <c r="AA47" i="17"/>
  <c r="S47" i="17"/>
  <c r="Y47" i="17"/>
  <c r="K47" i="17"/>
  <c r="W47" i="17"/>
  <c r="Q47" i="17"/>
  <c r="AE20" i="17"/>
  <c r="U47" i="17"/>
  <c r="M47" i="17"/>
  <c r="O47" i="17"/>
  <c r="G47" i="17"/>
  <c r="AE12" i="17"/>
  <c r="AE27" i="17" l="1"/>
  <c r="E45" i="6" l="1"/>
  <c r="C42" i="17" s="1"/>
  <c r="E42" i="17" l="1"/>
  <c r="E46" i="17" s="1"/>
  <c r="E47" i="17" s="1"/>
  <c r="C46" i="17"/>
  <c r="F45" i="6"/>
  <c r="F49" i="6" s="1"/>
  <c r="E49" i="6"/>
  <c r="F50" i="6" l="1"/>
  <c r="F51" i="6"/>
  <c r="AE46" i="17"/>
  <c r="C47" i="17"/>
  <c r="AE47" i="17" s="1"/>
  <c r="G49" i="6"/>
  <c r="E51" i="6"/>
  <c r="E50" i="6"/>
  <c r="G50" i="6" s="1"/>
  <c r="AE42" i="17"/>
</calcChain>
</file>

<file path=xl/comments1.xml><?xml version="1.0" encoding="utf-8"?>
<comments xmlns="http://schemas.openxmlformats.org/spreadsheetml/2006/main">
  <authors>
    <author xml:space="preserve"> </author>
  </authors>
  <commentList>
    <comment ref="E8" authorId="0">
      <text>
        <r>
          <rPr>
            <b/>
            <sz val="10"/>
            <color indexed="81"/>
            <rFont val="Tahoma"/>
            <family val="2"/>
          </rPr>
          <t>Type over this calculation if salary differs from UNCH suggested figures.</t>
        </r>
        <r>
          <rPr>
            <b/>
            <sz val="8"/>
            <color indexed="81"/>
            <rFont val="Tahoma"/>
            <family val="2"/>
          </rPr>
          <t xml:space="preserve">
</t>
        </r>
      </text>
    </comment>
  </commentList>
</comments>
</file>

<file path=xl/sharedStrings.xml><?xml version="1.0" encoding="utf-8"?>
<sst xmlns="http://schemas.openxmlformats.org/spreadsheetml/2006/main" count="588" uniqueCount="254">
  <si>
    <t>Salary</t>
  </si>
  <si>
    <t>Health Insurance</t>
  </si>
  <si>
    <t xml:space="preserve">Description </t>
  </si>
  <si>
    <t>Object Code</t>
  </si>
  <si>
    <t>Health Ins Reimb</t>
  </si>
  <si>
    <t>187X</t>
  </si>
  <si>
    <t>Transit Tax</t>
  </si>
  <si>
    <t>NOTES:</t>
  </si>
  <si>
    <t xml:space="preserve">Dental Insurance </t>
  </si>
  <si>
    <t xml:space="preserve">Supplemental Health </t>
  </si>
  <si>
    <t>Hired Prior to 7/1/96?</t>
  </si>
  <si>
    <t xml:space="preserve">Medicare </t>
  </si>
  <si>
    <t>Factor</t>
  </si>
  <si>
    <t>Monthly</t>
  </si>
  <si>
    <t>Formula</t>
  </si>
  <si>
    <t>Health Insurance Reimbursement</t>
  </si>
  <si>
    <t>Professional Liability Insurance</t>
  </si>
  <si>
    <t>Annual</t>
  </si>
  <si>
    <t>Unemployment, workers compensation, etc .</t>
  </si>
  <si>
    <t>Life, Disab, Supp Health, Dental - Dependents?</t>
  </si>
  <si>
    <t>Ee Only</t>
  </si>
  <si>
    <t>Family</t>
  </si>
  <si>
    <t>Supp Health</t>
  </si>
  <si>
    <t>Dental Ins</t>
  </si>
  <si>
    <t>Ee and Child</t>
  </si>
  <si>
    <t>Ee and Dep</t>
  </si>
  <si>
    <t>Name:</t>
  </si>
  <si>
    <t>Chart A</t>
  </si>
  <si>
    <t>Chart B</t>
  </si>
  <si>
    <t>Chart C</t>
  </si>
  <si>
    <t>Enter Yes or No</t>
  </si>
  <si>
    <t>Health Insurance?</t>
  </si>
  <si>
    <t>State or Optional Retirement?</t>
  </si>
  <si>
    <t>Optional</t>
  </si>
  <si>
    <t>11XX, 13XX</t>
  </si>
  <si>
    <t>See Chart A</t>
  </si>
  <si>
    <t>See Chart B</t>
  </si>
  <si>
    <t>TOTAL COMPENSATION</t>
  </si>
  <si>
    <r>
      <t>Social Security</t>
    </r>
    <r>
      <rPr>
        <vertAlign val="superscript"/>
        <sz val="10"/>
        <rFont val="Arial"/>
        <family val="2"/>
      </rPr>
      <t>1</t>
    </r>
  </si>
  <si>
    <r>
      <t>State Retirement</t>
    </r>
    <r>
      <rPr>
        <vertAlign val="superscript"/>
        <sz val="10"/>
        <rFont val="Arial"/>
        <family val="2"/>
      </rPr>
      <t>2</t>
    </r>
  </si>
  <si>
    <t>Professional Liability</t>
  </si>
  <si>
    <t>Medical Benefits</t>
  </si>
  <si>
    <t>Ee and Spouse</t>
  </si>
  <si>
    <t>Medical Benefits?</t>
  </si>
  <si>
    <t>Not Applicable</t>
  </si>
  <si>
    <t>Severance Pay</t>
  </si>
  <si>
    <t>PGY Level</t>
  </si>
  <si>
    <t>PGY Level:</t>
  </si>
  <si>
    <t>Percent</t>
  </si>
  <si>
    <t>State Service</t>
  </si>
  <si>
    <t>10 but less than 15 yrs</t>
  </si>
  <si>
    <t>15 but less than 20 yrs</t>
  </si>
  <si>
    <t>20 but less than 25 yrs</t>
  </si>
  <si>
    <t>25 or more yrs</t>
  </si>
  <si>
    <t>Longevity Pay</t>
  </si>
  <si>
    <t>Years of State Service:</t>
  </si>
  <si>
    <t>Less than 10 yrs</t>
  </si>
  <si>
    <t>Years</t>
  </si>
  <si>
    <t>State</t>
  </si>
  <si>
    <t>OTP</t>
  </si>
  <si>
    <t>No</t>
  </si>
  <si>
    <t>One-Time Payment Amount</t>
  </si>
  <si>
    <t>Notes:</t>
  </si>
  <si>
    <t>2) Professional Liablity is paid by the GME office UNLESS the Fellow is considered a clinical scholar</t>
  </si>
  <si>
    <t>Ee Only Portion</t>
  </si>
  <si>
    <t>Acct:</t>
  </si>
  <si>
    <t xml:space="preserve">Check </t>
  </si>
  <si>
    <t>FTE:</t>
  </si>
  <si>
    <t>Social Security</t>
  </si>
  <si>
    <t>State Retirement</t>
  </si>
  <si>
    <t>Optional State Retirement</t>
  </si>
  <si>
    <t>Unemployment, workers comp, etc .</t>
  </si>
  <si>
    <t>5) List only State accounts (2 ledgers including AHEC) in these columns.  If only one State account is applicable, leave second State account column blank.  If no State account is applicable, leave both State account columns blank.</t>
  </si>
  <si>
    <r>
      <t>Default P&amp;A Acct</t>
    </r>
    <r>
      <rPr>
        <b/>
        <vertAlign val="superscript"/>
        <sz val="10"/>
        <color indexed="12"/>
        <rFont val="Arial"/>
        <family val="2"/>
      </rPr>
      <t>4</t>
    </r>
  </si>
  <si>
    <r>
      <t>1st State Acct</t>
    </r>
    <r>
      <rPr>
        <b/>
        <vertAlign val="superscript"/>
        <sz val="10"/>
        <color indexed="12"/>
        <rFont val="Arial"/>
        <family val="2"/>
      </rPr>
      <t>5</t>
    </r>
  </si>
  <si>
    <r>
      <t>2nd State Acct</t>
    </r>
    <r>
      <rPr>
        <b/>
        <vertAlign val="superscript"/>
        <sz val="10"/>
        <color indexed="12"/>
        <rFont val="Arial"/>
        <family val="2"/>
      </rPr>
      <t>5</t>
    </r>
  </si>
  <si>
    <r>
      <t>Health Insurance Reimbursement</t>
    </r>
    <r>
      <rPr>
        <vertAlign val="superscript"/>
        <sz val="10"/>
        <rFont val="Arial"/>
        <family val="2"/>
      </rPr>
      <t>1</t>
    </r>
  </si>
  <si>
    <r>
      <t>Professional Liability Insurance</t>
    </r>
    <r>
      <rPr>
        <vertAlign val="superscript"/>
        <sz val="10"/>
        <rFont val="Arial"/>
        <family val="2"/>
      </rPr>
      <t>1</t>
    </r>
  </si>
  <si>
    <r>
      <t>Supplemental Retirement</t>
    </r>
    <r>
      <rPr>
        <vertAlign val="superscript"/>
        <sz val="10"/>
        <rFont val="Arial"/>
        <family val="2"/>
      </rPr>
      <t>2</t>
    </r>
  </si>
  <si>
    <r>
      <t>Life Insurance</t>
    </r>
    <r>
      <rPr>
        <vertAlign val="superscript"/>
        <sz val="10"/>
        <rFont val="Arial"/>
        <family val="2"/>
      </rPr>
      <t>3</t>
    </r>
  </si>
  <si>
    <r>
      <t>Accidental Death &amp; Dismemberment</t>
    </r>
    <r>
      <rPr>
        <vertAlign val="superscript"/>
        <sz val="10"/>
        <rFont val="Arial"/>
        <family val="2"/>
      </rPr>
      <t>3</t>
    </r>
  </si>
  <si>
    <r>
      <t>Disability</t>
    </r>
    <r>
      <rPr>
        <vertAlign val="superscript"/>
        <sz val="10"/>
        <rFont val="Arial"/>
        <family val="2"/>
      </rPr>
      <t>2</t>
    </r>
  </si>
  <si>
    <r>
      <t>Supplemental Health</t>
    </r>
    <r>
      <rPr>
        <vertAlign val="superscript"/>
        <sz val="10"/>
        <rFont val="Arial"/>
        <family val="2"/>
      </rPr>
      <t>3</t>
    </r>
  </si>
  <si>
    <r>
      <t>Dental Insurance</t>
    </r>
    <r>
      <rPr>
        <vertAlign val="superscript"/>
        <sz val="10"/>
        <rFont val="Arial"/>
        <family val="2"/>
      </rPr>
      <t>3</t>
    </r>
  </si>
  <si>
    <r>
      <t>Optional State Retirement</t>
    </r>
    <r>
      <rPr>
        <vertAlign val="superscript"/>
        <sz val="10"/>
        <rFont val="Arial"/>
        <family val="2"/>
      </rPr>
      <t>3</t>
    </r>
  </si>
  <si>
    <r>
      <t>Supplemental Retirement</t>
    </r>
    <r>
      <rPr>
        <vertAlign val="superscript"/>
        <sz val="10"/>
        <rFont val="Arial"/>
        <family val="2"/>
      </rPr>
      <t>4</t>
    </r>
  </si>
  <si>
    <r>
      <t>Life Insurance</t>
    </r>
    <r>
      <rPr>
        <vertAlign val="superscript"/>
        <sz val="10"/>
        <rFont val="Arial"/>
        <family val="2"/>
      </rPr>
      <t>5</t>
    </r>
  </si>
  <si>
    <r>
      <t>Accidental Death &amp; Dismemberment</t>
    </r>
    <r>
      <rPr>
        <vertAlign val="superscript"/>
        <sz val="10"/>
        <rFont val="Arial"/>
        <family val="2"/>
      </rPr>
      <t>5</t>
    </r>
  </si>
  <si>
    <t>Disability</t>
  </si>
  <si>
    <t>Disability Benefits</t>
  </si>
  <si>
    <r>
      <t>Professional Liability Insurance</t>
    </r>
    <r>
      <rPr>
        <vertAlign val="superscript"/>
        <sz val="10"/>
        <rFont val="Arial"/>
        <family val="2"/>
      </rPr>
      <t>2</t>
    </r>
  </si>
  <si>
    <t xml:space="preserve">Unemployment, workers compensation, etc. </t>
  </si>
  <si>
    <t>Eligible</t>
  </si>
  <si>
    <t>a</t>
  </si>
  <si>
    <t>Ineligible</t>
  </si>
  <si>
    <t>x</t>
  </si>
  <si>
    <t>Benefit Description</t>
  </si>
  <si>
    <t>EPA Faculty with Clinical Benefits</t>
  </si>
  <si>
    <t>EPA</t>
  </si>
  <si>
    <t>SPA</t>
  </si>
  <si>
    <t>FTE .75+</t>
  </si>
  <si>
    <t>FTE .50 - .74</t>
  </si>
  <si>
    <t>A.  Basic University Benefits</t>
  </si>
  <si>
    <t xml:space="preserve">    1.  Social Security</t>
  </si>
  <si>
    <t xml:space="preserve">    2.  Medicare</t>
  </si>
  <si>
    <t>1.45% of taxable earnings</t>
  </si>
  <si>
    <t xml:space="preserve">    3.  University Retirement Fund (option of a or b)</t>
  </si>
  <si>
    <t>6% of salary mandatory employee contribution</t>
  </si>
  <si>
    <t xml:space="preserve">        a.  N.C. Teachers and State Employees Retirement System</t>
  </si>
  <si>
    <t xml:space="preserve"> (TSERS; a "defined benefit" program)</t>
  </si>
  <si>
    <t xml:space="preserve">      **OR**</t>
  </si>
  <si>
    <t xml:space="preserve">        b.  Optional Retirement Plan</t>
  </si>
  <si>
    <t>(ORP; TIAA-CREF, VALIC, Lincoln, Fidelity; a "defined contribution" program)</t>
  </si>
  <si>
    <t xml:space="preserve">6.84% of salary - matching employer contribution </t>
  </si>
  <si>
    <t xml:space="preserve">    4.  Composite Benefit Fund</t>
  </si>
  <si>
    <t>Covers unemployment, workers compensation, and short-term disability pay</t>
  </si>
  <si>
    <t xml:space="preserve">    5.  Comprehensive Health Insurance for Employee Coverage</t>
  </si>
  <si>
    <t>State of North Carolina Teachers' and State Employees' Comprehensive</t>
  </si>
  <si>
    <t>Major Medical Plan</t>
  </si>
  <si>
    <t>B.  UNC P&amp;A Supplemental Benefits</t>
  </si>
  <si>
    <t xml:space="preserve">    1.  Comprehensive Health Insurance Reimbursement for Family</t>
  </si>
  <si>
    <t xml:space="preserve">    2.  Professional Liability Insurance</t>
  </si>
  <si>
    <t>As applicable</t>
  </si>
  <si>
    <t xml:space="preserve">    3.  Supplemental Retirement Fund</t>
  </si>
  <si>
    <t xml:space="preserve">3.5% of salary </t>
  </si>
  <si>
    <t xml:space="preserve">    4.  Term Life Insurance</t>
  </si>
  <si>
    <t>$10,000 - spouse</t>
  </si>
  <si>
    <t>$10,000 - each child older than 6 months</t>
  </si>
  <si>
    <t>$2,500 - each child between 15 days and 6 months</t>
  </si>
  <si>
    <t xml:space="preserve">    5.  Accidental Death and Dismemberment Insurance</t>
  </si>
  <si>
    <t>50% of employee's benefit - spouse</t>
  </si>
  <si>
    <t>25% of employee's benefit - each child</t>
  </si>
  <si>
    <t xml:space="preserve">    6.  Long Term Disability Insurance</t>
  </si>
  <si>
    <t>60% of salary at the time of disability</t>
  </si>
  <si>
    <t>If unable to perform within medical specialty, benefits are paid after a 180-day waiting period (salary is continued by the Department during this waiting period until vacation and sick leave are exhausted).</t>
  </si>
  <si>
    <t xml:space="preserve">The maximum benefit is $15,000 per month.  The benefit is reduced by amounts paid by the Social Security disability program and most group disability programs, and is offset by disability payments from the North Carolina Teachers' and State Employees' Retirement system. </t>
  </si>
  <si>
    <t>Benefits normally stop at age 65</t>
  </si>
  <si>
    <t xml:space="preserve">    7.  Supplemental Health Insurance</t>
  </si>
  <si>
    <t>Covers deductibles, copayments, and coinsurance of State Comprehensive</t>
  </si>
  <si>
    <t>Health Insurance for employees and family</t>
  </si>
  <si>
    <t xml:space="preserve">    8.  Dental Insurance (employee and family)</t>
  </si>
  <si>
    <t>100% UCR coverage for preventive</t>
  </si>
  <si>
    <t>80% UCR coverage for restorations</t>
  </si>
  <si>
    <t>60% UCR coverage for orthodontics - limited to $3000 lifetime</t>
  </si>
  <si>
    <t>Maximum benefit - $1,500/calendar year per person</t>
  </si>
  <si>
    <t>Total Basic Benefits</t>
  </si>
  <si>
    <t>BASIC BENEFITS</t>
  </si>
  <si>
    <t>CLINICAL BENEFITS</t>
  </si>
  <si>
    <t>Total Clinical Benefits</t>
  </si>
  <si>
    <t>Total Benefits</t>
  </si>
  <si>
    <t>BENEFITS</t>
  </si>
  <si>
    <t>Enter a value between .50 and 1.00</t>
  </si>
  <si>
    <t>% Salary</t>
  </si>
  <si>
    <t>TOTAL ALL BENEFITS</t>
  </si>
  <si>
    <t>Legend</t>
  </si>
  <si>
    <t xml:space="preserve">                                                                       Benefits Eligibility for Permanent Positions</t>
  </si>
  <si>
    <t>Fund%:</t>
  </si>
  <si>
    <t>4) List only the default P&amp;A account in this column.  This is normally the account for the department and division where the faculty member's primary appointment lies.</t>
  </si>
  <si>
    <t>1) This Clinical benefit (Health Insurance Reimbursement and Professional Liability) can only be spread across P&amp;A funding sources.  Actual payment of Health Insurance Reimbursement on each account is determined at the time the check request is processed.  Actual payment of Professional Liability on each account is determined semi-annually by information provided to UNC P&amp;A.</t>
  </si>
  <si>
    <r>
      <t>Fund%2</t>
    </r>
    <r>
      <rPr>
        <b/>
        <vertAlign val="superscript"/>
        <sz val="10"/>
        <rFont val="Arial"/>
        <family val="2"/>
      </rPr>
      <t>6</t>
    </r>
    <r>
      <rPr>
        <b/>
        <sz val="10"/>
        <rFont val="Arial"/>
        <family val="2"/>
      </rPr>
      <t>:</t>
    </r>
  </si>
  <si>
    <t>6) Fund%2 is used to allocate Clinical Benefits that can be spread across all sources except State Funds.  These benefits include the entire portion of Supplemental Retirement and Disability as well as the employee only portion of Life Insurance, AD&amp;D, Supplemental Health, and Dental Insurance.  This % is automatically calculated by redistributing the Fund% on State dollars back to the default P&amp;A Account.</t>
  </si>
  <si>
    <t>2) Entire Clinical benefit will be spread across all funding sources (except State funds) based on Fund% in that source (Supplemental Retirement and Disability).</t>
  </si>
  <si>
    <t>3) Only the employee portion of the Clinical benefit will be spread across all funding sources (except State funds) based on Fund% in that source (Life Insurance, AD&amp;D, Supplemental Health, Dental).</t>
  </si>
  <si>
    <t>Yes</t>
  </si>
  <si>
    <t>Mthly Rate</t>
  </si>
  <si>
    <t>Select State, Optional, or Not Applicable</t>
  </si>
  <si>
    <t>Select a value from Chart A</t>
  </si>
  <si>
    <t>Select a value from Chart B</t>
  </si>
  <si>
    <t>Select Yes or No</t>
  </si>
  <si>
    <t>Mnthly Rate</t>
  </si>
  <si>
    <t>=INDEX(I7:J15,MATCH(B3,I7:I15,0),2)</t>
  </si>
  <si>
    <t>Sugg Salary</t>
  </si>
  <si>
    <t>No Max</t>
  </si>
  <si>
    <t>Transit</t>
  </si>
  <si>
    <t>Dep Extra</t>
  </si>
  <si>
    <t>Desc</t>
  </si>
  <si>
    <t>Before 7/1/96</t>
  </si>
  <si>
    <t>After 7/1/96</t>
  </si>
  <si>
    <t>Ee Child</t>
  </si>
  <si>
    <t>Ee Spouse</t>
  </si>
  <si>
    <t xml:space="preserve">Health Ins </t>
  </si>
  <si>
    <t>1) SSN Tax may be applicable but not included as most physicians' salaries are over the maximum taxable amount.</t>
  </si>
  <si>
    <t>Fellows Medical Insurance</t>
  </si>
  <si>
    <t>Fellows Disability</t>
  </si>
  <si>
    <t>Per month</t>
  </si>
  <si>
    <t>On Res Tab</t>
  </si>
  <si>
    <t>Resident Sugg Salary</t>
  </si>
  <si>
    <t>Rate</t>
  </si>
  <si>
    <t>TSSD:</t>
  </si>
  <si>
    <t>Enter date</t>
  </si>
  <si>
    <t>1981/2</t>
  </si>
  <si>
    <t>Health Insurance Special Pay</t>
  </si>
  <si>
    <t>HCS</t>
  </si>
  <si>
    <t>University</t>
  </si>
  <si>
    <t>Mnthly Amt</t>
  </si>
  <si>
    <t>Hlth Ins Spec Pay</t>
  </si>
  <si>
    <t>Health Ins</t>
  </si>
  <si>
    <t>On SPA &amp; HCS Tabs</t>
  </si>
  <si>
    <t>SPA/HCS Calc Date</t>
  </si>
  <si>
    <t>Earnings Max</t>
  </si>
  <si>
    <t>HCS Special Pay</t>
  </si>
  <si>
    <t>On HCS Tab</t>
  </si>
  <si>
    <t>Applicable salary maximum of $245,000 per year if hired on or after 7/1/1996</t>
  </si>
  <si>
    <t>Benefits as % of Salary =</t>
  </si>
  <si>
    <t xml:space="preserve">                                                                                  UNC-CH SCHOOL OF MEDICINE</t>
  </si>
  <si>
    <t>4 times salary up to a maximum of $1,000,000 - employee</t>
  </si>
  <si>
    <t>Salary Max</t>
  </si>
  <si>
    <t>Ee</t>
  </si>
  <si>
    <t>4) Life Insurance and AD&amp;D:  Maximum salary is $250,000</t>
  </si>
  <si>
    <t>5) Long Term Disability:  Maximum salary is $300,000</t>
  </si>
  <si>
    <t>+ Depend. Cov.</t>
  </si>
  <si>
    <t>Lists</t>
  </si>
  <si>
    <t>Retirement List</t>
  </si>
  <si>
    <t>Hired before 9/1/96 List</t>
  </si>
  <si>
    <t>Health Insurance List</t>
  </si>
  <si>
    <t>See Chart D</t>
  </si>
  <si>
    <t>must select 80:20 plan for wrap around coverage</t>
  </si>
  <si>
    <t xml:space="preserve">    9.  Vision coverage (employee and family)</t>
  </si>
  <si>
    <t>Annual healthy eye exam – co-pay of $10;</t>
  </si>
  <si>
    <t>In-network eyeglass lenses are covered in full for other than progressive lenses:</t>
  </si>
  <si>
    <t xml:space="preserve">$150 allowance for frames in-network.  </t>
  </si>
  <si>
    <t>$150 allowance for elective contact lenses in lieu of eyeglass lenses and frames.</t>
  </si>
  <si>
    <t>Standard contact lens fitting covered in full with co-pay of $10</t>
  </si>
  <si>
    <t>Discounts apply to other options.</t>
  </si>
  <si>
    <t>SPA Severance Pay</t>
  </si>
  <si>
    <t>FY11</t>
  </si>
  <si>
    <t>Notes</t>
  </si>
  <si>
    <t>FY13</t>
  </si>
  <si>
    <t>0.35% of salary</t>
  </si>
  <si>
    <t>.75% effective 7/1/12</t>
  </si>
  <si>
    <t>Eff 10/1/11</t>
  </si>
  <si>
    <t>Applicable salary maximum of $250,000 per year if hired on or after 7/1/1996</t>
  </si>
  <si>
    <t>Applicable salary maximum of $375,000 per year if hired before 7/1/1996</t>
  </si>
  <si>
    <t>5.74% of salary - Retiree Health Plan Reserve</t>
  </si>
  <si>
    <t>14.23% of salary</t>
  </si>
  <si>
    <t>Communication Core</t>
  </si>
  <si>
    <t>Communication Technologies Core Fee (OC 3225)</t>
  </si>
  <si>
    <t>effective 7/1/12</t>
  </si>
  <si>
    <t>Communication Technologies Core Fee</t>
  </si>
  <si>
    <t>2) State and Optional Retirement:  $375,000 salary max if employed PRIOR to 07/01/96, $250,000 max if employed AFTER 07/01/96</t>
  </si>
  <si>
    <t>3) Supplemental Retirement:  No salary max if employed PRIOR to 07/01/96, $250,000 max if employed AFTER 07/01/96</t>
  </si>
  <si>
    <t>FY13 FRINGE BENEFIT WORKSHEET - Proposed Funding Sources</t>
  </si>
  <si>
    <t>FY13 FRINGE BENEFIT WORKSHEET - EPA</t>
  </si>
  <si>
    <t>FY13 FRINGE BENEFIT WORKSHEET - SPA</t>
  </si>
  <si>
    <t>FY13 FRINGE BENEFIT WORKSHEET - HCS</t>
  </si>
  <si>
    <t>FY13 FRINGE BENEFIT WORKSHEET - Fellow</t>
  </si>
  <si>
    <t>FY13 FRINGE BENEFIT WORKSHEET - Resident</t>
  </si>
  <si>
    <t>FY13 FRINGE BENEFIT WORKSHEET - EPA One-Time Payments for Extended Clinical Care Agreements</t>
  </si>
  <si>
    <t>FY13 FRINGE BENEFIT WORKSHEET - EPA with Clinical Benefits</t>
  </si>
  <si>
    <t>CY2013</t>
  </si>
  <si>
    <t>Cap increased to $113,700 effective 1/1/13</t>
  </si>
  <si>
    <t>6.20% of taxable earnings up to $113,700</t>
  </si>
  <si>
    <t>1) Social Security:  CY2013 Salary maximum is $113,700</t>
  </si>
  <si>
    <t>Enter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</si>
</sst>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0.0000%"/>
    <numFmt numFmtId="165" formatCode="0.0%"/>
    <numFmt numFmtId="166" formatCode="0.000%"/>
    <numFmt numFmtId="167" formatCode="&quot;$&quot;#,##0.00"/>
    <numFmt numFmtId="168" formatCode="0_);\(0\)"/>
    <numFmt numFmtId="169" formatCode="_(&quot;$&quot;* #,##0_);_(&quot;$&quot;* \(#,##0\);_(&quot;$&quot;* &quot;-&quot;??_);_(@_)"/>
  </numFmts>
  <fonts count="24">
    <font>
      <sz val="10"/>
      <name val="MS Sans Serif"/>
    </font>
    <font>
      <sz val="10"/>
      <name val="MS Sans Serif"/>
      <family val="2"/>
    </font>
    <font>
      <b/>
      <sz val="12"/>
      <name val="Arial"/>
      <family val="2"/>
    </font>
    <font>
      <sz val="10"/>
      <name val="Arial"/>
      <family val="2"/>
    </font>
    <font>
      <b/>
      <sz val="10"/>
      <name val="Arial"/>
      <family val="2"/>
    </font>
    <font>
      <b/>
      <sz val="14"/>
      <name val="Arial"/>
      <family val="2"/>
    </font>
    <font>
      <sz val="14"/>
      <name val="Arial"/>
      <family val="2"/>
    </font>
    <font>
      <sz val="10"/>
      <color indexed="12"/>
      <name val="Arial"/>
      <family val="2"/>
    </font>
    <font>
      <sz val="10"/>
      <color indexed="18"/>
      <name val="Arial"/>
      <family val="2"/>
    </font>
    <font>
      <b/>
      <sz val="12"/>
      <color indexed="12"/>
      <name val="Arial"/>
      <family val="2"/>
    </font>
    <font>
      <sz val="12"/>
      <name val="Arial"/>
      <family val="2"/>
    </font>
    <font>
      <vertAlign val="superscript"/>
      <sz val="10"/>
      <name val="Arial"/>
      <family val="2"/>
    </font>
    <font>
      <b/>
      <vertAlign val="superscript"/>
      <sz val="10"/>
      <color indexed="12"/>
      <name val="Arial"/>
      <family val="2"/>
    </font>
    <font>
      <b/>
      <sz val="10"/>
      <color indexed="12"/>
      <name val="Arial"/>
      <family val="2"/>
    </font>
    <font>
      <sz val="10"/>
      <name val="Arial"/>
      <family val="2"/>
    </font>
    <font>
      <sz val="8"/>
      <name val="Arial"/>
      <family val="2"/>
    </font>
    <font>
      <b/>
      <sz val="12"/>
      <name val="Arial MT"/>
    </font>
    <font>
      <sz val="12"/>
      <name val="Arial MT"/>
    </font>
    <font>
      <sz val="12"/>
      <name val="Webdings"/>
      <family val="1"/>
      <charset val="2"/>
    </font>
    <font>
      <b/>
      <sz val="14"/>
      <name val="Arial MT"/>
    </font>
    <font>
      <b/>
      <vertAlign val="superscript"/>
      <sz val="10"/>
      <name val="Arial"/>
      <family val="2"/>
    </font>
    <font>
      <b/>
      <sz val="8"/>
      <color indexed="81"/>
      <name val="Tahoma"/>
      <family val="2"/>
    </font>
    <font>
      <b/>
      <sz val="10"/>
      <color indexed="81"/>
      <name val="Tahoma"/>
      <family val="2"/>
    </font>
    <font>
      <sz val="10"/>
      <name val="Arial Rounded MT Bold"/>
      <family val="2"/>
    </font>
  </fonts>
  <fills count="8">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theme="0"/>
        <bgColor indexed="64"/>
      </patternFill>
    </fill>
  </fills>
  <borders count="47">
    <border>
      <left/>
      <right/>
      <top/>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double">
        <color indexed="64"/>
      </top>
      <bottom/>
      <diagonal/>
    </border>
    <border>
      <left/>
      <right/>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medium">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s>
  <cellStyleXfs count="7">
    <xf numFmtId="0" fontId="0" fillId="0" borderId="0"/>
    <xf numFmtId="40" fontId="1" fillId="0" borderId="0" applyFont="0" applyFill="0" applyBorder="0" applyAlignment="0" applyProtection="0"/>
    <xf numFmtId="8" fontId="1" fillId="0" borderId="0" applyFont="0" applyFill="0" applyBorder="0" applyAlignment="0" applyProtection="0"/>
    <xf numFmtId="44" fontId="14" fillId="0" borderId="0" applyFont="0" applyFill="0" applyBorder="0" applyAlignment="0" applyProtection="0"/>
    <xf numFmtId="0" fontId="14" fillId="0" borderId="0"/>
    <xf numFmtId="0" fontId="1" fillId="0" borderId="0"/>
    <xf numFmtId="9" fontId="1" fillId="0" borderId="0" applyFont="0" applyFill="0" applyBorder="0" applyAlignment="0" applyProtection="0"/>
  </cellStyleXfs>
  <cellXfs count="568">
    <xf numFmtId="0" fontId="0" fillId="0" borderId="0" xfId="0"/>
    <xf numFmtId="49" fontId="2" fillId="2" borderId="0" xfId="0" applyNumberFormat="1" applyFont="1" applyFill="1" applyBorder="1" applyAlignment="1" applyProtection="1">
      <alignment horizontal="left"/>
      <protection locked="0"/>
    </xf>
    <xf numFmtId="0" fontId="10" fillId="2" borderId="0" xfId="0" applyFont="1" applyFill="1" applyBorder="1" applyAlignment="1" applyProtection="1">
      <alignment horizontal="left"/>
      <protection locked="0"/>
    </xf>
    <xf numFmtId="43" fontId="3" fillId="2" borderId="1" xfId="1" applyNumberFormat="1" applyFont="1" applyFill="1" applyBorder="1" applyAlignment="1" applyProtection="1">
      <alignment horizontal="center"/>
      <protection locked="0"/>
    </xf>
    <xf numFmtId="0" fontId="4" fillId="3" borderId="2" xfId="0" applyFont="1" applyFill="1" applyBorder="1" applyAlignment="1" applyProtection="1">
      <alignment horizontal="left"/>
    </xf>
    <xf numFmtId="0" fontId="4" fillId="3" borderId="3" xfId="0" applyFont="1" applyFill="1" applyBorder="1" applyAlignment="1" applyProtection="1">
      <alignment horizontal="center"/>
    </xf>
    <xf numFmtId="10" fontId="4" fillId="0" borderId="3" xfId="6" applyNumberFormat="1" applyFont="1" applyBorder="1" applyAlignment="1" applyProtection="1">
      <alignment horizontal="center"/>
    </xf>
    <xf numFmtId="0" fontId="4" fillId="0" borderId="3" xfId="0" quotePrefix="1" applyFont="1" applyBorder="1" applyAlignment="1" applyProtection="1">
      <alignment horizontal="center"/>
    </xf>
    <xf numFmtId="43" fontId="4" fillId="0" borderId="4" xfId="1" applyNumberFormat="1" applyFont="1" applyFill="1" applyBorder="1" applyAlignment="1" applyProtection="1">
      <alignment horizontal="center"/>
    </xf>
    <xf numFmtId="10" fontId="3" fillId="3" borderId="0" xfId="0" applyNumberFormat="1" applyFont="1" applyFill="1" applyBorder="1" applyAlignment="1" applyProtection="1">
      <alignment horizontal="center"/>
    </xf>
    <xf numFmtId="0" fontId="4" fillId="4" borderId="2" xfId="0" applyFont="1" applyFill="1" applyBorder="1" applyAlignment="1" applyProtection="1">
      <alignment horizontal="center"/>
    </xf>
    <xf numFmtId="3" fontId="4" fillId="4" borderId="3" xfId="0" applyNumberFormat="1" applyFont="1" applyFill="1" applyBorder="1" applyAlignment="1" applyProtection="1">
      <alignment horizontal="center"/>
    </xf>
    <xf numFmtId="0" fontId="3" fillId="3" borderId="5" xfId="0" applyFont="1" applyFill="1" applyBorder="1" applyProtection="1"/>
    <xf numFmtId="0" fontId="3" fillId="3" borderId="1" xfId="0" applyFont="1" applyFill="1" applyBorder="1" applyAlignment="1" applyProtection="1">
      <alignment horizontal="center"/>
    </xf>
    <xf numFmtId="10" fontId="3" fillId="3" borderId="1" xfId="6" applyNumberFormat="1" applyFont="1" applyFill="1" applyBorder="1" applyAlignment="1" applyProtection="1">
      <alignment horizontal="center"/>
    </xf>
    <xf numFmtId="43" fontId="3" fillId="3" borderId="1" xfId="1" applyNumberFormat="1" applyFont="1" applyFill="1" applyBorder="1" applyAlignment="1" applyProtection="1">
      <alignment horizontal="center"/>
    </xf>
    <xf numFmtId="43" fontId="3" fillId="3" borderId="0"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3" fontId="3" fillId="3" borderId="0" xfId="0" applyNumberFormat="1" applyFont="1" applyFill="1" applyBorder="1" applyAlignment="1" applyProtection="1">
      <alignment horizontal="center"/>
    </xf>
    <xf numFmtId="43" fontId="3" fillId="4" borderId="1" xfId="0" applyNumberFormat="1" applyFont="1" applyFill="1" applyBorder="1" applyProtection="1"/>
    <xf numFmtId="43" fontId="3" fillId="3" borderId="5" xfId="1" applyNumberFormat="1" applyFont="1" applyFill="1" applyBorder="1" applyAlignment="1" applyProtection="1">
      <alignment horizontal="center"/>
    </xf>
    <xf numFmtId="3" fontId="3" fillId="3" borderId="0" xfId="0" applyNumberFormat="1" applyFont="1" applyFill="1" applyBorder="1" applyProtection="1"/>
    <xf numFmtId="0" fontId="3" fillId="3" borderId="7" xfId="0" applyFont="1" applyFill="1" applyBorder="1" applyProtection="1"/>
    <xf numFmtId="0" fontId="3" fillId="3" borderId="8" xfId="0" applyFont="1" applyFill="1" applyBorder="1" applyAlignment="1" applyProtection="1">
      <alignment horizontal="center"/>
    </xf>
    <xf numFmtId="10" fontId="3" fillId="3" borderId="8" xfId="6" applyNumberFormat="1" applyFont="1" applyFill="1" applyBorder="1" applyAlignment="1" applyProtection="1">
      <alignment horizontal="center"/>
    </xf>
    <xf numFmtId="43" fontId="3" fillId="3" borderId="8" xfId="1" applyNumberFormat="1" applyFont="1" applyFill="1" applyBorder="1" applyAlignment="1" applyProtection="1">
      <alignment horizontal="center"/>
    </xf>
    <xf numFmtId="43" fontId="3" fillId="3" borderId="0" xfId="1" applyNumberFormat="1" applyFont="1" applyFill="1" applyBorder="1" applyProtection="1"/>
    <xf numFmtId="43" fontId="3" fillId="3" borderId="6" xfId="1" applyNumberFormat="1" applyFont="1" applyFill="1" applyBorder="1" applyProtection="1"/>
    <xf numFmtId="43" fontId="3" fillId="4" borderId="8" xfId="0" applyNumberFormat="1" applyFont="1" applyFill="1" applyBorder="1" applyProtection="1"/>
    <xf numFmtId="0" fontId="4" fillId="5" borderId="7" xfId="0" applyFont="1" applyFill="1" applyBorder="1" applyProtection="1"/>
    <xf numFmtId="0" fontId="3" fillId="5" borderId="8" xfId="0" applyFont="1" applyFill="1" applyBorder="1" applyAlignment="1" applyProtection="1">
      <alignment horizontal="center"/>
    </xf>
    <xf numFmtId="10" fontId="3" fillId="5" borderId="8" xfId="6" applyNumberFormat="1" applyFont="1" applyFill="1" applyBorder="1" applyAlignment="1" applyProtection="1">
      <alignment horizontal="center"/>
    </xf>
    <xf numFmtId="43" fontId="3" fillId="5" borderId="8" xfId="1" applyNumberFormat="1" applyFont="1" applyFill="1" applyBorder="1" applyAlignment="1" applyProtection="1">
      <alignment horizontal="center"/>
    </xf>
    <xf numFmtId="43" fontId="3" fillId="5" borderId="9" xfId="1" applyNumberFormat="1" applyFont="1" applyFill="1" applyBorder="1" applyProtection="1"/>
    <xf numFmtId="43" fontId="3" fillId="5" borderId="10" xfId="1" applyNumberFormat="1" applyFont="1" applyFill="1" applyBorder="1" applyProtection="1"/>
    <xf numFmtId="0" fontId="3" fillId="3" borderId="5" xfId="0" quotePrefix="1" applyFont="1" applyFill="1" applyBorder="1" applyAlignment="1" applyProtection="1">
      <alignment horizontal="left"/>
    </xf>
    <xf numFmtId="0" fontId="3" fillId="0" borderId="1" xfId="0" quotePrefix="1" applyFont="1" applyBorder="1" applyAlignment="1" applyProtection="1">
      <alignment horizontal="center"/>
    </xf>
    <xf numFmtId="10" fontId="3" fillId="0" borderId="1" xfId="6" quotePrefix="1" applyNumberFormat="1" applyFont="1" applyBorder="1" applyAlignment="1" applyProtection="1">
      <alignment horizontal="center"/>
    </xf>
    <xf numFmtId="43" fontId="3" fillId="0" borderId="1" xfId="1" applyNumberFormat="1" applyFont="1" applyFill="1" applyBorder="1" applyAlignment="1" applyProtection="1">
      <alignment horizontal="center"/>
    </xf>
    <xf numFmtId="166" fontId="3" fillId="3" borderId="1" xfId="6" applyNumberFormat="1" applyFont="1" applyFill="1" applyBorder="1" applyAlignment="1" applyProtection="1">
      <alignment horizontal="center"/>
    </xf>
    <xf numFmtId="0" fontId="3" fillId="3" borderId="1" xfId="0" quotePrefix="1" applyFont="1" applyFill="1" applyBorder="1" applyAlignment="1" applyProtection="1">
      <alignment horizontal="center"/>
    </xf>
    <xf numFmtId="38" fontId="3" fillId="3" borderId="1" xfId="0" quotePrefix="1" applyNumberFormat="1" applyFont="1" applyFill="1" applyBorder="1" applyAlignment="1" applyProtection="1">
      <alignment horizontal="center"/>
    </xf>
    <xf numFmtId="43" fontId="3" fillId="3" borderId="1" xfId="0" quotePrefix="1" applyNumberFormat="1" applyFont="1" applyFill="1" applyBorder="1" applyAlignment="1" applyProtection="1">
      <alignment horizontal="right"/>
    </xf>
    <xf numFmtId="0" fontId="7" fillId="3" borderId="5" xfId="0" applyFont="1" applyFill="1" applyBorder="1" applyAlignment="1" applyProtection="1">
      <alignment horizontal="left"/>
    </xf>
    <xf numFmtId="43" fontId="3" fillId="3" borderId="1" xfId="0" quotePrefix="1" applyNumberFormat="1" applyFont="1" applyFill="1" applyBorder="1" applyAlignment="1" applyProtection="1">
      <alignment horizontal="center"/>
    </xf>
    <xf numFmtId="0" fontId="3" fillId="3" borderId="0" xfId="0" applyFont="1" applyFill="1" applyBorder="1" applyProtection="1"/>
    <xf numFmtId="167" fontId="3" fillId="3" borderId="1" xfId="6"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center"/>
    </xf>
    <xf numFmtId="0" fontId="3" fillId="3" borderId="5" xfId="0" applyFont="1" applyFill="1" applyBorder="1" applyAlignment="1" applyProtection="1">
      <alignment horizontal="left"/>
    </xf>
    <xf numFmtId="43" fontId="4" fillId="3" borderId="0" xfId="1" applyNumberFormat="1" applyFont="1" applyFill="1" applyBorder="1" applyProtection="1"/>
    <xf numFmtId="43" fontId="4" fillId="3" borderId="6" xfId="1" applyNumberFormat="1" applyFont="1" applyFill="1" applyBorder="1" applyProtection="1"/>
    <xf numFmtId="3" fontId="4" fillId="3" borderId="0" xfId="0" applyNumberFormat="1" applyFont="1" applyFill="1" applyBorder="1" applyAlignment="1" applyProtection="1">
      <alignment horizontal="left"/>
    </xf>
    <xf numFmtId="0" fontId="4" fillId="5" borderId="2" xfId="0" applyFont="1" applyFill="1" applyBorder="1" applyAlignment="1" applyProtection="1">
      <alignment horizontal="left"/>
    </xf>
    <xf numFmtId="0" fontId="3" fillId="5" borderId="3" xfId="0" quotePrefix="1" applyFont="1" applyFill="1" applyBorder="1" applyAlignment="1" applyProtection="1">
      <alignment horizontal="center"/>
    </xf>
    <xf numFmtId="10" fontId="3" fillId="5" borderId="3" xfId="6" quotePrefix="1" applyNumberFormat="1" applyFont="1" applyFill="1" applyBorder="1" applyAlignment="1" applyProtection="1">
      <alignment horizontal="center"/>
    </xf>
    <xf numFmtId="0" fontId="4" fillId="5" borderId="3" xfId="0" quotePrefix="1" applyFont="1" applyFill="1" applyBorder="1" applyAlignment="1" applyProtection="1">
      <alignment horizontal="center"/>
    </xf>
    <xf numFmtId="43" fontId="4" fillId="5" borderId="3" xfId="1" applyNumberFormat="1" applyFont="1" applyFill="1" applyBorder="1" applyAlignment="1" applyProtection="1">
      <alignment horizontal="center"/>
    </xf>
    <xf numFmtId="0" fontId="4" fillId="4" borderId="7" xfId="0" applyFont="1" applyFill="1" applyBorder="1" applyProtection="1"/>
    <xf numFmtId="0" fontId="3" fillId="4" borderId="8" xfId="0" applyFont="1" applyFill="1" applyBorder="1" applyAlignment="1" applyProtection="1">
      <alignment horizontal="center"/>
    </xf>
    <xf numFmtId="10" fontId="3" fillId="4" borderId="8" xfId="6" applyNumberFormat="1" applyFont="1" applyFill="1" applyBorder="1" applyAlignment="1" applyProtection="1">
      <alignment horizontal="center"/>
    </xf>
    <xf numFmtId="43" fontId="3" fillId="4" borderId="8" xfId="1" applyNumberFormat="1" applyFont="1" applyFill="1" applyBorder="1" applyAlignment="1" applyProtection="1">
      <alignment horizontal="center"/>
    </xf>
    <xf numFmtId="3" fontId="4" fillId="3" borderId="0" xfId="0" applyNumberFormat="1" applyFont="1" applyFill="1" applyBorder="1" applyProtection="1"/>
    <xf numFmtId="0" fontId="4" fillId="3" borderId="5" xfId="0" applyFont="1" applyFill="1" applyBorder="1" applyProtection="1"/>
    <xf numFmtId="0" fontId="3" fillId="0" borderId="1" xfId="0" applyFont="1" applyFill="1" applyBorder="1" applyAlignment="1" applyProtection="1">
      <alignment horizontal="center"/>
    </xf>
    <xf numFmtId="10" fontId="3" fillId="0" borderId="1" xfId="6" applyNumberFormat="1" applyFont="1" applyFill="1" applyBorder="1" applyAlignment="1" applyProtection="1">
      <alignment horizontal="center"/>
    </xf>
    <xf numFmtId="3" fontId="3" fillId="0" borderId="0" xfId="0" applyNumberFormat="1" applyFont="1" applyFill="1" applyBorder="1" applyProtection="1"/>
    <xf numFmtId="10" fontId="3" fillId="3" borderId="0" xfId="6" applyNumberFormat="1" applyFont="1" applyFill="1" applyBorder="1" applyAlignment="1" applyProtection="1">
      <alignment horizontal="center"/>
    </xf>
    <xf numFmtId="0" fontId="8" fillId="3" borderId="1" xfId="0" applyFont="1" applyFill="1" applyBorder="1" applyAlignment="1" applyProtection="1">
      <alignment horizontal="left"/>
    </xf>
    <xf numFmtId="43" fontId="3" fillId="3" borderId="1" xfId="1" quotePrefix="1" applyNumberFormat="1" applyFont="1" applyFill="1" applyBorder="1" applyAlignment="1" applyProtection="1">
      <alignment horizontal="center"/>
    </xf>
    <xf numFmtId="165" fontId="3" fillId="3" borderId="0" xfId="6" applyNumberFormat="1" applyFont="1" applyFill="1" applyBorder="1" applyProtection="1"/>
    <xf numFmtId="0" fontId="4" fillId="4" borderId="2" xfId="0" applyFont="1" applyFill="1" applyBorder="1" applyProtection="1"/>
    <xf numFmtId="0" fontId="3" fillId="4" borderId="3" xfId="0" applyFont="1" applyFill="1" applyBorder="1" applyAlignment="1" applyProtection="1">
      <alignment horizontal="center"/>
    </xf>
    <xf numFmtId="10" fontId="3" fillId="4" borderId="3" xfId="6" applyNumberFormat="1" applyFont="1" applyFill="1" applyBorder="1" applyAlignment="1" applyProtection="1">
      <alignment horizontal="center"/>
    </xf>
    <xf numFmtId="0" fontId="4" fillId="4" borderId="3" xfId="0" applyFont="1" applyFill="1" applyBorder="1" applyAlignment="1" applyProtection="1">
      <alignment horizontal="center"/>
    </xf>
    <xf numFmtId="43" fontId="4" fillId="4" borderId="3" xfId="1" applyNumberFormat="1" applyFont="1" applyFill="1" applyBorder="1" applyAlignment="1" applyProtection="1">
      <alignment horizontal="center"/>
    </xf>
    <xf numFmtId="165" fontId="4" fillId="3" borderId="0" xfId="6" applyNumberFormat="1" applyFont="1" applyFill="1" applyBorder="1" applyProtection="1"/>
    <xf numFmtId="0" fontId="2" fillId="3" borderId="11" xfId="0" applyFont="1" applyFill="1" applyBorder="1" applyProtection="1"/>
    <xf numFmtId="0" fontId="3" fillId="0" borderId="12" xfId="0" applyFont="1" applyBorder="1" applyAlignment="1" applyProtection="1">
      <alignment horizontal="center"/>
    </xf>
    <xf numFmtId="10" fontId="3" fillId="0" borderId="12" xfId="6" applyNumberFormat="1" applyFont="1" applyBorder="1" applyAlignment="1" applyProtection="1">
      <alignment horizontal="center"/>
    </xf>
    <xf numFmtId="0" fontId="4" fillId="0" borderId="12" xfId="0" applyFont="1" applyBorder="1" applyAlignment="1" applyProtection="1">
      <alignment horizontal="center"/>
    </xf>
    <xf numFmtId="43" fontId="4" fillId="0" borderId="12" xfId="1" applyNumberFormat="1" applyFont="1" applyFill="1" applyBorder="1" applyAlignment="1" applyProtection="1">
      <alignment horizontal="right"/>
    </xf>
    <xf numFmtId="0" fontId="3" fillId="3" borderId="13" xfId="0" applyFont="1" applyFill="1" applyBorder="1" applyProtection="1"/>
    <xf numFmtId="0" fontId="3" fillId="3" borderId="0" xfId="0" applyFont="1" applyFill="1" applyAlignment="1" applyProtection="1">
      <alignment horizontal="center"/>
    </xf>
    <xf numFmtId="10" fontId="3" fillId="3" borderId="0" xfId="6" applyNumberFormat="1" applyFont="1" applyFill="1" applyAlignment="1" applyProtection="1">
      <alignment horizontal="center"/>
    </xf>
    <xf numFmtId="43" fontId="4" fillId="3" borderId="0" xfId="1" applyNumberFormat="1" applyFont="1" applyFill="1" applyAlignment="1" applyProtection="1">
      <alignment horizontal="center"/>
    </xf>
    <xf numFmtId="0" fontId="4" fillId="3" borderId="0" xfId="0" applyFont="1" applyFill="1" applyBorder="1" applyProtection="1"/>
    <xf numFmtId="0" fontId="3" fillId="3" borderId="0" xfId="0" applyFont="1" applyFill="1" applyBorder="1" applyAlignment="1" applyProtection="1">
      <alignment horizontal="center"/>
    </xf>
    <xf numFmtId="43" fontId="4" fillId="3" borderId="0" xfId="1" applyNumberFormat="1" applyFont="1" applyFill="1" applyBorder="1" applyAlignment="1" applyProtection="1">
      <alignment horizontal="center"/>
    </xf>
    <xf numFmtId="0" fontId="3" fillId="3" borderId="0" xfId="0" applyFont="1" applyFill="1" applyBorder="1" applyAlignment="1" applyProtection="1">
      <alignment horizontal="left"/>
    </xf>
    <xf numFmtId="0" fontId="2" fillId="0" borderId="14" xfId="0" quotePrefix="1" applyFont="1" applyBorder="1" applyProtection="1"/>
    <xf numFmtId="0" fontId="6" fillId="3" borderId="14" xfId="0" quotePrefix="1" applyFont="1" applyFill="1" applyBorder="1" applyAlignment="1" applyProtection="1">
      <alignment horizontal="center"/>
    </xf>
    <xf numFmtId="10" fontId="6" fillId="3" borderId="14" xfId="6" quotePrefix="1" applyNumberFormat="1" applyFont="1" applyFill="1" applyBorder="1" applyAlignment="1" applyProtection="1">
      <alignment horizontal="center"/>
    </xf>
    <xf numFmtId="0" fontId="6" fillId="3" borderId="14" xfId="0" applyFont="1" applyFill="1" applyBorder="1" applyAlignment="1" applyProtection="1">
      <alignment horizontal="center"/>
    </xf>
    <xf numFmtId="43" fontId="5" fillId="3" borderId="14" xfId="1" applyNumberFormat="1" applyFont="1" applyFill="1" applyBorder="1" applyAlignment="1" applyProtection="1">
      <alignment horizontal="center"/>
    </xf>
    <xf numFmtId="43" fontId="6" fillId="3" borderId="14" xfId="1" applyNumberFormat="1" applyFont="1" applyFill="1" applyBorder="1" applyProtection="1"/>
    <xf numFmtId="43" fontId="6" fillId="0" borderId="14" xfId="1" applyNumberFormat="1" applyFont="1" applyFill="1" applyBorder="1" applyProtection="1"/>
    <xf numFmtId="3" fontId="6" fillId="3" borderId="14" xfId="0" applyNumberFormat="1" applyFont="1" applyFill="1" applyBorder="1" applyProtection="1"/>
    <xf numFmtId="3" fontId="4" fillId="3" borderId="0" xfId="0" applyNumberFormat="1" applyFont="1" applyFill="1" applyBorder="1" applyAlignment="1" applyProtection="1">
      <alignment horizontal="center"/>
    </xf>
    <xf numFmtId="0" fontId="6" fillId="3" borderId="0" xfId="0" applyFont="1" applyFill="1" applyBorder="1" applyProtection="1"/>
    <xf numFmtId="0" fontId="2" fillId="3" borderId="13" xfId="0" applyFont="1" applyFill="1" applyBorder="1" applyAlignment="1" applyProtection="1">
      <alignment horizontal="right"/>
    </xf>
    <xf numFmtId="10" fontId="10" fillId="2" borderId="0" xfId="6" quotePrefix="1" applyNumberFormat="1" applyFont="1" applyFill="1" applyBorder="1" applyAlignment="1" applyProtection="1">
      <alignment horizontal="center"/>
    </xf>
    <xf numFmtId="0" fontId="10" fillId="3" borderId="0" xfId="0" applyFont="1" applyFill="1" applyBorder="1" applyAlignment="1" applyProtection="1">
      <alignment horizontal="center"/>
    </xf>
    <xf numFmtId="43" fontId="2" fillId="3" borderId="0" xfId="1" applyNumberFormat="1" applyFont="1" applyFill="1" applyBorder="1" applyAlignment="1" applyProtection="1">
      <alignment horizontal="center"/>
    </xf>
    <xf numFmtId="43" fontId="10" fillId="3" borderId="0" xfId="1" applyNumberFormat="1" applyFont="1" applyFill="1" applyBorder="1" applyProtection="1"/>
    <xf numFmtId="3" fontId="10" fillId="3" borderId="0" xfId="0" applyNumberFormat="1" applyFont="1" applyFill="1" applyBorder="1" applyProtection="1"/>
    <xf numFmtId="0" fontId="10" fillId="3" borderId="0" xfId="0" applyFont="1" applyFill="1" applyBorder="1" applyProtection="1"/>
    <xf numFmtId="3" fontId="2" fillId="3" borderId="0" xfId="0" applyNumberFormat="1" applyFont="1" applyFill="1" applyBorder="1" applyAlignment="1" applyProtection="1">
      <alignment horizontal="center"/>
    </xf>
    <xf numFmtId="0" fontId="10" fillId="3" borderId="0" xfId="0" applyFont="1" applyFill="1" applyBorder="1" applyAlignment="1" applyProtection="1">
      <alignment horizontal="right"/>
    </xf>
    <xf numFmtId="10" fontId="10" fillId="3" borderId="0" xfId="6" applyNumberFormat="1" applyFont="1" applyFill="1" applyBorder="1" applyAlignment="1" applyProtection="1">
      <alignment horizontal="left"/>
    </xf>
    <xf numFmtId="0" fontId="2" fillId="3" borderId="15" xfId="0" applyFont="1" applyFill="1" applyBorder="1" applyAlignment="1" applyProtection="1">
      <alignment horizontal="left"/>
    </xf>
    <xf numFmtId="0" fontId="3" fillId="3" borderId="15" xfId="0" quotePrefix="1" applyFont="1" applyFill="1" applyBorder="1" applyAlignment="1" applyProtection="1">
      <alignment horizontal="center"/>
    </xf>
    <xf numFmtId="10" fontId="3" fillId="3" borderId="15" xfId="6" quotePrefix="1" applyNumberFormat="1" applyFont="1" applyFill="1" applyBorder="1" applyAlignment="1" applyProtection="1">
      <alignment horizontal="center"/>
    </xf>
    <xf numFmtId="0" fontId="3" fillId="3" borderId="15" xfId="0" applyFont="1" applyFill="1" applyBorder="1" applyAlignment="1" applyProtection="1">
      <alignment horizontal="center"/>
    </xf>
    <xf numFmtId="43" fontId="9" fillId="3" borderId="15" xfId="1" applyNumberFormat="1" applyFont="1" applyFill="1" applyBorder="1" applyAlignment="1" applyProtection="1">
      <alignment horizontal="center"/>
    </xf>
    <xf numFmtId="43" fontId="3" fillId="3" borderId="15" xfId="1" applyNumberFormat="1" applyFont="1" applyFill="1" applyBorder="1" applyProtection="1"/>
    <xf numFmtId="3" fontId="3" fillId="3" borderId="15" xfId="0" applyNumberFormat="1" applyFont="1" applyFill="1" applyBorder="1" applyProtection="1"/>
    <xf numFmtId="3" fontId="3" fillId="3" borderId="5" xfId="0" applyNumberFormat="1" applyFont="1" applyFill="1" applyBorder="1" applyProtection="1"/>
    <xf numFmtId="0" fontId="3" fillId="3" borderId="0" xfId="0" applyFont="1" applyFill="1" applyProtection="1"/>
    <xf numFmtId="0" fontId="3" fillId="0" borderId="0" xfId="0" applyFont="1" applyProtection="1"/>
    <xf numFmtId="0" fontId="3" fillId="0" borderId="0" xfId="0" applyFont="1" applyAlignment="1" applyProtection="1">
      <alignment horizontal="center"/>
    </xf>
    <xf numFmtId="10" fontId="3" fillId="0" borderId="0" xfId="6" applyNumberFormat="1" applyFont="1" applyAlignment="1" applyProtection="1">
      <alignment horizontal="center"/>
    </xf>
    <xf numFmtId="43" fontId="4" fillId="0" borderId="0" xfId="1" applyNumberFormat="1" applyFont="1" applyAlignment="1" applyProtection="1">
      <alignment horizontal="center"/>
    </xf>
    <xf numFmtId="43" fontId="3" fillId="3" borderId="1" xfId="1" applyNumberFormat="1" applyFont="1" applyFill="1" applyBorder="1" applyAlignment="1" applyProtection="1">
      <alignment horizontal="right"/>
    </xf>
    <xf numFmtId="37" fontId="3" fillId="4" borderId="1" xfId="0" applyNumberFormat="1" applyFont="1" applyFill="1" applyBorder="1" applyProtection="1"/>
    <xf numFmtId="37" fontId="3" fillId="4" borderId="8" xfId="0" applyNumberFormat="1" applyFont="1" applyFill="1" applyBorder="1" applyProtection="1"/>
    <xf numFmtId="0" fontId="0" fillId="3" borderId="0" xfId="0" applyFill="1"/>
    <xf numFmtId="3" fontId="4" fillId="3" borderId="15" xfId="0" applyNumberFormat="1" applyFont="1" applyFill="1" applyBorder="1" applyProtection="1"/>
    <xf numFmtId="3" fontId="4" fillId="4" borderId="2" xfId="0" applyNumberFormat="1" applyFont="1" applyFill="1" applyBorder="1" applyAlignment="1" applyProtection="1">
      <alignment horizontal="center"/>
    </xf>
    <xf numFmtId="168" fontId="3" fillId="4" borderId="7" xfId="0" applyNumberFormat="1" applyFont="1" applyFill="1" applyBorder="1" applyAlignment="1" applyProtection="1">
      <alignment horizontal="center"/>
    </xf>
    <xf numFmtId="165" fontId="3" fillId="4" borderId="7" xfId="6" applyNumberFormat="1" applyFont="1" applyFill="1" applyBorder="1" applyProtection="1"/>
    <xf numFmtId="10" fontId="3" fillId="4" borderId="8" xfId="6" applyNumberFormat="1" applyFont="1" applyFill="1" applyBorder="1" applyProtection="1"/>
    <xf numFmtId="168" fontId="10" fillId="2" borderId="0" xfId="0" applyNumberFormat="1" applyFont="1" applyFill="1" applyBorder="1" applyAlignment="1" applyProtection="1">
      <alignment horizontal="left"/>
      <protection locked="0"/>
    </xf>
    <xf numFmtId="1" fontId="3" fillId="4" borderId="5" xfId="0" applyNumberFormat="1" applyFont="1" applyFill="1" applyBorder="1" applyProtection="1"/>
    <xf numFmtId="10" fontId="3" fillId="4" borderId="6" xfId="6" applyNumberFormat="1" applyFont="1" applyFill="1" applyBorder="1" applyProtection="1"/>
    <xf numFmtId="1" fontId="3" fillId="4" borderId="7" xfId="0" applyNumberFormat="1" applyFont="1" applyFill="1" applyBorder="1" applyProtection="1"/>
    <xf numFmtId="10" fontId="3" fillId="4" borderId="16" xfId="6" applyNumberFormat="1" applyFont="1" applyFill="1" applyBorder="1" applyProtection="1"/>
    <xf numFmtId="168" fontId="3" fillId="4" borderId="5" xfId="0" applyNumberFormat="1" applyFont="1" applyFill="1" applyBorder="1" applyAlignment="1" applyProtection="1">
      <alignment horizontal="center"/>
    </xf>
    <xf numFmtId="0" fontId="4" fillId="3" borderId="0" xfId="0" applyFont="1" applyFill="1" applyBorder="1" applyAlignment="1" applyProtection="1">
      <alignment horizontal="left"/>
    </xf>
    <xf numFmtId="43" fontId="4" fillId="3" borderId="2" xfId="1" applyNumberFormat="1" applyFont="1" applyFill="1" applyBorder="1" applyAlignment="1" applyProtection="1">
      <alignment horizontal="center"/>
    </xf>
    <xf numFmtId="43" fontId="3" fillId="3" borderId="5" xfId="1" applyNumberFormat="1" applyFont="1" applyFill="1" applyBorder="1" applyAlignment="1" applyProtection="1">
      <alignment horizontal="right"/>
    </xf>
    <xf numFmtId="0" fontId="4" fillId="5" borderId="3" xfId="0" quotePrefix="1" applyFont="1" applyFill="1" applyBorder="1" applyAlignment="1">
      <alignment horizontal="center"/>
    </xf>
    <xf numFmtId="0" fontId="3" fillId="4" borderId="8" xfId="0" applyFont="1" applyFill="1" applyBorder="1" applyAlignment="1">
      <alignment horizontal="center"/>
    </xf>
    <xf numFmtId="0" fontId="4" fillId="3" borderId="0" xfId="0" applyFont="1" applyFill="1" applyBorder="1"/>
    <xf numFmtId="0" fontId="3" fillId="3" borderId="0" xfId="0" applyFont="1" applyFill="1" applyBorder="1"/>
    <xf numFmtId="0" fontId="3" fillId="3" borderId="0" xfId="0" applyFont="1" applyFill="1" applyBorder="1" applyAlignment="1">
      <alignment horizontal="left"/>
    </xf>
    <xf numFmtId="0" fontId="2" fillId="0" borderId="14" xfId="0" quotePrefix="1" applyFont="1" applyBorder="1"/>
    <xf numFmtId="0" fontId="6" fillId="3" borderId="14" xfId="0" quotePrefix="1" applyFont="1" applyFill="1" applyBorder="1" applyAlignment="1">
      <alignment horizontal="center"/>
    </xf>
    <xf numFmtId="43" fontId="5" fillId="3" borderId="14" xfId="1" applyNumberFormat="1" applyFont="1" applyFill="1" applyBorder="1" applyAlignment="1">
      <alignment horizontal="center"/>
    </xf>
    <xf numFmtId="43" fontId="6" fillId="0" borderId="14" xfId="1" applyNumberFormat="1" applyFont="1" applyFill="1" applyBorder="1"/>
    <xf numFmtId="0" fontId="6" fillId="3" borderId="0" xfId="0" applyFont="1" applyFill="1" applyBorder="1"/>
    <xf numFmtId="0" fontId="2" fillId="0" borderId="0" xfId="0" applyFont="1" applyFill="1" applyBorder="1" applyAlignment="1">
      <alignment horizontal="left"/>
    </xf>
    <xf numFmtId="43" fontId="2" fillId="3" borderId="0" xfId="1" applyNumberFormat="1" applyFont="1" applyFill="1" applyBorder="1" applyAlignment="1">
      <alignment horizontal="center"/>
    </xf>
    <xf numFmtId="43" fontId="3" fillId="3" borderId="5" xfId="1" applyNumberFormat="1" applyFont="1" applyFill="1" applyBorder="1" applyAlignment="1">
      <alignment horizontal="center"/>
    </xf>
    <xf numFmtId="0" fontId="9" fillId="3" borderId="13" xfId="0" applyFont="1" applyFill="1" applyBorder="1" applyAlignment="1">
      <alignment horizontal="left"/>
    </xf>
    <xf numFmtId="43" fontId="10" fillId="3" borderId="0" xfId="1" applyNumberFormat="1" applyFont="1" applyFill="1" applyBorder="1"/>
    <xf numFmtId="0" fontId="10" fillId="3" borderId="0" xfId="0" applyFont="1" applyFill="1" applyBorder="1"/>
    <xf numFmtId="0" fontId="3" fillId="3" borderId="15" xfId="0" quotePrefix="1" applyFont="1" applyFill="1" applyBorder="1" applyAlignment="1">
      <alignment horizontal="center"/>
    </xf>
    <xf numFmtId="43" fontId="9" fillId="3" borderId="0" xfId="1" applyNumberFormat="1" applyFont="1" applyFill="1" applyBorder="1" applyAlignment="1">
      <alignment horizontal="center"/>
    </xf>
    <xf numFmtId="43" fontId="9" fillId="3" borderId="15" xfId="1" applyNumberFormat="1" applyFont="1" applyFill="1" applyBorder="1" applyAlignment="1">
      <alignment horizontal="center"/>
    </xf>
    <xf numFmtId="43" fontId="3" fillId="3" borderId="15" xfId="1" applyNumberFormat="1" applyFont="1" applyFill="1" applyBorder="1"/>
    <xf numFmtId="43" fontId="4" fillId="3" borderId="17" xfId="1" applyNumberFormat="1" applyFont="1" applyFill="1" applyBorder="1" applyAlignment="1">
      <alignment horizontal="center"/>
    </xf>
    <xf numFmtId="168" fontId="4" fillId="2" borderId="18" xfId="1" applyNumberFormat="1" applyFont="1" applyFill="1" applyBorder="1" applyAlignment="1" applyProtection="1">
      <alignment horizontal="center"/>
      <protection locked="0"/>
    </xf>
    <xf numFmtId="43" fontId="4" fillId="3" borderId="19" xfId="1" applyNumberFormat="1" applyFont="1" applyFill="1" applyBorder="1" applyAlignment="1">
      <alignment horizontal="center"/>
    </xf>
    <xf numFmtId="0" fontId="1" fillId="3" borderId="20" xfId="0" applyFont="1" applyFill="1" applyBorder="1" applyAlignment="1">
      <alignment horizontal="center"/>
    </xf>
    <xf numFmtId="0" fontId="1" fillId="3" borderId="0" xfId="0" applyFont="1" applyFill="1"/>
    <xf numFmtId="0" fontId="4" fillId="3" borderId="1" xfId="0" applyFont="1" applyFill="1" applyBorder="1" applyAlignment="1">
      <alignment horizontal="center"/>
    </xf>
    <xf numFmtId="43" fontId="4" fillId="0" borderId="0" xfId="1" applyNumberFormat="1" applyFont="1" applyFill="1" applyBorder="1" applyAlignment="1">
      <alignment horizontal="center"/>
    </xf>
    <xf numFmtId="39" fontId="4" fillId="3" borderId="6" xfId="1" applyNumberFormat="1" applyFont="1" applyFill="1" applyBorder="1" applyAlignment="1">
      <alignment horizontal="center"/>
    </xf>
    <xf numFmtId="0" fontId="4" fillId="3" borderId="5" xfId="0" applyFont="1" applyFill="1" applyBorder="1" applyAlignment="1">
      <alignment horizontal="center" wrapText="1"/>
    </xf>
    <xf numFmtId="43" fontId="4" fillId="3" borderId="21" xfId="1" applyNumberFormat="1" applyFont="1" applyFill="1" applyBorder="1" applyAlignment="1">
      <alignment horizontal="center"/>
    </xf>
    <xf numFmtId="43" fontId="3" fillId="3" borderId="6" xfId="1" applyNumberFormat="1" applyFont="1" applyFill="1" applyBorder="1" applyAlignment="1">
      <alignment horizontal="center"/>
    </xf>
    <xf numFmtId="43" fontId="4" fillId="3" borderId="22" xfId="1" applyNumberFormat="1" applyFont="1" applyFill="1" applyBorder="1" applyAlignment="1">
      <alignment horizontal="center" wrapText="1"/>
    </xf>
    <xf numFmtId="43" fontId="4" fillId="3" borderId="0" xfId="1" applyNumberFormat="1" applyFont="1" applyFill="1" applyBorder="1" applyAlignment="1">
      <alignment horizontal="center"/>
    </xf>
    <xf numFmtId="43" fontId="3" fillId="3" borderId="0" xfId="1" applyNumberFormat="1" applyFont="1" applyFill="1" applyBorder="1" applyAlignment="1">
      <alignment horizontal="center"/>
    </xf>
    <xf numFmtId="0" fontId="0" fillId="3" borderId="1" xfId="0" applyFill="1" applyBorder="1"/>
    <xf numFmtId="0" fontId="3" fillId="3" borderId="1" xfId="0" applyFont="1" applyFill="1" applyBorder="1"/>
    <xf numFmtId="0" fontId="3" fillId="3" borderId="5" xfId="0" applyFont="1" applyFill="1" applyBorder="1" applyAlignment="1">
      <alignment horizontal="center"/>
    </xf>
    <xf numFmtId="43" fontId="3" fillId="0" borderId="21" xfId="1" applyNumberFormat="1" applyFont="1" applyFill="1" applyBorder="1" applyAlignment="1">
      <alignment horizontal="center"/>
    </xf>
    <xf numFmtId="43" fontId="3" fillId="0" borderId="22" xfId="1" applyNumberFormat="1" applyFont="1" applyFill="1" applyBorder="1" applyAlignment="1">
      <alignment horizontal="center"/>
    </xf>
    <xf numFmtId="43" fontId="0" fillId="3" borderId="1" xfId="0" applyNumberFormat="1" applyFill="1" applyBorder="1"/>
    <xf numFmtId="0" fontId="3" fillId="3" borderId="8" xfId="0" applyFont="1" applyFill="1" applyBorder="1"/>
    <xf numFmtId="0" fontId="3" fillId="3" borderId="7" xfId="0" applyFont="1" applyFill="1" applyBorder="1" applyAlignment="1">
      <alignment horizontal="center"/>
    </xf>
    <xf numFmtId="43" fontId="3" fillId="3" borderId="23" xfId="1" applyNumberFormat="1" applyFont="1" applyFill="1" applyBorder="1" applyAlignment="1">
      <alignment horizontal="center"/>
    </xf>
    <xf numFmtId="43" fontId="3" fillId="3" borderId="24" xfId="1" applyNumberFormat="1" applyFont="1" applyFill="1" applyBorder="1" applyAlignment="1">
      <alignment horizontal="center"/>
    </xf>
    <xf numFmtId="43" fontId="3" fillId="3" borderId="6" xfId="1" applyNumberFormat="1" applyFont="1" applyFill="1" applyBorder="1"/>
    <xf numFmtId="0" fontId="4" fillId="5" borderId="8" xfId="0" applyFont="1" applyFill="1" applyBorder="1"/>
    <xf numFmtId="0" fontId="3" fillId="5" borderId="7" xfId="0" applyFont="1" applyFill="1" applyBorder="1" applyAlignment="1">
      <alignment horizontal="center"/>
    </xf>
    <xf numFmtId="43" fontId="3" fillId="5" borderId="23" xfId="1" applyNumberFormat="1" applyFont="1" applyFill="1" applyBorder="1" applyAlignment="1">
      <alignment horizontal="center"/>
    </xf>
    <xf numFmtId="43" fontId="3" fillId="5" borderId="24" xfId="1" applyNumberFormat="1" applyFont="1" applyFill="1" applyBorder="1" applyAlignment="1">
      <alignment horizontal="center"/>
    </xf>
    <xf numFmtId="43" fontId="3" fillId="5" borderId="25" xfId="1" applyNumberFormat="1" applyFont="1" applyFill="1" applyBorder="1" applyAlignment="1">
      <alignment horizontal="center"/>
    </xf>
    <xf numFmtId="43" fontId="3" fillId="5" borderId="10" xfId="1" applyNumberFormat="1" applyFont="1" applyFill="1" applyBorder="1"/>
    <xf numFmtId="43" fontId="3" fillId="5" borderId="9" xfId="1" applyNumberFormat="1" applyFont="1" applyFill="1" applyBorder="1" applyAlignment="1">
      <alignment horizontal="center"/>
    </xf>
    <xf numFmtId="0" fontId="3" fillId="3" borderId="1" xfId="0" quotePrefix="1" applyFont="1" applyFill="1" applyBorder="1" applyAlignment="1">
      <alignment horizontal="left"/>
    </xf>
    <xf numFmtId="0" fontId="3" fillId="0" borderId="5" xfId="0" quotePrefix="1" applyFont="1" applyBorder="1" applyAlignment="1">
      <alignment horizontal="center"/>
    </xf>
    <xf numFmtId="43" fontId="3" fillId="3" borderId="21" xfId="1" applyNumberFormat="1" applyFont="1" applyFill="1" applyBorder="1" applyAlignment="1">
      <alignment horizontal="center"/>
    </xf>
    <xf numFmtId="43" fontId="3" fillId="3" borderId="22" xfId="1" applyNumberFormat="1" applyFont="1" applyFill="1" applyBorder="1" applyAlignment="1">
      <alignment horizontal="center"/>
    </xf>
    <xf numFmtId="0" fontId="3" fillId="3" borderId="5" xfId="0" quotePrefix="1" applyFont="1" applyFill="1" applyBorder="1" applyAlignment="1">
      <alignment horizontal="center"/>
    </xf>
    <xf numFmtId="43" fontId="3" fillId="3" borderId="21" xfId="0" quotePrefix="1" applyNumberFormat="1" applyFont="1" applyFill="1" applyBorder="1" applyAlignment="1">
      <alignment horizontal="right"/>
    </xf>
    <xf numFmtId="43" fontId="3" fillId="3" borderId="22" xfId="0" quotePrefix="1" applyNumberFormat="1" applyFont="1" applyFill="1" applyBorder="1" applyAlignment="1">
      <alignment horizontal="right"/>
    </xf>
    <xf numFmtId="0" fontId="7" fillId="3" borderId="1" xfId="0" applyFont="1" applyFill="1" applyBorder="1" applyAlignment="1">
      <alignment horizontal="left"/>
    </xf>
    <xf numFmtId="43" fontId="3" fillId="3" borderId="21" xfId="0" quotePrefix="1" applyNumberFormat="1" applyFont="1" applyFill="1" applyBorder="1" applyAlignment="1">
      <alignment horizontal="center"/>
    </xf>
    <xf numFmtId="43" fontId="3" fillId="3" borderId="22" xfId="0" quotePrefix="1" applyNumberFormat="1" applyFont="1" applyFill="1" applyBorder="1" applyAlignment="1">
      <alignment horizontal="center"/>
    </xf>
    <xf numFmtId="43" fontId="3" fillId="3" borderId="0" xfId="0" quotePrefix="1" applyNumberFormat="1" applyFont="1" applyFill="1" applyBorder="1" applyAlignment="1">
      <alignment horizontal="center"/>
    </xf>
    <xf numFmtId="43" fontId="3" fillId="3" borderId="5" xfId="0" quotePrefix="1" applyNumberFormat="1" applyFont="1" applyFill="1" applyBorder="1" applyAlignment="1">
      <alignment horizontal="center"/>
    </xf>
    <xf numFmtId="0" fontId="3" fillId="3" borderId="1" xfId="0" applyFont="1" applyFill="1" applyBorder="1" applyAlignment="1">
      <alignment horizontal="left"/>
    </xf>
    <xf numFmtId="43" fontId="4" fillId="3" borderId="6" xfId="1" applyNumberFormat="1" applyFont="1" applyFill="1" applyBorder="1"/>
    <xf numFmtId="0" fontId="4" fillId="5" borderId="3" xfId="0" applyFont="1" applyFill="1" applyBorder="1" applyAlignment="1">
      <alignment horizontal="left"/>
    </xf>
    <xf numFmtId="0" fontId="3" fillId="5" borderId="2" xfId="0" quotePrefix="1" applyFont="1" applyFill="1" applyBorder="1" applyAlignment="1">
      <alignment horizontal="center"/>
    </xf>
    <xf numFmtId="43" fontId="4" fillId="5" borderId="26" xfId="1" applyNumberFormat="1" applyFont="1" applyFill="1" applyBorder="1" applyAlignment="1">
      <alignment horizontal="center"/>
    </xf>
    <xf numFmtId="43" fontId="4" fillId="5" borderId="27" xfId="1" applyNumberFormat="1" applyFont="1" applyFill="1" applyBorder="1" applyAlignment="1">
      <alignment horizontal="center"/>
    </xf>
    <xf numFmtId="0" fontId="4" fillId="4" borderId="8" xfId="0" applyFont="1" applyFill="1" applyBorder="1"/>
    <xf numFmtId="0" fontId="3" fillId="4" borderId="7" xfId="0" applyFont="1" applyFill="1" applyBorder="1" applyAlignment="1">
      <alignment horizontal="center"/>
    </xf>
    <xf numFmtId="43" fontId="3" fillId="4" borderId="23" xfId="1" applyNumberFormat="1" applyFont="1" applyFill="1" applyBorder="1" applyAlignment="1">
      <alignment horizontal="center"/>
    </xf>
    <xf numFmtId="43" fontId="3" fillId="4" borderId="24" xfId="1" applyNumberFormat="1" applyFont="1" applyFill="1" applyBorder="1" applyAlignment="1">
      <alignment horizontal="center"/>
    </xf>
    <xf numFmtId="43" fontId="3" fillId="4" borderId="15" xfId="1" applyNumberFormat="1" applyFont="1" applyFill="1" applyBorder="1" applyAlignment="1">
      <alignment horizontal="center"/>
    </xf>
    <xf numFmtId="43" fontId="3" fillId="4" borderId="28" xfId="1" applyNumberFormat="1" applyFont="1" applyFill="1" applyBorder="1" applyAlignment="1">
      <alignment horizontal="center"/>
    </xf>
    <xf numFmtId="43" fontId="3" fillId="4" borderId="7" xfId="1" applyNumberFormat="1" applyFont="1" applyFill="1" applyBorder="1" applyAlignment="1">
      <alignment horizontal="center"/>
    </xf>
    <xf numFmtId="0" fontId="4" fillId="3" borderId="1" xfId="0" applyFont="1" applyFill="1" applyBorder="1"/>
    <xf numFmtId="0" fontId="3" fillId="0" borderId="5" xfId="0" applyFont="1" applyFill="1" applyBorder="1" applyAlignment="1">
      <alignment horizontal="center"/>
    </xf>
    <xf numFmtId="0" fontId="8" fillId="3" borderId="1" xfId="0" applyFont="1" applyFill="1" applyBorder="1" applyAlignment="1">
      <alignment horizontal="left"/>
    </xf>
    <xf numFmtId="43" fontId="3" fillId="3" borderId="0" xfId="0" quotePrefix="1" applyNumberFormat="1" applyFont="1" applyFill="1" applyBorder="1" applyAlignment="1">
      <alignment horizontal="right"/>
    </xf>
    <xf numFmtId="43" fontId="3" fillId="3" borderId="5" xfId="0" quotePrefix="1" applyNumberFormat="1" applyFont="1" applyFill="1" applyBorder="1" applyAlignment="1">
      <alignment horizontal="right"/>
    </xf>
    <xf numFmtId="43" fontId="3" fillId="3" borderId="21" xfId="1" quotePrefix="1" applyNumberFormat="1" applyFont="1" applyFill="1" applyBorder="1" applyAlignment="1">
      <alignment horizontal="center"/>
    </xf>
    <xf numFmtId="43" fontId="3" fillId="3" borderId="22" xfId="1" quotePrefix="1" applyNumberFormat="1" applyFont="1" applyFill="1" applyBorder="1" applyAlignment="1">
      <alignment horizontal="center"/>
    </xf>
    <xf numFmtId="43" fontId="3" fillId="3" borderId="0" xfId="1" quotePrefix="1" applyNumberFormat="1" applyFont="1" applyFill="1" applyBorder="1" applyAlignment="1">
      <alignment horizontal="center"/>
    </xf>
    <xf numFmtId="43" fontId="3" fillId="3" borderId="5" xfId="1" quotePrefix="1" applyNumberFormat="1" applyFont="1" applyFill="1" applyBorder="1" applyAlignment="1">
      <alignment horizontal="center"/>
    </xf>
    <xf numFmtId="0" fontId="4" fillId="4" borderId="3" xfId="0" applyFont="1" applyFill="1" applyBorder="1"/>
    <xf numFmtId="0" fontId="3" fillId="4" borderId="2" xfId="0" applyFont="1" applyFill="1" applyBorder="1" applyAlignment="1">
      <alignment horizontal="center"/>
    </xf>
    <xf numFmtId="43" fontId="4" fillId="4" borderId="26" xfId="1" applyNumberFormat="1" applyFont="1" applyFill="1" applyBorder="1" applyAlignment="1">
      <alignment horizontal="center"/>
    </xf>
    <xf numFmtId="43" fontId="4" fillId="4" borderId="27" xfId="1" applyNumberFormat="1" applyFont="1" applyFill="1" applyBorder="1" applyAlignment="1">
      <alignment horizontal="center"/>
    </xf>
    <xf numFmtId="0" fontId="2" fillId="3" borderId="12" xfId="0" applyFont="1" applyFill="1" applyBorder="1"/>
    <xf numFmtId="0" fontId="3" fillId="0" borderId="11" xfId="0" applyFont="1" applyBorder="1" applyAlignment="1">
      <alignment horizontal="center"/>
    </xf>
    <xf numFmtId="43" fontId="4" fillId="0" borderId="29" xfId="1" applyNumberFormat="1" applyFont="1" applyFill="1" applyBorder="1" applyAlignment="1">
      <alignment horizontal="right"/>
    </xf>
    <xf numFmtId="43" fontId="4" fillId="0" borderId="30" xfId="1" applyNumberFormat="1" applyFont="1" applyFill="1" applyBorder="1" applyAlignment="1">
      <alignment horizontal="right"/>
    </xf>
    <xf numFmtId="43" fontId="0" fillId="3" borderId="8" xfId="0" applyNumberFormat="1" applyFill="1" applyBorder="1"/>
    <xf numFmtId="0" fontId="3" fillId="3" borderId="13" xfId="0" applyFont="1" applyFill="1" applyBorder="1"/>
    <xf numFmtId="0" fontId="3" fillId="3" borderId="0" xfId="0" applyFont="1" applyFill="1" applyAlignment="1">
      <alignment horizontal="center"/>
    </xf>
    <xf numFmtId="43" fontId="4" fillId="3" borderId="0" xfId="1" applyNumberFormat="1" applyFont="1" applyFill="1" applyAlignment="1">
      <alignment horizontal="center"/>
    </xf>
    <xf numFmtId="43" fontId="3" fillId="3" borderId="0" xfId="1" applyNumberFormat="1" applyFont="1" applyFill="1" applyBorder="1"/>
    <xf numFmtId="0" fontId="3" fillId="3" borderId="13" xfId="0" applyFont="1" applyFill="1" applyBorder="1" applyAlignment="1">
      <alignment vertical="top" wrapText="1"/>
    </xf>
    <xf numFmtId="0" fontId="4" fillId="3" borderId="0" xfId="0" applyFont="1" applyFill="1" applyBorder="1" applyAlignment="1">
      <alignment horizontal="right" vertical="top"/>
    </xf>
    <xf numFmtId="0" fontId="3" fillId="3" borderId="0" xfId="0" applyFont="1" applyFill="1" applyBorder="1" applyAlignment="1">
      <alignment vertical="top" wrapText="1"/>
    </xf>
    <xf numFmtId="0" fontId="3" fillId="3" borderId="0" xfId="0" applyFont="1" applyFill="1" applyBorder="1" applyAlignment="1">
      <alignment horizontal="right"/>
    </xf>
    <xf numFmtId="0" fontId="3" fillId="3" borderId="0" xfId="0" applyFont="1" applyFill="1" applyAlignment="1">
      <alignment vertical="top" wrapText="1"/>
    </xf>
    <xf numFmtId="43" fontId="4" fillId="3" borderId="0" xfId="1" applyNumberFormat="1" applyFont="1" applyFill="1" applyAlignment="1">
      <alignment horizontal="right"/>
    </xf>
    <xf numFmtId="43" fontId="3" fillId="3" borderId="0" xfId="1" applyNumberFormat="1" applyFont="1" applyFill="1" applyBorder="1" applyAlignment="1">
      <alignment horizontal="right"/>
    </xf>
    <xf numFmtId="0" fontId="3" fillId="3" borderId="0" xfId="0" applyFont="1" applyFill="1" applyAlignment="1">
      <alignment horizontal="right"/>
    </xf>
    <xf numFmtId="0" fontId="4" fillId="3" borderId="0" xfId="0" applyFont="1" applyFill="1" applyAlignment="1">
      <alignment horizontal="right"/>
    </xf>
    <xf numFmtId="0" fontId="4" fillId="3" borderId="0" xfId="0" applyFont="1" applyFill="1" applyAlignment="1">
      <alignment horizontal="right" vertical="top"/>
    </xf>
    <xf numFmtId="0" fontId="3" fillId="3" borderId="0" xfId="0" applyFont="1" applyFill="1" applyAlignment="1">
      <alignment horizontal="left" vertical="top"/>
    </xf>
    <xf numFmtId="0" fontId="3" fillId="3" borderId="0" xfId="0" applyFont="1" applyFill="1"/>
    <xf numFmtId="0" fontId="3" fillId="0" borderId="0" xfId="0" applyFont="1"/>
    <xf numFmtId="0" fontId="3" fillId="0" borderId="0" xfId="0" applyFont="1" applyAlignment="1">
      <alignment horizontal="center"/>
    </xf>
    <xf numFmtId="43" fontId="4" fillId="0" borderId="0" xfId="1" applyNumberFormat="1" applyFont="1" applyAlignment="1">
      <alignment horizontal="center"/>
    </xf>
    <xf numFmtId="40" fontId="3" fillId="2" borderId="1" xfId="2" applyNumberFormat="1" applyFont="1" applyFill="1" applyBorder="1" applyAlignment="1" applyProtection="1">
      <alignment horizontal="right"/>
      <protection locked="0"/>
    </xf>
    <xf numFmtId="0" fontId="17" fillId="0" borderId="0" xfId="4" applyNumberFormat="1" applyFont="1" applyAlignment="1"/>
    <xf numFmtId="0" fontId="16" fillId="2" borderId="31" xfId="4" applyNumberFormat="1" applyFont="1" applyFill="1" applyBorder="1" applyAlignment="1">
      <alignment horizontal="center" wrapText="1"/>
    </xf>
    <xf numFmtId="0" fontId="16" fillId="0" borderId="0" xfId="4" applyNumberFormat="1" applyFont="1" applyAlignment="1">
      <alignment horizontal="center" wrapText="1"/>
    </xf>
    <xf numFmtId="0" fontId="16" fillId="0" borderId="15" xfId="4" applyNumberFormat="1" applyFont="1" applyBorder="1" applyAlignment="1">
      <alignment horizontal="center" wrapText="1"/>
    </xf>
    <xf numFmtId="0" fontId="17" fillId="0" borderId="0" xfId="4" applyNumberFormat="1" applyFont="1" applyAlignment="1">
      <alignment horizontal="center"/>
    </xf>
    <xf numFmtId="4" fontId="10" fillId="2" borderId="0" xfId="0" applyNumberFormat="1" applyFont="1" applyFill="1" applyBorder="1" applyAlignment="1" applyProtection="1">
      <alignment horizontal="left"/>
      <protection locked="0"/>
    </xf>
    <xf numFmtId="9" fontId="4" fillId="3" borderId="0" xfId="6" applyFont="1" applyFill="1" applyBorder="1" applyProtection="1"/>
    <xf numFmtId="43" fontId="3" fillId="3" borderId="5" xfId="1" applyNumberFormat="1" applyFont="1" applyFill="1" applyBorder="1" applyAlignment="1" applyProtection="1"/>
    <xf numFmtId="43" fontId="4" fillId="5" borderId="2" xfId="1" applyNumberFormat="1" applyFont="1" applyFill="1" applyBorder="1" applyAlignment="1" applyProtection="1"/>
    <xf numFmtId="43" fontId="3" fillId="4" borderId="32" xfId="1" applyNumberFormat="1" applyFont="1" applyFill="1" applyBorder="1" applyAlignment="1" applyProtection="1"/>
    <xf numFmtId="43" fontId="4" fillId="4" borderId="2" xfId="1" applyNumberFormat="1" applyFont="1" applyFill="1" applyBorder="1" applyAlignment="1" applyProtection="1"/>
    <xf numFmtId="43" fontId="4" fillId="0" borderId="11" xfId="1" applyNumberFormat="1" applyFont="1" applyFill="1" applyBorder="1" applyAlignment="1" applyProtection="1"/>
    <xf numFmtId="43" fontId="3" fillId="3" borderId="1" xfId="1" applyNumberFormat="1" applyFont="1" applyFill="1" applyBorder="1" applyProtection="1"/>
    <xf numFmtId="43" fontId="4" fillId="3" borderId="1" xfId="1" applyNumberFormat="1" applyFont="1" applyFill="1" applyBorder="1" applyProtection="1"/>
    <xf numFmtId="43" fontId="4" fillId="3" borderId="3" xfId="1" applyNumberFormat="1" applyFont="1" applyFill="1" applyBorder="1" applyAlignment="1" applyProtection="1">
      <alignment horizontal="center"/>
    </xf>
    <xf numFmtId="43" fontId="3" fillId="5" borderId="31" xfId="1" applyNumberFormat="1" applyFont="1" applyFill="1" applyBorder="1" applyProtection="1"/>
    <xf numFmtId="43" fontId="3" fillId="4" borderId="33" xfId="1" applyNumberFormat="1" applyFont="1" applyFill="1" applyBorder="1" applyAlignment="1" applyProtection="1"/>
    <xf numFmtId="43" fontId="4" fillId="0" borderId="12" xfId="1" applyNumberFormat="1" applyFont="1" applyFill="1" applyBorder="1" applyAlignment="1" applyProtection="1"/>
    <xf numFmtId="0" fontId="4" fillId="6" borderId="34" xfId="0" applyFont="1" applyFill="1" applyBorder="1" applyProtection="1"/>
    <xf numFmtId="0" fontId="3" fillId="6" borderId="4" xfId="0" applyFont="1" applyFill="1" applyBorder="1" applyAlignment="1" applyProtection="1">
      <alignment horizontal="center"/>
    </xf>
    <xf numFmtId="10" fontId="3" fillId="6" borderId="4" xfId="6" applyNumberFormat="1" applyFont="1" applyFill="1" applyBorder="1" applyAlignment="1" applyProtection="1">
      <alignment horizontal="center"/>
    </xf>
    <xf numFmtId="0" fontId="4" fillId="6" borderId="4" xfId="0" applyFont="1" applyFill="1" applyBorder="1" applyAlignment="1" applyProtection="1">
      <alignment horizontal="center"/>
    </xf>
    <xf numFmtId="43" fontId="4" fillId="6" borderId="4" xfId="1" applyNumberFormat="1" applyFont="1" applyFill="1" applyBorder="1" applyAlignment="1" applyProtection="1">
      <alignment horizontal="center"/>
    </xf>
    <xf numFmtId="43" fontId="4" fillId="6" borderId="11" xfId="1" applyNumberFormat="1" applyFont="1" applyFill="1" applyBorder="1" applyAlignment="1" applyProtection="1"/>
    <xf numFmtId="165" fontId="4" fillId="3" borderId="6" xfId="6" applyNumberFormat="1" applyFont="1" applyFill="1" applyBorder="1" applyAlignment="1">
      <alignment horizontal="center"/>
    </xf>
    <xf numFmtId="165" fontId="1" fillId="3" borderId="1" xfId="6" applyNumberFormat="1" applyFont="1" applyFill="1" applyBorder="1" applyAlignment="1">
      <alignment horizontal="center"/>
    </xf>
    <xf numFmtId="165" fontId="1" fillId="3" borderId="4" xfId="6" applyNumberFormat="1" applyFont="1" applyFill="1" applyBorder="1" applyAlignment="1">
      <alignment horizontal="center"/>
    </xf>
    <xf numFmtId="49" fontId="4" fillId="3" borderId="14" xfId="1" quotePrefix="1" applyNumberFormat="1" applyFont="1" applyFill="1" applyBorder="1" applyAlignment="1">
      <alignment horizontal="center"/>
    </xf>
    <xf numFmtId="165" fontId="4" fillId="3" borderId="35" xfId="6" applyNumberFormat="1" applyFont="1" applyFill="1" applyBorder="1" applyAlignment="1">
      <alignment horizontal="center"/>
    </xf>
    <xf numFmtId="0" fontId="19" fillId="3" borderId="0" xfId="4" applyNumberFormat="1" applyFont="1" applyFill="1" applyAlignment="1">
      <alignment horizontal="left"/>
    </xf>
    <xf numFmtId="0" fontId="16" fillId="3" borderId="0" xfId="4" applyNumberFormat="1" applyFont="1" applyFill="1" applyAlignment="1"/>
    <xf numFmtId="0" fontId="10" fillId="3" borderId="0" xfId="4" applyNumberFormat="1" applyFont="1" applyFill="1" applyBorder="1" applyAlignment="1">
      <alignment horizontal="center"/>
    </xf>
    <xf numFmtId="0" fontId="10" fillId="3" borderId="0" xfId="4" applyNumberFormat="1" applyFont="1" applyFill="1" applyBorder="1" applyAlignment="1">
      <alignment horizontal="right"/>
    </xf>
    <xf numFmtId="0" fontId="18" fillId="3" borderId="0" xfId="4" applyNumberFormat="1" applyFont="1" applyFill="1" applyBorder="1" applyAlignment="1">
      <alignment horizontal="left"/>
    </xf>
    <xf numFmtId="0" fontId="17" fillId="3" borderId="0" xfId="4" applyNumberFormat="1" applyFont="1" applyFill="1" applyAlignment="1"/>
    <xf numFmtId="0" fontId="18" fillId="3" borderId="0" xfId="4" applyNumberFormat="1" applyFont="1" applyFill="1" applyBorder="1" applyAlignment="1">
      <alignment horizontal="center"/>
    </xf>
    <xf numFmtId="0" fontId="17" fillId="3" borderId="0" xfId="4" applyNumberFormat="1" applyFont="1" applyFill="1" applyBorder="1" applyAlignment="1"/>
    <xf numFmtId="0" fontId="18" fillId="3" borderId="6" xfId="4" applyNumberFormat="1" applyFont="1" applyFill="1" applyBorder="1" applyAlignment="1">
      <alignment horizontal="center"/>
    </xf>
    <xf numFmtId="0" fontId="18" fillId="3" borderId="1" xfId="4" applyNumberFormat="1" applyFont="1" applyFill="1" applyBorder="1" applyAlignment="1">
      <alignment horizontal="center"/>
    </xf>
    <xf numFmtId="169" fontId="18" fillId="3" borderId="1" xfId="3" applyNumberFormat="1" applyFont="1" applyFill="1" applyBorder="1" applyAlignment="1">
      <alignment horizontal="center"/>
    </xf>
    <xf numFmtId="0" fontId="10" fillId="3" borderId="5" xfId="4" applyNumberFormat="1" applyFont="1" applyFill="1" applyBorder="1" applyAlignment="1"/>
    <xf numFmtId="0" fontId="17" fillId="3" borderId="5" xfId="4" applyNumberFormat="1" applyFont="1" applyFill="1" applyBorder="1" applyAlignment="1">
      <alignment horizontal="left"/>
    </xf>
    <xf numFmtId="0" fontId="17" fillId="3" borderId="0" xfId="4" applyNumberFormat="1" applyFont="1" applyFill="1" applyBorder="1" applyAlignment="1">
      <alignment horizontal="left"/>
    </xf>
    <xf numFmtId="3" fontId="18" fillId="3" borderId="1" xfId="4" applyNumberFormat="1" applyFont="1" applyFill="1" applyBorder="1" applyAlignment="1">
      <alignment horizontal="center"/>
    </xf>
    <xf numFmtId="0" fontId="17" fillId="3" borderId="5" xfId="4" applyNumberFormat="1" applyFont="1" applyFill="1" applyBorder="1" applyAlignment="1"/>
    <xf numFmtId="0" fontId="17" fillId="3" borderId="7" xfId="4" applyNumberFormat="1" applyFont="1" applyFill="1" applyBorder="1" applyAlignment="1"/>
    <xf numFmtId="0" fontId="18" fillId="3" borderId="8" xfId="4" applyNumberFormat="1" applyFont="1" applyFill="1" applyBorder="1" applyAlignment="1">
      <alignment horizontal="center"/>
    </xf>
    <xf numFmtId="0" fontId="10" fillId="3" borderId="1" xfId="4" applyNumberFormat="1" applyFont="1" applyFill="1" applyBorder="1" applyAlignment="1">
      <alignment horizontal="center"/>
    </xf>
    <xf numFmtId="0" fontId="10" fillId="3" borderId="6" xfId="4" applyNumberFormat="1" applyFont="1" applyFill="1" applyBorder="1" applyAlignment="1">
      <alignment horizontal="center"/>
    </xf>
    <xf numFmtId="0" fontId="18" fillId="3" borderId="1" xfId="4" quotePrefix="1" applyNumberFormat="1" applyFont="1" applyFill="1" applyBorder="1" applyAlignment="1">
      <alignment horizontal="center"/>
    </xf>
    <xf numFmtId="49" fontId="18" fillId="3" borderId="1" xfId="4" quotePrefix="1" applyNumberFormat="1" applyFont="1" applyFill="1" applyBorder="1" applyAlignment="1">
      <alignment horizontal="center"/>
    </xf>
    <xf numFmtId="0" fontId="17" fillId="3" borderId="0" xfId="4" applyNumberFormat="1" applyFont="1" applyFill="1" applyBorder="1" applyAlignment="1">
      <alignment vertical="top" wrapText="1"/>
    </xf>
    <xf numFmtId="0" fontId="18" fillId="3" borderId="1" xfId="4" applyNumberFormat="1" applyFont="1" applyFill="1" applyBorder="1" applyAlignment="1">
      <alignment horizontal="center" vertical="top" wrapText="1"/>
    </xf>
    <xf numFmtId="0" fontId="18" fillId="3" borderId="6" xfId="4" applyNumberFormat="1" applyFont="1" applyFill="1" applyBorder="1" applyAlignment="1">
      <alignment horizontal="center" vertical="top" wrapText="1"/>
    </xf>
    <xf numFmtId="0" fontId="17" fillId="3" borderId="15" xfId="4" applyNumberFormat="1" applyFont="1" applyFill="1" applyBorder="1" applyAlignment="1"/>
    <xf numFmtId="8" fontId="18" fillId="3" borderId="8" xfId="4" applyNumberFormat="1" applyFont="1" applyFill="1" applyBorder="1" applyAlignment="1">
      <alignment horizontal="center"/>
    </xf>
    <xf numFmtId="0" fontId="2" fillId="4" borderId="5" xfId="4" applyNumberFormat="1" applyFont="1" applyFill="1" applyBorder="1" applyAlignment="1"/>
    <xf numFmtId="0" fontId="17" fillId="4" borderId="0" xfId="4" applyNumberFormat="1" applyFont="1" applyFill="1" applyBorder="1" applyAlignment="1"/>
    <xf numFmtId="9" fontId="18" fillId="4" borderId="20" xfId="4" applyNumberFormat="1" applyFont="1" applyFill="1" applyBorder="1" applyAlignment="1">
      <alignment horizontal="center"/>
    </xf>
    <xf numFmtId="0" fontId="18" fillId="4" borderId="20" xfId="4" applyNumberFormat="1" applyFont="1" applyFill="1" applyBorder="1" applyAlignment="1">
      <alignment horizontal="center"/>
    </xf>
    <xf numFmtId="0" fontId="18" fillId="4" borderId="6" xfId="4" applyNumberFormat="1" applyFont="1" applyFill="1" applyBorder="1" applyAlignment="1">
      <alignment horizontal="center"/>
    </xf>
    <xf numFmtId="0" fontId="2" fillId="5" borderId="5" xfId="4" applyNumberFormat="1" applyFont="1" applyFill="1" applyBorder="1" applyAlignment="1"/>
    <xf numFmtId="0" fontId="17" fillId="5" borderId="0" xfId="4" applyNumberFormat="1" applyFont="1" applyFill="1" applyBorder="1" applyAlignment="1"/>
    <xf numFmtId="43" fontId="3" fillId="3" borderId="6" xfId="1" applyNumberFormat="1" applyFont="1" applyFill="1" applyBorder="1" applyAlignment="1" applyProtection="1">
      <alignment horizontal="right"/>
    </xf>
    <xf numFmtId="43" fontId="3" fillId="4" borderId="1" xfId="5" applyNumberFormat="1" applyFont="1" applyFill="1" applyBorder="1" applyProtection="1"/>
    <xf numFmtId="43" fontId="3" fillId="4" borderId="8" xfId="5" applyNumberFormat="1" applyFont="1" applyFill="1" applyBorder="1" applyProtection="1"/>
    <xf numFmtId="43" fontId="3" fillId="0" borderId="1" xfId="1" quotePrefix="1" applyNumberFormat="1" applyFont="1" applyFill="1" applyBorder="1" applyAlignment="1" applyProtection="1">
      <alignment horizontal="left"/>
    </xf>
    <xf numFmtId="37" fontId="3" fillId="0" borderId="1" xfId="0" applyNumberFormat="1" applyFont="1" applyFill="1" applyBorder="1" applyAlignment="1">
      <alignment horizontal="right"/>
    </xf>
    <xf numFmtId="37" fontId="3" fillId="3" borderId="1" xfId="0" applyNumberFormat="1" applyFont="1" applyFill="1" applyBorder="1" applyAlignment="1">
      <alignment horizontal="right"/>
    </xf>
    <xf numFmtId="37" fontId="3" fillId="3" borderId="1" xfId="0" quotePrefix="1" applyNumberFormat="1" applyFont="1" applyFill="1" applyBorder="1" applyAlignment="1">
      <alignment horizontal="right"/>
    </xf>
    <xf numFmtId="37" fontId="3" fillId="3" borderId="1" xfId="0" quotePrefix="1" applyNumberFormat="1" applyFont="1" applyFill="1" applyBorder="1" applyAlignment="1" applyProtection="1">
      <alignment horizontal="right"/>
    </xf>
    <xf numFmtId="37" fontId="3" fillId="3" borderId="1" xfId="0" applyNumberFormat="1" applyFont="1" applyFill="1" applyBorder="1" applyAlignment="1" applyProtection="1">
      <alignment horizontal="right"/>
    </xf>
    <xf numFmtId="37" fontId="3" fillId="0" borderId="1" xfId="0" quotePrefix="1" applyNumberFormat="1" applyFont="1" applyBorder="1" applyAlignment="1" applyProtection="1">
      <alignment horizontal="right"/>
    </xf>
    <xf numFmtId="37" fontId="3" fillId="0" borderId="1" xfId="0" quotePrefix="1" applyNumberFormat="1" applyFont="1" applyBorder="1" applyAlignment="1">
      <alignment horizontal="right"/>
    </xf>
    <xf numFmtId="10" fontId="17" fillId="3" borderId="1" xfId="6" applyNumberFormat="1" applyFont="1" applyFill="1" applyBorder="1" applyAlignment="1">
      <alignment horizontal="center"/>
    </xf>
    <xf numFmtId="0" fontId="18" fillId="5" borderId="20" xfId="4" applyNumberFormat="1" applyFont="1" applyFill="1" applyBorder="1" applyAlignment="1">
      <alignment horizontal="center"/>
    </xf>
    <xf numFmtId="14" fontId="10" fillId="2" borderId="0" xfId="0" applyNumberFormat="1" applyFont="1" applyFill="1" applyBorder="1" applyAlignment="1" applyProtection="1">
      <alignment horizontal="left"/>
      <protection locked="0"/>
    </xf>
    <xf numFmtId="14" fontId="3" fillId="3" borderId="0" xfId="0" applyNumberFormat="1" applyFont="1" applyFill="1" applyAlignment="1" applyProtection="1">
      <alignment horizontal="left"/>
    </xf>
    <xf numFmtId="10" fontId="10" fillId="0" borderId="0" xfId="6" applyNumberFormat="1" applyFont="1" applyFill="1" applyBorder="1" applyAlignment="1" applyProtection="1">
      <alignment horizontal="left"/>
    </xf>
    <xf numFmtId="8" fontId="3" fillId="3" borderId="0" xfId="2" applyFont="1" applyFill="1" applyAlignment="1" applyProtection="1">
      <alignment horizontal="center"/>
    </xf>
    <xf numFmtId="4" fontId="3" fillId="4" borderId="1" xfId="0" applyNumberFormat="1" applyFont="1" applyFill="1" applyBorder="1" applyProtection="1"/>
    <xf numFmtId="4" fontId="3" fillId="4" borderId="8" xfId="0" applyNumberFormat="1" applyFont="1" applyFill="1" applyBorder="1" applyProtection="1"/>
    <xf numFmtId="165" fontId="4" fillId="5" borderId="3" xfId="6" applyNumberFormat="1" applyFont="1" applyFill="1" applyBorder="1" applyAlignment="1" applyProtection="1">
      <alignment horizontal="right"/>
    </xf>
    <xf numFmtId="165" fontId="4" fillId="4" borderId="3" xfId="6" applyNumberFormat="1" applyFont="1" applyFill="1" applyBorder="1" applyAlignment="1" applyProtection="1">
      <alignment horizontal="right"/>
    </xf>
    <xf numFmtId="165" fontId="4" fillId="0" borderId="3" xfId="6" applyNumberFormat="1" applyFont="1" applyFill="1" applyBorder="1" applyAlignment="1" applyProtection="1">
      <alignment horizontal="right"/>
    </xf>
    <xf numFmtId="40" fontId="3" fillId="3" borderId="0" xfId="0" applyNumberFormat="1" applyFont="1" applyFill="1" applyBorder="1" applyProtection="1"/>
    <xf numFmtId="43" fontId="3" fillId="3" borderId="0" xfId="1" applyNumberFormat="1" applyFont="1" applyFill="1" applyBorder="1" applyAlignment="1" applyProtection="1">
      <alignment horizontal="right"/>
    </xf>
    <xf numFmtId="43" fontId="4" fillId="0" borderId="3" xfId="1"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right"/>
    </xf>
    <xf numFmtId="40" fontId="3" fillId="0" borderId="1" xfId="2" applyNumberFormat="1" applyFont="1" applyFill="1" applyBorder="1" applyAlignment="1" applyProtection="1">
      <alignment horizontal="right"/>
      <protection locked="0"/>
    </xf>
    <xf numFmtId="40" fontId="3" fillId="7" borderId="1" xfId="2" applyNumberFormat="1" applyFont="1" applyFill="1" applyBorder="1" applyAlignment="1" applyProtection="1">
      <alignment horizontal="right"/>
      <protection locked="0"/>
    </xf>
    <xf numFmtId="10" fontId="10" fillId="3" borderId="1" xfId="6" applyNumberFormat="1" applyFont="1" applyFill="1" applyBorder="1" applyAlignment="1">
      <alignment horizontal="center"/>
    </xf>
    <xf numFmtId="0" fontId="10" fillId="3" borderId="0" xfId="4" applyNumberFormat="1" applyFont="1" applyFill="1" applyBorder="1" applyAlignment="1"/>
    <xf numFmtId="43" fontId="3" fillId="7" borderId="1" xfId="1" quotePrefix="1" applyNumberFormat="1" applyFont="1" applyFill="1" applyBorder="1" applyAlignment="1" applyProtection="1">
      <alignment horizontal="center"/>
    </xf>
    <xf numFmtId="43" fontId="4" fillId="3" borderId="0" xfId="1" applyNumberFormat="1" applyFont="1" applyFill="1" applyBorder="1" applyAlignment="1" applyProtection="1">
      <alignment horizontal="right"/>
    </xf>
    <xf numFmtId="43" fontId="4" fillId="3" borderId="0" xfId="1" applyNumberFormat="1" applyFont="1" applyFill="1" applyBorder="1" applyAlignment="1" applyProtection="1">
      <alignment horizontal="left"/>
    </xf>
    <xf numFmtId="10" fontId="10" fillId="7" borderId="1" xfId="6" applyNumberFormat="1" applyFont="1" applyFill="1" applyBorder="1" applyAlignment="1">
      <alignment horizontal="center"/>
    </xf>
    <xf numFmtId="37" fontId="10" fillId="7" borderId="1" xfId="4" applyNumberFormat="1" applyFont="1" applyFill="1" applyBorder="1" applyAlignment="1">
      <alignment horizontal="center"/>
    </xf>
    <xf numFmtId="0" fontId="10" fillId="0" borderId="0" xfId="0" applyFont="1"/>
    <xf numFmtId="10" fontId="3" fillId="3" borderId="0" xfId="6" applyNumberFormat="1" applyFont="1" applyFill="1" applyBorder="1" applyProtection="1"/>
    <xf numFmtId="166" fontId="3" fillId="3" borderId="0" xfId="6" applyNumberFormat="1" applyFont="1" applyFill="1" applyBorder="1" applyProtection="1"/>
    <xf numFmtId="164" fontId="3" fillId="3" borderId="0" xfId="6" applyNumberFormat="1" applyFont="1" applyFill="1" applyBorder="1" applyProtection="1"/>
    <xf numFmtId="4" fontId="3" fillId="3" borderId="0" xfId="0" applyNumberFormat="1" applyFont="1" applyFill="1" applyBorder="1" applyProtection="1"/>
    <xf numFmtId="43" fontId="3" fillId="3" borderId="0" xfId="1" applyNumberFormat="1" applyFont="1" applyFill="1" applyBorder="1" applyAlignment="1" applyProtection="1"/>
    <xf numFmtId="40" fontId="3" fillId="4" borderId="5" xfId="0" applyNumberFormat="1" applyFont="1" applyFill="1" applyBorder="1" applyProtection="1"/>
    <xf numFmtId="40" fontId="3" fillId="4" borderId="7" xfId="0" applyNumberFormat="1" applyFont="1" applyFill="1" applyBorder="1" applyProtection="1"/>
    <xf numFmtId="0" fontId="4" fillId="0" borderId="0" xfId="0" applyFont="1" applyProtection="1"/>
    <xf numFmtId="0" fontId="4" fillId="3" borderId="0" xfId="0" applyFont="1" applyFill="1"/>
    <xf numFmtId="0" fontId="4" fillId="4" borderId="2" xfId="0" applyFont="1" applyFill="1" applyBorder="1" applyAlignment="1">
      <alignment horizontal="center"/>
    </xf>
    <xf numFmtId="10" fontId="4" fillId="4" borderId="3" xfId="6" applyNumberFormat="1" applyFont="1" applyFill="1" applyBorder="1" applyAlignment="1">
      <alignment horizontal="center"/>
    </xf>
    <xf numFmtId="0" fontId="4" fillId="4" borderId="36" xfId="0" applyFont="1" applyFill="1" applyBorder="1" applyAlignment="1" applyProtection="1">
      <alignment horizontal="center"/>
    </xf>
    <xf numFmtId="0" fontId="3" fillId="4" borderId="5" xfId="0" applyFont="1" applyFill="1" applyBorder="1"/>
    <xf numFmtId="10" fontId="3" fillId="4" borderId="1" xfId="6" applyNumberFormat="1" applyFont="1" applyFill="1" applyBorder="1"/>
    <xf numFmtId="0" fontId="10" fillId="7" borderId="1" xfId="4" applyNumberFormat="1" applyFont="1" applyFill="1" applyBorder="1" applyAlignment="1">
      <alignment horizontal="center"/>
    </xf>
    <xf numFmtId="0" fontId="2" fillId="0" borderId="0" xfId="0" applyFont="1" applyFill="1"/>
    <xf numFmtId="0" fontId="0" fillId="0" borderId="0" xfId="0" applyFill="1"/>
    <xf numFmtId="0" fontId="4" fillId="3" borderId="0" xfId="0" applyFont="1" applyFill="1" applyAlignment="1" applyProtection="1">
      <alignment horizontal="center"/>
    </xf>
    <xf numFmtId="168" fontId="10" fillId="0" borderId="0" xfId="0" quotePrefix="1" applyNumberFormat="1" applyFont="1" applyBorder="1" applyAlignment="1" applyProtection="1">
      <alignment horizontal="left"/>
    </xf>
    <xf numFmtId="0" fontId="16" fillId="2" borderId="9"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0" fontId="17" fillId="0" borderId="0" xfId="4" applyNumberFormat="1" applyFont="1" applyAlignment="1">
      <alignment horizontal="right"/>
    </xf>
    <xf numFmtId="0" fontId="17" fillId="0" borderId="0" xfId="4" applyNumberFormat="1" applyFont="1" applyAlignment="1">
      <alignment horizontal="left"/>
    </xf>
    <xf numFmtId="0" fontId="10" fillId="0" borderId="0" xfId="4" applyNumberFormat="1" applyFont="1" applyAlignment="1"/>
    <xf numFmtId="0" fontId="2" fillId="0" borderId="0" xfId="4" applyNumberFormat="1" applyFont="1" applyAlignment="1">
      <alignment horizontal="center" wrapText="1"/>
    </xf>
    <xf numFmtId="0" fontId="18" fillId="4" borderId="6" xfId="4" applyNumberFormat="1" applyFont="1" applyFill="1" applyBorder="1" applyAlignment="1">
      <alignment horizontal="right"/>
    </xf>
    <xf numFmtId="0" fontId="10" fillId="3" borderId="1" xfId="4" applyNumberFormat="1" applyFont="1" applyFill="1" applyBorder="1" applyAlignment="1">
      <alignment horizontal="right"/>
    </xf>
    <xf numFmtId="10" fontId="10" fillId="7" borderId="1" xfId="6" applyNumberFormat="1" applyFont="1" applyFill="1" applyBorder="1" applyAlignment="1">
      <alignment horizontal="right"/>
    </xf>
    <xf numFmtId="37" fontId="10" fillId="7" borderId="1" xfId="4" applyNumberFormat="1" applyFont="1" applyFill="1" applyBorder="1" applyAlignment="1">
      <alignment horizontal="right"/>
    </xf>
    <xf numFmtId="0" fontId="10" fillId="3" borderId="1" xfId="4" quotePrefix="1" applyNumberFormat="1" applyFont="1" applyFill="1" applyBorder="1" applyAlignment="1">
      <alignment horizontal="center"/>
    </xf>
    <xf numFmtId="0" fontId="10" fillId="3" borderId="1" xfId="4" quotePrefix="1" applyNumberFormat="1" applyFont="1" applyFill="1" applyBorder="1" applyAlignment="1">
      <alignment horizontal="right"/>
    </xf>
    <xf numFmtId="39" fontId="10" fillId="7" borderId="1" xfId="4" applyNumberFormat="1" applyFont="1" applyFill="1" applyBorder="1" applyAlignment="1">
      <alignment horizontal="center"/>
    </xf>
    <xf numFmtId="39" fontId="10" fillId="3" borderId="1" xfId="4" applyNumberFormat="1" applyFont="1" applyFill="1" applyBorder="1" applyAlignment="1">
      <alignment horizontal="right"/>
    </xf>
    <xf numFmtId="166" fontId="10" fillId="3" borderId="1" xfId="6" applyNumberFormat="1" applyFont="1" applyFill="1" applyBorder="1" applyAlignment="1">
      <alignment horizontal="center"/>
    </xf>
    <xf numFmtId="166" fontId="10" fillId="3" borderId="1" xfId="6" applyNumberFormat="1" applyFont="1" applyFill="1" applyBorder="1" applyAlignment="1">
      <alignment horizontal="right"/>
    </xf>
    <xf numFmtId="0" fontId="18" fillId="5" borderId="20" xfId="4" applyNumberFormat="1" applyFont="1" applyFill="1" applyBorder="1" applyAlignment="1">
      <alignment horizontal="right"/>
    </xf>
    <xf numFmtId="166" fontId="10" fillId="3" borderId="1" xfId="4" applyNumberFormat="1" applyFont="1" applyFill="1" applyBorder="1" applyAlignment="1">
      <alignment horizontal="center"/>
    </xf>
    <xf numFmtId="166" fontId="10" fillId="3" borderId="1" xfId="4" applyNumberFormat="1" applyFont="1" applyFill="1" applyBorder="1" applyAlignment="1">
      <alignment horizontal="right"/>
    </xf>
    <xf numFmtId="0" fontId="10" fillId="7" borderId="1" xfId="4" applyNumberFormat="1" applyFont="1" applyFill="1" applyBorder="1" applyAlignment="1">
      <alignment horizontal="right"/>
    </xf>
    <xf numFmtId="10" fontId="10" fillId="7" borderId="1" xfId="4" applyNumberFormat="1" applyFont="1" applyFill="1" applyBorder="1" applyAlignment="1">
      <alignment horizontal="center"/>
    </xf>
    <xf numFmtId="10" fontId="10" fillId="7" borderId="1" xfId="4" applyNumberFormat="1" applyFont="1" applyFill="1" applyBorder="1" applyAlignment="1">
      <alignment horizontal="right"/>
    </xf>
    <xf numFmtId="10" fontId="17" fillId="3" borderId="1" xfId="6" applyNumberFormat="1" applyFont="1" applyFill="1" applyBorder="1" applyAlignment="1">
      <alignment horizontal="right"/>
    </xf>
    <xf numFmtId="39" fontId="10" fillId="7" borderId="1" xfId="4" applyNumberFormat="1" applyFont="1" applyFill="1" applyBorder="1" applyAlignment="1">
      <alignment horizontal="right"/>
    </xf>
    <xf numFmtId="0" fontId="10" fillId="7" borderId="8" xfId="4" applyNumberFormat="1" applyFont="1" applyFill="1" applyBorder="1" applyAlignment="1">
      <alignment horizontal="center"/>
    </xf>
    <xf numFmtId="0" fontId="10" fillId="7" borderId="8" xfId="4" applyNumberFormat="1" applyFont="1" applyFill="1" applyBorder="1" applyAlignment="1">
      <alignment horizontal="right"/>
    </xf>
    <xf numFmtId="0" fontId="10" fillId="7" borderId="0" xfId="4" applyNumberFormat="1" applyFont="1" applyFill="1" applyBorder="1" applyAlignment="1">
      <alignment horizontal="center"/>
    </xf>
    <xf numFmtId="0" fontId="10" fillId="7" borderId="0" xfId="4" applyNumberFormat="1" applyFont="1" applyFill="1" applyBorder="1" applyAlignment="1">
      <alignment horizontal="right"/>
    </xf>
    <xf numFmtId="0" fontId="16" fillId="2" borderId="31" xfId="4" applyNumberFormat="1" applyFont="1" applyFill="1" applyBorder="1" applyAlignment="1">
      <alignment horizontal="right" wrapText="1"/>
    </xf>
    <xf numFmtId="8" fontId="18" fillId="3" borderId="0" xfId="4" applyNumberFormat="1" applyFont="1" applyFill="1" applyBorder="1" applyAlignment="1">
      <alignment horizontal="center"/>
    </xf>
    <xf numFmtId="8" fontId="18" fillId="3" borderId="1" xfId="4" applyNumberFormat="1" applyFont="1" applyFill="1" applyBorder="1" applyAlignment="1">
      <alignment horizontal="center"/>
    </xf>
    <xf numFmtId="164" fontId="10" fillId="3" borderId="1" xfId="6" applyNumberFormat="1" applyFont="1" applyFill="1" applyBorder="1" applyAlignment="1">
      <alignment horizontal="center"/>
    </xf>
    <xf numFmtId="164" fontId="10" fillId="7" borderId="1" xfId="4" applyNumberFormat="1" applyFont="1" applyFill="1" applyBorder="1" applyAlignment="1">
      <alignment horizontal="center"/>
    </xf>
    <xf numFmtId="0" fontId="17" fillId="7" borderId="0" xfId="4" applyNumberFormat="1" applyFont="1" applyFill="1" applyAlignment="1"/>
    <xf numFmtId="0" fontId="17" fillId="7" borderId="0" xfId="4" applyNumberFormat="1" applyFont="1" applyFill="1" applyAlignment="1">
      <alignment horizontal="right"/>
    </xf>
    <xf numFmtId="15" fontId="10" fillId="7" borderId="0" xfId="4" applyNumberFormat="1" applyFont="1" applyFill="1"/>
    <xf numFmtId="15" fontId="10" fillId="7" borderId="0" xfId="4" applyNumberFormat="1" applyFont="1" applyFill="1" applyAlignment="1">
      <alignment horizontal="right"/>
    </xf>
    <xf numFmtId="0" fontId="10" fillId="3" borderId="0" xfId="4" applyNumberFormat="1" applyFont="1" applyFill="1" applyAlignment="1"/>
    <xf numFmtId="0" fontId="10" fillId="7" borderId="0" xfId="4" applyNumberFormat="1" applyFont="1" applyFill="1"/>
    <xf numFmtId="0" fontId="10" fillId="7" borderId="0" xfId="4" applyNumberFormat="1" applyFont="1" applyFill="1" applyAlignment="1">
      <alignment horizontal="right"/>
    </xf>
    <xf numFmtId="0" fontId="16" fillId="2" borderId="10" xfId="4" applyNumberFormat="1" applyFont="1" applyFill="1" applyBorder="1" applyAlignment="1">
      <alignment horizontal="left" wrapText="1"/>
    </xf>
    <xf numFmtId="15" fontId="2" fillId="0" borderId="15" xfId="4" applyNumberFormat="1" applyFont="1" applyBorder="1" applyAlignment="1">
      <alignment horizontal="center" wrapText="1"/>
    </xf>
    <xf numFmtId="0" fontId="18" fillId="4" borderId="6" xfId="4" applyNumberFormat="1" applyFont="1" applyFill="1" applyBorder="1" applyAlignment="1">
      <alignment horizontal="left"/>
    </xf>
    <xf numFmtId="3" fontId="10" fillId="0" borderId="0" xfId="4" applyNumberFormat="1" applyFont="1" applyAlignment="1">
      <alignment horizontal="center"/>
    </xf>
    <xf numFmtId="9" fontId="10" fillId="0" borderId="0" xfId="4" applyNumberFormat="1" applyFont="1" applyAlignment="1">
      <alignment horizontal="center"/>
    </xf>
    <xf numFmtId="9" fontId="10" fillId="0" borderId="0" xfId="4" applyNumberFormat="1" applyFont="1"/>
    <xf numFmtId="3" fontId="10" fillId="0" borderId="0" xfId="4" applyNumberFormat="1" applyFont="1"/>
    <xf numFmtId="0" fontId="10" fillId="3" borderId="1" xfId="4" applyNumberFormat="1" applyFont="1" applyFill="1" applyBorder="1" applyAlignment="1">
      <alignment horizontal="left"/>
    </xf>
    <xf numFmtId="0" fontId="10" fillId="0" borderId="0" xfId="4" applyNumberFormat="1" applyFont="1" applyAlignment="1">
      <alignment horizontal="center"/>
    </xf>
    <xf numFmtId="0" fontId="10" fillId="3" borderId="5" xfId="4" applyNumberFormat="1" applyFont="1" applyFill="1" applyBorder="1" applyAlignment="1">
      <alignment horizontal="left"/>
    </xf>
    <xf numFmtId="0" fontId="10" fillId="3" borderId="0" xfId="4" applyNumberFormat="1" applyFont="1" applyFill="1" applyBorder="1" applyAlignment="1">
      <alignment horizontal="left"/>
    </xf>
    <xf numFmtId="10" fontId="10" fillId="7" borderId="1" xfId="6" applyNumberFormat="1" applyFont="1" applyFill="1" applyBorder="1" applyAlignment="1">
      <alignment horizontal="left"/>
    </xf>
    <xf numFmtId="37" fontId="10" fillId="7" borderId="1" xfId="4" applyNumberFormat="1" applyFont="1" applyFill="1" applyBorder="1" applyAlignment="1">
      <alignment horizontal="left"/>
    </xf>
    <xf numFmtId="0" fontId="10" fillId="3" borderId="1" xfId="4" quotePrefix="1" applyNumberFormat="1" applyFont="1" applyFill="1" applyBorder="1" applyAlignment="1">
      <alignment horizontal="left"/>
    </xf>
    <xf numFmtId="1" fontId="10" fillId="0" borderId="0" xfId="4" applyNumberFormat="1" applyFont="1" applyAlignment="1">
      <alignment horizontal="center"/>
    </xf>
    <xf numFmtId="1" fontId="10" fillId="0" borderId="0" xfId="4" applyNumberFormat="1" applyFont="1"/>
    <xf numFmtId="39" fontId="10" fillId="3" borderId="1" xfId="4" applyNumberFormat="1" applyFont="1" applyFill="1" applyBorder="1" applyAlignment="1">
      <alignment horizontal="left"/>
    </xf>
    <xf numFmtId="2" fontId="17" fillId="0" borderId="0" xfId="4" applyNumberFormat="1" applyFont="1" applyAlignment="1">
      <alignment horizontal="center"/>
    </xf>
    <xf numFmtId="0" fontId="10" fillId="3" borderId="15" xfId="4" applyNumberFormat="1" applyFont="1" applyFill="1" applyBorder="1" applyAlignment="1"/>
    <xf numFmtId="166" fontId="10" fillId="3" borderId="1" xfId="6" applyNumberFormat="1" applyFont="1" applyFill="1" applyBorder="1" applyAlignment="1">
      <alignment horizontal="left"/>
    </xf>
    <xf numFmtId="0" fontId="10" fillId="5" borderId="20" xfId="4" applyNumberFormat="1" applyFont="1" applyFill="1" applyBorder="1" applyAlignment="1">
      <alignment horizontal="left"/>
    </xf>
    <xf numFmtId="166" fontId="10" fillId="3" borderId="1" xfId="4" applyNumberFormat="1" applyFont="1" applyFill="1" applyBorder="1" applyAlignment="1">
      <alignment horizontal="left"/>
    </xf>
    <xf numFmtId="49" fontId="10" fillId="3" borderId="0" xfId="4" applyNumberFormat="1" applyFont="1" applyFill="1" applyBorder="1"/>
    <xf numFmtId="0" fontId="10" fillId="7" borderId="1" xfId="4" applyNumberFormat="1" applyFont="1" applyFill="1" applyBorder="1" applyAlignment="1">
      <alignment horizontal="left"/>
    </xf>
    <xf numFmtId="0" fontId="10" fillId="3" borderId="5" xfId="4" applyNumberFormat="1" applyFont="1" applyFill="1" applyBorder="1"/>
    <xf numFmtId="0" fontId="10" fillId="3" borderId="0" xfId="4" applyNumberFormat="1" applyFont="1" applyFill="1" applyBorder="1"/>
    <xf numFmtId="0" fontId="10" fillId="0" borderId="0" xfId="4" applyNumberFormat="1" applyFont="1"/>
    <xf numFmtId="10" fontId="10" fillId="7" borderId="1" xfId="4" applyNumberFormat="1" applyFont="1" applyFill="1" applyBorder="1" applyAlignment="1">
      <alignment horizontal="left"/>
    </xf>
    <xf numFmtId="10" fontId="17" fillId="3" borderId="1" xfId="6" applyNumberFormat="1" applyFont="1" applyFill="1" applyBorder="1" applyAlignment="1">
      <alignment horizontal="left"/>
    </xf>
    <xf numFmtId="39" fontId="10" fillId="7" borderId="1" xfId="4" applyNumberFormat="1" applyFont="1" applyFill="1" applyBorder="1" applyAlignment="1">
      <alignment horizontal="left"/>
    </xf>
    <xf numFmtId="0" fontId="10" fillId="7" borderId="8" xfId="4" applyNumberFormat="1" applyFont="1" applyFill="1" applyBorder="1" applyAlignment="1">
      <alignment horizontal="left"/>
    </xf>
    <xf numFmtId="0" fontId="10" fillId="7" borderId="0" xfId="4" applyNumberFormat="1" applyFont="1" applyFill="1" applyBorder="1" applyAlignment="1">
      <alignment horizontal="left"/>
    </xf>
    <xf numFmtId="0" fontId="16" fillId="2" borderId="31" xfId="4" applyNumberFormat="1" applyFont="1" applyFill="1" applyBorder="1" applyAlignment="1">
      <alignment horizontal="left" wrapText="1"/>
    </xf>
    <xf numFmtId="0" fontId="2" fillId="0" borderId="0" xfId="0" applyFont="1" applyFill="1" applyAlignment="1">
      <alignment vertical="top"/>
    </xf>
    <xf numFmtId="0" fontId="10" fillId="0" borderId="0" xfId="0" applyFont="1" applyAlignment="1">
      <alignment vertical="top"/>
    </xf>
    <xf numFmtId="10" fontId="10" fillId="7" borderId="31" xfId="6" applyNumberFormat="1" applyFont="1" applyFill="1" applyBorder="1" applyAlignment="1">
      <alignment horizontal="center" vertical="top"/>
    </xf>
    <xf numFmtId="10" fontId="10" fillId="7" borderId="31" xfId="6" applyNumberFormat="1" applyFont="1" applyFill="1" applyBorder="1" applyAlignment="1">
      <alignment horizontal="right" vertical="top"/>
    </xf>
    <xf numFmtId="0" fontId="17" fillId="7" borderId="31" xfId="4" applyNumberFormat="1" applyFont="1" applyFill="1" applyBorder="1" applyAlignment="1">
      <alignment horizontal="left" vertical="top" wrapText="1"/>
    </xf>
    <xf numFmtId="10" fontId="10" fillId="7" borderId="31" xfId="6" applyNumberFormat="1" applyFont="1" applyFill="1" applyBorder="1" applyAlignment="1">
      <alignment horizontal="left" vertical="top"/>
    </xf>
    <xf numFmtId="0" fontId="17" fillId="0" borderId="0" xfId="4" applyNumberFormat="1" applyFont="1" applyAlignment="1">
      <alignment horizontal="center" vertical="top"/>
    </xf>
    <xf numFmtId="3" fontId="10" fillId="0" borderId="0" xfId="4" applyNumberFormat="1" applyFont="1" applyAlignment="1">
      <alignment horizontal="center" vertical="top"/>
    </xf>
    <xf numFmtId="0" fontId="17" fillId="0" borderId="0" xfId="4" applyNumberFormat="1" applyFont="1" applyAlignment="1">
      <alignment vertical="top"/>
    </xf>
    <xf numFmtId="3" fontId="10" fillId="0" borderId="0" xfId="4" applyNumberFormat="1" applyFont="1" applyAlignment="1">
      <alignment vertical="top"/>
    </xf>
    <xf numFmtId="0" fontId="10" fillId="0" borderId="0" xfId="0" applyFont="1" applyFill="1" applyAlignment="1">
      <alignment vertical="top"/>
    </xf>
    <xf numFmtId="164" fontId="10" fillId="7" borderId="31" xfId="6" applyNumberFormat="1" applyFont="1" applyFill="1" applyBorder="1" applyAlignment="1">
      <alignment horizontal="center" vertical="top"/>
    </xf>
    <xf numFmtId="166" fontId="10" fillId="7" borderId="31" xfId="6" applyNumberFormat="1" applyFont="1" applyFill="1" applyBorder="1" applyAlignment="1">
      <alignment horizontal="right" vertical="top"/>
    </xf>
    <xf numFmtId="166" fontId="10" fillId="7" borderId="31" xfId="6" applyNumberFormat="1" applyFont="1" applyFill="1" applyBorder="1" applyAlignment="1">
      <alignment horizontal="center" vertical="top"/>
    </xf>
    <xf numFmtId="166" fontId="10" fillId="7" borderId="31" xfId="6" applyNumberFormat="1" applyFont="1" applyFill="1" applyBorder="1" applyAlignment="1">
      <alignment horizontal="left" vertical="top"/>
    </xf>
    <xf numFmtId="166" fontId="10" fillId="7" borderId="1" xfId="6" applyNumberFormat="1" applyFont="1" applyFill="1" applyBorder="1" applyAlignment="1">
      <alignment horizontal="center" vertical="top"/>
    </xf>
    <xf numFmtId="166" fontId="10" fillId="7" borderId="1" xfId="6" applyNumberFormat="1" applyFont="1" applyFill="1" applyBorder="1" applyAlignment="1">
      <alignment horizontal="right" vertical="top"/>
    </xf>
    <xf numFmtId="0" fontId="17" fillId="7" borderId="1" xfId="4" applyNumberFormat="1" applyFont="1" applyFill="1" applyBorder="1" applyAlignment="1">
      <alignment horizontal="left" vertical="top" wrapText="1"/>
    </xf>
    <xf numFmtId="166" fontId="10" fillId="7" borderId="1" xfId="6" applyNumberFormat="1" applyFont="1" applyFill="1" applyBorder="1" applyAlignment="1">
      <alignment horizontal="left" vertical="top"/>
    </xf>
    <xf numFmtId="2" fontId="10" fillId="7" borderId="1" xfId="4" applyNumberFormat="1" applyFont="1" applyFill="1" applyBorder="1" applyAlignment="1">
      <alignment horizontal="center" vertical="top"/>
    </xf>
    <xf numFmtId="39" fontId="10" fillId="7" borderId="1" xfId="4" applyNumberFormat="1" applyFont="1" applyFill="1" applyBorder="1" applyAlignment="1">
      <alignment horizontal="right" vertical="top"/>
    </xf>
    <xf numFmtId="0" fontId="10" fillId="7" borderId="1" xfId="4" applyNumberFormat="1" applyFont="1" applyFill="1" applyBorder="1" applyAlignment="1">
      <alignment horizontal="left" vertical="top" wrapText="1"/>
    </xf>
    <xf numFmtId="39" fontId="10" fillId="7" borderId="1" xfId="4" applyNumberFormat="1" applyFont="1" applyFill="1" applyBorder="1" applyAlignment="1">
      <alignment horizontal="left" vertical="top"/>
    </xf>
    <xf numFmtId="2" fontId="10" fillId="7" borderId="20" xfId="4" applyNumberFormat="1" applyFont="1" applyFill="1" applyBorder="1" applyAlignment="1">
      <alignment horizontal="center" vertical="top"/>
    </xf>
    <xf numFmtId="2" fontId="10" fillId="7" borderId="20" xfId="4" applyNumberFormat="1" applyFont="1" applyFill="1" applyBorder="1" applyAlignment="1">
      <alignment horizontal="right" vertical="top"/>
    </xf>
    <xf numFmtId="0" fontId="17" fillId="7" borderId="20" xfId="4" applyNumberFormat="1" applyFont="1" applyFill="1" applyBorder="1" applyAlignment="1">
      <alignment horizontal="left" vertical="top" wrapText="1"/>
    </xf>
    <xf numFmtId="2" fontId="10" fillId="7" borderId="20" xfId="4" applyNumberFormat="1" applyFont="1" applyFill="1" applyBorder="1" applyAlignment="1">
      <alignment horizontal="left" vertical="top"/>
    </xf>
    <xf numFmtId="0" fontId="10" fillId="7" borderId="1" xfId="4" applyNumberFormat="1" applyFont="1" applyFill="1" applyBorder="1" applyAlignment="1">
      <alignment horizontal="center" vertical="top"/>
    </xf>
    <xf numFmtId="0" fontId="10" fillId="7" borderId="1" xfId="4" applyNumberFormat="1" applyFont="1" applyFill="1" applyBorder="1" applyAlignment="1">
      <alignment horizontal="right" vertical="top"/>
    </xf>
    <xf numFmtId="0" fontId="10" fillId="7" borderId="1" xfId="4" applyNumberFormat="1" applyFont="1" applyFill="1" applyBorder="1" applyAlignment="1">
      <alignment horizontal="left" vertical="top"/>
    </xf>
    <xf numFmtId="0" fontId="17" fillId="0" borderId="0" xfId="4" applyNumberFormat="1" applyFont="1" applyBorder="1" applyAlignment="1">
      <alignment horizontal="center" vertical="top"/>
    </xf>
    <xf numFmtId="3" fontId="10" fillId="0" borderId="0" xfId="4" applyNumberFormat="1" applyFont="1" applyBorder="1" applyAlignment="1">
      <alignment horizontal="center" vertical="top"/>
    </xf>
    <xf numFmtId="0" fontId="17" fillId="0" borderId="0" xfId="4" applyNumberFormat="1" applyFont="1" applyBorder="1" applyAlignment="1">
      <alignment vertical="top"/>
    </xf>
    <xf numFmtId="3" fontId="10" fillId="0" borderId="0" xfId="4" applyNumberFormat="1" applyFont="1" applyBorder="1" applyAlignment="1">
      <alignment vertical="top"/>
    </xf>
    <xf numFmtId="40" fontId="10" fillId="0" borderId="0" xfId="0" applyNumberFormat="1" applyFont="1" applyFill="1" applyBorder="1" applyAlignment="1" applyProtection="1">
      <alignment vertical="top"/>
    </xf>
    <xf numFmtId="0" fontId="10" fillId="7" borderId="31" xfId="4" applyNumberFormat="1" applyFont="1" applyFill="1" applyBorder="1" applyAlignment="1">
      <alignment horizontal="center" vertical="top" wrapText="1"/>
    </xf>
    <xf numFmtId="0" fontId="10" fillId="7" borderId="31" xfId="4" applyNumberFormat="1" applyFont="1" applyFill="1" applyBorder="1" applyAlignment="1">
      <alignment horizontal="right" vertical="top"/>
    </xf>
    <xf numFmtId="0" fontId="17" fillId="7" borderId="31" xfId="4" applyNumberFormat="1" applyFont="1" applyFill="1" applyBorder="1" applyAlignment="1">
      <alignment vertical="top" wrapText="1"/>
    </xf>
    <xf numFmtId="0" fontId="10" fillId="7" borderId="31" xfId="4" applyNumberFormat="1" applyFont="1" applyFill="1" applyBorder="1" applyAlignment="1">
      <alignment horizontal="left" vertical="top"/>
    </xf>
    <xf numFmtId="14" fontId="10" fillId="7" borderId="31" xfId="4" applyNumberFormat="1" applyFont="1" applyFill="1" applyBorder="1" applyAlignment="1">
      <alignment horizontal="center" vertical="top"/>
    </xf>
    <xf numFmtId="14" fontId="10" fillId="7" borderId="31" xfId="4" applyNumberFormat="1" applyFont="1" applyFill="1" applyBorder="1" applyAlignment="1">
      <alignment horizontal="right" vertical="top"/>
    </xf>
    <xf numFmtId="14" fontId="10" fillId="7" borderId="31" xfId="4" applyNumberFormat="1" applyFont="1" applyFill="1" applyBorder="1" applyAlignment="1">
      <alignment horizontal="left" vertical="top"/>
    </xf>
    <xf numFmtId="0" fontId="10" fillId="7" borderId="31" xfId="4" applyNumberFormat="1" applyFont="1" applyFill="1" applyBorder="1" applyAlignment="1">
      <alignment horizontal="center" vertical="top"/>
    </xf>
    <xf numFmtId="0" fontId="10" fillId="7" borderId="31" xfId="4" applyNumberFormat="1" applyFont="1" applyFill="1" applyBorder="1" applyAlignment="1">
      <alignment horizontal="left" vertical="top" wrapText="1"/>
    </xf>
    <xf numFmtId="40" fontId="23" fillId="0" borderId="0" xfId="0" applyNumberFormat="1" applyFont="1" applyFill="1" applyBorder="1" applyAlignment="1" applyProtection="1">
      <alignment vertical="top"/>
    </xf>
    <xf numFmtId="0" fontId="23" fillId="0" borderId="0" xfId="0" applyFont="1" applyAlignment="1">
      <alignment vertical="top"/>
    </xf>
    <xf numFmtId="0" fontId="17" fillId="0" borderId="0" xfId="4" applyNumberFormat="1" applyFont="1" applyAlignment="1">
      <alignment horizontal="right" vertical="top"/>
    </xf>
    <xf numFmtId="0" fontId="17" fillId="0" borderId="0" xfId="4" applyNumberFormat="1" applyFont="1" applyAlignment="1">
      <alignment horizontal="left" vertical="top"/>
    </xf>
    <xf numFmtId="43" fontId="4" fillId="3" borderId="0" xfId="0" applyNumberFormat="1" applyFont="1" applyFill="1" applyBorder="1" applyProtection="1"/>
    <xf numFmtId="43" fontId="3" fillId="3" borderId="5" xfId="1" applyNumberFormat="1" applyFont="1" applyFill="1" applyBorder="1" applyAlignment="1" applyProtection="1">
      <alignment horizontal="right"/>
    </xf>
    <xf numFmtId="43" fontId="3" fillId="3" borderId="6" xfId="1" applyNumberFormat="1" applyFont="1" applyFill="1" applyBorder="1" applyAlignment="1" applyProtection="1">
      <alignment horizontal="center"/>
    </xf>
    <xf numFmtId="0" fontId="18" fillId="5" borderId="18" xfId="4" applyNumberFormat="1" applyFont="1" applyFill="1" applyBorder="1" applyAlignment="1">
      <alignment horizontal="center"/>
    </xf>
    <xf numFmtId="0" fontId="16" fillId="2" borderId="31" xfId="4" applyNumberFormat="1" applyFont="1" applyFill="1" applyBorder="1" applyAlignment="1">
      <alignment horizontal="center" wrapText="1"/>
    </xf>
    <xf numFmtId="0" fontId="16" fillId="2" borderId="19" xfId="4" applyNumberFormat="1" applyFont="1" applyFill="1" applyBorder="1" applyAlignment="1">
      <alignment horizontal="center" wrapText="1"/>
    </xf>
    <xf numFmtId="0" fontId="16" fillId="2" borderId="18" xfId="4" applyNumberFormat="1" applyFont="1" applyFill="1" applyBorder="1" applyAlignment="1">
      <alignment horizontal="center" wrapText="1"/>
    </xf>
    <xf numFmtId="0" fontId="16" fillId="2" borderId="7" xfId="4" applyNumberFormat="1" applyFont="1" applyFill="1" applyBorder="1" applyAlignment="1">
      <alignment horizontal="center" wrapText="1"/>
    </xf>
    <xf numFmtId="0" fontId="16" fillId="2" borderId="16" xfId="4" applyNumberFormat="1" applyFont="1" applyFill="1" applyBorder="1" applyAlignment="1">
      <alignment horizontal="center" wrapText="1"/>
    </xf>
    <xf numFmtId="0" fontId="2" fillId="3" borderId="0" xfId="4" applyNumberFormat="1" applyFont="1" applyFill="1" applyBorder="1" applyAlignment="1">
      <alignment horizontal="center"/>
    </xf>
    <xf numFmtId="0" fontId="16" fillId="2" borderId="9" xfId="4" applyNumberFormat="1" applyFont="1" applyFill="1" applyBorder="1" applyAlignment="1">
      <alignment horizontal="center" wrapText="1"/>
    </xf>
    <xf numFmtId="0" fontId="16" fillId="2" borderId="25"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43" fontId="4" fillId="3" borderId="34" xfId="1" applyNumberFormat="1" applyFont="1" applyFill="1" applyBorder="1" applyAlignment="1" applyProtection="1">
      <alignment horizontal="center"/>
      <protection locked="0"/>
    </xf>
    <xf numFmtId="43" fontId="4" fillId="3" borderId="35" xfId="1" applyNumberFormat="1" applyFont="1" applyFill="1" applyBorder="1" applyAlignment="1" applyProtection="1">
      <alignment horizontal="center"/>
      <protection locked="0"/>
    </xf>
    <xf numFmtId="43" fontId="3" fillId="0" borderId="5" xfId="1" applyNumberFormat="1" applyFont="1" applyFill="1" applyBorder="1" applyAlignment="1">
      <alignment horizontal="center"/>
    </xf>
    <xf numFmtId="43" fontId="3" fillId="0" borderId="6" xfId="1" applyNumberFormat="1" applyFont="1" applyFill="1" applyBorder="1" applyAlignment="1">
      <alignment horizontal="center"/>
    </xf>
    <xf numFmtId="43" fontId="4" fillId="4" borderId="2" xfId="1" applyNumberFormat="1" applyFont="1" applyFill="1" applyBorder="1" applyAlignment="1">
      <alignment horizontal="center"/>
    </xf>
    <xf numFmtId="43" fontId="4" fillId="4" borderId="36" xfId="1" applyNumberFormat="1" applyFont="1" applyFill="1" applyBorder="1" applyAlignment="1">
      <alignment horizontal="center"/>
    </xf>
    <xf numFmtId="43" fontId="3" fillId="0" borderId="0" xfId="1" applyNumberFormat="1" applyFont="1" applyFill="1" applyBorder="1" applyAlignment="1">
      <alignment horizontal="center"/>
    </xf>
    <xf numFmtId="43" fontId="3" fillId="3" borderId="0" xfId="1" applyNumberFormat="1" applyFont="1" applyFill="1" applyBorder="1" applyAlignment="1">
      <alignment horizontal="center"/>
    </xf>
    <xf numFmtId="43" fontId="3" fillId="3" borderId="6" xfId="1" applyNumberFormat="1" applyFont="1" applyFill="1" applyBorder="1" applyAlignment="1">
      <alignment horizontal="center"/>
    </xf>
    <xf numFmtId="43" fontId="4" fillId="5" borderId="2" xfId="1" applyNumberFormat="1" applyFont="1" applyFill="1" applyBorder="1" applyAlignment="1">
      <alignment horizontal="center"/>
    </xf>
    <xf numFmtId="43" fontId="4" fillId="5" borderId="36" xfId="1" applyNumberFormat="1" applyFont="1" applyFill="1" applyBorder="1" applyAlignment="1">
      <alignment horizontal="center"/>
    </xf>
    <xf numFmtId="43" fontId="3" fillId="3" borderId="5" xfId="1" applyNumberFormat="1" applyFont="1" applyFill="1" applyBorder="1" applyAlignment="1">
      <alignment horizontal="center"/>
    </xf>
    <xf numFmtId="43" fontId="4" fillId="0" borderId="11" xfId="1" applyNumberFormat="1" applyFont="1" applyFill="1" applyBorder="1" applyAlignment="1">
      <alignment horizontal="right"/>
    </xf>
    <xf numFmtId="43" fontId="4" fillId="0" borderId="37" xfId="1" applyNumberFormat="1" applyFont="1" applyFill="1" applyBorder="1" applyAlignment="1">
      <alignment horizontal="right"/>
    </xf>
    <xf numFmtId="43" fontId="3" fillId="2" borderId="0" xfId="1" applyNumberFormat="1" applyFont="1" applyFill="1" applyBorder="1" applyAlignment="1" applyProtection="1">
      <alignment horizontal="center"/>
      <protection locked="0"/>
    </xf>
    <xf numFmtId="43" fontId="3" fillId="2" borderId="6" xfId="1" applyNumberFormat="1" applyFont="1" applyFill="1" applyBorder="1" applyAlignment="1" applyProtection="1">
      <alignment horizontal="center"/>
      <protection locked="0"/>
    </xf>
    <xf numFmtId="43" fontId="4" fillId="0" borderId="38" xfId="1" applyNumberFormat="1" applyFont="1" applyFill="1" applyBorder="1" applyAlignment="1">
      <alignment horizontal="right"/>
    </xf>
    <xf numFmtId="43" fontId="4" fillId="4" borderId="39" xfId="1" applyNumberFormat="1" applyFont="1" applyFill="1" applyBorder="1" applyAlignment="1">
      <alignment horizontal="center"/>
    </xf>
    <xf numFmtId="43" fontId="3" fillId="3" borderId="5" xfId="1" applyNumberFormat="1" applyFont="1" applyFill="1" applyBorder="1" applyAlignment="1">
      <alignment horizontal="right"/>
    </xf>
    <xf numFmtId="43" fontId="3" fillId="3" borderId="6" xfId="1" applyNumberFormat="1" applyFont="1" applyFill="1" applyBorder="1" applyAlignment="1">
      <alignment horizontal="right"/>
    </xf>
    <xf numFmtId="43" fontId="4" fillId="5" borderId="39" xfId="1" applyNumberFormat="1" applyFont="1" applyFill="1" applyBorder="1" applyAlignment="1">
      <alignment horizontal="center"/>
    </xf>
    <xf numFmtId="0" fontId="13" fillId="3" borderId="15" xfId="1" applyNumberFormat="1" applyFont="1" applyFill="1" applyBorder="1" applyAlignment="1">
      <alignment horizontal="center"/>
    </xf>
    <xf numFmtId="43" fontId="3" fillId="0" borderId="0" xfId="1" applyNumberFormat="1" applyFont="1" applyFill="1" applyBorder="1" applyAlignment="1" applyProtection="1">
      <alignment horizontal="center"/>
    </xf>
    <xf numFmtId="43" fontId="3" fillId="0" borderId="6" xfId="1" applyNumberFormat="1" applyFont="1" applyFill="1" applyBorder="1" applyAlignment="1" applyProtection="1">
      <alignment horizontal="center"/>
    </xf>
    <xf numFmtId="43" fontId="3" fillId="2" borderId="5" xfId="1" applyNumberFormat="1" applyFont="1" applyFill="1" applyBorder="1" applyAlignment="1" applyProtection="1">
      <alignment horizontal="center"/>
      <protection locked="0"/>
    </xf>
    <xf numFmtId="0" fontId="4" fillId="3" borderId="20" xfId="0" applyFont="1" applyFill="1" applyBorder="1" applyAlignment="1">
      <alignment horizontal="center"/>
    </xf>
    <xf numFmtId="0" fontId="4" fillId="3" borderId="1" xfId="0" applyFont="1" applyFill="1" applyBorder="1" applyAlignment="1">
      <alignment horizontal="center"/>
    </xf>
    <xf numFmtId="0" fontId="4" fillId="3" borderId="4" xfId="0" applyFont="1" applyFill="1" applyBorder="1" applyAlignment="1">
      <alignment horizontal="center"/>
    </xf>
    <xf numFmtId="43" fontId="4" fillId="0" borderId="40" xfId="1" applyNumberFormat="1" applyFont="1" applyFill="1" applyBorder="1" applyAlignment="1">
      <alignment horizontal="center" wrapText="1"/>
    </xf>
    <xf numFmtId="43" fontId="4" fillId="0" borderId="22" xfId="1" applyNumberFormat="1" applyFont="1" applyFill="1" applyBorder="1" applyAlignment="1">
      <alignment horizontal="center" wrapText="1"/>
    </xf>
    <xf numFmtId="43" fontId="4" fillId="0" borderId="41" xfId="1" applyNumberFormat="1" applyFont="1" applyFill="1" applyBorder="1" applyAlignment="1">
      <alignment horizontal="center" wrapText="1"/>
    </xf>
    <xf numFmtId="43" fontId="4" fillId="0" borderId="42" xfId="1" applyNumberFormat="1" applyFont="1" applyFill="1" applyBorder="1" applyAlignment="1">
      <alignment horizontal="center"/>
    </xf>
    <xf numFmtId="43" fontId="4" fillId="0" borderId="21" xfId="1" applyNumberFormat="1" applyFont="1" applyFill="1" applyBorder="1" applyAlignment="1">
      <alignment horizontal="center"/>
    </xf>
    <xf numFmtId="43" fontId="4" fillId="0" borderId="43" xfId="1" applyNumberFormat="1" applyFont="1" applyFill="1" applyBorder="1" applyAlignment="1">
      <alignment horizontal="center"/>
    </xf>
    <xf numFmtId="0" fontId="4" fillId="3" borderId="44" xfId="0" applyFont="1" applyFill="1" applyBorder="1" applyAlignment="1">
      <alignment horizontal="center" wrapText="1"/>
    </xf>
    <xf numFmtId="0" fontId="4" fillId="3" borderId="45" xfId="0" applyFont="1" applyFill="1" applyBorder="1" applyAlignment="1">
      <alignment horizontal="center" wrapText="1"/>
    </xf>
    <xf numFmtId="0" fontId="4" fillId="3" borderId="46" xfId="0" applyFont="1" applyFill="1" applyBorder="1" applyAlignment="1">
      <alignment horizontal="center" wrapText="1"/>
    </xf>
    <xf numFmtId="0" fontId="3" fillId="3" borderId="0" xfId="0" applyFont="1" applyFill="1" applyAlignment="1">
      <alignment vertical="top" wrapText="1"/>
    </xf>
    <xf numFmtId="0" fontId="3" fillId="3" borderId="0" xfId="0" applyFont="1" applyFill="1" applyAlignment="1">
      <alignment horizontal="left" vertical="top" wrapText="1"/>
    </xf>
    <xf numFmtId="0" fontId="3" fillId="3" borderId="0" xfId="0" applyFont="1" applyFill="1" applyBorder="1" applyAlignment="1">
      <alignment horizontal="left" vertical="top" wrapText="1"/>
    </xf>
    <xf numFmtId="49" fontId="2" fillId="3" borderId="13" xfId="0" applyNumberFormat="1" applyFont="1" applyFill="1" applyBorder="1" applyAlignment="1">
      <alignment horizontal="left" vertical="top"/>
    </xf>
    <xf numFmtId="49" fontId="2" fillId="3" borderId="15" xfId="0" applyNumberFormat="1" applyFont="1" applyFill="1" applyBorder="1" applyAlignment="1">
      <alignment horizontal="left" vertical="top"/>
    </xf>
    <xf numFmtId="165" fontId="4" fillId="3" borderId="13" xfId="6" applyNumberFormat="1" applyFont="1" applyFill="1" applyBorder="1" applyAlignment="1" applyProtection="1">
      <alignment horizontal="center" vertical="center"/>
    </xf>
    <xf numFmtId="165" fontId="4" fillId="3" borderId="0" xfId="6" applyNumberFormat="1" applyFont="1" applyFill="1" applyBorder="1" applyAlignment="1" applyProtection="1">
      <alignment horizontal="center" vertical="center"/>
    </xf>
    <xf numFmtId="165" fontId="4" fillId="3" borderId="13" xfId="6" applyNumberFormat="1" applyFont="1" applyFill="1" applyBorder="1" applyAlignment="1" applyProtection="1">
      <alignment horizontal="right" wrapText="1"/>
    </xf>
    <xf numFmtId="165" fontId="4" fillId="3" borderId="0" xfId="6" applyNumberFormat="1" applyFont="1" applyFill="1" applyAlignment="1" applyProtection="1">
      <alignment horizontal="right" wrapText="1"/>
    </xf>
    <xf numFmtId="43" fontId="3" fillId="3" borderId="5" xfId="1" applyNumberFormat="1" applyFont="1" applyFill="1" applyBorder="1" applyAlignment="1" applyProtection="1">
      <alignment horizontal="right"/>
    </xf>
    <xf numFmtId="43" fontId="3" fillId="3" borderId="6" xfId="1" applyNumberFormat="1" applyFont="1" applyFill="1" applyBorder="1" applyAlignment="1" applyProtection="1">
      <alignment horizontal="right"/>
    </xf>
    <xf numFmtId="43" fontId="4" fillId="0" borderId="11" xfId="1" applyNumberFormat="1" applyFont="1" applyFill="1" applyBorder="1" applyAlignment="1" applyProtection="1">
      <alignment horizontal="right"/>
    </xf>
    <xf numFmtId="43" fontId="4" fillId="0" borderId="37" xfId="1" applyNumberFormat="1" applyFont="1" applyFill="1" applyBorder="1" applyAlignment="1" applyProtection="1">
      <alignment horizontal="right"/>
    </xf>
    <xf numFmtId="43" fontId="4" fillId="5" borderId="2" xfId="1" applyNumberFormat="1" applyFont="1" applyFill="1" applyBorder="1" applyAlignment="1" applyProtection="1">
      <alignment horizontal="center"/>
    </xf>
    <xf numFmtId="43" fontId="4" fillId="5" borderId="36" xfId="1" applyNumberFormat="1" applyFont="1" applyFill="1" applyBorder="1" applyAlignment="1" applyProtection="1">
      <alignment horizontal="center"/>
    </xf>
    <xf numFmtId="43" fontId="4" fillId="3" borderId="2" xfId="1" applyNumberFormat="1" applyFont="1" applyFill="1" applyBorder="1" applyAlignment="1" applyProtection="1">
      <alignment horizontal="center"/>
    </xf>
    <xf numFmtId="43" fontId="4" fillId="3" borderId="36" xfId="1" applyNumberFormat="1" applyFont="1" applyFill="1" applyBorder="1" applyAlignment="1" applyProtection="1">
      <alignment horizontal="center"/>
    </xf>
    <xf numFmtId="43" fontId="3" fillId="3" borderId="5"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43" fontId="4" fillId="4" borderId="2" xfId="1" applyNumberFormat="1" applyFont="1" applyFill="1" applyBorder="1" applyAlignment="1" applyProtection="1">
      <alignment horizontal="center"/>
    </xf>
    <xf numFmtId="43" fontId="4" fillId="4" borderId="36" xfId="1" applyNumberFormat="1" applyFont="1" applyFill="1" applyBorder="1" applyAlignment="1" applyProtection="1">
      <alignment horizontal="center"/>
    </xf>
    <xf numFmtId="43" fontId="3" fillId="4" borderId="32" xfId="1" applyNumberFormat="1" applyFont="1" applyFill="1" applyBorder="1" applyAlignment="1" applyProtection="1">
      <alignment horizontal="center"/>
    </xf>
    <xf numFmtId="43" fontId="3" fillId="4" borderId="28" xfId="1" applyNumberFormat="1" applyFont="1" applyFill="1" applyBorder="1" applyAlignment="1" applyProtection="1">
      <alignment horizontal="center"/>
    </xf>
    <xf numFmtId="39" fontId="10" fillId="0" borderId="1" xfId="4" applyNumberFormat="1" applyFont="1" applyFill="1" applyBorder="1" applyAlignment="1">
      <alignment horizontal="right"/>
    </xf>
  </cellXfs>
  <cellStyles count="7">
    <cellStyle name="Comma" xfId="1" builtinId="3"/>
    <cellStyle name="Currency" xfId="2" builtinId="4"/>
    <cellStyle name="Currency_Book2" xfId="3"/>
    <cellStyle name="Normal" xfId="0" builtinId="0"/>
    <cellStyle name="Normal_Book2" xfId="4"/>
    <cellStyle name="Normal_Fringe Benefits Worksheet FY07" xfId="5"/>
    <cellStyle name="Percent" xfId="6"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4"/>
  </sheetPr>
  <dimension ref="A1:AO131"/>
  <sheetViews>
    <sheetView zoomScale="80" zoomScaleNormal="80" workbookViewId="0">
      <pane xSplit="2" ySplit="6" topLeftCell="G7" activePane="bottomRight" state="frozen"/>
      <selection pane="topRight" activeCell="C1" sqref="C1"/>
      <selection pane="bottomLeft" activeCell="A7" sqref="A7"/>
      <selection pane="bottomRight" activeCell="N18" sqref="N18"/>
    </sheetView>
  </sheetViews>
  <sheetFormatPr defaultColWidth="12.42578125" defaultRowHeight="15"/>
  <cols>
    <col min="1" max="1" width="12.42578125" style="255" customWidth="1"/>
    <col min="2" max="2" width="83" style="255" customWidth="1"/>
    <col min="3" max="6" width="16" style="255" customWidth="1"/>
    <col min="7" max="7" width="14.28515625" style="255" customWidth="1"/>
    <col min="8" max="8" width="14.28515625" style="375" customWidth="1"/>
    <col min="9" max="9" width="29.85546875" style="255" bestFit="1" customWidth="1"/>
    <col min="10" max="10" width="14.28515625" style="255" hidden="1" customWidth="1"/>
    <col min="11" max="11" width="14.28515625" style="375" hidden="1" customWidth="1"/>
    <col min="12" max="12" width="83.85546875" style="376" customWidth="1"/>
    <col min="13" max="14" width="15.7109375" style="255" customWidth="1"/>
    <col min="15" max="16384" width="12.42578125" style="255"/>
  </cols>
  <sheetData>
    <row r="1" spans="1:41" ht="18">
      <c r="A1" s="284" t="s">
        <v>204</v>
      </c>
      <c r="B1" s="285"/>
      <c r="C1" s="285"/>
      <c r="D1" s="286"/>
      <c r="E1" s="503" t="s">
        <v>154</v>
      </c>
      <c r="F1" s="503"/>
      <c r="G1" s="406"/>
      <c r="H1" s="407"/>
    </row>
    <row r="2" spans="1:41" ht="18">
      <c r="A2" s="284" t="s">
        <v>155</v>
      </c>
      <c r="B2" s="285"/>
      <c r="C2" s="285"/>
      <c r="D2" s="286"/>
      <c r="E2" s="287" t="s">
        <v>92</v>
      </c>
      <c r="F2" s="288" t="s">
        <v>93</v>
      </c>
      <c r="G2" s="408"/>
      <c r="H2" s="409"/>
    </row>
    <row r="3" spans="1:41" ht="15.75">
      <c r="A3" s="289"/>
      <c r="B3" s="289"/>
      <c r="C3" s="410"/>
      <c r="D3" s="289"/>
      <c r="E3" s="287" t="s">
        <v>94</v>
      </c>
      <c r="F3" s="288" t="s">
        <v>95</v>
      </c>
      <c r="G3" s="411"/>
      <c r="H3" s="412"/>
      <c r="J3" s="377"/>
      <c r="R3" s="377"/>
      <c r="AA3" s="377"/>
      <c r="AJ3" s="377"/>
    </row>
    <row r="4" spans="1:41" ht="15.75">
      <c r="A4" s="289"/>
      <c r="B4" s="289"/>
      <c r="C4" s="410"/>
      <c r="D4" s="289"/>
      <c r="E4" s="287"/>
      <c r="F4" s="290"/>
      <c r="G4" s="411"/>
      <c r="H4" s="412"/>
      <c r="J4" s="377"/>
      <c r="R4" s="377"/>
      <c r="AA4" s="377"/>
      <c r="AJ4" s="377"/>
    </row>
    <row r="5" spans="1:41" s="257" customFormat="1" ht="34.5" customHeight="1">
      <c r="A5" s="499" t="s">
        <v>96</v>
      </c>
      <c r="B5" s="500"/>
      <c r="C5" s="498" t="s">
        <v>97</v>
      </c>
      <c r="D5" s="498"/>
      <c r="E5" s="256" t="s">
        <v>98</v>
      </c>
      <c r="F5" s="256" t="s">
        <v>99</v>
      </c>
      <c r="G5" s="504" t="s">
        <v>227</v>
      </c>
      <c r="H5" s="505"/>
      <c r="I5" s="506"/>
      <c r="J5" s="504" t="s">
        <v>225</v>
      </c>
      <c r="K5" s="506"/>
      <c r="L5" s="413"/>
      <c r="R5" s="378"/>
      <c r="AA5" s="378"/>
      <c r="AJ5" s="378"/>
    </row>
    <row r="6" spans="1:41" s="258" customFormat="1" ht="15.75" customHeight="1">
      <c r="A6" s="501"/>
      <c r="B6" s="502"/>
      <c r="C6" s="256" t="s">
        <v>101</v>
      </c>
      <c r="D6" s="256" t="s">
        <v>100</v>
      </c>
      <c r="E6" s="256" t="s">
        <v>100</v>
      </c>
      <c r="F6" s="256" t="s">
        <v>100</v>
      </c>
      <c r="G6" s="373" t="s">
        <v>13</v>
      </c>
      <c r="H6" s="374" t="s">
        <v>17</v>
      </c>
      <c r="I6" s="256" t="s">
        <v>175</v>
      </c>
      <c r="J6" s="373" t="s">
        <v>13</v>
      </c>
      <c r="K6" s="374" t="s">
        <v>17</v>
      </c>
      <c r="L6" s="374" t="s">
        <v>226</v>
      </c>
      <c r="O6" s="414"/>
      <c r="W6" s="414"/>
      <c r="AF6" s="414"/>
      <c r="AO6" s="414"/>
    </row>
    <row r="7" spans="1:41" ht="15.75" customHeight="1">
      <c r="A7" s="311" t="s">
        <v>102</v>
      </c>
      <c r="B7" s="312"/>
      <c r="C7" s="313"/>
      <c r="D7" s="314"/>
      <c r="E7" s="314"/>
      <c r="F7" s="315"/>
      <c r="G7" s="315"/>
      <c r="H7" s="379"/>
      <c r="I7" s="315"/>
      <c r="J7" s="315"/>
      <c r="K7" s="379"/>
      <c r="L7" s="415"/>
      <c r="M7" s="259"/>
      <c r="N7" s="259"/>
      <c r="O7" s="416"/>
      <c r="P7" s="259"/>
      <c r="Q7" s="259"/>
      <c r="R7" s="259"/>
      <c r="S7" s="417"/>
      <c r="T7" s="259"/>
      <c r="U7" s="259"/>
      <c r="V7" s="259"/>
      <c r="W7" s="416"/>
      <c r="X7" s="259"/>
      <c r="Y7" s="377"/>
      <c r="AB7" s="418"/>
      <c r="AF7" s="419"/>
      <c r="AH7" s="377"/>
      <c r="AK7" s="418"/>
      <c r="AO7" s="419"/>
    </row>
    <row r="8" spans="1:41" ht="15.75">
      <c r="A8" s="295" t="s">
        <v>103</v>
      </c>
      <c r="B8" s="347"/>
      <c r="C8" s="293" t="s">
        <v>93</v>
      </c>
      <c r="D8" s="293" t="s">
        <v>93</v>
      </c>
      <c r="E8" s="293" t="s">
        <v>93</v>
      </c>
      <c r="F8" s="292" t="s">
        <v>93</v>
      </c>
      <c r="G8" s="302"/>
      <c r="H8" s="380"/>
      <c r="I8" s="302"/>
      <c r="J8" s="302"/>
      <c r="K8" s="380"/>
      <c r="L8" s="420"/>
      <c r="M8" s="259"/>
      <c r="N8" s="421"/>
      <c r="O8" s="416"/>
      <c r="P8" s="259"/>
      <c r="Q8" s="421"/>
      <c r="R8" s="259"/>
      <c r="S8" s="259"/>
      <c r="T8" s="259"/>
      <c r="U8" s="259"/>
      <c r="V8" s="421"/>
      <c r="W8" s="416"/>
      <c r="X8" s="259"/>
      <c r="Y8" s="377"/>
      <c r="Z8" s="377"/>
      <c r="AE8" s="377"/>
      <c r="AF8" s="419"/>
      <c r="AH8" s="377"/>
      <c r="AI8" s="377"/>
      <c r="AN8" s="377"/>
      <c r="AO8" s="419"/>
    </row>
    <row r="9" spans="1:41" ht="15.75">
      <c r="A9" s="422"/>
      <c r="B9" s="423" t="s">
        <v>251</v>
      </c>
      <c r="C9" s="293"/>
      <c r="D9" s="293"/>
      <c r="E9" s="294"/>
      <c r="F9" s="292"/>
      <c r="G9" s="351">
        <v>6.2E-2</v>
      </c>
      <c r="H9" s="381"/>
      <c r="I9" s="351" t="s">
        <v>249</v>
      </c>
      <c r="J9" s="351">
        <v>6.2E-2</v>
      </c>
      <c r="K9" s="381"/>
      <c r="L9" s="424"/>
      <c r="M9" s="259"/>
      <c r="N9" s="421"/>
      <c r="O9" s="416"/>
      <c r="P9" s="259"/>
      <c r="Q9" s="421"/>
      <c r="R9" s="259"/>
      <c r="S9" s="259"/>
      <c r="T9" s="259"/>
      <c r="U9" s="259"/>
      <c r="V9" s="421"/>
      <c r="W9" s="416"/>
      <c r="X9" s="259"/>
      <c r="Y9" s="377"/>
      <c r="Z9" s="377"/>
      <c r="AE9" s="377"/>
      <c r="AF9" s="419"/>
      <c r="AH9" s="377"/>
      <c r="AI9" s="377"/>
      <c r="AN9" s="377"/>
      <c r="AO9" s="419"/>
    </row>
    <row r="10" spans="1:41" ht="15.75">
      <c r="A10" s="295" t="s">
        <v>104</v>
      </c>
      <c r="B10" s="291"/>
      <c r="C10" s="293" t="s">
        <v>93</v>
      </c>
      <c r="D10" s="293" t="s">
        <v>93</v>
      </c>
      <c r="E10" s="293" t="s">
        <v>93</v>
      </c>
      <c r="F10" s="292" t="s">
        <v>93</v>
      </c>
      <c r="G10" s="352">
        <v>113700</v>
      </c>
      <c r="H10" s="382"/>
      <c r="I10" s="352" t="s">
        <v>199</v>
      </c>
      <c r="J10" s="352">
        <v>106800</v>
      </c>
      <c r="K10" s="382"/>
      <c r="L10" s="425" t="s">
        <v>250</v>
      </c>
      <c r="M10" s="259"/>
      <c r="N10" s="259"/>
      <c r="O10" s="416"/>
      <c r="P10" s="259"/>
      <c r="Q10" s="259"/>
      <c r="R10" s="259"/>
      <c r="S10" s="259"/>
      <c r="T10" s="259"/>
      <c r="U10" s="259"/>
      <c r="V10" s="259"/>
      <c r="W10" s="416"/>
      <c r="X10" s="259"/>
      <c r="Y10" s="377"/>
      <c r="AF10" s="419"/>
      <c r="AH10" s="377"/>
      <c r="AO10" s="419"/>
    </row>
    <row r="11" spans="1:41" ht="15.75">
      <c r="A11" s="296"/>
      <c r="B11" s="297" t="s">
        <v>105</v>
      </c>
      <c r="C11" s="293"/>
      <c r="D11" s="293"/>
      <c r="E11" s="293"/>
      <c r="F11" s="292"/>
      <c r="G11" s="351">
        <v>1.4500000000000001E-2</v>
      </c>
      <c r="H11" s="381"/>
      <c r="I11" s="351"/>
      <c r="J11" s="351">
        <v>1.4500000000000001E-2</v>
      </c>
      <c r="K11" s="381"/>
      <c r="L11" s="424"/>
      <c r="M11" s="259"/>
      <c r="N11" s="259"/>
      <c r="O11" s="416"/>
      <c r="P11" s="259"/>
      <c r="Q11" s="259"/>
      <c r="R11" s="259"/>
      <c r="S11" s="259"/>
      <c r="T11" s="259"/>
      <c r="U11" s="259"/>
      <c r="V11" s="259"/>
      <c r="W11" s="416"/>
      <c r="X11" s="259"/>
      <c r="AF11" s="419"/>
      <c r="AO11" s="419"/>
    </row>
    <row r="12" spans="1:41" ht="15.75">
      <c r="A12" s="295" t="s">
        <v>106</v>
      </c>
      <c r="B12" s="291"/>
      <c r="C12" s="293"/>
      <c r="D12" s="293"/>
      <c r="E12" s="298"/>
      <c r="F12" s="292"/>
      <c r="G12" s="383"/>
      <c r="H12" s="384"/>
      <c r="I12" s="383"/>
      <c r="J12" s="383"/>
      <c r="K12" s="384"/>
      <c r="L12" s="426"/>
      <c r="M12" s="416"/>
      <c r="N12" s="259"/>
      <c r="O12" s="416"/>
      <c r="P12" s="259"/>
      <c r="Q12" s="259"/>
      <c r="R12" s="259"/>
      <c r="S12" s="259"/>
      <c r="T12" s="259"/>
      <c r="U12" s="416"/>
      <c r="V12" s="259"/>
      <c r="W12" s="416"/>
      <c r="X12" s="259"/>
      <c r="Y12" s="377"/>
      <c r="AD12" s="419"/>
      <c r="AF12" s="419"/>
      <c r="AH12" s="377"/>
      <c r="AM12" s="419"/>
      <c r="AO12" s="419"/>
    </row>
    <row r="13" spans="1:41" ht="15.75">
      <c r="A13" s="296"/>
      <c r="B13" s="297" t="s">
        <v>107</v>
      </c>
      <c r="C13" s="293"/>
      <c r="D13" s="293"/>
      <c r="E13" s="293"/>
      <c r="F13" s="292"/>
      <c r="G13" s="302"/>
      <c r="H13" s="380"/>
      <c r="I13" s="302"/>
      <c r="J13" s="302"/>
      <c r="K13" s="380"/>
      <c r="L13" s="420"/>
      <c r="M13" s="259"/>
      <c r="N13" s="259"/>
      <c r="O13" s="416"/>
      <c r="P13" s="259"/>
      <c r="Q13" s="259"/>
      <c r="R13" s="259"/>
      <c r="S13" s="259"/>
      <c r="T13" s="259"/>
      <c r="U13" s="259"/>
      <c r="V13" s="259"/>
      <c r="W13" s="416"/>
      <c r="X13" s="259"/>
      <c r="Y13" s="377"/>
      <c r="AF13" s="419"/>
      <c r="AH13" s="377"/>
      <c r="AO13" s="419"/>
    </row>
    <row r="14" spans="1:41" ht="15.75">
      <c r="A14" s="299" t="s">
        <v>108</v>
      </c>
      <c r="B14" s="291"/>
      <c r="C14" s="293" t="s">
        <v>95</v>
      </c>
      <c r="D14" s="293" t="s">
        <v>93</v>
      </c>
      <c r="E14" s="293" t="s">
        <v>93</v>
      </c>
      <c r="F14" s="292" t="s">
        <v>93</v>
      </c>
      <c r="G14" s="346">
        <v>0.14230000000000001</v>
      </c>
      <c r="H14" s="381"/>
      <c r="I14" s="346"/>
      <c r="J14" s="346">
        <v>0.1051</v>
      </c>
      <c r="K14" s="381"/>
      <c r="L14" s="424"/>
      <c r="M14" s="259"/>
      <c r="N14" s="259"/>
      <c r="O14" s="416"/>
      <c r="P14" s="259"/>
      <c r="Q14" s="259"/>
      <c r="R14" s="259"/>
      <c r="S14" s="259"/>
      <c r="T14" s="259"/>
      <c r="U14" s="259"/>
      <c r="V14" s="259"/>
      <c r="W14" s="416"/>
      <c r="X14" s="259"/>
      <c r="AF14" s="419"/>
      <c r="AO14" s="419"/>
    </row>
    <row r="15" spans="1:41" ht="15.75">
      <c r="A15" s="295"/>
      <c r="B15" s="291" t="s">
        <v>109</v>
      </c>
      <c r="C15" s="293"/>
      <c r="D15" s="293"/>
      <c r="E15" s="293"/>
      <c r="F15" s="292"/>
      <c r="G15" s="352">
        <v>375000</v>
      </c>
      <c r="H15" s="382"/>
      <c r="I15" s="352" t="s">
        <v>176</v>
      </c>
      <c r="J15" s="352">
        <v>360000</v>
      </c>
      <c r="K15" s="382"/>
      <c r="L15" s="425"/>
      <c r="M15" s="259"/>
      <c r="N15" s="259"/>
      <c r="O15" s="416"/>
      <c r="P15" s="259"/>
      <c r="Q15" s="259"/>
      <c r="R15" s="259"/>
      <c r="S15" s="259"/>
      <c r="T15" s="259"/>
      <c r="U15" s="259"/>
      <c r="V15" s="259"/>
      <c r="W15" s="416"/>
      <c r="X15" s="259"/>
      <c r="Y15" s="377"/>
      <c r="AF15" s="419"/>
      <c r="AH15" s="377"/>
      <c r="AO15" s="419"/>
    </row>
    <row r="16" spans="1:41" ht="15.75">
      <c r="A16" s="299"/>
      <c r="B16" s="291" t="s">
        <v>234</v>
      </c>
      <c r="C16" s="293"/>
      <c r="D16" s="293"/>
      <c r="E16" s="293"/>
      <c r="F16" s="292"/>
      <c r="G16" s="352">
        <v>250000</v>
      </c>
      <c r="H16" s="382"/>
      <c r="I16" s="352" t="s">
        <v>177</v>
      </c>
      <c r="J16" s="352">
        <v>245000</v>
      </c>
      <c r="K16" s="382"/>
      <c r="L16" s="425"/>
      <c r="M16" s="259"/>
      <c r="N16" s="259"/>
      <c r="O16" s="416"/>
      <c r="P16" s="259"/>
      <c r="Q16" s="259"/>
      <c r="R16" s="259"/>
      <c r="S16" s="259"/>
      <c r="T16" s="259"/>
      <c r="U16" s="259"/>
      <c r="V16" s="259"/>
      <c r="W16" s="416"/>
      <c r="X16" s="259"/>
      <c r="Y16" s="377"/>
      <c r="AF16" s="419"/>
      <c r="AH16" s="377"/>
      <c r="AO16" s="419"/>
    </row>
    <row r="17" spans="1:41" ht="15.75">
      <c r="A17" s="299"/>
      <c r="B17" s="291" t="s">
        <v>231</v>
      </c>
      <c r="C17" s="293"/>
      <c r="D17" s="293"/>
      <c r="E17" s="293"/>
      <c r="F17" s="292"/>
      <c r="G17" s="302"/>
      <c r="H17" s="380"/>
      <c r="I17" s="302"/>
      <c r="J17" s="302"/>
      <c r="K17" s="380"/>
      <c r="L17" s="420"/>
      <c r="M17" s="259"/>
      <c r="N17" s="259"/>
      <c r="O17" s="416"/>
      <c r="P17" s="259"/>
      <c r="Q17" s="259"/>
      <c r="R17" s="259"/>
      <c r="S17" s="259"/>
      <c r="T17" s="259"/>
      <c r="U17" s="259"/>
      <c r="V17" s="259"/>
      <c r="W17" s="416"/>
      <c r="X17" s="259"/>
      <c r="Y17" s="377"/>
      <c r="AF17" s="419"/>
      <c r="AH17" s="377"/>
      <c r="AO17" s="419"/>
    </row>
    <row r="18" spans="1:41" ht="15.75">
      <c r="A18" s="299"/>
      <c r="B18" s="347" t="s">
        <v>232</v>
      </c>
      <c r="C18" s="293"/>
      <c r="D18" s="293"/>
      <c r="E18" s="293"/>
      <c r="F18" s="292"/>
      <c r="G18" s="302"/>
      <c r="H18" s="380"/>
      <c r="I18" s="302"/>
      <c r="J18" s="302"/>
      <c r="K18" s="380"/>
      <c r="L18" s="420"/>
      <c r="M18" s="259"/>
      <c r="N18" s="259"/>
      <c r="O18" s="416"/>
      <c r="P18" s="259"/>
      <c r="Q18" s="259"/>
      <c r="R18" s="259"/>
      <c r="S18" s="259"/>
      <c r="T18" s="259"/>
      <c r="U18" s="259"/>
      <c r="V18" s="259"/>
      <c r="W18" s="416"/>
      <c r="X18" s="259"/>
      <c r="Y18" s="377"/>
      <c r="AF18" s="419"/>
      <c r="AH18" s="377"/>
      <c r="AO18" s="419"/>
    </row>
    <row r="19" spans="1:41" ht="15.75">
      <c r="A19" s="295" t="s">
        <v>110</v>
      </c>
      <c r="B19" s="291"/>
      <c r="C19" s="293"/>
      <c r="D19" s="293"/>
      <c r="E19" s="293"/>
      <c r="F19" s="292"/>
      <c r="G19" s="302"/>
      <c r="H19" s="380"/>
      <c r="I19" s="302"/>
      <c r="J19" s="302"/>
      <c r="K19" s="380"/>
      <c r="L19" s="420"/>
      <c r="M19" s="259"/>
      <c r="N19" s="259"/>
      <c r="O19" s="416"/>
      <c r="P19" s="259"/>
      <c r="Q19" s="259"/>
      <c r="R19" s="259"/>
      <c r="S19" s="259"/>
      <c r="T19" s="259"/>
      <c r="U19" s="259"/>
      <c r="V19" s="259"/>
      <c r="W19" s="416"/>
      <c r="X19" s="259"/>
      <c r="Y19" s="377"/>
      <c r="AF19" s="419"/>
      <c r="AH19" s="377"/>
      <c r="AO19" s="419"/>
    </row>
    <row r="20" spans="1:41" ht="15.75">
      <c r="A20" s="295" t="s">
        <v>111</v>
      </c>
      <c r="B20" s="291"/>
      <c r="C20" s="293" t="s">
        <v>95</v>
      </c>
      <c r="D20" s="293" t="s">
        <v>93</v>
      </c>
      <c r="E20" s="293" t="s">
        <v>93</v>
      </c>
      <c r="F20" s="292" t="s">
        <v>95</v>
      </c>
      <c r="G20" s="346">
        <v>0.1258</v>
      </c>
      <c r="H20" s="381"/>
      <c r="I20" s="346"/>
      <c r="J20" s="346">
        <v>0.1226</v>
      </c>
      <c r="K20" s="381"/>
      <c r="L20" s="424"/>
      <c r="M20" s="259"/>
      <c r="N20" s="259"/>
      <c r="O20" s="416"/>
      <c r="P20" s="259"/>
      <c r="Q20" s="259"/>
      <c r="R20" s="259"/>
      <c r="S20" s="259"/>
      <c r="T20" s="259"/>
      <c r="U20" s="259"/>
      <c r="V20" s="259"/>
      <c r="W20" s="416"/>
      <c r="X20" s="259"/>
      <c r="Y20" s="377"/>
      <c r="AF20" s="419"/>
      <c r="AH20" s="377"/>
      <c r="AO20" s="419"/>
    </row>
    <row r="21" spans="1:41" ht="15.75">
      <c r="A21" s="299"/>
      <c r="B21" s="347" t="s">
        <v>112</v>
      </c>
      <c r="C21" s="293"/>
      <c r="D21" s="293"/>
      <c r="E21" s="293"/>
      <c r="F21" s="292"/>
      <c r="G21" s="352">
        <v>375000</v>
      </c>
      <c r="H21" s="382"/>
      <c r="I21" s="352" t="s">
        <v>176</v>
      </c>
      <c r="J21" s="352">
        <v>360000</v>
      </c>
      <c r="K21" s="382"/>
      <c r="L21" s="425"/>
      <c r="M21" s="259"/>
      <c r="N21" s="259"/>
      <c r="O21" s="416"/>
      <c r="P21" s="259"/>
      <c r="Q21" s="421"/>
      <c r="R21" s="259"/>
      <c r="S21" s="259"/>
      <c r="T21" s="259"/>
      <c r="U21" s="259"/>
      <c r="V21" s="259"/>
      <c r="W21" s="416"/>
      <c r="X21" s="259"/>
      <c r="Z21" s="377"/>
      <c r="AF21" s="419"/>
      <c r="AI21" s="377"/>
      <c r="AO21" s="419"/>
    </row>
    <row r="22" spans="1:41" ht="15.75">
      <c r="A22" s="295"/>
      <c r="B22" s="291" t="s">
        <v>113</v>
      </c>
      <c r="C22" s="293"/>
      <c r="D22" s="293"/>
      <c r="E22" s="293"/>
      <c r="F22" s="292"/>
      <c r="G22" s="352">
        <v>250000</v>
      </c>
      <c r="H22" s="382"/>
      <c r="I22" s="352" t="s">
        <v>177</v>
      </c>
      <c r="J22" s="352">
        <v>245000</v>
      </c>
      <c r="K22" s="382"/>
      <c r="L22" s="425"/>
      <c r="M22" s="259"/>
      <c r="N22" s="259"/>
      <c r="O22" s="416"/>
      <c r="P22" s="259"/>
      <c r="Q22" s="259"/>
      <c r="R22" s="259"/>
      <c r="S22" s="259"/>
      <c r="T22" s="259"/>
      <c r="U22" s="259"/>
      <c r="V22" s="259"/>
      <c r="W22" s="416"/>
      <c r="X22" s="259"/>
      <c r="Y22" s="377"/>
      <c r="AF22" s="419"/>
      <c r="AH22" s="377"/>
      <c r="AO22" s="419"/>
    </row>
    <row r="23" spans="1:41" ht="15.75">
      <c r="A23" s="299"/>
      <c r="B23" s="291" t="s">
        <v>233</v>
      </c>
      <c r="C23" s="293"/>
      <c r="D23" s="293"/>
      <c r="E23" s="293"/>
      <c r="F23" s="292"/>
      <c r="G23" s="302"/>
      <c r="H23" s="380"/>
      <c r="I23" s="302"/>
      <c r="J23" s="302"/>
      <c r="K23" s="380"/>
      <c r="L23" s="420"/>
      <c r="M23" s="259"/>
      <c r="N23" s="259"/>
      <c r="O23" s="416"/>
      <c r="P23" s="259"/>
      <c r="Q23" s="259"/>
      <c r="R23" s="259"/>
      <c r="S23" s="259"/>
      <c r="T23" s="259"/>
      <c r="U23" s="259"/>
      <c r="V23" s="259"/>
      <c r="W23" s="416"/>
      <c r="X23" s="259"/>
      <c r="AF23" s="419"/>
      <c r="AO23" s="419"/>
    </row>
    <row r="24" spans="1:41" ht="15.75">
      <c r="A24" s="295"/>
      <c r="B24" s="291" t="s">
        <v>231</v>
      </c>
      <c r="C24" s="293"/>
      <c r="D24" s="293"/>
      <c r="E24" s="293"/>
      <c r="F24" s="292"/>
      <c r="G24" s="302"/>
      <c r="H24" s="380"/>
      <c r="I24" s="302"/>
      <c r="J24" s="302"/>
      <c r="K24" s="380"/>
      <c r="L24" s="420"/>
      <c r="M24" s="259"/>
      <c r="N24" s="259"/>
      <c r="O24" s="427"/>
      <c r="P24" s="259"/>
      <c r="Q24" s="259"/>
      <c r="R24" s="259"/>
      <c r="S24" s="259"/>
      <c r="T24" s="259"/>
      <c r="U24" s="259"/>
      <c r="V24" s="259"/>
      <c r="W24" s="427"/>
      <c r="X24" s="259"/>
      <c r="Y24" s="377"/>
      <c r="AF24" s="428"/>
      <c r="AH24" s="377"/>
      <c r="AO24" s="428"/>
    </row>
    <row r="25" spans="1:41" ht="15.75">
      <c r="A25" s="299"/>
      <c r="B25" s="347" t="s">
        <v>232</v>
      </c>
      <c r="C25" s="293"/>
      <c r="D25" s="293"/>
      <c r="E25" s="293"/>
      <c r="F25" s="292"/>
      <c r="G25" s="383"/>
      <c r="H25" s="384"/>
      <c r="I25" s="383"/>
      <c r="J25" s="383"/>
      <c r="K25" s="384"/>
      <c r="L25" s="426"/>
      <c r="M25" s="259"/>
      <c r="N25" s="259"/>
      <c r="O25" s="416"/>
      <c r="P25" s="421"/>
      <c r="Q25" s="421"/>
      <c r="R25" s="259"/>
      <c r="S25" s="259"/>
      <c r="T25" s="259"/>
      <c r="U25" s="259"/>
      <c r="V25" s="259"/>
      <c r="W25" s="416"/>
      <c r="X25" s="259"/>
      <c r="Z25" s="377"/>
      <c r="AF25" s="419"/>
      <c r="AI25" s="377"/>
      <c r="AO25" s="419"/>
    </row>
    <row r="26" spans="1:41" ht="15.75">
      <c r="A26" s="295" t="s">
        <v>114</v>
      </c>
      <c r="B26" s="291"/>
      <c r="C26" s="293" t="s">
        <v>93</v>
      </c>
      <c r="D26" s="293" t="s">
        <v>93</v>
      </c>
      <c r="E26" s="293" t="s">
        <v>93</v>
      </c>
      <c r="F26" s="292" t="s">
        <v>93</v>
      </c>
      <c r="G26" s="302"/>
      <c r="H26" s="380"/>
      <c r="I26" s="302"/>
      <c r="J26" s="302"/>
      <c r="K26" s="380"/>
      <c r="L26" s="420"/>
      <c r="M26" s="259"/>
      <c r="N26" s="259"/>
      <c r="O26" s="416"/>
      <c r="P26" s="259"/>
      <c r="Q26" s="259"/>
      <c r="R26" s="259"/>
      <c r="S26" s="259"/>
      <c r="T26" s="259"/>
      <c r="U26" s="259"/>
      <c r="V26" s="259"/>
      <c r="W26" s="416"/>
      <c r="X26" s="259"/>
      <c r="Y26" s="377"/>
      <c r="AF26" s="419"/>
      <c r="AH26" s="377"/>
      <c r="AO26" s="419"/>
    </row>
    <row r="27" spans="1:41" ht="15.75">
      <c r="A27" s="299"/>
      <c r="B27" s="347" t="s">
        <v>228</v>
      </c>
      <c r="C27" s="293"/>
      <c r="D27" s="293"/>
      <c r="E27" s="293"/>
      <c r="F27" s="292"/>
      <c r="G27" s="346">
        <v>3.5000000000000001E-3</v>
      </c>
      <c r="H27" s="381"/>
      <c r="I27" s="346"/>
      <c r="J27" s="346">
        <v>4.0000000000000001E-3</v>
      </c>
      <c r="K27" s="381"/>
      <c r="L27" s="424"/>
      <c r="M27" s="259"/>
      <c r="N27" s="259"/>
      <c r="O27" s="416"/>
      <c r="P27" s="259"/>
      <c r="Q27" s="421"/>
      <c r="R27" s="259"/>
      <c r="S27" s="259"/>
      <c r="T27" s="259"/>
      <c r="U27" s="259"/>
      <c r="V27" s="259"/>
      <c r="W27" s="416"/>
      <c r="X27" s="259"/>
      <c r="Z27" s="377"/>
      <c r="AF27" s="419"/>
      <c r="AI27" s="377"/>
      <c r="AO27" s="419"/>
    </row>
    <row r="28" spans="1:41" ht="15.75">
      <c r="A28" s="299"/>
      <c r="B28" s="347" t="s">
        <v>115</v>
      </c>
      <c r="C28" s="293"/>
      <c r="D28" s="293"/>
      <c r="E28" s="293"/>
      <c r="F28" s="292"/>
      <c r="G28" s="302"/>
      <c r="H28" s="380"/>
      <c r="I28" s="302"/>
      <c r="J28" s="302"/>
      <c r="K28" s="380"/>
      <c r="L28" s="420"/>
      <c r="M28" s="259"/>
      <c r="N28" s="259"/>
      <c r="O28" s="416"/>
      <c r="P28" s="259"/>
      <c r="Q28" s="421"/>
      <c r="R28" s="259"/>
      <c r="S28" s="259"/>
      <c r="T28" s="259"/>
      <c r="U28" s="259"/>
      <c r="V28" s="259"/>
      <c r="W28" s="416"/>
      <c r="X28" s="259"/>
      <c r="Z28" s="377"/>
      <c r="AF28" s="419"/>
      <c r="AI28" s="377"/>
      <c r="AO28" s="419"/>
    </row>
    <row r="29" spans="1:41" ht="15.75">
      <c r="A29" s="299" t="s">
        <v>116</v>
      </c>
      <c r="B29" s="291"/>
      <c r="C29" s="293" t="s">
        <v>95</v>
      </c>
      <c r="D29" s="293" t="s">
        <v>93</v>
      </c>
      <c r="E29" s="293" t="s">
        <v>93</v>
      </c>
      <c r="F29" s="292" t="s">
        <v>93</v>
      </c>
      <c r="G29" s="385">
        <f>H29/12</f>
        <v>432.66</v>
      </c>
      <c r="H29" s="386">
        <v>5191.92</v>
      </c>
      <c r="I29" s="302" t="s">
        <v>193</v>
      </c>
      <c r="J29" s="385">
        <f>K29/12</f>
        <v>410.8</v>
      </c>
      <c r="K29" s="386">
        <v>4929.6000000000004</v>
      </c>
      <c r="L29" s="429"/>
      <c r="M29" s="259"/>
      <c r="N29" s="430"/>
      <c r="O29" s="416"/>
      <c r="P29" s="259"/>
      <c r="Q29" s="259"/>
      <c r="R29" s="259"/>
      <c r="S29" s="259"/>
      <c r="T29" s="259"/>
      <c r="U29" s="259"/>
      <c r="V29" s="259"/>
      <c r="W29" s="416"/>
      <c r="X29" s="259"/>
      <c r="AF29" s="419"/>
      <c r="AO29" s="419"/>
    </row>
    <row r="30" spans="1:41" ht="15.75">
      <c r="A30" s="295"/>
      <c r="B30" s="347" t="s">
        <v>117</v>
      </c>
      <c r="C30" s="293"/>
      <c r="D30" s="293"/>
      <c r="E30" s="293"/>
      <c r="F30" s="292"/>
      <c r="G30" s="385">
        <f>H30/12</f>
        <v>432.66</v>
      </c>
      <c r="H30" s="386">
        <v>5191.92</v>
      </c>
      <c r="I30" s="302" t="s">
        <v>192</v>
      </c>
      <c r="J30" s="385">
        <f>K30/12</f>
        <v>410.8</v>
      </c>
      <c r="K30" s="386">
        <v>4929.6000000000004</v>
      </c>
      <c r="L30" s="429"/>
      <c r="M30" s="259"/>
      <c r="N30" s="259"/>
      <c r="O30" s="416"/>
      <c r="P30" s="259"/>
      <c r="Q30" s="259"/>
      <c r="R30" s="259"/>
      <c r="S30" s="259"/>
      <c r="T30" s="259"/>
      <c r="U30" s="259"/>
      <c r="V30" s="259"/>
      <c r="W30" s="416"/>
      <c r="X30" s="259"/>
      <c r="Y30" s="377"/>
      <c r="AF30" s="419"/>
      <c r="AH30" s="377"/>
      <c r="AO30" s="419"/>
    </row>
    <row r="31" spans="1:41" ht="15.75">
      <c r="A31" s="295"/>
      <c r="B31" s="347" t="s">
        <v>118</v>
      </c>
      <c r="C31" s="293"/>
      <c r="D31" s="293"/>
      <c r="E31" s="293"/>
      <c r="F31" s="292"/>
      <c r="G31" s="302"/>
      <c r="H31" s="380"/>
      <c r="I31" s="302"/>
      <c r="J31" s="302"/>
      <c r="K31" s="380"/>
      <c r="L31" s="420"/>
      <c r="M31" s="259"/>
      <c r="N31" s="259"/>
      <c r="O31" s="416"/>
      <c r="P31" s="259"/>
      <c r="Q31" s="259"/>
      <c r="R31" s="259"/>
      <c r="S31" s="259"/>
      <c r="T31" s="259"/>
      <c r="U31" s="259"/>
      <c r="V31" s="259"/>
      <c r="W31" s="416"/>
      <c r="X31" s="259"/>
      <c r="Y31" s="377"/>
      <c r="AF31" s="419"/>
      <c r="AH31" s="377"/>
      <c r="AO31" s="419"/>
    </row>
    <row r="32" spans="1:41" ht="15.75">
      <c r="A32" s="295"/>
      <c r="B32" s="347"/>
      <c r="C32" s="292" t="s">
        <v>93</v>
      </c>
      <c r="D32" s="292" t="s">
        <v>93</v>
      </c>
      <c r="E32" s="292" t="s">
        <v>93</v>
      </c>
      <c r="F32" s="292" t="s">
        <v>93</v>
      </c>
      <c r="G32" s="404">
        <v>2.4099999999999998E-3</v>
      </c>
      <c r="H32" s="388"/>
      <c r="I32" s="387" t="s">
        <v>173</v>
      </c>
      <c r="J32" s="387">
        <v>2.3999999999999998E-3</v>
      </c>
      <c r="K32" s="380"/>
      <c r="L32" s="420"/>
      <c r="M32" s="259"/>
      <c r="N32" s="259"/>
      <c r="O32" s="416"/>
      <c r="P32" s="259"/>
      <c r="Q32" s="259"/>
      <c r="R32" s="259"/>
      <c r="S32" s="259"/>
      <c r="T32" s="259"/>
      <c r="U32" s="259"/>
      <c r="V32" s="259"/>
      <c r="W32" s="416"/>
      <c r="X32" s="259"/>
      <c r="Y32" s="377"/>
      <c r="AF32" s="419"/>
      <c r="AH32" s="377"/>
      <c r="AO32" s="419"/>
    </row>
    <row r="33" spans="1:41" ht="15.75">
      <c r="A33" s="300"/>
      <c r="B33" s="431"/>
      <c r="C33" s="292" t="s">
        <v>93</v>
      </c>
      <c r="D33" s="292" t="s">
        <v>93</v>
      </c>
      <c r="E33" s="292" t="s">
        <v>93</v>
      </c>
      <c r="F33" s="292" t="s">
        <v>93</v>
      </c>
      <c r="G33" s="404">
        <v>5.4000000000000003E-3</v>
      </c>
      <c r="H33" s="388"/>
      <c r="I33" s="387" t="s">
        <v>235</v>
      </c>
      <c r="J33" s="387">
        <v>5.4000000000000003E-3</v>
      </c>
      <c r="K33" s="388"/>
      <c r="L33" s="432" t="s">
        <v>236</v>
      </c>
      <c r="M33" s="259"/>
      <c r="N33" s="259"/>
      <c r="O33" s="416"/>
      <c r="P33" s="259"/>
      <c r="Q33" s="421"/>
      <c r="R33" s="259"/>
      <c r="S33" s="259"/>
      <c r="T33" s="259"/>
      <c r="U33" s="259"/>
      <c r="V33" s="259"/>
      <c r="W33" s="416"/>
      <c r="X33" s="259"/>
      <c r="Z33" s="377"/>
      <c r="AF33" s="419"/>
      <c r="AI33" s="377"/>
      <c r="AO33" s="419"/>
    </row>
    <row r="34" spans="1:41" ht="15.75">
      <c r="A34" s="316" t="s">
        <v>119</v>
      </c>
      <c r="B34" s="317"/>
      <c r="C34" s="330"/>
      <c r="D34" s="330"/>
      <c r="E34" s="330"/>
      <c r="F34" s="497"/>
      <c r="G34" s="330"/>
      <c r="H34" s="389"/>
      <c r="I34" s="330"/>
      <c r="J34" s="330"/>
      <c r="K34" s="389"/>
      <c r="L34" s="433" t="s">
        <v>216</v>
      </c>
      <c r="M34" s="259"/>
      <c r="N34" s="259"/>
      <c r="O34" s="416"/>
      <c r="P34" s="259"/>
      <c r="Q34" s="259"/>
      <c r="R34" s="259"/>
      <c r="S34" s="259"/>
      <c r="T34" s="259"/>
      <c r="U34" s="259"/>
      <c r="V34" s="259"/>
      <c r="W34" s="416"/>
      <c r="X34" s="259"/>
      <c r="Y34" s="377"/>
      <c r="AF34" s="419"/>
      <c r="AH34" s="377"/>
      <c r="AO34" s="419"/>
    </row>
    <row r="35" spans="1:41" ht="15.75">
      <c r="A35" s="299" t="s">
        <v>120</v>
      </c>
      <c r="B35" s="347"/>
      <c r="C35" s="293" t="s">
        <v>93</v>
      </c>
      <c r="D35" s="293" t="s">
        <v>93</v>
      </c>
      <c r="E35" s="293" t="s">
        <v>95</v>
      </c>
      <c r="F35" s="292" t="s">
        <v>95</v>
      </c>
      <c r="G35" s="385">
        <v>22.76</v>
      </c>
      <c r="H35" s="386">
        <f>G35*12</f>
        <v>273.12</v>
      </c>
      <c r="I35" s="302" t="s">
        <v>20</v>
      </c>
      <c r="J35" s="385"/>
      <c r="K35" s="386"/>
      <c r="L35" s="429"/>
      <c r="M35" s="421"/>
      <c r="N35" s="259"/>
      <c r="O35" s="416"/>
      <c r="P35" s="259"/>
      <c r="Q35" s="259"/>
      <c r="R35" s="259"/>
      <c r="S35" s="259"/>
      <c r="T35" s="259"/>
      <c r="U35" s="259"/>
      <c r="V35" s="259"/>
      <c r="W35" s="416"/>
      <c r="X35" s="259"/>
      <c r="Y35" s="377"/>
      <c r="AF35" s="419"/>
      <c r="AH35" s="377"/>
      <c r="AO35" s="419"/>
    </row>
    <row r="36" spans="1:41" ht="15.75">
      <c r="A36" s="299"/>
      <c r="B36" s="291" t="s">
        <v>117</v>
      </c>
      <c r="C36" s="293"/>
      <c r="D36" s="293"/>
      <c r="E36" s="293"/>
      <c r="F36" s="292"/>
      <c r="G36" s="385">
        <v>286.16000000000003</v>
      </c>
      <c r="H36" s="386">
        <f>G36*12+H35</f>
        <v>3707.04</v>
      </c>
      <c r="I36" s="302" t="s">
        <v>178</v>
      </c>
      <c r="J36" s="385">
        <f>K36/12</f>
        <v>237.62</v>
      </c>
      <c r="K36" s="386">
        <v>2851.44</v>
      </c>
      <c r="L36" s="429"/>
      <c r="M36" s="421"/>
      <c r="N36" s="259"/>
      <c r="O36" s="416"/>
      <c r="P36" s="259"/>
      <c r="Q36" s="259"/>
      <c r="R36" s="259"/>
      <c r="S36" s="259"/>
      <c r="T36" s="259"/>
      <c r="U36" s="259"/>
      <c r="V36" s="259"/>
      <c r="W36" s="416"/>
      <c r="X36" s="259"/>
      <c r="Y36" s="377"/>
      <c r="AF36" s="419"/>
      <c r="AH36" s="377"/>
      <c r="AO36" s="419"/>
    </row>
    <row r="37" spans="1:41" ht="15.75">
      <c r="A37" s="299"/>
      <c r="B37" s="291" t="s">
        <v>118</v>
      </c>
      <c r="C37" s="293"/>
      <c r="D37" s="293"/>
      <c r="E37" s="293"/>
      <c r="F37" s="292"/>
      <c r="G37" s="385">
        <v>629.64</v>
      </c>
      <c r="H37" s="386">
        <f>G37*12+H35</f>
        <v>7828.8</v>
      </c>
      <c r="I37" s="302" t="s">
        <v>179</v>
      </c>
      <c r="J37" s="385">
        <f>K37/12</f>
        <v>547.48</v>
      </c>
      <c r="K37" s="386">
        <v>6569.76</v>
      </c>
      <c r="L37" s="429"/>
      <c r="M37" s="421"/>
      <c r="N37" s="259"/>
      <c r="O37" s="416"/>
      <c r="P37" s="259"/>
      <c r="Q37" s="259"/>
      <c r="R37" s="259"/>
      <c r="S37" s="259"/>
      <c r="T37" s="259"/>
      <c r="U37" s="259"/>
      <c r="V37" s="259"/>
      <c r="W37" s="416"/>
      <c r="X37" s="259"/>
      <c r="Y37" s="377"/>
      <c r="AF37" s="419"/>
      <c r="AH37" s="377"/>
      <c r="AO37" s="419"/>
    </row>
    <row r="38" spans="1:41" ht="15.75">
      <c r="A38" s="299"/>
      <c r="B38" s="291"/>
      <c r="C38" s="293"/>
      <c r="D38" s="293"/>
      <c r="E38" s="293"/>
      <c r="F38" s="292"/>
      <c r="G38" s="385">
        <v>666.18</v>
      </c>
      <c r="H38" s="386">
        <f>G38*12+H35</f>
        <v>8267.2800000000007</v>
      </c>
      <c r="I38" s="302" t="s">
        <v>21</v>
      </c>
      <c r="J38" s="385">
        <f>K38/12</f>
        <v>580.44000000000005</v>
      </c>
      <c r="K38" s="386">
        <v>6965.28</v>
      </c>
      <c r="L38" s="429"/>
      <c r="M38" s="421"/>
      <c r="N38" s="259"/>
      <c r="O38" s="416"/>
      <c r="P38" s="259"/>
      <c r="Q38" s="259"/>
      <c r="R38" s="259"/>
      <c r="S38" s="259"/>
      <c r="T38" s="259"/>
      <c r="U38" s="259"/>
      <c r="V38" s="259"/>
      <c r="W38" s="416"/>
      <c r="X38" s="259"/>
      <c r="Y38" s="377"/>
      <c r="AF38" s="419"/>
      <c r="AH38" s="377"/>
      <c r="AO38" s="419"/>
    </row>
    <row r="39" spans="1:41" ht="15.75">
      <c r="A39" s="295" t="s">
        <v>121</v>
      </c>
      <c r="B39" s="291"/>
      <c r="C39" s="293" t="s">
        <v>93</v>
      </c>
      <c r="D39" s="293" t="s">
        <v>93</v>
      </c>
      <c r="E39" s="302" t="s">
        <v>122</v>
      </c>
      <c r="F39" s="303" t="s">
        <v>122</v>
      </c>
      <c r="G39" s="302"/>
      <c r="H39" s="380"/>
      <c r="I39" s="302"/>
      <c r="J39" s="302"/>
      <c r="K39" s="380"/>
      <c r="L39" s="420"/>
      <c r="M39" s="421"/>
      <c r="N39" s="259"/>
      <c r="O39" s="416"/>
      <c r="P39" s="259"/>
      <c r="Q39" s="259"/>
      <c r="R39" s="259"/>
      <c r="S39" s="259"/>
      <c r="T39" s="259"/>
      <c r="U39" s="259"/>
      <c r="V39" s="259"/>
      <c r="W39" s="416"/>
      <c r="X39" s="259"/>
      <c r="Y39" s="377"/>
      <c r="AF39" s="419"/>
      <c r="AH39" s="377"/>
      <c r="AO39" s="419"/>
    </row>
    <row r="40" spans="1:41" ht="15.75">
      <c r="A40" s="295" t="s">
        <v>123</v>
      </c>
      <c r="B40" s="291"/>
      <c r="C40" s="293" t="s">
        <v>93</v>
      </c>
      <c r="D40" s="293" t="s">
        <v>93</v>
      </c>
      <c r="E40" s="293" t="s">
        <v>95</v>
      </c>
      <c r="F40" s="292" t="s">
        <v>95</v>
      </c>
      <c r="G40" s="346">
        <v>3.5000000000000003E-2</v>
      </c>
      <c r="H40" s="381"/>
      <c r="I40" s="302"/>
      <c r="J40" s="346">
        <v>3.5000000000000003E-2</v>
      </c>
      <c r="K40" s="381"/>
      <c r="L40" s="424"/>
      <c r="M40" s="421"/>
      <c r="N40" s="259"/>
      <c r="O40" s="416"/>
      <c r="P40" s="259"/>
      <c r="Q40" s="259"/>
      <c r="R40" s="259"/>
      <c r="S40" s="259"/>
      <c r="T40" s="259"/>
      <c r="U40" s="259"/>
      <c r="V40" s="259"/>
      <c r="W40" s="416"/>
      <c r="X40" s="259"/>
      <c r="Y40" s="377"/>
      <c r="AF40" s="419"/>
      <c r="AH40" s="377"/>
      <c r="AO40" s="419"/>
    </row>
    <row r="41" spans="1:41" ht="15.75">
      <c r="A41" s="299"/>
      <c r="B41" s="291" t="s">
        <v>124</v>
      </c>
      <c r="C41" s="293"/>
      <c r="D41" s="293"/>
      <c r="E41" s="293"/>
      <c r="F41" s="292"/>
      <c r="G41" s="302" t="s">
        <v>172</v>
      </c>
      <c r="H41" s="380"/>
      <c r="I41" s="346" t="s">
        <v>176</v>
      </c>
      <c r="J41" s="302" t="s">
        <v>172</v>
      </c>
      <c r="K41" s="380"/>
      <c r="L41" s="420"/>
      <c r="M41" s="421"/>
      <c r="N41" s="259"/>
      <c r="O41" s="416"/>
      <c r="P41" s="259"/>
      <c r="Q41" s="259"/>
      <c r="R41" s="259"/>
      <c r="S41" s="259"/>
      <c r="T41" s="259"/>
      <c r="U41" s="259"/>
      <c r="V41" s="259"/>
      <c r="W41" s="416"/>
      <c r="X41" s="259"/>
      <c r="Y41" s="377"/>
      <c r="AF41" s="419"/>
      <c r="AH41" s="377"/>
      <c r="AO41" s="419"/>
    </row>
    <row r="42" spans="1:41" ht="15.75">
      <c r="A42" s="299"/>
      <c r="B42" s="291" t="s">
        <v>202</v>
      </c>
      <c r="C42" s="293"/>
      <c r="D42" s="293"/>
      <c r="E42" s="293"/>
      <c r="F42" s="292"/>
      <c r="G42" s="352">
        <v>250000</v>
      </c>
      <c r="H42" s="382"/>
      <c r="I42" s="352" t="s">
        <v>177</v>
      </c>
      <c r="J42" s="352">
        <v>245000</v>
      </c>
      <c r="K42" s="382"/>
      <c r="L42" s="425"/>
      <c r="M42" s="421"/>
      <c r="N42" s="259"/>
      <c r="O42" s="416"/>
      <c r="P42" s="259"/>
      <c r="Q42" s="259"/>
      <c r="R42" s="259"/>
      <c r="S42" s="259"/>
      <c r="T42" s="259"/>
      <c r="U42" s="259"/>
      <c r="V42" s="259"/>
      <c r="W42" s="416"/>
      <c r="X42" s="259"/>
      <c r="Y42" s="377"/>
      <c r="AF42" s="419"/>
      <c r="AH42" s="377"/>
      <c r="AO42" s="419"/>
    </row>
    <row r="43" spans="1:41" ht="15.75">
      <c r="A43" s="295" t="s">
        <v>125</v>
      </c>
      <c r="B43" s="291"/>
      <c r="C43" s="293" t="s">
        <v>93</v>
      </c>
      <c r="D43" s="293" t="s">
        <v>93</v>
      </c>
      <c r="E43" s="293" t="s">
        <v>95</v>
      </c>
      <c r="F43" s="292" t="s">
        <v>95</v>
      </c>
      <c r="G43" s="390">
        <v>6.7200000000000003E-3</v>
      </c>
      <c r="H43" s="391"/>
      <c r="I43" s="352" t="s">
        <v>207</v>
      </c>
      <c r="J43" s="390">
        <v>6.7200000000000003E-3</v>
      </c>
      <c r="K43" s="391"/>
      <c r="L43" s="434"/>
      <c r="M43" s="421"/>
      <c r="N43" s="259"/>
      <c r="O43" s="416"/>
      <c r="P43" s="259"/>
      <c r="Q43" s="259"/>
      <c r="R43" s="259"/>
      <c r="S43" s="259"/>
      <c r="T43" s="259"/>
      <c r="U43" s="259"/>
      <c r="V43" s="259"/>
      <c r="W43" s="416"/>
      <c r="X43" s="259"/>
      <c r="Y43" s="377"/>
      <c r="AF43" s="419"/>
      <c r="AH43" s="377"/>
      <c r="AO43" s="419"/>
    </row>
    <row r="44" spans="1:41" ht="15" customHeight="1">
      <c r="A44" s="299"/>
      <c r="B44" s="291" t="s">
        <v>205</v>
      </c>
      <c r="C44" s="293"/>
      <c r="D44" s="304"/>
      <c r="E44" s="293"/>
      <c r="F44" s="292"/>
      <c r="G44" s="352">
        <v>250000</v>
      </c>
      <c r="H44" s="382"/>
      <c r="I44" s="302" t="s">
        <v>206</v>
      </c>
      <c r="J44" s="352">
        <v>250000</v>
      </c>
      <c r="K44" s="382"/>
      <c r="L44" s="425"/>
      <c r="M44" s="259"/>
      <c r="N44" s="259"/>
      <c r="O44" s="259"/>
      <c r="P44" s="259"/>
      <c r="Q44" s="259"/>
      <c r="R44" s="259"/>
      <c r="S44" s="259"/>
      <c r="T44" s="259"/>
      <c r="U44" s="259"/>
      <c r="V44" s="259"/>
      <c r="W44" s="259"/>
      <c r="X44" s="259"/>
    </row>
    <row r="45" spans="1:41" ht="15" customHeight="1">
      <c r="A45" s="299"/>
      <c r="B45" s="435" t="s">
        <v>126</v>
      </c>
      <c r="C45" s="293"/>
      <c r="D45" s="305"/>
      <c r="E45" s="293"/>
      <c r="F45" s="292"/>
      <c r="G45" s="368">
        <f>3.19*12</f>
        <v>38.28</v>
      </c>
      <c r="H45" s="392"/>
      <c r="I45" s="302" t="s">
        <v>174</v>
      </c>
      <c r="J45" s="368">
        <f>3.19*12</f>
        <v>38.28</v>
      </c>
      <c r="K45" s="392"/>
      <c r="L45" s="436"/>
      <c r="M45" s="421"/>
      <c r="N45" s="259"/>
      <c r="O45" s="416"/>
      <c r="P45" s="259"/>
      <c r="Q45" s="259"/>
      <c r="R45" s="259"/>
      <c r="S45" s="259"/>
      <c r="T45" s="259"/>
      <c r="U45" s="421"/>
      <c r="V45" s="259"/>
      <c r="W45" s="416"/>
      <c r="X45" s="259"/>
      <c r="AD45" s="377"/>
      <c r="AF45" s="419"/>
      <c r="AM45" s="377"/>
      <c r="AO45" s="419"/>
    </row>
    <row r="46" spans="1:41" ht="15.75">
      <c r="A46" s="437"/>
      <c r="B46" s="438" t="s">
        <v>127</v>
      </c>
      <c r="C46" s="293"/>
      <c r="D46" s="293"/>
      <c r="E46" s="293"/>
      <c r="F46" s="292"/>
      <c r="G46" s="368"/>
      <c r="H46" s="392"/>
      <c r="I46" s="302"/>
      <c r="J46" s="368"/>
      <c r="K46" s="392"/>
      <c r="L46" s="436"/>
      <c r="M46" s="421"/>
      <c r="N46" s="421"/>
      <c r="O46" s="416"/>
      <c r="P46" s="421"/>
      <c r="Q46" s="421"/>
      <c r="R46" s="421"/>
      <c r="S46" s="421"/>
      <c r="T46" s="421"/>
      <c r="U46" s="421"/>
      <c r="V46" s="421"/>
      <c r="W46" s="416"/>
      <c r="X46" s="421"/>
      <c r="Y46" s="439"/>
      <c r="Z46" s="439"/>
      <c r="AA46" s="439"/>
      <c r="AB46" s="439"/>
      <c r="AC46" s="439"/>
      <c r="AD46" s="439"/>
      <c r="AE46" s="439"/>
      <c r="AF46" s="419"/>
      <c r="AG46" s="439"/>
      <c r="AH46" s="439"/>
      <c r="AI46" s="439"/>
      <c r="AJ46" s="439"/>
      <c r="AK46" s="439"/>
      <c r="AL46" s="439"/>
      <c r="AM46" s="439"/>
      <c r="AN46" s="439"/>
      <c r="AO46" s="419"/>
    </row>
    <row r="47" spans="1:41" ht="15.75">
      <c r="A47" s="295"/>
      <c r="B47" s="291" t="s">
        <v>128</v>
      </c>
      <c r="C47" s="293"/>
      <c r="D47" s="293"/>
      <c r="E47" s="293"/>
      <c r="F47" s="292"/>
      <c r="G47" s="368"/>
      <c r="H47" s="392"/>
      <c r="I47" s="302"/>
      <c r="J47" s="368"/>
      <c r="K47" s="392"/>
      <c r="L47" s="436"/>
      <c r="M47" s="259"/>
      <c r="N47" s="259"/>
      <c r="O47" s="416"/>
      <c r="P47" s="259"/>
      <c r="Q47" s="259"/>
      <c r="R47" s="259"/>
      <c r="S47" s="259"/>
      <c r="T47" s="259"/>
      <c r="U47" s="259"/>
      <c r="V47" s="259"/>
      <c r="W47" s="416"/>
      <c r="X47" s="259"/>
      <c r="Y47" s="377"/>
      <c r="AF47" s="419"/>
      <c r="AH47" s="377"/>
      <c r="AO47" s="419"/>
    </row>
    <row r="48" spans="1:41" ht="15.75">
      <c r="A48" s="295" t="s">
        <v>129</v>
      </c>
      <c r="B48" s="291"/>
      <c r="C48" s="293" t="s">
        <v>93</v>
      </c>
      <c r="D48" s="293" t="s">
        <v>93</v>
      </c>
      <c r="E48" s="293" t="s">
        <v>95</v>
      </c>
      <c r="F48" s="292" t="s">
        <v>95</v>
      </c>
      <c r="G48" s="405">
        <v>1.152E-3</v>
      </c>
      <c r="H48" s="394"/>
      <c r="I48" s="302" t="s">
        <v>207</v>
      </c>
      <c r="J48" s="393">
        <v>1.1999999999999999E-3</v>
      </c>
      <c r="K48" s="394"/>
      <c r="L48" s="440"/>
      <c r="M48" s="259"/>
      <c r="N48" s="259"/>
      <c r="O48" s="416"/>
      <c r="P48" s="259"/>
      <c r="Q48" s="259"/>
      <c r="R48" s="259"/>
      <c r="S48" s="259"/>
      <c r="T48" s="259"/>
      <c r="U48" s="259"/>
      <c r="V48" s="259"/>
      <c r="W48" s="416"/>
      <c r="X48" s="259"/>
      <c r="Y48" s="377"/>
      <c r="AF48" s="419"/>
      <c r="AH48" s="377"/>
      <c r="AO48" s="419"/>
    </row>
    <row r="49" spans="1:41" ht="15.75">
      <c r="A49" s="299"/>
      <c r="B49" s="291" t="s">
        <v>205</v>
      </c>
      <c r="C49" s="293"/>
      <c r="D49" s="293"/>
      <c r="E49" s="293"/>
      <c r="F49" s="292"/>
      <c r="G49" s="352">
        <v>250000</v>
      </c>
      <c r="H49" s="382"/>
      <c r="I49" s="302" t="s">
        <v>206</v>
      </c>
      <c r="J49" s="352">
        <v>250000</v>
      </c>
      <c r="K49" s="382"/>
      <c r="L49" s="425"/>
      <c r="M49" s="259"/>
      <c r="N49" s="259"/>
      <c r="O49" s="416"/>
      <c r="P49" s="259"/>
      <c r="Q49" s="421"/>
      <c r="R49" s="421"/>
      <c r="S49" s="259"/>
      <c r="T49" s="259"/>
      <c r="U49" s="259"/>
      <c r="V49" s="259"/>
      <c r="W49" s="416"/>
      <c r="X49" s="259"/>
      <c r="Z49" s="377"/>
      <c r="AA49" s="377"/>
      <c r="AF49" s="419"/>
      <c r="AI49" s="377"/>
      <c r="AJ49" s="377"/>
      <c r="AO49" s="419"/>
    </row>
    <row r="50" spans="1:41" ht="15.75">
      <c r="A50" s="299"/>
      <c r="B50" s="347" t="s">
        <v>130</v>
      </c>
      <c r="C50" s="293"/>
      <c r="D50" s="293"/>
      <c r="E50" s="293"/>
      <c r="F50" s="292"/>
      <c r="G50" s="393">
        <v>1E-3</v>
      </c>
      <c r="H50" s="394"/>
      <c r="I50" s="302" t="s">
        <v>174</v>
      </c>
      <c r="J50" s="393">
        <v>1E-3</v>
      </c>
      <c r="K50" s="394"/>
      <c r="L50" s="440"/>
      <c r="M50" s="259"/>
      <c r="N50" s="259"/>
      <c r="O50" s="416"/>
      <c r="P50" s="259"/>
      <c r="Q50" s="421"/>
      <c r="R50" s="421"/>
      <c r="S50" s="259"/>
      <c r="T50" s="259"/>
      <c r="U50" s="259"/>
      <c r="V50" s="259"/>
      <c r="W50" s="416"/>
      <c r="X50" s="259"/>
      <c r="Z50" s="377"/>
      <c r="AA50" s="377"/>
      <c r="AF50" s="419"/>
      <c r="AI50" s="377"/>
      <c r="AJ50" s="377"/>
      <c r="AO50" s="419"/>
    </row>
    <row r="51" spans="1:41" ht="15.75">
      <c r="A51" s="299"/>
      <c r="B51" s="347" t="s">
        <v>131</v>
      </c>
      <c r="C51" s="293"/>
      <c r="D51" s="293"/>
      <c r="E51" s="293"/>
      <c r="F51" s="292"/>
      <c r="G51" s="302"/>
      <c r="H51" s="380"/>
      <c r="I51" s="302"/>
      <c r="J51" s="302"/>
      <c r="K51" s="380"/>
      <c r="L51" s="420"/>
      <c r="M51" s="259"/>
      <c r="N51" s="259"/>
      <c r="O51" s="416"/>
      <c r="P51" s="259"/>
      <c r="Q51" s="421"/>
      <c r="R51" s="421"/>
      <c r="S51" s="259"/>
      <c r="T51" s="259"/>
      <c r="U51" s="259"/>
      <c r="V51" s="259"/>
      <c r="W51" s="416"/>
      <c r="X51" s="259"/>
      <c r="Z51" s="377"/>
      <c r="AA51" s="377"/>
      <c r="AF51" s="419"/>
      <c r="AI51" s="377"/>
      <c r="AJ51" s="377"/>
      <c r="AO51" s="419"/>
    </row>
    <row r="52" spans="1:41" ht="15.75">
      <c r="A52" s="295" t="s">
        <v>132</v>
      </c>
      <c r="B52" s="291"/>
      <c r="C52" s="293" t="s">
        <v>93</v>
      </c>
      <c r="D52" s="293" t="s">
        <v>93</v>
      </c>
      <c r="E52" s="293" t="s">
        <v>95</v>
      </c>
      <c r="F52" s="292" t="s">
        <v>95</v>
      </c>
      <c r="G52" s="329">
        <v>8.9999999999999993E-3</v>
      </c>
      <c r="H52" s="395"/>
      <c r="I52" s="302" t="s">
        <v>207</v>
      </c>
      <c r="J52" s="329">
        <v>8.9999999999999993E-3</v>
      </c>
      <c r="K52" s="395"/>
      <c r="L52" s="441"/>
      <c r="M52" s="259"/>
      <c r="N52" s="259"/>
      <c r="O52" s="416"/>
      <c r="P52" s="259"/>
      <c r="Q52" s="259"/>
      <c r="R52" s="259"/>
      <c r="S52" s="259"/>
      <c r="T52" s="259"/>
      <c r="U52" s="259"/>
      <c r="V52" s="259"/>
      <c r="W52" s="416"/>
      <c r="X52" s="259"/>
      <c r="Y52" s="377"/>
      <c r="AF52" s="419"/>
      <c r="AH52" s="377"/>
      <c r="AO52" s="419"/>
    </row>
    <row r="53" spans="1:41" ht="15.75">
      <c r="A53" s="295"/>
      <c r="B53" s="291" t="s">
        <v>133</v>
      </c>
      <c r="C53" s="293"/>
      <c r="D53" s="293"/>
      <c r="E53" s="293"/>
      <c r="F53" s="292"/>
      <c r="G53" s="352">
        <f>15000/0.6*12</f>
        <v>300000</v>
      </c>
      <c r="H53" s="382"/>
      <c r="I53" s="302" t="s">
        <v>206</v>
      </c>
      <c r="J53" s="352">
        <f>15000/0.6*12</f>
        <v>300000</v>
      </c>
      <c r="K53" s="382"/>
      <c r="L53" s="425"/>
      <c r="M53" s="259"/>
      <c r="N53" s="259"/>
      <c r="O53" s="416"/>
      <c r="P53" s="259"/>
      <c r="Q53" s="259"/>
      <c r="R53" s="259"/>
      <c r="S53" s="259"/>
      <c r="T53" s="259"/>
      <c r="U53" s="259"/>
      <c r="V53" s="259"/>
      <c r="W53" s="416"/>
      <c r="X53" s="259"/>
      <c r="Y53" s="377"/>
      <c r="AF53" s="419"/>
      <c r="AH53" s="377"/>
      <c r="AO53" s="419"/>
    </row>
    <row r="54" spans="1:41" ht="46.5" customHeight="1">
      <c r="A54" s="299"/>
      <c r="B54" s="306" t="s">
        <v>134</v>
      </c>
      <c r="C54" s="307"/>
      <c r="D54" s="307"/>
      <c r="E54" s="307"/>
      <c r="F54" s="308"/>
      <c r="G54" s="302"/>
      <c r="H54" s="380"/>
      <c r="I54" s="302"/>
      <c r="J54" s="302"/>
      <c r="K54" s="380"/>
      <c r="L54" s="420"/>
      <c r="M54" s="259"/>
      <c r="N54" s="259"/>
      <c r="O54" s="416"/>
      <c r="P54" s="259"/>
      <c r="Q54" s="259"/>
      <c r="R54" s="421"/>
      <c r="S54" s="259"/>
      <c r="T54" s="259"/>
      <c r="U54" s="259"/>
      <c r="V54" s="259"/>
      <c r="W54" s="416"/>
      <c r="X54" s="259"/>
      <c r="AA54" s="377"/>
      <c r="AF54" s="419"/>
      <c r="AJ54" s="377"/>
      <c r="AO54" s="419"/>
    </row>
    <row r="55" spans="1:41" ht="61.5" customHeight="1">
      <c r="A55" s="299"/>
      <c r="B55" s="306" t="s">
        <v>135</v>
      </c>
      <c r="C55" s="307"/>
      <c r="D55" s="307"/>
      <c r="E55" s="307"/>
      <c r="F55" s="308"/>
      <c r="G55" s="302"/>
      <c r="H55" s="380"/>
      <c r="I55" s="302"/>
      <c r="J55" s="302"/>
      <c r="K55" s="380"/>
      <c r="L55" s="420"/>
      <c r="M55" s="259"/>
      <c r="N55" s="259"/>
      <c r="O55" s="416"/>
      <c r="P55" s="259"/>
      <c r="Q55" s="416"/>
      <c r="R55" s="421"/>
      <c r="S55" s="259"/>
      <c r="T55" s="259"/>
      <c r="U55" s="259"/>
      <c r="V55" s="259"/>
      <c r="W55" s="416"/>
      <c r="X55" s="259"/>
      <c r="Z55" s="419"/>
      <c r="AA55" s="377"/>
      <c r="AF55" s="419"/>
      <c r="AI55" s="419"/>
      <c r="AJ55" s="377"/>
      <c r="AO55" s="419"/>
    </row>
    <row r="56" spans="1:41" ht="15.75">
      <c r="A56" s="299"/>
      <c r="B56" s="291" t="s">
        <v>136</v>
      </c>
      <c r="C56" s="293"/>
      <c r="D56" s="293"/>
      <c r="E56" s="293"/>
      <c r="F56" s="292"/>
      <c r="G56" s="302"/>
      <c r="H56" s="380"/>
      <c r="I56" s="302"/>
      <c r="J56" s="302"/>
      <c r="K56" s="380"/>
      <c r="L56" s="420"/>
      <c r="M56" s="259"/>
      <c r="N56" s="259"/>
      <c r="O56" s="416"/>
      <c r="P56" s="259"/>
      <c r="Q56" s="259"/>
      <c r="R56" s="259"/>
      <c r="S56" s="259"/>
      <c r="T56" s="259"/>
      <c r="U56" s="259"/>
      <c r="V56" s="259"/>
      <c r="W56" s="416"/>
      <c r="X56" s="259"/>
      <c r="AF56" s="419"/>
      <c r="AO56" s="419"/>
    </row>
    <row r="57" spans="1:41" ht="15.75">
      <c r="A57" s="299" t="s">
        <v>137</v>
      </c>
      <c r="B57" s="347"/>
      <c r="C57" s="293" t="s">
        <v>93</v>
      </c>
      <c r="D57" s="293" t="s">
        <v>93</v>
      </c>
      <c r="E57" s="293" t="s">
        <v>95</v>
      </c>
      <c r="F57" s="292" t="s">
        <v>95</v>
      </c>
      <c r="G57" s="302"/>
      <c r="H57" s="380"/>
      <c r="I57" s="302"/>
      <c r="J57" s="302"/>
      <c r="K57" s="380"/>
      <c r="L57" s="420"/>
      <c r="M57" s="259"/>
      <c r="N57" s="259"/>
      <c r="O57" s="416"/>
      <c r="P57" s="259"/>
      <c r="Q57" s="421"/>
      <c r="R57" s="259"/>
      <c r="S57" s="259"/>
      <c r="T57" s="259"/>
      <c r="U57" s="259"/>
      <c r="V57" s="259"/>
      <c r="W57" s="416"/>
      <c r="X57" s="259"/>
      <c r="Z57" s="377"/>
      <c r="AF57" s="419"/>
      <c r="AI57" s="377"/>
      <c r="AO57" s="419"/>
    </row>
    <row r="58" spans="1:41" ht="15.75">
      <c r="A58" s="299"/>
      <c r="B58" s="291" t="s">
        <v>138</v>
      </c>
      <c r="C58" s="293"/>
      <c r="D58" s="293"/>
      <c r="E58" s="293"/>
      <c r="F58" s="292"/>
      <c r="G58" s="385">
        <f>H58/12</f>
        <v>121.86</v>
      </c>
      <c r="H58" s="386">
        <v>1462.32</v>
      </c>
      <c r="I58" s="302" t="s">
        <v>20</v>
      </c>
      <c r="J58" s="385">
        <v>105.97</v>
      </c>
      <c r="K58" s="386">
        <f>J58*12</f>
        <v>1271.6400000000001</v>
      </c>
      <c r="L58" s="429"/>
      <c r="M58" s="259"/>
      <c r="N58" s="259"/>
      <c r="O58" s="416"/>
      <c r="P58" s="259"/>
      <c r="Q58" s="421"/>
      <c r="R58" s="259"/>
      <c r="S58" s="259"/>
      <c r="T58" s="259"/>
      <c r="U58" s="259"/>
      <c r="V58" s="259"/>
      <c r="W58" s="416"/>
      <c r="X58" s="259"/>
      <c r="Z58" s="377"/>
      <c r="AF58" s="419"/>
      <c r="AI58" s="377"/>
      <c r="AO58" s="419"/>
    </row>
    <row r="59" spans="1:41" ht="15.75">
      <c r="A59" s="299"/>
      <c r="B59" s="291" t="s">
        <v>139</v>
      </c>
      <c r="C59" s="293"/>
      <c r="D59" s="293"/>
      <c r="E59" s="293"/>
      <c r="F59" s="292"/>
      <c r="G59" s="385">
        <v>200.95</v>
      </c>
      <c r="H59" s="396">
        <f>G59*12</f>
        <v>2411.4</v>
      </c>
      <c r="I59" s="302" t="s">
        <v>174</v>
      </c>
      <c r="J59" s="385">
        <v>200.95</v>
      </c>
      <c r="K59" s="386">
        <f>J59*12</f>
        <v>2411.4</v>
      </c>
      <c r="L59" s="429"/>
      <c r="M59" s="259"/>
      <c r="N59" s="259"/>
      <c r="O59" s="416"/>
      <c r="P59" s="259"/>
      <c r="Q59" s="421"/>
      <c r="R59" s="259"/>
      <c r="S59" s="259"/>
      <c r="T59" s="259"/>
      <c r="U59" s="259"/>
      <c r="V59" s="259"/>
      <c r="W59" s="416"/>
      <c r="X59" s="259"/>
      <c r="Z59" s="377"/>
      <c r="AF59" s="419"/>
      <c r="AI59" s="377"/>
      <c r="AO59" s="419"/>
    </row>
    <row r="60" spans="1:41" ht="15.75">
      <c r="A60" s="295" t="s">
        <v>140</v>
      </c>
      <c r="B60" s="291"/>
      <c r="C60" s="293" t="s">
        <v>93</v>
      </c>
      <c r="D60" s="293" t="s">
        <v>93</v>
      </c>
      <c r="E60" s="293" t="s">
        <v>95</v>
      </c>
      <c r="F60" s="292" t="s">
        <v>95</v>
      </c>
      <c r="G60" s="385">
        <f>H60/12</f>
        <v>41.55</v>
      </c>
      <c r="H60" s="396">
        <v>498.6</v>
      </c>
      <c r="I60" s="302" t="s">
        <v>20</v>
      </c>
      <c r="J60" s="385">
        <v>38.119999999999997</v>
      </c>
      <c r="K60" s="386">
        <f>J60*12</f>
        <v>457.44</v>
      </c>
      <c r="L60" s="429"/>
      <c r="M60" s="259"/>
      <c r="N60" s="259"/>
      <c r="O60" s="416"/>
      <c r="P60" s="259"/>
      <c r="Q60" s="259"/>
      <c r="R60" s="259"/>
      <c r="S60" s="259"/>
      <c r="T60" s="259"/>
      <c r="U60" s="259"/>
      <c r="V60" s="259"/>
      <c r="W60" s="416"/>
      <c r="X60" s="259"/>
      <c r="Y60" s="377"/>
      <c r="AF60" s="419"/>
      <c r="AH60" s="377"/>
      <c r="AO60" s="419"/>
    </row>
    <row r="61" spans="1:41" ht="15.75">
      <c r="A61" s="295"/>
      <c r="B61" s="347" t="s">
        <v>141</v>
      </c>
      <c r="C61" s="293"/>
      <c r="D61" s="293"/>
      <c r="E61" s="293"/>
      <c r="F61" s="292"/>
      <c r="G61" s="385">
        <v>84.21</v>
      </c>
      <c r="H61" s="396">
        <f>G61*12</f>
        <v>1010.52</v>
      </c>
      <c r="I61" s="302" t="s">
        <v>174</v>
      </c>
      <c r="J61" s="385">
        <v>84.21</v>
      </c>
      <c r="K61" s="386">
        <f>J61*12</f>
        <v>1010.52</v>
      </c>
      <c r="L61" s="429"/>
      <c r="M61" s="259"/>
      <c r="N61" s="259"/>
      <c r="O61" s="416"/>
      <c r="P61" s="259"/>
      <c r="Q61" s="421"/>
      <c r="R61" s="259"/>
      <c r="S61" s="259"/>
      <c r="T61" s="259"/>
      <c r="U61" s="259"/>
      <c r="V61" s="259"/>
      <c r="W61" s="416"/>
      <c r="X61" s="259"/>
      <c r="Z61" s="377"/>
      <c r="AF61" s="419"/>
      <c r="AI61" s="377"/>
      <c r="AO61" s="419"/>
    </row>
    <row r="62" spans="1:41" ht="15.75">
      <c r="A62" s="295"/>
      <c r="B62" s="347" t="s">
        <v>142</v>
      </c>
      <c r="C62" s="293"/>
      <c r="D62" s="293"/>
      <c r="E62" s="293"/>
      <c r="F62" s="292"/>
      <c r="G62" s="368"/>
      <c r="H62" s="396"/>
      <c r="I62" s="302"/>
      <c r="J62" s="368"/>
      <c r="K62" s="396">
        <f>K58+K60</f>
        <v>1729.08</v>
      </c>
      <c r="L62" s="442"/>
      <c r="M62" s="259"/>
      <c r="N62" s="259"/>
      <c r="O62" s="416"/>
      <c r="P62" s="259"/>
      <c r="Q62" s="421"/>
      <c r="R62" s="259"/>
      <c r="S62" s="259"/>
      <c r="T62" s="259"/>
      <c r="U62" s="259"/>
      <c r="V62" s="259"/>
      <c r="W62" s="416"/>
      <c r="X62" s="259"/>
      <c r="Z62" s="377"/>
      <c r="AF62" s="419"/>
      <c r="AI62" s="377"/>
      <c r="AO62" s="419"/>
    </row>
    <row r="63" spans="1:41" ht="15.75">
      <c r="A63" s="299"/>
      <c r="B63" s="291" t="s">
        <v>143</v>
      </c>
      <c r="C63" s="293"/>
      <c r="D63" s="293"/>
      <c r="E63" s="293"/>
      <c r="F63" s="292"/>
      <c r="G63" s="368"/>
      <c r="H63" s="396"/>
      <c r="I63" s="302"/>
      <c r="J63" s="368"/>
      <c r="K63" s="396">
        <f>K59+K61</f>
        <v>3421.92</v>
      </c>
      <c r="L63" s="442"/>
      <c r="M63" s="259"/>
      <c r="N63" s="259"/>
      <c r="O63" s="416"/>
      <c r="P63" s="259"/>
      <c r="Q63" s="259"/>
      <c r="R63" s="259"/>
      <c r="S63" s="259"/>
      <c r="T63" s="259"/>
      <c r="U63" s="259"/>
      <c r="V63" s="259"/>
      <c r="W63" s="416"/>
      <c r="X63" s="259"/>
      <c r="AF63" s="419"/>
      <c r="AO63" s="419"/>
    </row>
    <row r="64" spans="1:41" ht="15.75">
      <c r="A64" s="299"/>
      <c r="B64" s="291" t="s">
        <v>144</v>
      </c>
      <c r="C64" s="293"/>
      <c r="D64" s="403"/>
      <c r="E64" s="293"/>
      <c r="F64" s="292"/>
      <c r="G64" s="368"/>
      <c r="H64" s="392"/>
      <c r="I64" s="302"/>
      <c r="J64" s="368"/>
      <c r="K64" s="392"/>
      <c r="L64" s="436"/>
      <c r="M64" s="259"/>
      <c r="N64" s="259"/>
      <c r="O64" s="416"/>
      <c r="P64" s="259"/>
      <c r="Q64" s="421"/>
      <c r="R64" s="421"/>
      <c r="S64" s="259"/>
      <c r="T64" s="259"/>
      <c r="U64" s="259"/>
      <c r="V64" s="259"/>
      <c r="W64" s="416"/>
      <c r="X64" s="259"/>
      <c r="Z64" s="377"/>
      <c r="AA64" s="377"/>
      <c r="AF64" s="419"/>
      <c r="AI64" s="377"/>
      <c r="AJ64" s="377"/>
      <c r="AO64" s="419"/>
    </row>
    <row r="65" spans="1:41" ht="15.75">
      <c r="A65" s="299" t="s">
        <v>217</v>
      </c>
      <c r="B65" s="291"/>
      <c r="C65" s="293"/>
      <c r="D65" s="403"/>
      <c r="E65" s="293"/>
      <c r="F65" s="293"/>
      <c r="G65" s="368"/>
      <c r="H65" s="392"/>
      <c r="I65" s="302"/>
      <c r="J65" s="368"/>
      <c r="K65" s="392"/>
      <c r="L65" s="436"/>
      <c r="M65" s="259"/>
      <c r="N65" s="259"/>
      <c r="O65" s="416"/>
      <c r="P65" s="259"/>
      <c r="Q65" s="421"/>
      <c r="R65" s="421"/>
      <c r="S65" s="259"/>
      <c r="T65" s="259"/>
      <c r="U65" s="259"/>
      <c r="V65" s="259"/>
      <c r="W65" s="416"/>
      <c r="X65" s="259"/>
      <c r="Z65" s="377"/>
      <c r="AA65" s="377"/>
      <c r="AF65" s="419"/>
      <c r="AI65" s="377"/>
      <c r="AJ65" s="377"/>
      <c r="AO65" s="419"/>
    </row>
    <row r="66" spans="1:41" ht="15.75">
      <c r="A66" s="299"/>
      <c r="B66" s="291" t="s">
        <v>218</v>
      </c>
      <c r="C66" s="293"/>
      <c r="D66" s="403"/>
      <c r="E66" s="293"/>
      <c r="F66" s="293"/>
      <c r="G66" s="368"/>
      <c r="H66" s="392"/>
      <c r="I66" s="302"/>
      <c r="J66" s="385">
        <v>7.94</v>
      </c>
      <c r="K66" s="386">
        <f>J66*12</f>
        <v>95.28</v>
      </c>
      <c r="L66" s="429"/>
      <c r="M66" s="259"/>
      <c r="N66" s="259"/>
      <c r="O66" s="416"/>
      <c r="P66" s="259"/>
      <c r="Q66" s="421"/>
      <c r="R66" s="421"/>
      <c r="S66" s="259"/>
      <c r="T66" s="259"/>
      <c r="U66" s="259"/>
      <c r="V66" s="259"/>
      <c r="W66" s="416"/>
      <c r="X66" s="259"/>
      <c r="Z66" s="377"/>
      <c r="AA66" s="377"/>
      <c r="AF66" s="419"/>
      <c r="AI66" s="377"/>
      <c r="AJ66" s="377"/>
      <c r="AO66" s="419"/>
    </row>
    <row r="67" spans="1:41" ht="15.75">
      <c r="A67" s="299"/>
      <c r="B67" s="291" t="s">
        <v>219</v>
      </c>
      <c r="C67" s="293"/>
      <c r="D67" s="403"/>
      <c r="E67" s="293"/>
      <c r="F67" s="293"/>
      <c r="G67" s="385">
        <v>7.94</v>
      </c>
      <c r="H67" s="386">
        <f>G67*12</f>
        <v>95.28</v>
      </c>
      <c r="I67" s="302" t="s">
        <v>20</v>
      </c>
      <c r="J67" s="385">
        <v>12</v>
      </c>
      <c r="K67" s="386">
        <f>J67*12</f>
        <v>144</v>
      </c>
      <c r="L67" s="429"/>
      <c r="M67" s="259"/>
      <c r="N67" s="259"/>
      <c r="O67" s="416"/>
      <c r="P67" s="259"/>
      <c r="Q67" s="421"/>
      <c r="R67" s="421"/>
      <c r="S67" s="259"/>
      <c r="T67" s="259"/>
      <c r="U67" s="259"/>
      <c r="V67" s="259"/>
      <c r="W67" s="416"/>
      <c r="X67" s="259"/>
      <c r="Z67" s="377"/>
      <c r="AA67" s="377"/>
      <c r="AF67" s="419"/>
      <c r="AI67" s="377"/>
      <c r="AJ67" s="377"/>
      <c r="AO67" s="419"/>
    </row>
    <row r="68" spans="1:41" ht="15.75">
      <c r="A68" s="299"/>
      <c r="B68" s="291" t="s">
        <v>220</v>
      </c>
      <c r="C68" s="293"/>
      <c r="D68" s="403"/>
      <c r="E68" s="293"/>
      <c r="F68" s="293"/>
      <c r="G68" s="385">
        <v>12</v>
      </c>
      <c r="H68" s="567">
        <f>G68*12</f>
        <v>144</v>
      </c>
      <c r="I68" s="302" t="s">
        <v>174</v>
      </c>
      <c r="J68" s="368"/>
      <c r="K68" s="392"/>
      <c r="L68" s="436"/>
      <c r="M68" s="259"/>
      <c r="N68" s="259"/>
      <c r="O68" s="416"/>
      <c r="P68" s="259"/>
      <c r="Q68" s="421"/>
      <c r="R68" s="421"/>
      <c r="S68" s="259"/>
      <c r="T68" s="259"/>
      <c r="U68" s="259"/>
      <c r="V68" s="259"/>
      <c r="W68" s="416"/>
      <c r="X68" s="259"/>
      <c r="Z68" s="377"/>
      <c r="AA68" s="377"/>
      <c r="AF68" s="419"/>
      <c r="AI68" s="377"/>
      <c r="AJ68" s="377"/>
      <c r="AO68" s="419"/>
    </row>
    <row r="69" spans="1:41" ht="15.75">
      <c r="A69" s="299"/>
      <c r="B69" s="291" t="s">
        <v>221</v>
      </c>
      <c r="C69" s="293"/>
      <c r="D69" s="403"/>
      <c r="E69" s="293"/>
      <c r="F69" s="293"/>
      <c r="G69" s="368"/>
      <c r="H69" s="392"/>
      <c r="I69" s="302"/>
      <c r="J69" s="368"/>
      <c r="K69" s="392"/>
      <c r="L69" s="436"/>
      <c r="M69" s="259"/>
      <c r="N69" s="259"/>
      <c r="O69" s="416"/>
      <c r="P69" s="259"/>
      <c r="Q69" s="421"/>
      <c r="R69" s="421"/>
      <c r="S69" s="259"/>
      <c r="T69" s="259"/>
      <c r="U69" s="259"/>
      <c r="V69" s="259"/>
      <c r="W69" s="416"/>
      <c r="X69" s="259"/>
      <c r="Z69" s="377"/>
      <c r="AA69" s="377"/>
      <c r="AF69" s="419"/>
      <c r="AI69" s="377"/>
      <c r="AJ69" s="377"/>
      <c r="AO69" s="419"/>
    </row>
    <row r="70" spans="1:41" ht="15.75">
      <c r="A70" s="299"/>
      <c r="B70" s="291" t="s">
        <v>222</v>
      </c>
      <c r="C70" s="293"/>
      <c r="D70" s="403"/>
      <c r="E70" s="293"/>
      <c r="F70" s="293"/>
      <c r="G70" s="368"/>
      <c r="H70" s="392"/>
      <c r="I70" s="302"/>
      <c r="J70" s="368"/>
      <c r="K70" s="392"/>
      <c r="L70" s="436"/>
      <c r="M70" s="259"/>
      <c r="N70" s="259"/>
      <c r="O70" s="416"/>
      <c r="P70" s="259"/>
      <c r="Q70" s="421"/>
      <c r="R70" s="421"/>
      <c r="S70" s="259"/>
      <c r="T70" s="259"/>
      <c r="U70" s="259"/>
      <c r="V70" s="259"/>
      <c r="W70" s="416"/>
      <c r="X70" s="259"/>
      <c r="Z70" s="377"/>
      <c r="AA70" s="377"/>
      <c r="AF70" s="419"/>
      <c r="AI70" s="377"/>
      <c r="AJ70" s="377"/>
      <c r="AO70" s="419"/>
    </row>
    <row r="71" spans="1:41" ht="15.75">
      <c r="A71" s="300"/>
      <c r="B71" s="309" t="s">
        <v>223</v>
      </c>
      <c r="C71" s="301"/>
      <c r="D71" s="310"/>
      <c r="E71" s="301"/>
      <c r="F71" s="301"/>
      <c r="G71" s="397"/>
      <c r="H71" s="398"/>
      <c r="I71" s="397"/>
      <c r="J71" s="399"/>
      <c r="K71" s="400"/>
      <c r="L71" s="443"/>
      <c r="M71" s="259"/>
      <c r="N71" s="259"/>
      <c r="O71" s="416"/>
      <c r="P71" s="259"/>
      <c r="Q71" s="421"/>
      <c r="R71" s="421"/>
      <c r="S71" s="259"/>
      <c r="T71" s="259"/>
      <c r="U71" s="259"/>
      <c r="V71" s="259"/>
      <c r="W71" s="416"/>
      <c r="X71" s="259"/>
      <c r="Z71" s="377"/>
      <c r="AA71" s="377"/>
      <c r="AF71" s="419"/>
      <c r="AI71" s="377"/>
      <c r="AJ71" s="377"/>
      <c r="AO71" s="419"/>
    </row>
    <row r="72" spans="1:41" ht="15.75">
      <c r="A72" s="291"/>
      <c r="B72" s="291"/>
      <c r="C72" s="290"/>
      <c r="D72" s="402"/>
      <c r="E72" s="290"/>
      <c r="F72" s="290"/>
      <c r="G72" s="399"/>
      <c r="H72" s="400"/>
      <c r="I72" s="399"/>
      <c r="L72" s="444"/>
      <c r="M72" s="259"/>
      <c r="N72" s="259"/>
      <c r="O72" s="416"/>
      <c r="P72" s="259"/>
      <c r="Q72" s="421"/>
      <c r="R72" s="421"/>
      <c r="S72" s="259"/>
      <c r="T72" s="259"/>
      <c r="U72" s="259"/>
      <c r="V72" s="259"/>
      <c r="W72" s="416"/>
      <c r="X72" s="259"/>
      <c r="Z72" s="377"/>
      <c r="AA72" s="377"/>
      <c r="AF72" s="419"/>
      <c r="AI72" s="377"/>
      <c r="AJ72" s="377"/>
      <c r="AO72" s="419"/>
    </row>
    <row r="73" spans="1:41" ht="15.75" hidden="1">
      <c r="A73" s="369" t="s">
        <v>211</v>
      </c>
      <c r="B73" s="353"/>
      <c r="C73" s="353"/>
      <c r="D73" s="353"/>
      <c r="E73" s="353"/>
      <c r="F73" s="353"/>
      <c r="G73" s="256" t="s">
        <v>187</v>
      </c>
      <c r="H73" s="401"/>
      <c r="I73" s="256" t="s">
        <v>175</v>
      </c>
      <c r="J73" s="256" t="s">
        <v>187</v>
      </c>
      <c r="K73" s="401"/>
      <c r="L73" s="445"/>
      <c r="O73" s="419"/>
      <c r="W73" s="419"/>
      <c r="Y73" s="377"/>
      <c r="AF73" s="419"/>
      <c r="AH73" s="377"/>
      <c r="AO73" s="419"/>
    </row>
    <row r="74" spans="1:41" s="454" customFormat="1" ht="15.75" hidden="1">
      <c r="A74" s="446" t="s">
        <v>213</v>
      </c>
      <c r="B74" s="447"/>
      <c r="C74" s="447"/>
      <c r="D74" s="447"/>
      <c r="E74" s="447"/>
      <c r="F74" s="447"/>
      <c r="G74" s="448">
        <v>7.4999999999999997E-3</v>
      </c>
      <c r="H74" s="449"/>
      <c r="I74" s="450" t="s">
        <v>224</v>
      </c>
      <c r="J74" s="448">
        <v>6.0000000000000001E-3</v>
      </c>
      <c r="K74" s="449"/>
      <c r="L74" s="451" t="s">
        <v>229</v>
      </c>
      <c r="M74" s="452"/>
      <c r="N74" s="452"/>
      <c r="O74" s="453"/>
      <c r="P74" s="452"/>
      <c r="Q74" s="452"/>
      <c r="R74" s="452"/>
      <c r="S74" s="452"/>
      <c r="T74" s="452"/>
      <c r="U74" s="452"/>
      <c r="V74" s="452"/>
      <c r="W74" s="453"/>
      <c r="X74" s="452"/>
      <c r="AF74" s="455"/>
      <c r="AO74" s="455"/>
    </row>
    <row r="75" spans="1:41" s="454" customFormat="1" hidden="1">
      <c r="A75" s="456" t="s">
        <v>163</v>
      </c>
      <c r="B75" s="447"/>
      <c r="C75" s="447"/>
      <c r="D75" s="447"/>
      <c r="E75" s="447"/>
      <c r="F75" s="447"/>
      <c r="G75" s="448">
        <v>5.4000000000000003E-3</v>
      </c>
      <c r="H75" s="449"/>
      <c r="I75" s="450" t="s">
        <v>235</v>
      </c>
      <c r="J75" s="459">
        <v>5.4000000000000003E-3</v>
      </c>
      <c r="K75" s="458"/>
      <c r="L75" s="451" t="s">
        <v>237</v>
      </c>
      <c r="M75" s="452"/>
      <c r="N75" s="452"/>
      <c r="O75" s="453"/>
      <c r="P75" s="452"/>
      <c r="Q75" s="452"/>
      <c r="R75" s="452"/>
      <c r="S75" s="452"/>
      <c r="T75" s="452"/>
      <c r="U75" s="452"/>
      <c r="V75" s="452"/>
      <c r="W75" s="453"/>
      <c r="X75" s="452"/>
      <c r="AF75" s="455"/>
      <c r="AO75" s="455"/>
    </row>
    <row r="76" spans="1:41" s="454" customFormat="1" hidden="1">
      <c r="A76" s="456" t="s">
        <v>60</v>
      </c>
      <c r="B76" s="447"/>
      <c r="C76" s="447"/>
      <c r="D76" s="447"/>
      <c r="E76" s="447"/>
      <c r="F76" s="447"/>
      <c r="G76" s="457">
        <v>2.4099999999999998E-3</v>
      </c>
      <c r="H76" s="458"/>
      <c r="I76" s="450" t="s">
        <v>6</v>
      </c>
      <c r="J76" s="461">
        <v>2.4099999999999998E-3</v>
      </c>
      <c r="K76" s="462"/>
      <c r="L76" s="460"/>
      <c r="M76" s="452"/>
      <c r="N76" s="452"/>
      <c r="O76" s="453"/>
      <c r="P76" s="452"/>
      <c r="Q76" s="452"/>
      <c r="R76" s="452"/>
      <c r="S76" s="452"/>
      <c r="T76" s="452"/>
      <c r="U76" s="452"/>
      <c r="V76" s="452"/>
      <c r="W76" s="453"/>
      <c r="X76" s="452"/>
      <c r="AF76" s="455"/>
      <c r="AO76" s="455"/>
    </row>
    <row r="77" spans="1:41" s="454" customFormat="1" ht="15.75" hidden="1">
      <c r="A77" s="446" t="s">
        <v>212</v>
      </c>
      <c r="B77" s="447"/>
      <c r="C77" s="447"/>
      <c r="D77" s="447"/>
      <c r="E77" s="447"/>
      <c r="F77" s="447"/>
      <c r="G77" s="461"/>
      <c r="H77" s="462"/>
      <c r="I77" s="463" t="s">
        <v>182</v>
      </c>
      <c r="J77" s="461"/>
      <c r="K77" s="462"/>
      <c r="L77" s="464"/>
      <c r="M77" s="452"/>
      <c r="N77" s="452"/>
      <c r="O77" s="453"/>
      <c r="P77" s="452"/>
      <c r="Q77" s="452"/>
      <c r="R77" s="452"/>
      <c r="S77" s="452"/>
      <c r="T77" s="452"/>
      <c r="U77" s="452"/>
      <c r="V77" s="452"/>
      <c r="W77" s="453"/>
      <c r="X77" s="452"/>
      <c r="AF77" s="455"/>
      <c r="AO77" s="455"/>
    </row>
    <row r="78" spans="1:41" s="454" customFormat="1" hidden="1">
      <c r="A78" s="456" t="s">
        <v>33</v>
      </c>
      <c r="B78" s="447"/>
      <c r="C78" s="447"/>
      <c r="D78" s="447"/>
      <c r="E78" s="447"/>
      <c r="F78" s="447"/>
      <c r="G78" s="465">
        <v>208</v>
      </c>
      <c r="H78" s="466">
        <f>G78*12</f>
        <v>2496</v>
      </c>
      <c r="I78" s="467" t="s">
        <v>20</v>
      </c>
      <c r="J78" s="465">
        <v>258</v>
      </c>
      <c r="K78" s="466">
        <f>J78*12</f>
        <v>3096</v>
      </c>
      <c r="L78" s="468"/>
      <c r="M78" s="452"/>
      <c r="N78" s="452"/>
      <c r="O78" s="453"/>
      <c r="P78" s="452"/>
      <c r="Q78" s="452"/>
      <c r="R78" s="452"/>
      <c r="S78" s="452"/>
      <c r="T78" s="452"/>
      <c r="U78" s="452"/>
      <c r="V78" s="452"/>
      <c r="W78" s="453"/>
      <c r="X78" s="452"/>
      <c r="AF78" s="455"/>
      <c r="AO78" s="455"/>
    </row>
    <row r="79" spans="1:41" s="454" customFormat="1" hidden="1">
      <c r="A79" s="456" t="s">
        <v>58</v>
      </c>
      <c r="B79" s="447"/>
      <c r="C79" s="447"/>
      <c r="D79" s="447"/>
      <c r="E79" s="447"/>
      <c r="F79" s="447"/>
      <c r="G79" s="465">
        <v>286</v>
      </c>
      <c r="H79" s="466">
        <f>G79*12</f>
        <v>3432</v>
      </c>
      <c r="I79" s="467" t="s">
        <v>178</v>
      </c>
      <c r="J79" s="465">
        <v>374</v>
      </c>
      <c r="K79" s="466">
        <f>J79*12</f>
        <v>4488</v>
      </c>
      <c r="L79" s="468"/>
      <c r="M79" s="452"/>
      <c r="N79" s="452"/>
      <c r="O79" s="453"/>
      <c r="P79" s="452"/>
      <c r="Q79" s="452"/>
      <c r="R79" s="452"/>
      <c r="S79" s="452"/>
      <c r="T79" s="452"/>
      <c r="U79" s="452"/>
      <c r="V79" s="452"/>
      <c r="W79" s="453"/>
      <c r="X79" s="452"/>
      <c r="AF79" s="455"/>
      <c r="AO79" s="455"/>
    </row>
    <row r="80" spans="1:41" s="454" customFormat="1" hidden="1">
      <c r="A80" s="456" t="s">
        <v>44</v>
      </c>
      <c r="B80" s="447"/>
      <c r="C80" s="447"/>
      <c r="D80" s="447"/>
      <c r="E80" s="447"/>
      <c r="F80" s="447"/>
      <c r="G80" s="465">
        <v>416</v>
      </c>
      <c r="H80" s="466">
        <f>G80*12</f>
        <v>4992</v>
      </c>
      <c r="I80" s="467" t="s">
        <v>179</v>
      </c>
      <c r="J80" s="465">
        <v>404</v>
      </c>
      <c r="K80" s="466">
        <f>J80*12</f>
        <v>4848</v>
      </c>
      <c r="L80" s="468"/>
      <c r="M80" s="452"/>
      <c r="N80" s="452"/>
      <c r="O80" s="453"/>
      <c r="P80" s="452"/>
      <c r="Q80" s="452"/>
      <c r="R80" s="452"/>
      <c r="S80" s="452"/>
      <c r="T80" s="452"/>
      <c r="U80" s="452"/>
      <c r="V80" s="452"/>
      <c r="W80" s="453"/>
      <c r="X80" s="452"/>
      <c r="AF80" s="455"/>
      <c r="AO80" s="455"/>
    </row>
    <row r="81" spans="1:41" s="454" customFormat="1" ht="15.75" hidden="1">
      <c r="A81" s="446" t="s">
        <v>214</v>
      </c>
      <c r="B81" s="447"/>
      <c r="C81" s="447"/>
      <c r="D81" s="447"/>
      <c r="E81" s="447"/>
      <c r="F81" s="447"/>
      <c r="G81" s="465">
        <v>629</v>
      </c>
      <c r="H81" s="466">
        <f>G81*12</f>
        <v>7548</v>
      </c>
      <c r="I81" s="467" t="s">
        <v>21</v>
      </c>
      <c r="J81" s="465">
        <v>565</v>
      </c>
      <c r="K81" s="466">
        <f>J81*12</f>
        <v>6780</v>
      </c>
      <c r="L81" s="468"/>
      <c r="M81" s="452"/>
      <c r="N81" s="452"/>
      <c r="O81" s="453"/>
      <c r="P81" s="452"/>
      <c r="Q81" s="452"/>
      <c r="R81" s="452"/>
      <c r="S81" s="452"/>
      <c r="T81" s="452"/>
      <c r="U81" s="452"/>
      <c r="V81" s="452"/>
      <c r="W81" s="453"/>
      <c r="X81" s="452"/>
      <c r="AF81" s="455"/>
      <c r="AO81" s="455"/>
    </row>
    <row r="82" spans="1:41" s="478" customFormat="1" ht="16.5" hidden="1" customHeight="1">
      <c r="A82" s="456" t="s">
        <v>44</v>
      </c>
      <c r="B82" s="447"/>
      <c r="C82" s="447"/>
      <c r="D82" s="447"/>
      <c r="E82" s="447"/>
      <c r="F82" s="447"/>
      <c r="G82" s="469"/>
      <c r="H82" s="470"/>
      <c r="I82" s="471" t="s">
        <v>183</v>
      </c>
      <c r="J82" s="469"/>
      <c r="K82" s="470"/>
      <c r="L82" s="472"/>
      <c r="M82" s="476"/>
      <c r="N82" s="476"/>
      <c r="O82" s="477"/>
      <c r="P82" s="476"/>
      <c r="Q82" s="476"/>
      <c r="R82" s="476"/>
      <c r="S82" s="476"/>
      <c r="T82" s="476"/>
      <c r="U82" s="476"/>
      <c r="V82" s="476"/>
      <c r="W82" s="477"/>
      <c r="X82" s="476"/>
      <c r="AF82" s="479"/>
      <c r="AO82" s="479"/>
    </row>
    <row r="83" spans="1:41" s="478" customFormat="1" hidden="1">
      <c r="A83" s="480" t="s">
        <v>20</v>
      </c>
      <c r="B83" s="447"/>
      <c r="C83" s="447"/>
      <c r="D83" s="447"/>
      <c r="E83" s="447"/>
      <c r="F83" s="447"/>
      <c r="G83" s="473">
        <v>11.33</v>
      </c>
      <c r="H83" s="466">
        <f>G83*12</f>
        <v>135.96</v>
      </c>
      <c r="I83" s="467" t="s">
        <v>184</v>
      </c>
      <c r="J83" s="473">
        <v>11.33</v>
      </c>
      <c r="K83" s="474"/>
      <c r="L83" s="475"/>
      <c r="M83" s="476"/>
      <c r="N83" s="476"/>
      <c r="O83" s="477"/>
      <c r="P83" s="476"/>
      <c r="Q83" s="476"/>
      <c r="R83" s="476"/>
      <c r="S83" s="476"/>
      <c r="T83" s="476"/>
      <c r="U83" s="476"/>
      <c r="V83" s="476"/>
      <c r="W83" s="477"/>
      <c r="X83" s="476"/>
      <c r="AF83" s="479"/>
      <c r="AO83" s="479"/>
    </row>
    <row r="84" spans="1:41" s="478" customFormat="1" ht="30" hidden="1">
      <c r="A84" s="480" t="s">
        <v>24</v>
      </c>
      <c r="B84" s="447"/>
      <c r="C84" s="447"/>
      <c r="D84" s="447"/>
      <c r="E84" s="447"/>
      <c r="F84" s="447"/>
      <c r="G84" s="481" t="s">
        <v>197</v>
      </c>
      <c r="H84" s="482"/>
      <c r="I84" s="483" t="s">
        <v>54</v>
      </c>
      <c r="J84" s="481" t="s">
        <v>197</v>
      </c>
      <c r="K84" s="482"/>
      <c r="L84" s="484"/>
      <c r="M84" s="476"/>
      <c r="N84" s="476"/>
      <c r="O84" s="477"/>
      <c r="P84" s="476"/>
      <c r="Q84" s="476"/>
      <c r="R84" s="476"/>
      <c r="S84" s="476"/>
      <c r="T84" s="476"/>
      <c r="U84" s="476"/>
      <c r="V84" s="476"/>
      <c r="W84" s="477"/>
      <c r="X84" s="476"/>
      <c r="AF84" s="479"/>
      <c r="AO84" s="479"/>
    </row>
    <row r="85" spans="1:41" s="478" customFormat="1" hidden="1">
      <c r="A85" s="480" t="s">
        <v>42</v>
      </c>
      <c r="B85" s="447"/>
      <c r="C85" s="447"/>
      <c r="D85" s="447"/>
      <c r="E85" s="447"/>
      <c r="F85" s="447"/>
      <c r="G85" s="485">
        <v>41455</v>
      </c>
      <c r="H85" s="486"/>
      <c r="I85" s="483" t="s">
        <v>198</v>
      </c>
      <c r="J85" s="485">
        <v>40724</v>
      </c>
      <c r="K85" s="486"/>
      <c r="L85" s="487"/>
      <c r="M85" s="476"/>
      <c r="N85" s="476"/>
      <c r="O85" s="477"/>
      <c r="P85" s="476"/>
      <c r="Q85" s="476"/>
      <c r="R85" s="476"/>
      <c r="S85" s="476"/>
      <c r="T85" s="476"/>
      <c r="U85" s="476"/>
      <c r="V85" s="476"/>
      <c r="W85" s="477"/>
      <c r="X85" s="476"/>
      <c r="AF85" s="479"/>
      <c r="AO85" s="479"/>
    </row>
    <row r="86" spans="1:41" s="478" customFormat="1" hidden="1">
      <c r="A86" s="480" t="s">
        <v>21</v>
      </c>
      <c r="B86" s="447"/>
      <c r="C86" s="447"/>
      <c r="D86" s="447"/>
      <c r="E86" s="447"/>
      <c r="F86" s="447"/>
      <c r="G86" s="485" t="s">
        <v>201</v>
      </c>
      <c r="H86" s="486"/>
      <c r="I86" s="483" t="s">
        <v>200</v>
      </c>
      <c r="J86" s="485" t="s">
        <v>201</v>
      </c>
      <c r="K86" s="486"/>
      <c r="L86" s="487"/>
      <c r="M86" s="476"/>
      <c r="N86" s="476"/>
      <c r="O86" s="477"/>
      <c r="P86" s="476"/>
      <c r="Q86" s="476"/>
      <c r="R86" s="476"/>
      <c r="S86" s="476"/>
      <c r="T86" s="476"/>
      <c r="U86" s="476"/>
      <c r="V86" s="476"/>
      <c r="W86" s="477"/>
      <c r="X86" s="476"/>
      <c r="AF86" s="479"/>
      <c r="AO86" s="479"/>
    </row>
    <row r="87" spans="1:41" s="454" customFormat="1" hidden="1">
      <c r="A87" s="490"/>
      <c r="B87" s="491"/>
      <c r="C87" s="491"/>
      <c r="D87" s="491"/>
      <c r="E87" s="491"/>
      <c r="F87" s="491"/>
      <c r="G87" s="488" t="s">
        <v>185</v>
      </c>
      <c r="H87" s="482"/>
      <c r="I87" s="489" t="s">
        <v>186</v>
      </c>
      <c r="J87" s="488" t="s">
        <v>185</v>
      </c>
      <c r="K87" s="482"/>
      <c r="L87" s="484"/>
    </row>
    <row r="88" spans="1:41">
      <c r="A88" s="370"/>
      <c r="B88"/>
      <c r="C88"/>
      <c r="D88"/>
      <c r="E88"/>
      <c r="F88"/>
      <c r="G88" s="454"/>
      <c r="H88" s="492"/>
      <c r="I88" s="454"/>
      <c r="L88" s="493"/>
    </row>
    <row r="89" spans="1:41">
      <c r="A89" s="370"/>
      <c r="B89"/>
      <c r="C89"/>
      <c r="D89"/>
      <c r="E89"/>
      <c r="F89"/>
    </row>
    <row r="90" spans="1:41">
      <c r="A90" s="370"/>
      <c r="B90"/>
      <c r="C90"/>
      <c r="D90"/>
      <c r="E90"/>
      <c r="F90"/>
    </row>
    <row r="91" spans="1:41">
      <c r="A91" s="370"/>
      <c r="B91"/>
      <c r="C91"/>
      <c r="D91"/>
      <c r="E91"/>
      <c r="F91"/>
    </row>
    <row r="92" spans="1:41">
      <c r="A92" s="370"/>
      <c r="B92"/>
      <c r="C92"/>
      <c r="D92"/>
      <c r="E92"/>
      <c r="F92"/>
    </row>
    <row r="93" spans="1:41">
      <c r="A93" s="370"/>
      <c r="B93"/>
      <c r="C93"/>
      <c r="D93"/>
      <c r="E93"/>
      <c r="F93"/>
    </row>
    <row r="94" spans="1:41">
      <c r="A94"/>
      <c r="B94"/>
      <c r="C94"/>
      <c r="D94"/>
      <c r="E94"/>
      <c r="F94"/>
    </row>
    <row r="95" spans="1:41">
      <c r="A95"/>
      <c r="B95"/>
      <c r="C95"/>
      <c r="D95"/>
      <c r="E95"/>
      <c r="F95"/>
    </row>
    <row r="96" spans="1:41">
      <c r="A96"/>
      <c r="B96"/>
      <c r="C96"/>
      <c r="D96"/>
      <c r="E96"/>
      <c r="F96"/>
    </row>
    <row r="97" spans="1:6">
      <c r="A97"/>
      <c r="B97"/>
      <c r="C97"/>
      <c r="D97"/>
      <c r="E97"/>
      <c r="F97"/>
    </row>
    <row r="98" spans="1:6">
      <c r="A98"/>
      <c r="B98"/>
      <c r="C98"/>
      <c r="D98"/>
      <c r="E98"/>
      <c r="F98"/>
    </row>
    <row r="99" spans="1:6">
      <c r="A99"/>
      <c r="B99"/>
      <c r="C99"/>
      <c r="D99"/>
      <c r="E99"/>
      <c r="F99"/>
    </row>
    <row r="100" spans="1:6">
      <c r="A100"/>
      <c r="B100"/>
      <c r="C100"/>
      <c r="D100"/>
      <c r="E100"/>
      <c r="F100"/>
    </row>
    <row r="101" spans="1:6">
      <c r="A101"/>
      <c r="B101"/>
      <c r="C101"/>
      <c r="D101"/>
      <c r="E101"/>
      <c r="F101"/>
    </row>
    <row r="102" spans="1:6">
      <c r="A102"/>
      <c r="B102"/>
      <c r="C102"/>
      <c r="D102"/>
      <c r="E102"/>
      <c r="F102"/>
    </row>
    <row r="103" spans="1:6">
      <c r="A103"/>
      <c r="B103"/>
      <c r="C103"/>
      <c r="D103"/>
      <c r="E103"/>
      <c r="F103"/>
    </row>
    <row r="104" spans="1:6">
      <c r="A104"/>
      <c r="B104"/>
      <c r="C104"/>
      <c r="D104"/>
      <c r="E104"/>
      <c r="F104"/>
    </row>
    <row r="105" spans="1:6">
      <c r="A105"/>
      <c r="B105"/>
      <c r="C105"/>
      <c r="D105"/>
      <c r="E105"/>
      <c r="F105"/>
    </row>
    <row r="106" spans="1:6">
      <c r="A106"/>
      <c r="B106"/>
      <c r="C106"/>
      <c r="D106"/>
      <c r="E106"/>
      <c r="F106"/>
    </row>
    <row r="107" spans="1:6">
      <c r="A107"/>
      <c r="B107"/>
      <c r="C107"/>
      <c r="D107"/>
      <c r="E107"/>
      <c r="F107"/>
    </row>
    <row r="108" spans="1:6">
      <c r="A108"/>
      <c r="B108"/>
      <c r="C108"/>
      <c r="D108"/>
      <c r="E108"/>
      <c r="F108"/>
    </row>
    <row r="109" spans="1:6">
      <c r="A109"/>
      <c r="B109"/>
      <c r="C109"/>
      <c r="D109"/>
      <c r="E109"/>
      <c r="F109"/>
    </row>
    <row r="110" spans="1:6">
      <c r="A110"/>
      <c r="B110"/>
      <c r="C110"/>
      <c r="D110"/>
      <c r="E110"/>
      <c r="F110"/>
    </row>
    <row r="111" spans="1:6">
      <c r="A111"/>
      <c r="B111"/>
      <c r="C111"/>
      <c r="D111"/>
      <c r="E111"/>
      <c r="F111"/>
    </row>
    <row r="112" spans="1:6">
      <c r="A112"/>
      <c r="B112"/>
      <c r="C112"/>
      <c r="D112"/>
      <c r="E112"/>
      <c r="F112"/>
    </row>
    <row r="113" spans="1:6">
      <c r="A113"/>
      <c r="B113"/>
      <c r="C113"/>
      <c r="D113"/>
      <c r="E113"/>
      <c r="F113"/>
    </row>
    <row r="114" spans="1:6">
      <c r="A114"/>
      <c r="B114"/>
      <c r="C114"/>
      <c r="D114"/>
      <c r="E114"/>
      <c r="F114"/>
    </row>
    <row r="115" spans="1:6">
      <c r="A115"/>
      <c r="B115"/>
      <c r="C115"/>
      <c r="D115"/>
      <c r="E115"/>
      <c r="F115"/>
    </row>
    <row r="116" spans="1:6">
      <c r="A116"/>
      <c r="B116"/>
      <c r="C116"/>
      <c r="D116"/>
      <c r="E116"/>
      <c r="F116"/>
    </row>
    <row r="117" spans="1:6">
      <c r="A117"/>
      <c r="B117"/>
      <c r="C117"/>
      <c r="D117"/>
      <c r="E117"/>
      <c r="F117"/>
    </row>
    <row r="118" spans="1:6">
      <c r="A118"/>
      <c r="B118"/>
      <c r="C118"/>
      <c r="D118"/>
      <c r="E118"/>
      <c r="F118"/>
    </row>
    <row r="119" spans="1:6">
      <c r="A119"/>
      <c r="B119"/>
      <c r="C119"/>
      <c r="D119"/>
      <c r="E119"/>
      <c r="F119"/>
    </row>
    <row r="120" spans="1:6">
      <c r="A120"/>
      <c r="B120"/>
      <c r="C120"/>
      <c r="D120"/>
      <c r="E120"/>
      <c r="F120"/>
    </row>
    <row r="121" spans="1:6">
      <c r="A121"/>
      <c r="B121"/>
      <c r="C121"/>
      <c r="D121"/>
      <c r="E121"/>
      <c r="F121"/>
    </row>
    <row r="122" spans="1:6">
      <c r="A122"/>
      <c r="B122"/>
      <c r="C122"/>
      <c r="D122"/>
      <c r="E122"/>
      <c r="F122"/>
    </row>
    <row r="123" spans="1:6">
      <c r="A123"/>
      <c r="B123"/>
      <c r="C123"/>
      <c r="D123"/>
      <c r="E123"/>
      <c r="F123"/>
    </row>
    <row r="124" spans="1:6">
      <c r="A124"/>
      <c r="B124"/>
      <c r="C124"/>
      <c r="D124"/>
      <c r="E124"/>
      <c r="F124"/>
    </row>
    <row r="125" spans="1:6">
      <c r="A125"/>
      <c r="B125"/>
      <c r="C125"/>
      <c r="D125"/>
      <c r="E125"/>
      <c r="F125"/>
    </row>
    <row r="126" spans="1:6">
      <c r="A126"/>
      <c r="B126"/>
      <c r="C126"/>
      <c r="D126"/>
      <c r="E126"/>
      <c r="F126"/>
    </row>
    <row r="127" spans="1:6">
      <c r="A127"/>
      <c r="B127"/>
      <c r="C127"/>
      <c r="D127"/>
      <c r="E127"/>
      <c r="F127"/>
    </row>
    <row r="128" spans="1:6">
      <c r="A128"/>
      <c r="B128"/>
      <c r="C128"/>
      <c r="D128"/>
      <c r="E128"/>
      <c r="F128"/>
    </row>
    <row r="129" spans="1:6">
      <c r="A129"/>
      <c r="B129"/>
      <c r="C129"/>
      <c r="D129"/>
      <c r="E129"/>
      <c r="F129"/>
    </row>
    <row r="130" spans="1:6">
      <c r="A130"/>
      <c r="B130"/>
      <c r="C130"/>
      <c r="D130"/>
      <c r="E130"/>
      <c r="F130"/>
    </row>
    <row r="131" spans="1:6">
      <c r="A131"/>
      <c r="B131"/>
      <c r="C131"/>
      <c r="D131"/>
      <c r="E131"/>
      <c r="F131"/>
    </row>
  </sheetData>
  <mergeCells count="5">
    <mergeCell ref="C5:D5"/>
    <mergeCell ref="A5:B6"/>
    <mergeCell ref="E1:F1"/>
    <mergeCell ref="G5:I5"/>
    <mergeCell ref="J5:K5"/>
  </mergeCells>
  <phoneticPr fontId="15" type="noConversion"/>
  <printOptions horizontalCentered="1"/>
  <pageMargins left="0.25" right="0.25" top="0.5" bottom="0.5" header="0.25" footer="0.25"/>
  <pageSetup scale="62" orientation="landscape" verticalDpi="1200" r:id="rId1"/>
  <headerFooter alignWithMargins="0">
    <oddFooter>&amp;L&amp;Z&amp;F&amp;R&amp;D</oddFooter>
  </headerFooter>
  <rowBreaks count="1" manualBreakCount="1">
    <brk id="5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Y546"/>
  <sheetViews>
    <sheetView tabSelected="1" zoomScale="85" zoomScaleNormal="85" workbookViewId="0">
      <pane ySplit="9" topLeftCell="A10" activePane="bottomLeft" state="frozen"/>
      <selection pane="bottomLeft" activeCell="E33" sqref="E33"/>
    </sheetView>
  </sheetViews>
  <sheetFormatPr defaultColWidth="8.85546875" defaultRowHeight="12.75"/>
  <cols>
    <col min="1" max="1" width="52.5703125" style="118" customWidth="1"/>
    <col min="2" max="2" width="17.140625" style="119" customWidth="1"/>
    <col min="3" max="3" width="16" style="120" bestFit="1" customWidth="1"/>
    <col min="4" max="4" width="11.140625" style="119" hidden="1" customWidth="1"/>
    <col min="5" max="5" width="15.7109375" style="121" customWidth="1"/>
    <col min="6" max="6" width="15.7109375" style="26" customWidth="1"/>
    <col min="7" max="7" width="12.85546875" style="26" bestFit="1" customWidth="1"/>
    <col min="8" max="8" width="2.140625" style="21" customWidth="1"/>
    <col min="9" max="9" width="22.140625" style="21" bestFit="1" customWidth="1"/>
    <col min="10" max="10" width="15.140625" style="21" bestFit="1" customWidth="1"/>
    <col min="11" max="11" width="16.42578125" style="21" customWidth="1"/>
    <col min="12" max="12" width="12.7109375" style="45" customWidth="1"/>
    <col min="13" max="18" width="8.85546875" style="45"/>
    <col min="19" max="19" width="13.85546875" style="45" bestFit="1" customWidth="1"/>
    <col min="20" max="16384" width="8.85546875" style="45"/>
  </cols>
  <sheetData>
    <row r="1" spans="1:22" s="98" customFormat="1" ht="24.95" customHeight="1" thickBot="1">
      <c r="A1" s="89" t="s">
        <v>248</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67</v>
      </c>
      <c r="B3" s="260"/>
      <c r="C3" s="108" t="s">
        <v>151</v>
      </c>
      <c r="D3" s="101"/>
      <c r="E3" s="102"/>
      <c r="F3" s="103"/>
      <c r="G3" s="103"/>
      <c r="H3" s="104"/>
      <c r="K3" s="106"/>
    </row>
    <row r="4" spans="1:22" s="105" customFormat="1" ht="15.75">
      <c r="A4" s="107" t="s">
        <v>10</v>
      </c>
      <c r="B4" s="2" t="s">
        <v>60</v>
      </c>
      <c r="C4" s="108" t="s">
        <v>168</v>
      </c>
      <c r="D4" s="101"/>
      <c r="E4" s="102"/>
      <c r="F4" s="103"/>
      <c r="G4" s="103"/>
      <c r="H4" s="104"/>
      <c r="K4" s="106"/>
    </row>
    <row r="5" spans="1:22" s="105" customFormat="1" ht="15.75">
      <c r="A5" s="107" t="s">
        <v>32</v>
      </c>
      <c r="B5" s="2" t="s">
        <v>58</v>
      </c>
      <c r="C5" s="108" t="s">
        <v>165</v>
      </c>
      <c r="D5" s="101"/>
      <c r="E5" s="102"/>
      <c r="F5" s="103"/>
      <c r="G5" s="103"/>
      <c r="H5" s="104"/>
      <c r="K5" s="106"/>
    </row>
    <row r="6" spans="1:22" s="105" customFormat="1" ht="15.75">
      <c r="A6" s="107" t="s">
        <v>31</v>
      </c>
      <c r="B6" s="2" t="s">
        <v>21</v>
      </c>
      <c r="C6" s="108" t="s">
        <v>166</v>
      </c>
      <c r="D6" s="101"/>
      <c r="E6" s="102"/>
      <c r="F6" s="103"/>
      <c r="G6" s="103"/>
      <c r="H6" s="104"/>
      <c r="K6" s="106"/>
    </row>
    <row r="7" spans="1:22" s="105" customFormat="1" ht="15.75">
      <c r="A7" s="107" t="s">
        <v>19</v>
      </c>
      <c r="B7" s="2" t="s">
        <v>25</v>
      </c>
      <c r="C7" s="108" t="s">
        <v>167</v>
      </c>
      <c r="D7" s="101"/>
      <c r="E7" s="102"/>
      <c r="F7" s="103"/>
      <c r="G7" s="103"/>
      <c r="H7" s="104"/>
      <c r="K7" s="106"/>
    </row>
    <row r="8" spans="1:22" ht="15.75">
      <c r="A8" s="109"/>
      <c r="B8" s="110"/>
      <c r="C8" s="111"/>
      <c r="D8" s="112"/>
      <c r="E8" s="113"/>
      <c r="F8" s="114"/>
      <c r="H8" s="45"/>
      <c r="I8" s="61" t="s">
        <v>27</v>
      </c>
      <c r="J8" s="115"/>
      <c r="K8" s="61"/>
      <c r="L8" s="117"/>
      <c r="M8" s="117"/>
      <c r="N8" s="117"/>
      <c r="O8" s="117"/>
      <c r="P8" s="117"/>
      <c r="Q8" s="117"/>
      <c r="R8" s="117"/>
      <c r="S8" s="117"/>
      <c r="T8" s="117"/>
      <c r="U8" s="117"/>
      <c r="V8" s="117"/>
    </row>
    <row r="9" spans="1:22" ht="13.5" thickBot="1">
      <c r="A9" s="4" t="s">
        <v>2</v>
      </c>
      <c r="B9" s="5" t="s">
        <v>3</v>
      </c>
      <c r="C9" s="6" t="s">
        <v>12</v>
      </c>
      <c r="D9" s="7" t="s">
        <v>14</v>
      </c>
      <c r="E9" s="8" t="s">
        <v>17</v>
      </c>
      <c r="F9" s="138" t="s">
        <v>13</v>
      </c>
      <c r="G9" s="269" t="s">
        <v>152</v>
      </c>
      <c r="H9" s="9"/>
      <c r="I9" s="10" t="s">
        <v>4</v>
      </c>
      <c r="J9" s="11" t="s">
        <v>164</v>
      </c>
      <c r="K9" s="116"/>
      <c r="L9" s="117"/>
      <c r="M9" s="117"/>
      <c r="N9" s="117"/>
      <c r="O9" s="117"/>
      <c r="P9" s="117"/>
      <c r="Q9" s="117"/>
      <c r="R9" s="117"/>
      <c r="S9" s="117"/>
      <c r="T9" s="117"/>
      <c r="U9" s="117"/>
      <c r="V9" s="117"/>
    </row>
    <row r="10" spans="1:22" ht="13.5" thickTop="1">
      <c r="A10" s="12"/>
      <c r="B10" s="13"/>
      <c r="C10" s="14"/>
      <c r="D10" s="13"/>
      <c r="E10" s="15"/>
      <c r="F10" s="16"/>
      <c r="G10" s="15"/>
      <c r="H10" s="18"/>
      <c r="I10" s="359" t="s">
        <v>20</v>
      </c>
      <c r="J10" s="19">
        <f>Summary!G35</f>
        <v>22.76</v>
      </c>
      <c r="K10" s="116"/>
      <c r="L10" s="117"/>
      <c r="M10" s="117"/>
      <c r="N10" s="117"/>
      <c r="O10" s="117"/>
      <c r="P10" s="117"/>
      <c r="Q10" s="117"/>
      <c r="R10" s="117"/>
      <c r="S10" s="117"/>
      <c r="T10" s="117"/>
      <c r="U10" s="117"/>
      <c r="V10" s="117"/>
    </row>
    <row r="11" spans="1:22">
      <c r="A11" s="12" t="s">
        <v>0</v>
      </c>
      <c r="B11" s="13" t="s">
        <v>34</v>
      </c>
      <c r="C11" s="14"/>
      <c r="D11" s="13"/>
      <c r="E11" s="3">
        <v>0</v>
      </c>
      <c r="F11" s="139">
        <f>IF(ISERROR(E11/12),"-",E11/12)</f>
        <v>0</v>
      </c>
      <c r="G11" s="15"/>
      <c r="I11" s="359" t="s">
        <v>24</v>
      </c>
      <c r="J11" s="19">
        <f>Summary!G36</f>
        <v>286.16000000000003</v>
      </c>
      <c r="K11" s="116"/>
      <c r="L11" s="117"/>
      <c r="M11" s="117"/>
      <c r="N11" s="117"/>
      <c r="O11" s="117"/>
      <c r="P11" s="117"/>
      <c r="Q11" s="117"/>
      <c r="R11" s="117"/>
      <c r="S11" s="117"/>
      <c r="T11" s="117"/>
      <c r="U11" s="117"/>
      <c r="V11" s="117"/>
    </row>
    <row r="12" spans="1:22">
      <c r="A12" s="22"/>
      <c r="B12" s="23"/>
      <c r="C12" s="24"/>
      <c r="D12" s="23"/>
      <c r="E12" s="25"/>
      <c r="G12" s="267"/>
      <c r="I12" s="359" t="s">
        <v>42</v>
      </c>
      <c r="J12" s="19">
        <f>Summary!G37</f>
        <v>629.64</v>
      </c>
      <c r="K12" s="116"/>
      <c r="L12" s="117"/>
      <c r="M12" s="117"/>
      <c r="N12" s="117"/>
      <c r="O12" s="117"/>
      <c r="P12" s="117"/>
      <c r="Q12" s="117"/>
      <c r="R12" s="117"/>
      <c r="S12" s="117"/>
      <c r="T12" s="117"/>
      <c r="U12" s="117"/>
      <c r="V12" s="117"/>
    </row>
    <row r="13" spans="1:22">
      <c r="A13" s="29" t="s">
        <v>146</v>
      </c>
      <c r="B13" s="30"/>
      <c r="C13" s="31"/>
      <c r="D13" s="30"/>
      <c r="E13" s="32"/>
      <c r="F13" s="33"/>
      <c r="G13" s="270"/>
      <c r="I13" s="360" t="s">
        <v>21</v>
      </c>
      <c r="J13" s="28">
        <f>Summary!G38</f>
        <v>666.18</v>
      </c>
      <c r="K13" s="116"/>
      <c r="L13" s="117"/>
      <c r="M13" s="117"/>
      <c r="N13" s="117"/>
      <c r="O13" s="117"/>
      <c r="P13" s="117"/>
      <c r="Q13" s="117"/>
      <c r="R13" s="117"/>
      <c r="S13" s="117"/>
      <c r="T13" s="117"/>
      <c r="U13" s="117"/>
      <c r="V13" s="117"/>
    </row>
    <row r="14" spans="1:22">
      <c r="A14" s="35"/>
      <c r="B14" s="36"/>
      <c r="C14" s="37"/>
      <c r="D14" s="327"/>
      <c r="E14" s="38"/>
      <c r="G14" s="267"/>
      <c r="I14" s="51" t="s">
        <v>28</v>
      </c>
      <c r="K14" s="117"/>
      <c r="L14" s="117"/>
      <c r="M14" s="117"/>
      <c r="N14" s="117"/>
      <c r="O14" s="117"/>
      <c r="P14" s="117"/>
      <c r="Q14" s="117"/>
      <c r="R14" s="117"/>
      <c r="S14" s="117"/>
      <c r="T14" s="117"/>
    </row>
    <row r="15" spans="1:22" ht="15" thickBot="1">
      <c r="A15" s="12" t="s">
        <v>38</v>
      </c>
      <c r="B15" s="13">
        <v>1812</v>
      </c>
      <c r="C15" s="39" t="str">
        <f>CONCATENATE(Summary!$G$9*100,"% of Salary")</f>
        <v>6.2% of Salary</v>
      </c>
      <c r="D15" s="325"/>
      <c r="E15" s="15">
        <f>IF($E$11&gt;=Summary!$G$10,Summary!$G$9*Summary!$G$10,$E$11*Summary!$G$9)</f>
        <v>0</v>
      </c>
      <c r="F15" s="139">
        <f>IF(ISERROR(E15/12),"-",E15/12)</f>
        <v>0</v>
      </c>
      <c r="G15" s="15"/>
      <c r="I15" s="10" t="s">
        <v>22</v>
      </c>
      <c r="J15" s="11" t="s">
        <v>164</v>
      </c>
      <c r="K15" s="117"/>
      <c r="L15" s="117"/>
      <c r="M15" s="117"/>
      <c r="N15" s="117"/>
      <c r="O15" s="117"/>
      <c r="P15" s="117"/>
      <c r="Q15" s="117"/>
      <c r="R15" s="117"/>
      <c r="S15" s="117"/>
      <c r="T15" s="117"/>
    </row>
    <row r="16" spans="1:22" ht="13.5" thickTop="1">
      <c r="A16" s="12"/>
      <c r="B16" s="13"/>
      <c r="C16" s="39"/>
      <c r="D16" s="326"/>
      <c r="E16" s="15"/>
      <c r="F16" s="20"/>
      <c r="G16" s="15"/>
      <c r="I16" s="359" t="s">
        <v>20</v>
      </c>
      <c r="J16" s="19">
        <f>Summary!$G$58</f>
        <v>121.86</v>
      </c>
      <c r="K16" s="117"/>
      <c r="L16" s="117"/>
      <c r="M16" s="117"/>
      <c r="N16" s="117"/>
      <c r="O16" s="117"/>
      <c r="P16" s="117"/>
      <c r="Q16" s="117"/>
      <c r="R16" s="117"/>
      <c r="S16" s="117"/>
      <c r="T16" s="117"/>
    </row>
    <row r="17" spans="1:25">
      <c r="A17" s="35" t="s">
        <v>11</v>
      </c>
      <c r="B17" s="40">
        <v>1813</v>
      </c>
      <c r="C17" s="39" t="str">
        <f>CONCATENATE(Summary!$G$11*100,"% of Salary")</f>
        <v>1.45% of Salary</v>
      </c>
      <c r="D17" s="325"/>
      <c r="E17" s="15">
        <f>SUM($E$11*Summary!$G$11)</f>
        <v>0</v>
      </c>
      <c r="F17" s="139">
        <f>IF(ISERROR(E17/12),"-",E17/12)</f>
        <v>0</v>
      </c>
      <c r="G17" s="15"/>
      <c r="I17" s="360" t="s">
        <v>25</v>
      </c>
      <c r="J17" s="28">
        <f>Summary!$G$58+Summary!$G$59</f>
        <v>322.81</v>
      </c>
      <c r="K17" s="117"/>
      <c r="L17" s="117"/>
      <c r="M17" s="117"/>
      <c r="N17" s="117"/>
      <c r="O17" s="117"/>
      <c r="P17" s="117"/>
      <c r="Q17" s="117"/>
      <c r="R17" s="117"/>
      <c r="S17" s="117"/>
      <c r="T17" s="117"/>
      <c r="Y17" s="340"/>
    </row>
    <row r="18" spans="1:25">
      <c r="A18" s="12"/>
      <c r="B18" s="13"/>
      <c r="C18" s="39"/>
      <c r="D18" s="326"/>
      <c r="E18" s="15"/>
      <c r="G18" s="267"/>
      <c r="I18" s="361" t="s">
        <v>29</v>
      </c>
      <c r="J18" s="118"/>
      <c r="K18" s="117"/>
      <c r="L18" s="117"/>
      <c r="M18" s="117"/>
      <c r="N18" s="117"/>
      <c r="O18" s="117"/>
      <c r="P18" s="117"/>
      <c r="Q18" s="117"/>
      <c r="R18" s="117"/>
      <c r="S18" s="117"/>
      <c r="T18" s="117"/>
      <c r="Y18" s="340"/>
    </row>
    <row r="19" spans="1:25" ht="15" thickBot="1">
      <c r="A19" s="12" t="s">
        <v>39</v>
      </c>
      <c r="B19" s="13">
        <v>1822</v>
      </c>
      <c r="C19" s="39" t="str">
        <f>CONCATENATE(Summary!$G$14*100,"%  of Salary")</f>
        <v>14.23%  of Salary</v>
      </c>
      <c r="D19" s="325">
        <f>IF($E$11&gt;=Summary!$G$15,Summary!$G$15,$E$11)*Summary!$G$14</f>
        <v>0</v>
      </c>
      <c r="E19" s="42">
        <f>IF(AND(B4="Yes",B5="State"),D19,(IF(AND(B4="No",B5="State"),D20,"-")))</f>
        <v>0</v>
      </c>
      <c r="F19" s="139">
        <f>IF(ISERROR(E19/12),"-",E19/12)</f>
        <v>0</v>
      </c>
      <c r="G19" s="122"/>
      <c r="I19" s="10" t="s">
        <v>23</v>
      </c>
      <c r="J19" s="11" t="s">
        <v>164</v>
      </c>
      <c r="K19" s="117"/>
      <c r="L19" s="117"/>
      <c r="M19" s="117"/>
      <c r="N19" s="117"/>
      <c r="O19" s="117"/>
      <c r="P19" s="117"/>
      <c r="Q19" s="117"/>
      <c r="R19" s="117"/>
      <c r="S19" s="117"/>
      <c r="T19" s="117"/>
      <c r="Y19" s="340"/>
    </row>
    <row r="20" spans="1:25" ht="13.5" thickTop="1">
      <c r="A20" s="43"/>
      <c r="B20" s="13"/>
      <c r="C20" s="39"/>
      <c r="D20" s="325">
        <f>IF($E$11&gt;Summary!$G$16,Summary!$G$16,$E$11)*Summary!$G$14</f>
        <v>0</v>
      </c>
      <c r="E20" s="44"/>
      <c r="F20" s="262"/>
      <c r="G20" s="15"/>
      <c r="H20" s="45"/>
      <c r="I20" s="359" t="s">
        <v>20</v>
      </c>
      <c r="J20" s="19">
        <f>Summary!$G$60</f>
        <v>41.55</v>
      </c>
      <c r="K20" s="117"/>
      <c r="L20" s="117"/>
      <c r="M20" s="117"/>
      <c r="N20" s="117"/>
      <c r="O20" s="117"/>
      <c r="P20" s="117"/>
      <c r="Q20" s="117"/>
      <c r="R20" s="117"/>
      <c r="S20" s="117"/>
      <c r="T20" s="117"/>
      <c r="Y20" s="340"/>
    </row>
    <row r="21" spans="1:25" ht="14.25">
      <c r="A21" s="12" t="s">
        <v>84</v>
      </c>
      <c r="B21" s="13" t="s">
        <v>5</v>
      </c>
      <c r="C21" s="39" t="str">
        <f>CONCATENATE(Summary!$G$20*100,"% of Salary")</f>
        <v>12.58% of Salary</v>
      </c>
      <c r="D21" s="325">
        <f>IF($E$11&gt;Summary!$G$21,Summary!$G$21,$E$11)*Summary!$G$20</f>
        <v>0</v>
      </c>
      <c r="E21" s="42" t="str">
        <f>IF(AND(B4="Yes",B5="Optional"),D21,(IF(AND(B4="No",B5="Optional"),D22,"-")))</f>
        <v>-</v>
      </c>
      <c r="F21" s="139" t="str">
        <f>IF(ISERROR(E21/12),"-",E21/12)</f>
        <v>-</v>
      </c>
      <c r="G21" s="122"/>
      <c r="I21" s="360" t="s">
        <v>25</v>
      </c>
      <c r="J21" s="28">
        <f>Summary!$G$60+Summary!$G$61</f>
        <v>125.76</v>
      </c>
      <c r="K21" s="117"/>
      <c r="L21" s="117"/>
      <c r="M21" s="117"/>
      <c r="N21" s="117"/>
      <c r="O21" s="117"/>
      <c r="P21" s="117"/>
      <c r="Q21" s="117"/>
      <c r="R21" s="117"/>
      <c r="S21" s="117"/>
      <c r="T21" s="117"/>
      <c r="Y21" s="340"/>
    </row>
    <row r="22" spans="1:25">
      <c r="A22" s="43"/>
      <c r="B22" s="13"/>
      <c r="C22" s="39"/>
      <c r="D22" s="325">
        <f>IF($E$11&gt;Summary!$G$22,Summary!$G$22,$E$11)*Summary!$G$20</f>
        <v>0</v>
      </c>
      <c r="E22" s="44"/>
      <c r="F22" s="139"/>
      <c r="G22" s="15"/>
      <c r="I22" s="45"/>
      <c r="K22" s="117"/>
      <c r="L22" s="117"/>
      <c r="M22" s="117"/>
      <c r="N22" s="117"/>
      <c r="O22" s="117"/>
      <c r="P22" s="117"/>
      <c r="Q22" s="117"/>
      <c r="R22" s="117"/>
      <c r="S22" s="117"/>
      <c r="T22" s="117"/>
    </row>
    <row r="23" spans="1:25">
      <c r="A23" s="12" t="s">
        <v>1</v>
      </c>
      <c r="B23" s="13">
        <v>1832</v>
      </c>
      <c r="C23" s="46" t="str">
        <f>CONCATENATE(Summary!$G$29,"/month")</f>
        <v>432.66/month</v>
      </c>
      <c r="D23" s="323"/>
      <c r="E23" s="122" t="str">
        <f>IF(B3&gt;0.74,Summary!$G$29*12,"-")</f>
        <v>-</v>
      </c>
      <c r="F23" s="139" t="str">
        <f>IF(ISERROR(E23/12),"-",E23/12)</f>
        <v>-</v>
      </c>
      <c r="G23" s="15"/>
      <c r="I23" s="45"/>
      <c r="J23" s="45"/>
      <c r="K23" s="117"/>
    </row>
    <row r="24" spans="1:25">
      <c r="A24" s="12"/>
      <c r="B24" s="13"/>
      <c r="C24" s="39"/>
      <c r="D24" s="323"/>
      <c r="E24" s="15"/>
      <c r="G24" s="267"/>
      <c r="I24" s="45"/>
      <c r="J24" s="45"/>
      <c r="K24" s="117"/>
    </row>
    <row r="25" spans="1:25">
      <c r="A25" s="35" t="s">
        <v>18</v>
      </c>
      <c r="B25" s="40">
        <v>1892</v>
      </c>
      <c r="C25" s="39" t="str">
        <f>CONCATENATE(Summary!$G$27*100,"% of Salary")</f>
        <v>0.35% of Salary</v>
      </c>
      <c r="D25" s="324"/>
      <c r="E25" s="15">
        <f>SUM($E$11*Summary!$G$27)</f>
        <v>0</v>
      </c>
      <c r="F25" s="139">
        <f>IF(ISERROR(E25/12),"-",E25/12)</f>
        <v>0</v>
      </c>
      <c r="G25" s="15"/>
      <c r="K25" s="117"/>
    </row>
    <row r="26" spans="1:25">
      <c r="A26" s="35"/>
      <c r="B26" s="40"/>
      <c r="C26" s="47"/>
      <c r="D26" s="324"/>
      <c r="E26" s="15"/>
      <c r="G26" s="267"/>
      <c r="K26" s="45"/>
    </row>
    <row r="27" spans="1:25">
      <c r="A27" s="48" t="s">
        <v>6</v>
      </c>
      <c r="B27" s="40">
        <v>3914</v>
      </c>
      <c r="C27" s="39" t="str">
        <f>CONCATENATE(Summary!$G$76*100,"% of Salary")</f>
        <v>0.241% of Salary</v>
      </c>
      <c r="D27" s="324"/>
      <c r="E27" s="15">
        <f>SUM($E$11*Summary!$G$76)</f>
        <v>0</v>
      </c>
      <c r="F27" s="139">
        <f>IF(ISERROR(E27/12),"-",E27/12)</f>
        <v>0</v>
      </c>
      <c r="G27" s="15"/>
      <c r="K27" s="45"/>
    </row>
    <row r="28" spans="1:25">
      <c r="A28" s="48"/>
      <c r="B28" s="40"/>
      <c r="C28" s="39"/>
      <c r="D28" s="324"/>
      <c r="E28" s="15"/>
      <c r="F28" s="341"/>
      <c r="G28" s="15"/>
      <c r="K28" s="45"/>
    </row>
    <row r="29" spans="1:25">
      <c r="A29" s="48" t="s">
        <v>238</v>
      </c>
      <c r="B29" s="36">
        <v>3225</v>
      </c>
      <c r="C29" s="39" t="str">
        <f>CONCATENATE(Summary!$G$75*100,"% of Salary")</f>
        <v>0.54% of Salary</v>
      </c>
      <c r="D29" s="328"/>
      <c r="E29" s="15">
        <f>SUM($E$11*Summary!$G$75)</f>
        <v>0</v>
      </c>
      <c r="F29" s="495">
        <f>IF(ISERROR(E29/12),"-",E29/12)</f>
        <v>0</v>
      </c>
      <c r="G29" s="268"/>
      <c r="K29" s="45"/>
    </row>
    <row r="30" spans="1:25" s="85" customFormat="1" ht="13.5" thickBot="1">
      <c r="A30" s="52" t="s">
        <v>145</v>
      </c>
      <c r="B30" s="53"/>
      <c r="C30" s="54"/>
      <c r="D30" s="140"/>
      <c r="E30" s="56">
        <f>SUM(E15:E29)</f>
        <v>0</v>
      </c>
      <c r="F30" s="263">
        <f>SUM(F15:F29)</f>
        <v>0</v>
      </c>
      <c r="G30" s="337" t="str">
        <f>IF(ISERROR(E30/$E$11),"-",E30/$E$11)</f>
        <v>-</v>
      </c>
      <c r="H30" s="61"/>
      <c r="I30" s="21"/>
      <c r="J30" s="21"/>
      <c r="K30" s="494"/>
    </row>
    <row r="31" spans="1:25" ht="13.5" thickTop="1">
      <c r="A31" s="57" t="s">
        <v>147</v>
      </c>
      <c r="B31" s="58"/>
      <c r="C31" s="59"/>
      <c r="D31" s="141"/>
      <c r="E31" s="60"/>
      <c r="F31" s="264"/>
      <c r="G31" s="271"/>
      <c r="H31" s="65"/>
      <c r="K31" s="341"/>
    </row>
    <row r="32" spans="1:25">
      <c r="A32" s="62"/>
      <c r="B32" s="63"/>
      <c r="C32" s="64"/>
      <c r="D32" s="322"/>
      <c r="E32" s="38"/>
      <c r="G32" s="267"/>
      <c r="K32" s="358"/>
    </row>
    <row r="33" spans="1:19">
      <c r="A33" s="12" t="s">
        <v>15</v>
      </c>
      <c r="B33" s="13">
        <v>1802</v>
      </c>
      <c r="C33" s="66" t="s">
        <v>35</v>
      </c>
      <c r="D33" s="323"/>
      <c r="E33" s="122">
        <f>IF(ISERROR(INDEX(I10:J13,MATCH(B6,I10:I13,0),2)*12),"-",INDEX(I10:J13,MATCH(B6,I10:I13,0),2)*12)</f>
        <v>7994.16</v>
      </c>
      <c r="F33" s="139">
        <f>IF(ISERROR(E33/12),"-",E33/12)</f>
        <v>666.18</v>
      </c>
      <c r="G33" s="15"/>
      <c r="K33" s="341"/>
    </row>
    <row r="34" spans="1:19">
      <c r="A34" s="67"/>
      <c r="B34" s="13"/>
      <c r="C34" s="14"/>
      <c r="D34" s="323"/>
      <c r="E34" s="15"/>
      <c r="F34" s="262"/>
      <c r="G34" s="15"/>
      <c r="I34" s="69"/>
      <c r="K34" s="26"/>
    </row>
    <row r="35" spans="1:19">
      <c r="A35" s="12" t="s">
        <v>16</v>
      </c>
      <c r="B35" s="13">
        <v>1803</v>
      </c>
      <c r="C35" s="14" t="s">
        <v>253</v>
      </c>
      <c r="D35" s="323"/>
      <c r="E35" s="3"/>
      <c r="F35" s="139">
        <f>IF(ISERROR(E35/12),"-",E35/12)</f>
        <v>0</v>
      </c>
      <c r="G35" s="15"/>
      <c r="I35" s="75"/>
      <c r="J35" s="261"/>
      <c r="K35" s="341"/>
      <c r="L35" s="21"/>
    </row>
    <row r="36" spans="1:19">
      <c r="A36" s="12"/>
      <c r="B36" s="13"/>
      <c r="C36" s="14"/>
      <c r="D36" s="323"/>
      <c r="E36" s="15"/>
      <c r="G36" s="267"/>
      <c r="I36" s="69"/>
      <c r="K36" s="358"/>
    </row>
    <row r="37" spans="1:19" ht="14.25">
      <c r="A37" s="48" t="s">
        <v>85</v>
      </c>
      <c r="B37" s="13">
        <v>1804</v>
      </c>
      <c r="C37" s="66" t="str">
        <f>CONCATENATE(Summary!$G$40*100,"% of Salary")</f>
        <v>3.5% of Salary</v>
      </c>
      <c r="D37" s="324">
        <f>$E$11*Summary!$G$40</f>
        <v>0</v>
      </c>
      <c r="E37" s="44">
        <f>IF(B4="Yes",D37,IF(B4="No",D38,"Error"))</f>
        <v>0</v>
      </c>
      <c r="F37" s="139">
        <f>IF(ISERROR(E37/12),"-",E37/12)</f>
        <v>0</v>
      </c>
      <c r="G37" s="15"/>
      <c r="H37" s="45"/>
      <c r="K37" s="341"/>
    </row>
    <row r="38" spans="1:19">
      <c r="A38" s="43"/>
      <c r="B38" s="13"/>
      <c r="C38" s="14"/>
      <c r="D38" s="324">
        <f>IF($E$11&gt;Summary!$G$42,Summary!$G$42,$E$11)*Summary!$G$40</f>
        <v>0</v>
      </c>
      <c r="E38" s="42"/>
      <c r="F38" s="262"/>
      <c r="G38" s="15"/>
      <c r="K38" s="26"/>
      <c r="S38" s="355"/>
    </row>
    <row r="39" spans="1:19" ht="14.25">
      <c r="A39" s="12" t="s">
        <v>86</v>
      </c>
      <c r="B39" s="13">
        <v>1801</v>
      </c>
      <c r="C39" s="47" t="str">
        <f>CONCATENATE(Summary!$G$43*100,"% of Salary")</f>
        <v>0.672% of Salary</v>
      </c>
      <c r="D39" s="325">
        <f>IF($E$11&gt;Summary!$G$44,Summary!$G$44,$E$11)*Summary!$G$43</f>
        <v>0</v>
      </c>
      <c r="E39" s="44">
        <f>IF(B7="Ee Only",D39,IF(B7="Ee and Dep",D40, "Error"))</f>
        <v>38</v>
      </c>
      <c r="F39" s="139">
        <f>IF(ISERROR(E39/12),"-",E39/12)</f>
        <v>3.17</v>
      </c>
      <c r="G39" s="15"/>
      <c r="K39" s="341"/>
      <c r="L39" s="21"/>
    </row>
    <row r="40" spans="1:19">
      <c r="A40" s="12"/>
      <c r="B40" s="13"/>
      <c r="C40" s="47" t="s">
        <v>210</v>
      </c>
      <c r="D40" s="325">
        <f>D39+Summary!G45</f>
        <v>38</v>
      </c>
      <c r="E40" s="68"/>
      <c r="G40" s="267"/>
      <c r="K40" s="26"/>
      <c r="L40" s="356"/>
    </row>
    <row r="41" spans="1:19" ht="14.25">
      <c r="A41" s="12" t="s">
        <v>87</v>
      </c>
      <c r="B41" s="13">
        <v>1801</v>
      </c>
      <c r="C41" s="47" t="str">
        <f>CONCATENATE(Summary!$G$48*100,"% of Salary")</f>
        <v>0.1152% of Salary</v>
      </c>
      <c r="D41" s="325">
        <f>IF($E$11&gt;Summary!G49,Summary!G49,$E$11)*Summary!G48</f>
        <v>0</v>
      </c>
      <c r="E41" s="44">
        <f>IF(B7="Ee Only",D41,IF(B7="Ee and Dep",D42, "Error"))</f>
        <v>0</v>
      </c>
      <c r="F41" s="139">
        <f>IF(ISERROR(E41/12),"-",E41/12)</f>
        <v>0</v>
      </c>
      <c r="G41" s="15"/>
      <c r="K41" s="341"/>
      <c r="L41" s="356"/>
    </row>
    <row r="42" spans="1:19">
      <c r="A42" s="12"/>
      <c r="B42" s="13"/>
      <c r="C42" s="47" t="s">
        <v>210</v>
      </c>
      <c r="D42" s="325">
        <f>D41+IF($E$11&gt;Summary!G49,Summary!G49,$E$11)*Summary!G50</f>
        <v>0</v>
      </c>
      <c r="E42" s="15"/>
      <c r="G42" s="267"/>
      <c r="J42" s="357"/>
      <c r="K42" s="26"/>
      <c r="L42" s="354"/>
    </row>
    <row r="43" spans="1:19">
      <c r="A43" s="12" t="s">
        <v>88</v>
      </c>
      <c r="B43" s="13">
        <v>1805</v>
      </c>
      <c r="C43" s="47" t="str">
        <f>CONCATENATE(Summary!$G$52*100,"% of Salary")</f>
        <v>0.9% of Salary</v>
      </c>
      <c r="D43" s="325"/>
      <c r="E43" s="68">
        <f>$E$11*Summary!$G$52</f>
        <v>0</v>
      </c>
      <c r="F43" s="139">
        <f>IF(ISERROR(E43/12),"-",E43/12)</f>
        <v>0</v>
      </c>
      <c r="G43" s="15"/>
      <c r="K43" s="341"/>
      <c r="L43" s="21"/>
    </row>
    <row r="44" spans="1:19">
      <c r="A44" s="12"/>
      <c r="B44" s="13"/>
      <c r="C44" s="14"/>
      <c r="D44" s="325"/>
      <c r="E44" s="68"/>
      <c r="G44" s="267"/>
      <c r="K44" s="16"/>
      <c r="L44" s="21"/>
    </row>
    <row r="45" spans="1:19">
      <c r="A45" s="12" t="s">
        <v>9</v>
      </c>
      <c r="B45" s="13">
        <v>1808</v>
      </c>
      <c r="C45" s="14" t="s">
        <v>36</v>
      </c>
      <c r="D45" s="326"/>
      <c r="E45" s="15">
        <f>INDEX(I16:J17,MATCH(B7,I16:I17,0),2)*12</f>
        <v>3873.72</v>
      </c>
      <c r="F45" s="139">
        <f>IF(ISERROR(E45/12),"-",E45/12)</f>
        <v>322.81</v>
      </c>
      <c r="G45" s="15"/>
      <c r="K45" s="341"/>
      <c r="L45" s="21"/>
    </row>
    <row r="46" spans="1:19">
      <c r="A46" s="12"/>
      <c r="B46" s="13"/>
      <c r="C46" s="14"/>
      <c r="D46" s="326"/>
      <c r="E46" s="15"/>
      <c r="F46" s="20"/>
      <c r="G46" s="15"/>
      <c r="K46" s="16"/>
    </row>
    <row r="47" spans="1:19">
      <c r="A47" s="12" t="s">
        <v>8</v>
      </c>
      <c r="B47" s="13">
        <v>1808</v>
      </c>
      <c r="C47" s="14" t="s">
        <v>215</v>
      </c>
      <c r="D47" s="326"/>
      <c r="E47" s="15">
        <f>INDEX(I20:J21,MATCH(B7,I20:I21,0),2)*12</f>
        <v>1509.12</v>
      </c>
      <c r="F47" s="139">
        <f>IF(ISERROR(E47/12),"-",E47/12)</f>
        <v>125.76</v>
      </c>
      <c r="G47" s="15"/>
      <c r="L47" s="21"/>
    </row>
    <row r="48" spans="1:19">
      <c r="A48" s="12"/>
      <c r="B48" s="13"/>
      <c r="C48" s="14"/>
      <c r="D48" s="326"/>
      <c r="E48" s="15"/>
      <c r="F48" s="20"/>
      <c r="G48" s="15"/>
      <c r="L48" s="21"/>
    </row>
    <row r="49" spans="1:12" ht="13.5" thickBot="1">
      <c r="A49" s="70" t="s">
        <v>148</v>
      </c>
      <c r="B49" s="71"/>
      <c r="C49" s="72"/>
      <c r="D49" s="73"/>
      <c r="E49" s="74">
        <f>SUM(E33:E48)</f>
        <v>13415</v>
      </c>
      <c r="F49" s="265">
        <f>SUM(F32:F47)</f>
        <v>1117.92</v>
      </c>
      <c r="G49" s="338" t="str">
        <f>IF(ISERROR(E49/$E$11),"-",E49/$E$11)</f>
        <v>-</v>
      </c>
      <c r="L49" s="21"/>
    </row>
    <row r="50" spans="1:12" s="85" customFormat="1" ht="14.25" thickTop="1" thickBot="1">
      <c r="A50" s="273" t="s">
        <v>153</v>
      </c>
      <c r="B50" s="274"/>
      <c r="C50" s="275"/>
      <c r="D50" s="276"/>
      <c r="E50" s="277">
        <f>E30+E49</f>
        <v>13415</v>
      </c>
      <c r="F50" s="278">
        <f>F30+F49</f>
        <v>1117.92</v>
      </c>
      <c r="G50" s="339" t="str">
        <f>IF(ISERROR(E50/$E$11),"-",E50/$E$11)</f>
        <v>-</v>
      </c>
      <c r="H50" s="61"/>
      <c r="I50" s="21"/>
      <c r="J50" s="21"/>
      <c r="K50" s="61"/>
    </row>
    <row r="51" spans="1:12" s="85" customFormat="1" ht="17.25" thickTop="1" thickBot="1">
      <c r="A51" s="76" t="s">
        <v>37</v>
      </c>
      <c r="B51" s="77"/>
      <c r="C51" s="78"/>
      <c r="D51" s="79"/>
      <c r="E51" s="80">
        <f>SUM(E11+E30+E49)</f>
        <v>13415</v>
      </c>
      <c r="F51" s="266">
        <f>SUM(F11+F30+F49)</f>
        <v>1117.92</v>
      </c>
      <c r="G51" s="272"/>
      <c r="H51" s="61"/>
      <c r="I51" s="21"/>
      <c r="J51" s="21"/>
      <c r="K51" s="61"/>
      <c r="L51" s="61"/>
    </row>
    <row r="52" spans="1:12" ht="13.5" thickTop="1">
      <c r="A52" s="81"/>
      <c r="B52" s="82"/>
      <c r="C52" s="83"/>
      <c r="D52" s="82"/>
      <c r="E52" s="84"/>
      <c r="K52" s="45"/>
    </row>
    <row r="53" spans="1:12">
      <c r="A53" s="142" t="s">
        <v>7</v>
      </c>
      <c r="B53" s="86"/>
      <c r="C53" s="66"/>
      <c r="D53" s="86"/>
      <c r="E53" s="87"/>
      <c r="K53" s="45"/>
    </row>
    <row r="54" spans="1:12">
      <c r="A54" s="88" t="s">
        <v>252</v>
      </c>
      <c r="B54" s="88"/>
      <c r="C54" s="88"/>
      <c r="D54" s="88"/>
      <c r="E54" s="88"/>
      <c r="F54" s="88"/>
      <c r="G54" s="88"/>
      <c r="K54" s="45"/>
    </row>
    <row r="55" spans="1:12">
      <c r="A55" s="88" t="s">
        <v>239</v>
      </c>
      <c r="B55" s="88"/>
      <c r="C55" s="88"/>
      <c r="D55" s="88"/>
      <c r="E55" s="88"/>
      <c r="F55" s="88"/>
      <c r="G55" s="88"/>
      <c r="K55" s="45"/>
    </row>
    <row r="56" spans="1:12">
      <c r="A56" s="88" t="s">
        <v>240</v>
      </c>
      <c r="B56" s="88"/>
      <c r="C56" s="88"/>
      <c r="D56" s="88"/>
      <c r="E56" s="88"/>
      <c r="F56" s="88"/>
      <c r="G56" s="88"/>
      <c r="K56" s="45"/>
    </row>
    <row r="57" spans="1:12">
      <c r="A57" s="88" t="s">
        <v>208</v>
      </c>
      <c r="B57" s="88"/>
      <c r="C57" s="88"/>
      <c r="D57" s="88"/>
      <c r="E57" s="88"/>
      <c r="F57" s="88"/>
      <c r="G57" s="88"/>
      <c r="K57" s="45"/>
    </row>
    <row r="58" spans="1:12">
      <c r="A58" s="88" t="s">
        <v>209</v>
      </c>
      <c r="B58" s="88"/>
      <c r="C58" s="88"/>
      <c r="D58" s="88"/>
      <c r="E58" s="88"/>
      <c r="F58" s="88"/>
      <c r="G58" s="88"/>
    </row>
    <row r="59" spans="1:12">
      <c r="A59" s="117"/>
      <c r="B59" s="82"/>
      <c r="C59" s="83"/>
      <c r="D59" s="82"/>
      <c r="E59" s="84"/>
    </row>
    <row r="60" spans="1:12">
      <c r="A60" s="117"/>
      <c r="B60" s="82"/>
      <c r="C60" s="83"/>
      <c r="D60" s="82"/>
      <c r="E60" s="84"/>
    </row>
    <row r="61" spans="1:12">
      <c r="A61" s="117"/>
      <c r="B61" s="82"/>
      <c r="C61" s="83"/>
      <c r="D61" s="82"/>
      <c r="E61" s="84"/>
    </row>
    <row r="62" spans="1:12">
      <c r="A62" s="117"/>
      <c r="B62" s="82"/>
      <c r="C62" s="83"/>
      <c r="D62" s="82"/>
      <c r="E62" s="84"/>
    </row>
    <row r="63" spans="1:12">
      <c r="A63" s="117"/>
      <c r="B63" s="82"/>
      <c r="C63" s="83"/>
      <c r="D63" s="82"/>
      <c r="E63" s="84"/>
    </row>
    <row r="64" spans="1:12">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row r="525" spans="1:5">
      <c r="A525" s="117"/>
      <c r="B525" s="82"/>
      <c r="C525" s="83"/>
      <c r="D525" s="82"/>
      <c r="E525" s="84"/>
    </row>
    <row r="526" spans="1:5">
      <c r="A526" s="117"/>
      <c r="B526" s="82"/>
      <c r="C526" s="83"/>
      <c r="D526" s="82"/>
      <c r="E526" s="84"/>
    </row>
    <row r="527" spans="1:5">
      <c r="A527" s="117"/>
      <c r="B527" s="82"/>
      <c r="C527" s="83"/>
      <c r="D527" s="82"/>
      <c r="E527" s="84"/>
    </row>
    <row r="528" spans="1:5">
      <c r="A528" s="117"/>
      <c r="B528" s="82"/>
      <c r="C528" s="83"/>
      <c r="D528" s="82"/>
      <c r="E528" s="84"/>
    </row>
    <row r="529" spans="1:5">
      <c r="A529" s="117"/>
      <c r="B529" s="82"/>
      <c r="C529" s="83"/>
      <c r="D529" s="82"/>
      <c r="E529" s="84"/>
    </row>
    <row r="530" spans="1:5">
      <c r="A530" s="117"/>
      <c r="B530" s="82"/>
      <c r="C530" s="83"/>
      <c r="D530" s="82"/>
      <c r="E530" s="84"/>
    </row>
    <row r="531" spans="1:5">
      <c r="A531" s="117"/>
      <c r="B531" s="82"/>
      <c r="C531" s="83"/>
      <c r="D531" s="82"/>
      <c r="E531" s="84"/>
    </row>
    <row r="532" spans="1:5">
      <c r="A532" s="117"/>
      <c r="B532" s="82"/>
      <c r="C532" s="83"/>
      <c r="D532" s="82"/>
      <c r="E532" s="84"/>
    </row>
    <row r="533" spans="1:5">
      <c r="A533" s="117"/>
      <c r="B533" s="82"/>
      <c r="C533" s="83"/>
      <c r="D533" s="82"/>
      <c r="E533" s="84"/>
    </row>
    <row r="534" spans="1:5">
      <c r="A534" s="117"/>
      <c r="B534" s="82"/>
      <c r="C534" s="83"/>
      <c r="D534" s="82"/>
      <c r="E534" s="84"/>
    </row>
    <row r="535" spans="1:5">
      <c r="A535" s="117"/>
      <c r="B535" s="82"/>
      <c r="C535" s="83"/>
      <c r="D535" s="82"/>
      <c r="E535" s="84"/>
    </row>
    <row r="536" spans="1:5">
      <c r="A536" s="117"/>
      <c r="B536" s="82"/>
      <c r="C536" s="83"/>
      <c r="D536" s="82"/>
      <c r="E536" s="84"/>
    </row>
    <row r="537" spans="1:5">
      <c r="A537" s="117"/>
      <c r="B537" s="82"/>
      <c r="C537" s="83"/>
      <c r="D537" s="82"/>
      <c r="E537" s="84"/>
    </row>
    <row r="538" spans="1:5">
      <c r="A538" s="117"/>
      <c r="B538" s="82"/>
      <c r="C538" s="83"/>
      <c r="D538" s="82"/>
      <c r="E538" s="84"/>
    </row>
    <row r="539" spans="1:5">
      <c r="A539" s="117"/>
      <c r="B539" s="82"/>
      <c r="C539" s="83"/>
      <c r="D539" s="82"/>
      <c r="E539" s="84"/>
    </row>
    <row r="540" spans="1:5">
      <c r="A540" s="117"/>
      <c r="B540" s="82"/>
      <c r="C540" s="83"/>
      <c r="D540" s="82"/>
      <c r="E540" s="84"/>
    </row>
    <row r="541" spans="1:5">
      <c r="A541" s="117"/>
      <c r="B541" s="82"/>
      <c r="C541" s="83"/>
      <c r="D541" s="82"/>
      <c r="E541" s="84"/>
    </row>
    <row r="542" spans="1:5">
      <c r="A542" s="117"/>
      <c r="B542" s="82"/>
      <c r="C542" s="83"/>
      <c r="D542" s="82"/>
      <c r="E542" s="84"/>
    </row>
    <row r="543" spans="1:5">
      <c r="A543" s="117"/>
      <c r="B543" s="82"/>
      <c r="C543" s="83"/>
      <c r="D543" s="82"/>
      <c r="E543" s="84"/>
    </row>
    <row r="544" spans="1:5">
      <c r="A544" s="117"/>
      <c r="B544" s="82"/>
      <c r="C544" s="83"/>
      <c r="D544" s="82"/>
      <c r="E544" s="84"/>
    </row>
    <row r="545" spans="1:5">
      <c r="A545" s="117"/>
      <c r="B545" s="82"/>
      <c r="C545" s="83"/>
      <c r="D545" s="82"/>
      <c r="E545" s="84"/>
    </row>
    <row r="546" spans="1:5">
      <c r="A546" s="117"/>
      <c r="B546" s="82"/>
      <c r="C546" s="83"/>
      <c r="D546" s="82"/>
      <c r="E546" s="84"/>
    </row>
  </sheetData>
  <phoneticPr fontId="0" type="noConversion"/>
  <dataValidations count="5">
    <dataValidation type="decimal" allowBlank="1" showInputMessage="1" showErrorMessage="1" sqref="B3">
      <formula1>0.5</formula1>
      <formula2>1</formula2>
    </dataValidation>
    <dataValidation type="list" allowBlank="1" showInputMessage="1" showErrorMessage="1" sqref="B4">
      <formula1>Hired</formula1>
    </dataValidation>
    <dataValidation type="list" allowBlank="1" showInputMessage="1" showErrorMessage="1" sqref="B7">
      <formula1>$I$16:$I$17</formula1>
    </dataValidation>
    <dataValidation type="list" allowBlank="1" showInputMessage="1" showErrorMessage="1" sqref="B6">
      <formula1>HlthIns</formula1>
    </dataValidation>
    <dataValidation type="list" allowBlank="1" showInputMessage="1" showErrorMessage="1" sqref="B5">
      <formula1>Retire</formula1>
    </dataValidation>
  </dataValidations>
  <printOptions horizontalCentered="1"/>
  <pageMargins left="0.25" right="0.25" top="0.5" bottom="0.5" header="0.25" footer="0.25"/>
  <pageSetup scale="67" orientation="landscape" horizontalDpi="4294967292" r:id="rId1"/>
  <headerFooter alignWithMargins="0">
    <oddHeader xml:space="preserve">&amp;C&amp;"Arial,Bold"UNC DEPARTMENT OF PEDIATRICS&amp;"Arial,Regular"
</oddHeader>
    <oddFooter>&amp;L&amp;"Arial,Regular"&amp;Z&amp;F&amp;R&amp;"Arial,Regular"&amp;D,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S538"/>
  <sheetViews>
    <sheetView showZeros="0" zoomScale="65" zoomScaleNormal="65" workbookViewId="0">
      <pane xSplit="4" ySplit="6" topLeftCell="E7" activePane="bottomRight" state="frozen"/>
      <selection pane="topRight"/>
      <selection pane="bottomLeft"/>
      <selection pane="bottomRight" activeCell="A2" sqref="A2:A3"/>
    </sheetView>
  </sheetViews>
  <sheetFormatPr defaultColWidth="8.85546875" defaultRowHeight="12.75"/>
  <cols>
    <col min="1" max="1" width="41.140625" style="251" customWidth="1"/>
    <col min="2" max="2" width="10.85546875" style="252" customWidth="1"/>
    <col min="3" max="3" width="16.5703125" style="253" bestFit="1" customWidth="1"/>
    <col min="4" max="4" width="12.85546875" style="253" hidden="1" customWidth="1"/>
    <col min="5" max="5" width="12.42578125" style="253" bestFit="1" customWidth="1"/>
    <col min="6" max="6" width="12.42578125" style="238" bestFit="1" customWidth="1"/>
    <col min="7" max="7" width="9.5703125" style="253" customWidth="1"/>
    <col min="8" max="8" width="11.7109375" style="238" customWidth="1"/>
    <col min="9" max="9" width="9.7109375" style="253" customWidth="1"/>
    <col min="10" max="10" width="11.7109375" style="238" customWidth="1"/>
    <col min="11" max="11" width="16.140625" style="253" customWidth="1"/>
    <col min="12" max="12" width="11.7109375" style="238" customWidth="1"/>
    <col min="13" max="13" width="9.7109375" style="238" customWidth="1"/>
    <col min="14" max="14" width="11.7109375" style="238" customWidth="1"/>
    <col min="15" max="15" width="9.7109375" style="238" customWidth="1"/>
    <col min="16" max="16" width="11.7109375" style="238" customWidth="1"/>
    <col min="17" max="17" width="9.7109375" style="238" customWidth="1"/>
    <col min="18" max="18" width="11.7109375" style="238" customWidth="1"/>
    <col min="19" max="19" width="9.7109375" style="238" customWidth="1"/>
    <col min="20" max="20" width="11.7109375" style="238" customWidth="1"/>
    <col min="21" max="21" width="9.7109375" style="238" customWidth="1"/>
    <col min="22" max="26" width="11.7109375" style="238" customWidth="1"/>
    <col min="27" max="27" width="9.7109375" style="238" customWidth="1"/>
    <col min="28" max="28" width="11.7109375" style="238" customWidth="1"/>
    <col min="29" max="29" width="9.5703125" style="253" customWidth="1"/>
    <col min="30" max="30" width="11.7109375" style="238" customWidth="1"/>
    <col min="31" max="31" width="12.5703125" style="143" hidden="1" customWidth="1"/>
    <col min="32" max="16384" width="8.85546875" style="143"/>
  </cols>
  <sheetData>
    <row r="1" spans="1:32" s="149" customFormat="1" ht="24.75" customHeight="1" thickBot="1">
      <c r="A1" s="145" t="s">
        <v>241</v>
      </c>
      <c r="B1" s="146"/>
      <c r="C1" s="147"/>
      <c r="D1" s="147"/>
      <c r="E1" s="147"/>
      <c r="F1" s="148"/>
      <c r="G1" s="147"/>
      <c r="H1" s="148"/>
      <c r="I1" s="147"/>
      <c r="J1" s="148"/>
      <c r="K1" s="147"/>
      <c r="L1" s="148"/>
      <c r="M1" s="148"/>
      <c r="N1" s="148"/>
      <c r="O1" s="148"/>
      <c r="P1" s="148"/>
      <c r="Q1" s="148"/>
      <c r="R1" s="148"/>
      <c r="S1" s="148"/>
      <c r="T1" s="148"/>
      <c r="U1" s="148"/>
      <c r="V1" s="148"/>
      <c r="W1" s="148"/>
      <c r="X1" s="148"/>
      <c r="Y1" s="148"/>
      <c r="Z1" s="148"/>
      <c r="AA1" s="148"/>
      <c r="AB1" s="148"/>
      <c r="AC1" s="147"/>
      <c r="AD1" s="148"/>
    </row>
    <row r="2" spans="1:32" s="155" customFormat="1" ht="16.5" thickTop="1">
      <c r="A2" s="547">
        <f>'EPA Clinical Benefits'!B2</f>
        <v>0</v>
      </c>
      <c r="B2" s="150"/>
      <c r="C2" s="151"/>
      <c r="D2" s="151"/>
      <c r="E2" s="153"/>
      <c r="F2" s="154"/>
      <c r="G2" s="151"/>
      <c r="H2" s="154"/>
      <c r="I2" s="151"/>
      <c r="J2" s="154"/>
      <c r="K2" s="151"/>
      <c r="L2" s="154"/>
      <c r="M2" s="154"/>
      <c r="N2" s="154"/>
      <c r="O2" s="154"/>
      <c r="P2" s="154"/>
      <c r="Q2" s="154"/>
      <c r="R2" s="154"/>
      <c r="S2" s="154"/>
      <c r="T2" s="154"/>
      <c r="U2" s="154"/>
      <c r="V2" s="154"/>
      <c r="W2" s="154"/>
      <c r="X2" s="154"/>
      <c r="Y2" s="154"/>
      <c r="Z2" s="154"/>
      <c r="AA2" s="154"/>
      <c r="AB2" s="154"/>
      <c r="AC2" s="151"/>
      <c r="AD2" s="154"/>
    </row>
    <row r="3" spans="1:32" ht="16.5" thickBot="1">
      <c r="A3" s="548"/>
      <c r="B3" s="156"/>
      <c r="C3" s="157"/>
      <c r="D3" s="157"/>
      <c r="E3" s="528" t="s">
        <v>73</v>
      </c>
      <c r="F3" s="528"/>
      <c r="G3" s="528" t="s">
        <v>74</v>
      </c>
      <c r="H3" s="528"/>
      <c r="I3" s="528" t="s">
        <v>75</v>
      </c>
      <c r="J3" s="528"/>
      <c r="K3" s="158"/>
      <c r="L3" s="159"/>
      <c r="M3" s="159"/>
      <c r="N3" s="159"/>
      <c r="O3" s="159"/>
      <c r="P3" s="159"/>
      <c r="Q3" s="159"/>
      <c r="R3" s="159"/>
      <c r="S3" s="159"/>
      <c r="T3" s="159"/>
      <c r="U3" s="159"/>
      <c r="V3" s="159"/>
      <c r="W3" s="159"/>
      <c r="X3" s="159"/>
      <c r="Y3" s="159"/>
      <c r="Z3" s="159"/>
      <c r="AA3" s="159"/>
      <c r="AB3" s="159"/>
      <c r="AC3" s="158"/>
      <c r="AD3" s="159"/>
      <c r="AE3" s="125"/>
      <c r="AF3" s="125"/>
    </row>
    <row r="4" spans="1:32" ht="15.75" customHeight="1">
      <c r="A4" s="532" t="s">
        <v>2</v>
      </c>
      <c r="B4" s="541" t="s">
        <v>3</v>
      </c>
      <c r="C4" s="538" t="s">
        <v>17</v>
      </c>
      <c r="D4" s="535" t="s">
        <v>64</v>
      </c>
      <c r="E4" s="160" t="s">
        <v>65</v>
      </c>
      <c r="F4" s="161"/>
      <c r="G4" s="162" t="s">
        <v>65</v>
      </c>
      <c r="H4" s="161"/>
      <c r="I4" s="162" t="s">
        <v>65</v>
      </c>
      <c r="J4" s="161"/>
      <c r="K4" s="162" t="s">
        <v>65</v>
      </c>
      <c r="L4" s="161"/>
      <c r="M4" s="162" t="s">
        <v>65</v>
      </c>
      <c r="N4" s="161"/>
      <c r="O4" s="162" t="s">
        <v>65</v>
      </c>
      <c r="P4" s="161"/>
      <c r="Q4" s="162" t="s">
        <v>65</v>
      </c>
      <c r="R4" s="161"/>
      <c r="S4" s="162" t="s">
        <v>65</v>
      </c>
      <c r="T4" s="161"/>
      <c r="U4" s="162" t="s">
        <v>65</v>
      </c>
      <c r="V4" s="161"/>
      <c r="W4" s="162" t="s">
        <v>65</v>
      </c>
      <c r="X4" s="161"/>
      <c r="Y4" s="162" t="s">
        <v>65</v>
      </c>
      <c r="Z4" s="161"/>
      <c r="AA4" s="162" t="s">
        <v>65</v>
      </c>
      <c r="AB4" s="161"/>
      <c r="AC4" s="162" t="s">
        <v>65</v>
      </c>
      <c r="AD4" s="161"/>
      <c r="AE4" s="163" t="s">
        <v>66</v>
      </c>
      <c r="AF4" s="164"/>
    </row>
    <row r="5" spans="1:32">
      <c r="A5" s="533"/>
      <c r="B5" s="542"/>
      <c r="C5" s="539"/>
      <c r="D5" s="536"/>
      <c r="E5" s="166" t="s">
        <v>156</v>
      </c>
      <c r="F5" s="279" t="e">
        <f>E8/$C$8</f>
        <v>#DIV/0!</v>
      </c>
      <c r="G5" s="166" t="s">
        <v>156</v>
      </c>
      <c r="H5" s="279" t="e">
        <f>G8/$C$8</f>
        <v>#DIV/0!</v>
      </c>
      <c r="I5" s="166" t="s">
        <v>156</v>
      </c>
      <c r="J5" s="279" t="e">
        <f>I8/$C$8</f>
        <v>#DIV/0!</v>
      </c>
      <c r="K5" s="166" t="s">
        <v>156</v>
      </c>
      <c r="L5" s="279" t="e">
        <f>K8/$C$8</f>
        <v>#DIV/0!</v>
      </c>
      <c r="M5" s="166" t="s">
        <v>156</v>
      </c>
      <c r="N5" s="279" t="e">
        <f>M8/$C$8</f>
        <v>#DIV/0!</v>
      </c>
      <c r="O5" s="166" t="s">
        <v>156</v>
      </c>
      <c r="P5" s="279" t="e">
        <f>O8/$C$8</f>
        <v>#DIV/0!</v>
      </c>
      <c r="Q5" s="166" t="s">
        <v>156</v>
      </c>
      <c r="R5" s="279" t="e">
        <f>Q8/$C$8</f>
        <v>#DIV/0!</v>
      </c>
      <c r="S5" s="166" t="s">
        <v>156</v>
      </c>
      <c r="T5" s="279" t="e">
        <f>S8/$C$8</f>
        <v>#DIV/0!</v>
      </c>
      <c r="U5" s="166" t="s">
        <v>156</v>
      </c>
      <c r="V5" s="279" t="e">
        <f>U8/$C$8</f>
        <v>#DIV/0!</v>
      </c>
      <c r="W5" s="166" t="s">
        <v>156</v>
      </c>
      <c r="X5" s="279" t="e">
        <f>W8/$C$8</f>
        <v>#DIV/0!</v>
      </c>
      <c r="Y5" s="166" t="s">
        <v>156</v>
      </c>
      <c r="Z5" s="279" t="e">
        <f>Y8/$C$8</f>
        <v>#DIV/0!</v>
      </c>
      <c r="AA5" s="166" t="s">
        <v>156</v>
      </c>
      <c r="AB5" s="279" t="e">
        <f>AA8/$C$8</f>
        <v>#DIV/0!</v>
      </c>
      <c r="AC5" s="166" t="s">
        <v>156</v>
      </c>
      <c r="AD5" s="279" t="e">
        <f>AC8/$C$8</f>
        <v>#DIV/0!</v>
      </c>
      <c r="AE5" s="280" t="e">
        <f>F5+H5+J5+L5+N5+P5+R5+T5+V5+X5+Z5+AB5+AD5</f>
        <v>#DIV/0!</v>
      </c>
      <c r="AF5" s="164"/>
    </row>
    <row r="6" spans="1:32" ht="15" thickBot="1">
      <c r="A6" s="534"/>
      <c r="B6" s="543"/>
      <c r="C6" s="540"/>
      <c r="D6" s="537"/>
      <c r="E6" s="282" t="s">
        <v>159</v>
      </c>
      <c r="F6" s="283" t="e">
        <f>F5+$H$5+$J$5</f>
        <v>#DIV/0!</v>
      </c>
      <c r="G6" s="507"/>
      <c r="H6" s="508"/>
      <c r="I6" s="507"/>
      <c r="J6" s="508"/>
      <c r="K6" s="507"/>
      <c r="L6" s="508"/>
      <c r="M6" s="507"/>
      <c r="N6" s="508"/>
      <c r="O6" s="507"/>
      <c r="P6" s="508"/>
      <c r="Q6" s="507"/>
      <c r="R6" s="508"/>
      <c r="S6" s="507"/>
      <c r="T6" s="508"/>
      <c r="U6" s="507"/>
      <c r="V6" s="508"/>
      <c r="W6" s="507"/>
      <c r="X6" s="508"/>
      <c r="Y6" s="507"/>
      <c r="Z6" s="508"/>
      <c r="AA6" s="507"/>
      <c r="AB6" s="508"/>
      <c r="AC6" s="507"/>
      <c r="AD6" s="508"/>
      <c r="AE6" s="281" t="e">
        <f>F6+L5+N5+P5+R5+T5+V5+X5+Z5+AB5+AD5</f>
        <v>#DIV/0!</v>
      </c>
      <c r="AF6" s="164"/>
    </row>
    <row r="7" spans="1:32" ht="13.5" thickTop="1">
      <c r="A7" s="165"/>
      <c r="B7" s="168"/>
      <c r="C7" s="169"/>
      <c r="D7" s="171"/>
      <c r="E7" s="172"/>
      <c r="F7" s="167"/>
      <c r="G7" s="173"/>
      <c r="H7" s="170"/>
      <c r="I7" s="173"/>
      <c r="J7" s="170"/>
      <c r="K7" s="173"/>
      <c r="L7" s="170"/>
      <c r="M7" s="173"/>
      <c r="N7" s="170"/>
      <c r="O7" s="152"/>
      <c r="P7" s="170"/>
      <c r="Q7" s="173"/>
      <c r="R7" s="170"/>
      <c r="S7" s="173"/>
      <c r="T7" s="170"/>
      <c r="U7" s="173"/>
      <c r="V7" s="170"/>
      <c r="W7" s="173"/>
      <c r="X7" s="170"/>
      <c r="Y7" s="173"/>
      <c r="Z7" s="170"/>
      <c r="AA7" s="173"/>
      <c r="AB7" s="170"/>
      <c r="AC7" s="173"/>
      <c r="AD7" s="170"/>
      <c r="AE7" s="174"/>
      <c r="AF7" s="125"/>
    </row>
    <row r="8" spans="1:32">
      <c r="A8" s="175" t="s">
        <v>0</v>
      </c>
      <c r="B8" s="176" t="s">
        <v>34</v>
      </c>
      <c r="C8" s="177">
        <f>'EPA Clinical Benefits'!E11</f>
        <v>0</v>
      </c>
      <c r="D8" s="178"/>
      <c r="E8" s="529">
        <f>C8-SUM(G8:AD8)</f>
        <v>0</v>
      </c>
      <c r="F8" s="530"/>
      <c r="G8" s="521"/>
      <c r="H8" s="522"/>
      <c r="I8" s="521"/>
      <c r="J8" s="522"/>
      <c r="K8" s="521"/>
      <c r="L8" s="522"/>
      <c r="M8" s="521"/>
      <c r="N8" s="522"/>
      <c r="O8" s="531"/>
      <c r="P8" s="522"/>
      <c r="Q8" s="521"/>
      <c r="R8" s="522"/>
      <c r="S8" s="521">
        <v>0</v>
      </c>
      <c r="T8" s="522"/>
      <c r="U8" s="521">
        <v>0</v>
      </c>
      <c r="V8" s="522"/>
      <c r="W8" s="521">
        <v>0</v>
      </c>
      <c r="X8" s="522"/>
      <c r="Y8" s="521">
        <v>0</v>
      </c>
      <c r="Z8" s="522"/>
      <c r="AA8" s="521">
        <v>0</v>
      </c>
      <c r="AB8" s="522"/>
      <c r="AC8" s="521">
        <v>0</v>
      </c>
      <c r="AD8" s="522"/>
      <c r="AE8" s="179">
        <f>C8-SUM(E8:AD8)</f>
        <v>0</v>
      </c>
      <c r="AF8" s="125"/>
    </row>
    <row r="9" spans="1:32">
      <c r="A9" s="180"/>
      <c r="B9" s="181"/>
      <c r="C9" s="182"/>
      <c r="D9" s="183"/>
      <c r="E9" s="173"/>
      <c r="F9" s="184"/>
      <c r="G9" s="152"/>
      <c r="H9" s="184"/>
      <c r="I9" s="152"/>
      <c r="J9" s="184"/>
      <c r="K9" s="152"/>
      <c r="L9" s="184"/>
      <c r="M9" s="152"/>
      <c r="N9" s="184"/>
      <c r="O9" s="152"/>
      <c r="P9" s="184"/>
      <c r="Q9" s="152"/>
      <c r="R9" s="184"/>
      <c r="S9" s="152"/>
      <c r="T9" s="184"/>
      <c r="U9" s="152"/>
      <c r="V9" s="184"/>
      <c r="W9" s="152"/>
      <c r="X9" s="184"/>
      <c r="Y9" s="152"/>
      <c r="Z9" s="184"/>
      <c r="AA9" s="152"/>
      <c r="AB9" s="184"/>
      <c r="AC9" s="152"/>
      <c r="AD9" s="184"/>
      <c r="AE9" s="174"/>
      <c r="AF9" s="125"/>
    </row>
    <row r="10" spans="1:32">
      <c r="A10" s="185" t="s">
        <v>146</v>
      </c>
      <c r="B10" s="186"/>
      <c r="C10" s="187"/>
      <c r="D10" s="188"/>
      <c r="E10" s="189"/>
      <c r="F10" s="190"/>
      <c r="G10" s="191"/>
      <c r="H10" s="190"/>
      <c r="I10" s="191"/>
      <c r="J10" s="190"/>
      <c r="K10" s="191"/>
      <c r="L10" s="190"/>
      <c r="M10" s="191"/>
      <c r="N10" s="190"/>
      <c r="O10" s="191"/>
      <c r="P10" s="190"/>
      <c r="Q10" s="191"/>
      <c r="R10" s="190"/>
      <c r="S10" s="191"/>
      <c r="T10" s="190"/>
      <c r="U10" s="191"/>
      <c r="V10" s="190"/>
      <c r="W10" s="191"/>
      <c r="X10" s="190"/>
      <c r="Y10" s="191"/>
      <c r="Z10" s="190"/>
      <c r="AA10" s="191"/>
      <c r="AB10" s="190"/>
      <c r="AC10" s="191"/>
      <c r="AD10" s="190"/>
      <c r="AE10" s="174"/>
      <c r="AF10" s="125"/>
    </row>
    <row r="11" spans="1:32">
      <c r="A11" s="192"/>
      <c r="B11" s="193"/>
      <c r="C11" s="177"/>
      <c r="D11" s="178"/>
      <c r="E11" s="173"/>
      <c r="F11" s="184"/>
      <c r="G11" s="152"/>
      <c r="H11" s="184"/>
      <c r="I11" s="152"/>
      <c r="J11" s="184"/>
      <c r="K11" s="152"/>
      <c r="L11" s="184"/>
      <c r="M11" s="152"/>
      <c r="N11" s="184"/>
      <c r="O11" s="152"/>
      <c r="P11" s="184"/>
      <c r="Q11" s="152"/>
      <c r="R11" s="184"/>
      <c r="S11" s="152"/>
      <c r="T11" s="184"/>
      <c r="U11" s="152"/>
      <c r="V11" s="184"/>
      <c r="W11" s="152"/>
      <c r="X11" s="184"/>
      <c r="Y11" s="152"/>
      <c r="Z11" s="184"/>
      <c r="AA11" s="152"/>
      <c r="AB11" s="184"/>
      <c r="AC11" s="152"/>
      <c r="AD11" s="184"/>
      <c r="AE11" s="174"/>
      <c r="AF11" s="125"/>
    </row>
    <row r="12" spans="1:32">
      <c r="A12" s="175" t="s">
        <v>68</v>
      </c>
      <c r="B12" s="176">
        <v>1812</v>
      </c>
      <c r="C12" s="194">
        <f>'EPA Clinical Benefits'!E15</f>
        <v>0</v>
      </c>
      <c r="D12" s="195"/>
      <c r="E12" s="514" t="e">
        <f>$C12*($F$5-($AE$5-1))</f>
        <v>#DIV/0!</v>
      </c>
      <c r="F12" s="515"/>
      <c r="G12" s="514" t="e">
        <f>$C$12*H$5</f>
        <v>#DIV/0!</v>
      </c>
      <c r="H12" s="515"/>
      <c r="I12" s="514" t="e">
        <f>$C$12*J$5</f>
        <v>#DIV/0!</v>
      </c>
      <c r="J12" s="515"/>
      <c r="K12" s="514" t="e">
        <f>$C$12*L$5</f>
        <v>#DIV/0!</v>
      </c>
      <c r="L12" s="515"/>
      <c r="M12" s="514" t="e">
        <f>$C$12*N$5</f>
        <v>#DIV/0!</v>
      </c>
      <c r="N12" s="515"/>
      <c r="O12" s="518" t="e">
        <f>$C$12*P$5</f>
        <v>#DIV/0!</v>
      </c>
      <c r="P12" s="515"/>
      <c r="Q12" s="514" t="e">
        <f>$C$12*R$5</f>
        <v>#DIV/0!</v>
      </c>
      <c r="R12" s="515"/>
      <c r="S12" s="514" t="e">
        <f>$C$12*T$5</f>
        <v>#DIV/0!</v>
      </c>
      <c r="T12" s="515"/>
      <c r="U12" s="514" t="e">
        <f>$C$12*V$5</f>
        <v>#DIV/0!</v>
      </c>
      <c r="V12" s="515"/>
      <c r="W12" s="514" t="e">
        <f>$C$12*X$5</f>
        <v>#DIV/0!</v>
      </c>
      <c r="X12" s="515"/>
      <c r="Y12" s="514" t="e">
        <f>$C$12*Z$5</f>
        <v>#DIV/0!</v>
      </c>
      <c r="Z12" s="515"/>
      <c r="AA12" s="514" t="e">
        <f>$C$12*AB$5</f>
        <v>#DIV/0!</v>
      </c>
      <c r="AB12" s="515"/>
      <c r="AC12" s="514" t="e">
        <f>$C$12*AD$5</f>
        <v>#DIV/0!</v>
      </c>
      <c r="AD12" s="515"/>
      <c r="AE12" s="179" t="e">
        <f>C12-SUM(E12:AD12)</f>
        <v>#DIV/0!</v>
      </c>
      <c r="AF12" s="125"/>
    </row>
    <row r="13" spans="1:32">
      <c r="A13" s="175"/>
      <c r="B13" s="176"/>
      <c r="C13" s="194"/>
      <c r="D13" s="195"/>
      <c r="E13" s="173"/>
      <c r="F13" s="170"/>
      <c r="G13" s="152"/>
      <c r="H13" s="170"/>
      <c r="I13" s="152"/>
      <c r="J13" s="170"/>
      <c r="K13" s="152"/>
      <c r="L13" s="170"/>
      <c r="M13" s="152"/>
      <c r="N13" s="170"/>
      <c r="O13" s="152"/>
      <c r="P13" s="170"/>
      <c r="Q13" s="152"/>
      <c r="R13" s="170"/>
      <c r="S13" s="152"/>
      <c r="T13" s="170"/>
      <c r="U13" s="152"/>
      <c r="V13" s="170"/>
      <c r="W13" s="152"/>
      <c r="X13" s="170"/>
      <c r="Y13" s="152"/>
      <c r="Z13" s="170"/>
      <c r="AA13" s="152"/>
      <c r="AB13" s="170"/>
      <c r="AC13" s="152"/>
      <c r="AD13" s="170"/>
      <c r="AE13" s="174"/>
      <c r="AF13" s="125"/>
    </row>
    <row r="14" spans="1:32">
      <c r="A14" s="192" t="s">
        <v>11</v>
      </c>
      <c r="B14" s="196">
        <v>1813</v>
      </c>
      <c r="C14" s="194">
        <f>'EPA Clinical Benefits'!E17</f>
        <v>0</v>
      </c>
      <c r="D14" s="195"/>
      <c r="E14" s="514" t="e">
        <f>$C14*($F$5-($AE$5-1))</f>
        <v>#DIV/0!</v>
      </c>
      <c r="F14" s="515"/>
      <c r="G14" s="514" t="e">
        <f>$C$14*H$5</f>
        <v>#DIV/0!</v>
      </c>
      <c r="H14" s="515"/>
      <c r="I14" s="514" t="e">
        <f>$C$14*J$5</f>
        <v>#DIV/0!</v>
      </c>
      <c r="J14" s="515"/>
      <c r="K14" s="514" t="e">
        <f>$C$14*L$5</f>
        <v>#DIV/0!</v>
      </c>
      <c r="L14" s="515"/>
      <c r="M14" s="514" t="e">
        <f>$C$14*N$5</f>
        <v>#DIV/0!</v>
      </c>
      <c r="N14" s="515"/>
      <c r="O14" s="518" t="e">
        <f>$C$14*P$5</f>
        <v>#DIV/0!</v>
      </c>
      <c r="P14" s="515"/>
      <c r="Q14" s="514" t="e">
        <f>$C$14*R$5</f>
        <v>#DIV/0!</v>
      </c>
      <c r="R14" s="515"/>
      <c r="S14" s="514" t="e">
        <f>$C$14*T$5</f>
        <v>#DIV/0!</v>
      </c>
      <c r="T14" s="515"/>
      <c r="U14" s="514" t="e">
        <f>$C$14*V$5</f>
        <v>#DIV/0!</v>
      </c>
      <c r="V14" s="515"/>
      <c r="W14" s="514" t="e">
        <f>$C$14*X$5</f>
        <v>#DIV/0!</v>
      </c>
      <c r="X14" s="515"/>
      <c r="Y14" s="514" t="e">
        <f>$C$14*Z$5</f>
        <v>#DIV/0!</v>
      </c>
      <c r="Z14" s="515"/>
      <c r="AA14" s="514" t="e">
        <f>$C$14*AB$5</f>
        <v>#DIV/0!</v>
      </c>
      <c r="AB14" s="515"/>
      <c r="AC14" s="514" t="e">
        <f>$C$14*AD$5</f>
        <v>#DIV/0!</v>
      </c>
      <c r="AD14" s="515"/>
      <c r="AE14" s="179" t="e">
        <f>C14-SUM(E14:AD14)</f>
        <v>#DIV/0!</v>
      </c>
      <c r="AF14" s="125"/>
    </row>
    <row r="15" spans="1:32">
      <c r="A15" s="175"/>
      <c r="B15" s="176"/>
      <c r="C15" s="194"/>
      <c r="D15" s="195"/>
      <c r="E15" s="173"/>
      <c r="F15" s="184"/>
      <c r="G15" s="152"/>
      <c r="H15" s="184"/>
      <c r="I15" s="152"/>
      <c r="J15" s="184"/>
      <c r="K15" s="152"/>
      <c r="L15" s="184"/>
      <c r="M15" s="152"/>
      <c r="N15" s="184"/>
      <c r="O15" s="152"/>
      <c r="P15" s="184"/>
      <c r="Q15" s="152"/>
      <c r="R15" s="184"/>
      <c r="S15" s="152"/>
      <c r="T15" s="184"/>
      <c r="U15" s="152"/>
      <c r="V15" s="184"/>
      <c r="W15" s="152"/>
      <c r="X15" s="184"/>
      <c r="Y15" s="152"/>
      <c r="Z15" s="184"/>
      <c r="AA15" s="152"/>
      <c r="AB15" s="184"/>
      <c r="AC15" s="152"/>
      <c r="AD15" s="184"/>
      <c r="AE15" s="174"/>
      <c r="AF15" s="125"/>
    </row>
    <row r="16" spans="1:32">
      <c r="A16" s="175" t="s">
        <v>69</v>
      </c>
      <c r="B16" s="176">
        <v>1822</v>
      </c>
      <c r="C16" s="197">
        <f>'EPA Clinical Benefits'!E19</f>
        <v>0</v>
      </c>
      <c r="D16" s="198"/>
      <c r="E16" s="514">
        <f>IF(ISERROR($C16*($F$5-($AE$5-1))),0,$C16*($F$5-($AE$5-1)))</f>
        <v>0</v>
      </c>
      <c r="F16" s="515"/>
      <c r="G16" s="514">
        <f>IF(ISERROR($C$16*H$5),0,$C$16*H$5)</f>
        <v>0</v>
      </c>
      <c r="H16" s="515"/>
      <c r="I16" s="514">
        <f>IF(ISERROR($C$16*J$5),0,$C$16*J$5)</f>
        <v>0</v>
      </c>
      <c r="J16" s="515"/>
      <c r="K16" s="514">
        <f>IF(ISERROR($C$16*L$5),0,$C$16*L$5)</f>
        <v>0</v>
      </c>
      <c r="L16" s="515"/>
      <c r="M16" s="514">
        <f>IF(ISERROR($C$16*N$5),0,$C$16*N$5)</f>
        <v>0</v>
      </c>
      <c r="N16" s="515"/>
      <c r="O16" s="518">
        <f>IF(ISERROR($C$16*P$5),0,$C$16*P$5)</f>
        <v>0</v>
      </c>
      <c r="P16" s="515"/>
      <c r="Q16" s="514">
        <f>IF(ISERROR($C$16*R$5),0,$C$16*R$5)</f>
        <v>0</v>
      </c>
      <c r="R16" s="515"/>
      <c r="S16" s="514">
        <f>IF(ISERROR($C$16*T$5),0,$C$16*T$5)</f>
        <v>0</v>
      </c>
      <c r="T16" s="515"/>
      <c r="U16" s="514">
        <f>IF(ISERROR($C$16*V$5),0,$C$16*V$5)</f>
        <v>0</v>
      </c>
      <c r="V16" s="515"/>
      <c r="W16" s="514">
        <f>IF(ISERROR($C$16*X$5),0,$C$16*X$5)</f>
        <v>0</v>
      </c>
      <c r="X16" s="515"/>
      <c r="Y16" s="514">
        <f>IF(ISERROR($C$16*Z$5),0,$C$16*Z$5)</f>
        <v>0</v>
      </c>
      <c r="Z16" s="515"/>
      <c r="AA16" s="514">
        <f>IF(ISERROR($C$16*AB$5),0,$C$16*AB$5)</f>
        <v>0</v>
      </c>
      <c r="AB16" s="515"/>
      <c r="AC16" s="514">
        <f>IF(ISERROR($C$16*AD$5),0,$C$16*AD$5)</f>
        <v>0</v>
      </c>
      <c r="AD16" s="515"/>
      <c r="AE16" s="179">
        <f>IF(ISERROR(C16-SUM(E16:AD16)),0,C16-SUM(E16:AD16))</f>
        <v>0</v>
      </c>
      <c r="AF16" s="125"/>
    </row>
    <row r="17" spans="1:32">
      <c r="A17" s="199"/>
      <c r="B17" s="176"/>
      <c r="C17" s="200"/>
      <c r="D17" s="201"/>
      <c r="E17" s="202"/>
      <c r="F17" s="170"/>
      <c r="G17" s="203"/>
      <c r="H17" s="170"/>
      <c r="I17" s="203"/>
      <c r="J17" s="170"/>
      <c r="K17" s="203"/>
      <c r="L17" s="170"/>
      <c r="M17" s="203"/>
      <c r="N17" s="170"/>
      <c r="O17" s="203"/>
      <c r="P17" s="170"/>
      <c r="Q17" s="203"/>
      <c r="R17" s="170"/>
      <c r="S17" s="203"/>
      <c r="T17" s="170"/>
      <c r="U17" s="203"/>
      <c r="V17" s="170"/>
      <c r="W17" s="203"/>
      <c r="X17" s="170"/>
      <c r="Y17" s="203"/>
      <c r="Z17" s="170"/>
      <c r="AA17" s="203"/>
      <c r="AB17" s="170"/>
      <c r="AC17" s="203"/>
      <c r="AD17" s="170"/>
      <c r="AE17" s="174"/>
      <c r="AF17" s="125"/>
    </row>
    <row r="18" spans="1:32">
      <c r="A18" s="175" t="s">
        <v>70</v>
      </c>
      <c r="B18" s="176" t="s">
        <v>5</v>
      </c>
      <c r="C18" s="197" t="str">
        <f>'EPA Clinical Benefits'!E21</f>
        <v>-</v>
      </c>
      <c r="D18" s="198"/>
      <c r="E18" s="518">
        <f>IF(ISERROR($C$18*(F$5-(AE5-1))),0,$C$18*(F$5-(AE5-1)))</f>
        <v>0</v>
      </c>
      <c r="F18" s="515"/>
      <c r="G18" s="514">
        <f>IF(ISERROR($C$18*H$5),0,$C$18*H$5)</f>
        <v>0</v>
      </c>
      <c r="H18" s="515"/>
      <c r="I18" s="514">
        <f>IF(ISERROR($C$18*J$5),0,$C$18*J$5)</f>
        <v>0</v>
      </c>
      <c r="J18" s="515"/>
      <c r="K18" s="514">
        <f>IF(ISERROR($C$18*L$5),0,$C$18*L$5)</f>
        <v>0</v>
      </c>
      <c r="L18" s="515"/>
      <c r="M18" s="514">
        <f>IF(ISERROR($C$18*N$5),0,$C$18*N$5)</f>
        <v>0</v>
      </c>
      <c r="N18" s="515"/>
      <c r="O18" s="518">
        <f>IF(ISERROR($C$18*P$5),0,$C$18*P$5)</f>
        <v>0</v>
      </c>
      <c r="P18" s="515"/>
      <c r="Q18" s="514">
        <f>IF(ISERROR($C$18*R$5),0,$C$18*R$5)</f>
        <v>0</v>
      </c>
      <c r="R18" s="515"/>
      <c r="S18" s="514">
        <f>IF(ISERROR($C$18*T$5),0,$C$18*T$5)</f>
        <v>0</v>
      </c>
      <c r="T18" s="515"/>
      <c r="U18" s="514">
        <f>IF(ISERROR($C$18*V$5),0,$C$18*V$5)</f>
        <v>0</v>
      </c>
      <c r="V18" s="515"/>
      <c r="W18" s="514">
        <f>IF(ISERROR($C$18*X$5),0,$C$18*X$5)</f>
        <v>0</v>
      </c>
      <c r="X18" s="515"/>
      <c r="Y18" s="514">
        <f>IF(ISERROR($C$18*Z$5),0,$C$18*Z$5)</f>
        <v>0</v>
      </c>
      <c r="Z18" s="515"/>
      <c r="AA18" s="514">
        <f>IF(ISERROR($C$18*AB$5),0,$C$18*AB$5)</f>
        <v>0</v>
      </c>
      <c r="AB18" s="515"/>
      <c r="AC18" s="514">
        <f>IF(ISERROR($C$18*AD$5),0,$C$18*AD$5)</f>
        <v>0</v>
      </c>
      <c r="AD18" s="515"/>
      <c r="AE18" s="179">
        <f>IF(ISERROR(C18-SUM(E18:AD18)),0,C18-SUM(E18:AD18))</f>
        <v>0</v>
      </c>
      <c r="AF18" s="125"/>
    </row>
    <row r="19" spans="1:32">
      <c r="A19" s="199"/>
      <c r="B19" s="176"/>
      <c r="C19" s="200"/>
      <c r="D19" s="201"/>
      <c r="E19" s="202"/>
      <c r="F19" s="170"/>
      <c r="G19" s="203"/>
      <c r="H19" s="170"/>
      <c r="I19" s="203"/>
      <c r="J19" s="170"/>
      <c r="K19" s="203"/>
      <c r="L19" s="170"/>
      <c r="M19" s="203"/>
      <c r="N19" s="170"/>
      <c r="O19" s="203"/>
      <c r="P19" s="170"/>
      <c r="Q19" s="203"/>
      <c r="R19" s="170"/>
      <c r="S19" s="203"/>
      <c r="T19" s="170"/>
      <c r="U19" s="203"/>
      <c r="V19" s="170"/>
      <c r="W19" s="203"/>
      <c r="X19" s="170"/>
      <c r="Y19" s="203"/>
      <c r="Z19" s="170"/>
      <c r="AA19" s="203"/>
      <c r="AB19" s="170"/>
      <c r="AC19" s="203"/>
      <c r="AD19" s="170"/>
      <c r="AE19" s="174"/>
      <c r="AF19" s="125"/>
    </row>
    <row r="20" spans="1:32">
      <c r="A20" s="175" t="s">
        <v>1</v>
      </c>
      <c r="B20" s="176">
        <v>1832</v>
      </c>
      <c r="C20" s="197" t="str">
        <f>'EPA Clinical Benefits'!E23</f>
        <v>-</v>
      </c>
      <c r="D20" s="198"/>
      <c r="E20" s="525">
        <f>IF(ISERROR($C20*($F$5-($AE$5-1))),0,($C20*($F$5-($AE$5-1))))</f>
        <v>0</v>
      </c>
      <c r="F20" s="526"/>
      <c r="G20" s="514">
        <f>IF(ISERROR($C$20*H$5),0,$C$20*H$5)</f>
        <v>0</v>
      </c>
      <c r="H20" s="515"/>
      <c r="I20" s="514">
        <f>IF(ISERROR($C$20*J$5),0,$C$20*J$5)</f>
        <v>0</v>
      </c>
      <c r="J20" s="515"/>
      <c r="K20" s="514">
        <f>IF(ISERROR($C$20*L$5),0,$C$20*L$5)</f>
        <v>0</v>
      </c>
      <c r="L20" s="515"/>
      <c r="M20" s="514">
        <f>IF(ISERROR($C$20*N$5),0,$C$20*N$5)</f>
        <v>0</v>
      </c>
      <c r="N20" s="515"/>
      <c r="O20" s="514">
        <f>IF(ISERROR($C$20*P$5),0,$C$20*P$5)</f>
        <v>0</v>
      </c>
      <c r="P20" s="515"/>
      <c r="Q20" s="514">
        <f>IF(ISERROR($C$20*R$5),0,$C$20*R$5)</f>
        <v>0</v>
      </c>
      <c r="R20" s="515"/>
      <c r="S20" s="514">
        <f>IF(ISERROR($C$20*T$5),0,$C$20*T$5)</f>
        <v>0</v>
      </c>
      <c r="T20" s="515"/>
      <c r="U20" s="514">
        <f>IF(ISERROR($C$20*V$5),0,$C$20*V$5)</f>
        <v>0</v>
      </c>
      <c r="V20" s="515"/>
      <c r="W20" s="514">
        <f>IF(ISERROR($C$20*X$5),0,$C$20*X$5)</f>
        <v>0</v>
      </c>
      <c r="X20" s="515"/>
      <c r="Y20" s="514">
        <f>IF(ISERROR($C$20*Z$5),0,$C$20*Z$5)</f>
        <v>0</v>
      </c>
      <c r="Z20" s="515"/>
      <c r="AA20" s="514">
        <f>IF(ISERROR($C$20*AB$5),0,$C$20*AB$5)</f>
        <v>0</v>
      </c>
      <c r="AB20" s="515"/>
      <c r="AC20" s="514">
        <f>IF(ISERROR($C$20*AD$5),0,$C$20*AD$5)</f>
        <v>0</v>
      </c>
      <c r="AD20" s="515"/>
      <c r="AE20" s="179">
        <f>IF(ISERROR(C20-SUM(E20:AD20)),0,C20-SUM(E20:AD20))</f>
        <v>0</v>
      </c>
    </row>
    <row r="21" spans="1:32">
      <c r="A21" s="175"/>
      <c r="B21" s="176"/>
      <c r="C21" s="194"/>
      <c r="D21" s="195"/>
      <c r="E21" s="173"/>
      <c r="F21" s="184"/>
      <c r="G21" s="152"/>
      <c r="H21" s="184"/>
      <c r="I21" s="152"/>
      <c r="J21" s="184"/>
      <c r="K21" s="152"/>
      <c r="L21" s="184"/>
      <c r="M21" s="152"/>
      <c r="N21" s="184"/>
      <c r="O21" s="152"/>
      <c r="P21" s="184"/>
      <c r="Q21" s="152"/>
      <c r="R21" s="184"/>
      <c r="S21" s="152"/>
      <c r="T21" s="184"/>
      <c r="U21" s="152"/>
      <c r="V21" s="184"/>
      <c r="W21" s="152"/>
      <c r="X21" s="184"/>
      <c r="Y21" s="152"/>
      <c r="Z21" s="184"/>
      <c r="AA21" s="152"/>
      <c r="AB21" s="184"/>
      <c r="AC21" s="152"/>
      <c r="AD21" s="184"/>
      <c r="AE21" s="175"/>
    </row>
    <row r="22" spans="1:32">
      <c r="A22" s="192" t="s">
        <v>71</v>
      </c>
      <c r="B22" s="196">
        <v>1892</v>
      </c>
      <c r="C22" s="197">
        <f>'EPA Clinical Benefits'!E25</f>
        <v>0</v>
      </c>
      <c r="D22" s="198"/>
      <c r="E22" s="514" t="e">
        <f>$C22*($F$5-($AE$5-1))</f>
        <v>#DIV/0!</v>
      </c>
      <c r="F22" s="515"/>
      <c r="G22" s="514" t="e">
        <f>$C$22*H$5</f>
        <v>#DIV/0!</v>
      </c>
      <c r="H22" s="515"/>
      <c r="I22" s="514" t="e">
        <f>$C$22*J$5</f>
        <v>#DIV/0!</v>
      </c>
      <c r="J22" s="515"/>
      <c r="K22" s="514" t="e">
        <f>$C$22*L$5</f>
        <v>#DIV/0!</v>
      </c>
      <c r="L22" s="515"/>
      <c r="M22" s="514" t="e">
        <f>$C$22*N$5</f>
        <v>#DIV/0!</v>
      </c>
      <c r="N22" s="515"/>
      <c r="O22" s="518" t="e">
        <f>$C$22*P$5</f>
        <v>#DIV/0!</v>
      </c>
      <c r="P22" s="515"/>
      <c r="Q22" s="514" t="e">
        <f>$C$22*R$5</f>
        <v>#DIV/0!</v>
      </c>
      <c r="R22" s="515"/>
      <c r="S22" s="514" t="e">
        <f>$C$22*T$5</f>
        <v>#DIV/0!</v>
      </c>
      <c r="T22" s="515"/>
      <c r="U22" s="514" t="e">
        <f>$C$22*V$5</f>
        <v>#DIV/0!</v>
      </c>
      <c r="V22" s="515"/>
      <c r="W22" s="514" t="e">
        <f>$C$22*X$5</f>
        <v>#DIV/0!</v>
      </c>
      <c r="X22" s="515"/>
      <c r="Y22" s="514" t="e">
        <f>$C$22*Z$5</f>
        <v>#DIV/0!</v>
      </c>
      <c r="Z22" s="515"/>
      <c r="AA22" s="514" t="e">
        <f>$C$22*AB$5</f>
        <v>#DIV/0!</v>
      </c>
      <c r="AB22" s="515"/>
      <c r="AC22" s="514" t="e">
        <f>$C$22*AD$5</f>
        <v>#DIV/0!</v>
      </c>
      <c r="AD22" s="515"/>
      <c r="AE22" s="179" t="e">
        <f>C22-SUM(E22:AD22)</f>
        <v>#DIV/0!</v>
      </c>
    </row>
    <row r="23" spans="1:32">
      <c r="A23" s="192"/>
      <c r="B23" s="196"/>
      <c r="C23" s="194"/>
      <c r="D23" s="195"/>
      <c r="E23" s="173"/>
      <c r="F23" s="184"/>
      <c r="G23" s="152"/>
      <c r="H23" s="184"/>
      <c r="I23" s="152"/>
      <c r="J23" s="184"/>
      <c r="K23" s="152"/>
      <c r="L23" s="184"/>
      <c r="M23" s="152"/>
      <c r="N23" s="184"/>
      <c r="O23" s="152"/>
      <c r="P23" s="184"/>
      <c r="Q23" s="152"/>
      <c r="R23" s="184"/>
      <c r="S23" s="152"/>
      <c r="T23" s="184"/>
      <c r="U23" s="152"/>
      <c r="V23" s="184"/>
      <c r="W23" s="152"/>
      <c r="X23" s="184"/>
      <c r="Y23" s="152"/>
      <c r="Z23" s="184"/>
      <c r="AA23" s="152"/>
      <c r="AB23" s="184"/>
      <c r="AC23" s="152"/>
      <c r="AD23" s="184"/>
      <c r="AE23" s="175"/>
    </row>
    <row r="24" spans="1:32">
      <c r="A24" s="204" t="s">
        <v>6</v>
      </c>
      <c r="B24" s="196">
        <v>3914</v>
      </c>
      <c r="C24" s="197">
        <f>'EPA Clinical Benefits'!E27</f>
        <v>0</v>
      </c>
      <c r="D24" s="198"/>
      <c r="E24" s="514" t="e">
        <f>$C24*($F$5-($AE$5-1))</f>
        <v>#DIV/0!</v>
      </c>
      <c r="F24" s="515"/>
      <c r="G24" s="514" t="e">
        <f>$C$24*H$5</f>
        <v>#DIV/0!</v>
      </c>
      <c r="H24" s="515"/>
      <c r="I24" s="514" t="e">
        <f>$C$24*J$5</f>
        <v>#DIV/0!</v>
      </c>
      <c r="J24" s="515"/>
      <c r="K24" s="514" t="e">
        <f>$C$24*L$5</f>
        <v>#DIV/0!</v>
      </c>
      <c r="L24" s="515"/>
      <c r="M24" s="514" t="e">
        <f>$C$24*N$5</f>
        <v>#DIV/0!</v>
      </c>
      <c r="N24" s="515"/>
      <c r="O24" s="518" t="e">
        <f>$C$24*P$5</f>
        <v>#DIV/0!</v>
      </c>
      <c r="P24" s="515"/>
      <c r="Q24" s="514" t="e">
        <f>$C$24*R$5</f>
        <v>#DIV/0!</v>
      </c>
      <c r="R24" s="515"/>
      <c r="S24" s="514" t="e">
        <f>$C$24*T$5</f>
        <v>#DIV/0!</v>
      </c>
      <c r="T24" s="515"/>
      <c r="U24" s="514" t="e">
        <f>$C$24*V$5</f>
        <v>#DIV/0!</v>
      </c>
      <c r="V24" s="515"/>
      <c r="W24" s="514" t="e">
        <f>$C$24*X$5</f>
        <v>#DIV/0!</v>
      </c>
      <c r="X24" s="515"/>
      <c r="Y24" s="514" t="e">
        <f>$C$24*Z$5</f>
        <v>#DIV/0!</v>
      </c>
      <c r="Z24" s="515"/>
      <c r="AA24" s="514" t="e">
        <f>$C$24*AB$5</f>
        <v>#DIV/0!</v>
      </c>
      <c r="AB24" s="515"/>
      <c r="AC24" s="514" t="e">
        <f>$C$24*AD$5</f>
        <v>#DIV/0!</v>
      </c>
      <c r="AD24" s="515"/>
      <c r="AE24" s="179" t="e">
        <f>C24-SUM(E24:AD24)</f>
        <v>#DIV/0!</v>
      </c>
    </row>
    <row r="25" spans="1:32">
      <c r="A25" s="204"/>
      <c r="B25" s="196"/>
      <c r="C25" s="194"/>
      <c r="D25" s="178"/>
      <c r="E25" s="173"/>
      <c r="F25" s="205"/>
      <c r="G25" s="152"/>
      <c r="H25" s="205"/>
      <c r="I25" s="152"/>
      <c r="J25" s="205"/>
      <c r="K25" s="152"/>
      <c r="L25" s="205"/>
      <c r="M25" s="152"/>
      <c r="N25" s="205"/>
      <c r="O25" s="152"/>
      <c r="P25" s="205"/>
      <c r="Q25" s="152"/>
      <c r="R25" s="205"/>
      <c r="S25" s="152"/>
      <c r="T25" s="205"/>
      <c r="U25" s="152"/>
      <c r="V25" s="205"/>
      <c r="W25" s="152"/>
      <c r="X25" s="205"/>
      <c r="Y25" s="152"/>
      <c r="Z25" s="205"/>
      <c r="AA25" s="152"/>
      <c r="AB25" s="205"/>
      <c r="AC25" s="152"/>
      <c r="AD25" s="205"/>
      <c r="AE25" s="175"/>
    </row>
    <row r="26" spans="1:32">
      <c r="A26" s="204" t="s">
        <v>238</v>
      </c>
      <c r="B26" s="196">
        <v>3225</v>
      </c>
      <c r="C26" s="197">
        <f>'EPA Clinical Benefits'!E29</f>
        <v>0</v>
      </c>
      <c r="D26" s="195"/>
      <c r="E26" s="173"/>
      <c r="F26" s="205" t="e">
        <f>$C26*($F$5-($AE$5-1))</f>
        <v>#DIV/0!</v>
      </c>
      <c r="G26" s="152"/>
      <c r="H26" s="205" t="e">
        <f>$C$26*H$5</f>
        <v>#DIV/0!</v>
      </c>
      <c r="I26" s="152"/>
      <c r="J26" s="205" t="e">
        <f>$C$26*J$5</f>
        <v>#DIV/0!</v>
      </c>
      <c r="K26" s="152"/>
      <c r="L26" s="205" t="e">
        <f>$C$26*L$5</f>
        <v>#DIV/0!</v>
      </c>
      <c r="M26" s="152"/>
      <c r="N26" s="205" t="e">
        <f>$C$26*N$5</f>
        <v>#DIV/0!</v>
      </c>
      <c r="O26" s="152"/>
      <c r="P26" s="205" t="e">
        <f>$C$26*P$5</f>
        <v>#DIV/0!</v>
      </c>
      <c r="Q26" s="152"/>
      <c r="R26" s="205" t="e">
        <f>$C$26*R$5</f>
        <v>#DIV/0!</v>
      </c>
      <c r="S26" s="152"/>
      <c r="T26" s="205" t="e">
        <f>$C$26*T$5</f>
        <v>#DIV/0!</v>
      </c>
      <c r="U26" s="152"/>
      <c r="V26" s="205" t="e">
        <f>$C$26*V$5</f>
        <v>#DIV/0!</v>
      </c>
      <c r="W26" s="152"/>
      <c r="X26" s="205" t="e">
        <f>$C$26*X$5</f>
        <v>#DIV/0!</v>
      </c>
      <c r="Y26" s="152"/>
      <c r="Z26" s="205" t="e">
        <f>$C$26*Z$5</f>
        <v>#DIV/0!</v>
      </c>
      <c r="AA26" s="152"/>
      <c r="AB26" s="205" t="e">
        <f>$C$26*AB$5</f>
        <v>#DIV/0!</v>
      </c>
      <c r="AC26" s="152"/>
      <c r="AD26" s="205" t="e">
        <f>$C$26*AD$5</f>
        <v>#DIV/0!</v>
      </c>
      <c r="AE26" s="175"/>
    </row>
    <row r="27" spans="1:32" ht="13.5" thickBot="1">
      <c r="A27" s="206" t="s">
        <v>145</v>
      </c>
      <c r="B27" s="207"/>
      <c r="C27" s="208">
        <f>SUM(C12:C26)</f>
        <v>0</v>
      </c>
      <c r="D27" s="209"/>
      <c r="E27" s="527" t="e">
        <f>SUM(E12:F26)</f>
        <v>#DIV/0!</v>
      </c>
      <c r="F27" s="517"/>
      <c r="G27" s="516" t="e">
        <f>SUM(G12:H26)</f>
        <v>#DIV/0!</v>
      </c>
      <c r="H27" s="517"/>
      <c r="I27" s="516" t="e">
        <f>SUM(I12:J26)</f>
        <v>#DIV/0!</v>
      </c>
      <c r="J27" s="517"/>
      <c r="K27" s="516" t="e">
        <f>SUM(K12:L26)</f>
        <v>#DIV/0!</v>
      </c>
      <c r="L27" s="517"/>
      <c r="M27" s="516" t="e">
        <f>SUM(M12:N26)</f>
        <v>#DIV/0!</v>
      </c>
      <c r="N27" s="517"/>
      <c r="O27" s="516" t="e">
        <f>SUM(O12:P26)</f>
        <v>#DIV/0!</v>
      </c>
      <c r="P27" s="517"/>
      <c r="Q27" s="516" t="e">
        <f>SUM(Q12:R26)</f>
        <v>#DIV/0!</v>
      </c>
      <c r="R27" s="517"/>
      <c r="S27" s="516" t="e">
        <f>SUM(S12:T26)</f>
        <v>#DIV/0!</v>
      </c>
      <c r="T27" s="517"/>
      <c r="U27" s="516" t="e">
        <f>SUM(U12:V26)</f>
        <v>#DIV/0!</v>
      </c>
      <c r="V27" s="517"/>
      <c r="W27" s="516" t="e">
        <f>SUM(W12:X26)</f>
        <v>#DIV/0!</v>
      </c>
      <c r="X27" s="517"/>
      <c r="Y27" s="516" t="e">
        <f>SUM(Y12:Z26)</f>
        <v>#DIV/0!</v>
      </c>
      <c r="Z27" s="517"/>
      <c r="AA27" s="516" t="e">
        <f>SUM(AA12:AB26)</f>
        <v>#DIV/0!</v>
      </c>
      <c r="AB27" s="517"/>
      <c r="AC27" s="516" t="e">
        <f>SUM(AC12:AD26)</f>
        <v>#DIV/0!</v>
      </c>
      <c r="AD27" s="517"/>
      <c r="AE27" s="179" t="e">
        <f>C27-SUM(E27:AD27)</f>
        <v>#DIV/0!</v>
      </c>
    </row>
    <row r="28" spans="1:32" s="142" customFormat="1" ht="13.5" thickTop="1">
      <c r="A28" s="210" t="s">
        <v>147</v>
      </c>
      <c r="B28" s="211"/>
      <c r="C28" s="212"/>
      <c r="D28" s="213"/>
      <c r="E28" s="214"/>
      <c r="F28" s="215"/>
      <c r="G28" s="216"/>
      <c r="H28" s="215"/>
      <c r="I28" s="216"/>
      <c r="J28" s="215"/>
      <c r="K28" s="216"/>
      <c r="L28" s="215"/>
      <c r="M28" s="216"/>
      <c r="N28" s="215"/>
      <c r="O28" s="216"/>
      <c r="P28" s="215"/>
      <c r="Q28" s="216"/>
      <c r="R28" s="215"/>
      <c r="S28" s="216"/>
      <c r="T28" s="215"/>
      <c r="U28" s="216"/>
      <c r="V28" s="215"/>
      <c r="W28" s="216"/>
      <c r="X28" s="215"/>
      <c r="Y28" s="216"/>
      <c r="Z28" s="215"/>
      <c r="AA28" s="216"/>
      <c r="AB28" s="215"/>
      <c r="AC28" s="216"/>
      <c r="AD28" s="215"/>
      <c r="AE28" s="179"/>
    </row>
    <row r="29" spans="1:32">
      <c r="A29" s="217"/>
      <c r="B29" s="218"/>
      <c r="C29" s="197"/>
      <c r="D29" s="198"/>
      <c r="E29" s="173"/>
      <c r="F29" s="184"/>
      <c r="G29" s="152"/>
      <c r="H29" s="184"/>
      <c r="I29" s="152"/>
      <c r="J29" s="184"/>
      <c r="K29" s="152"/>
      <c r="L29" s="184"/>
      <c r="M29" s="152"/>
      <c r="N29" s="184"/>
      <c r="O29" s="152"/>
      <c r="P29" s="184"/>
      <c r="Q29" s="152"/>
      <c r="R29" s="184"/>
      <c r="S29" s="152"/>
      <c r="T29" s="184"/>
      <c r="U29" s="152"/>
      <c r="V29" s="184"/>
      <c r="W29" s="152"/>
      <c r="X29" s="184"/>
      <c r="Y29" s="152"/>
      <c r="Z29" s="184"/>
      <c r="AA29" s="152"/>
      <c r="AB29" s="184"/>
      <c r="AC29" s="152"/>
      <c r="AD29" s="184"/>
      <c r="AE29" s="175"/>
    </row>
    <row r="30" spans="1:32" ht="14.25">
      <c r="A30" s="175" t="s">
        <v>76</v>
      </c>
      <c r="B30" s="176">
        <v>1802</v>
      </c>
      <c r="C30" s="197">
        <f>'EPA Clinical Benefits'!E33</f>
        <v>7994.16</v>
      </c>
      <c r="D30" s="198"/>
      <c r="E30" s="514">
        <f>$C$30</f>
        <v>7994.16</v>
      </c>
      <c r="F30" s="515"/>
      <c r="G30" s="518"/>
      <c r="H30" s="515"/>
      <c r="I30" s="518"/>
      <c r="J30" s="515"/>
      <c r="K30" s="518"/>
      <c r="L30" s="515"/>
      <c r="M30" s="518"/>
      <c r="N30" s="515"/>
      <c r="O30" s="518"/>
      <c r="P30" s="515"/>
      <c r="Q30" s="518"/>
      <c r="R30" s="515"/>
      <c r="S30" s="518"/>
      <c r="T30" s="515"/>
      <c r="U30" s="518"/>
      <c r="V30" s="515"/>
      <c r="W30" s="518"/>
      <c r="X30" s="515"/>
      <c r="Y30" s="518"/>
      <c r="Z30" s="515"/>
      <c r="AA30" s="518"/>
      <c r="AB30" s="515"/>
      <c r="AC30" s="518"/>
      <c r="AD30" s="515"/>
      <c r="AE30" s="179">
        <f>C30-SUM(E30:AD30)</f>
        <v>0</v>
      </c>
    </row>
    <row r="31" spans="1:32">
      <c r="A31" s="219"/>
      <c r="B31" s="176"/>
      <c r="C31" s="197"/>
      <c r="D31" s="198"/>
      <c r="E31" s="173"/>
      <c r="F31" s="170"/>
      <c r="G31" s="152"/>
      <c r="H31" s="170"/>
      <c r="I31" s="152"/>
      <c r="J31" s="170"/>
      <c r="K31" s="152"/>
      <c r="L31" s="170"/>
      <c r="M31" s="152"/>
      <c r="N31" s="170"/>
      <c r="O31" s="152"/>
      <c r="P31" s="170"/>
      <c r="Q31" s="152"/>
      <c r="R31" s="170"/>
      <c r="S31" s="152"/>
      <c r="T31" s="170"/>
      <c r="U31" s="152"/>
      <c r="V31" s="170"/>
      <c r="W31" s="152"/>
      <c r="X31" s="170"/>
      <c r="Y31" s="152"/>
      <c r="Z31" s="170"/>
      <c r="AA31" s="152"/>
      <c r="AB31" s="170"/>
      <c r="AC31" s="152"/>
      <c r="AD31" s="170"/>
      <c r="AE31" s="175"/>
    </row>
    <row r="32" spans="1:32" ht="14.25">
      <c r="A32" s="175" t="s">
        <v>77</v>
      </c>
      <c r="B32" s="176">
        <v>1803</v>
      </c>
      <c r="C32" s="197">
        <f>'EPA Clinical Benefits'!E35</f>
        <v>0</v>
      </c>
      <c r="D32" s="198"/>
      <c r="E32" s="513">
        <f>$C$32</f>
        <v>0</v>
      </c>
      <c r="F32" s="510"/>
      <c r="G32" s="509"/>
      <c r="H32" s="510"/>
      <c r="I32" s="509"/>
      <c r="J32" s="510"/>
      <c r="K32" s="509"/>
      <c r="L32" s="510"/>
      <c r="M32" s="509"/>
      <c r="N32" s="510"/>
      <c r="O32" s="509"/>
      <c r="P32" s="510"/>
      <c r="Q32" s="509"/>
      <c r="R32" s="510"/>
      <c r="S32" s="509"/>
      <c r="T32" s="510"/>
      <c r="U32" s="509"/>
      <c r="V32" s="510"/>
      <c r="W32" s="509"/>
      <c r="X32" s="510"/>
      <c r="Y32" s="509"/>
      <c r="Z32" s="510"/>
      <c r="AA32" s="509"/>
      <c r="AB32" s="510"/>
      <c r="AC32" s="509"/>
      <c r="AD32" s="510"/>
      <c r="AE32" s="179">
        <f>C32-SUM(E32:AD32)</f>
        <v>0</v>
      </c>
    </row>
    <row r="33" spans="1:31">
      <c r="A33" s="175"/>
      <c r="B33" s="176"/>
      <c r="C33" s="194"/>
      <c r="D33" s="195"/>
      <c r="E33" s="173"/>
      <c r="F33" s="184"/>
      <c r="G33" s="152"/>
      <c r="H33" s="184"/>
      <c r="I33" s="152"/>
      <c r="J33" s="184"/>
      <c r="K33" s="152"/>
      <c r="L33" s="184"/>
      <c r="M33" s="152"/>
      <c r="N33" s="184"/>
      <c r="O33" s="152"/>
      <c r="P33" s="184"/>
      <c r="Q33" s="152"/>
      <c r="R33" s="184"/>
      <c r="S33" s="152"/>
      <c r="T33" s="184"/>
      <c r="U33" s="152"/>
      <c r="V33" s="184"/>
      <c r="W33" s="152"/>
      <c r="X33" s="184"/>
      <c r="Y33" s="152"/>
      <c r="Z33" s="184"/>
      <c r="AA33" s="152"/>
      <c r="AB33" s="184"/>
      <c r="AC33" s="152"/>
      <c r="AD33" s="184"/>
      <c r="AE33" s="175"/>
    </row>
    <row r="34" spans="1:31" ht="14.25">
      <c r="A34" s="204" t="s">
        <v>78</v>
      </c>
      <c r="B34" s="176">
        <v>1804</v>
      </c>
      <c r="C34" s="197">
        <f>'EPA Clinical Benefits'!E37</f>
        <v>0</v>
      </c>
      <c r="D34" s="198"/>
      <c r="E34" s="513" t="e">
        <f>$C34*($F$6-($AE$5-1))</f>
        <v>#DIV/0!</v>
      </c>
      <c r="F34" s="510"/>
      <c r="G34" s="513"/>
      <c r="H34" s="510"/>
      <c r="I34" s="513"/>
      <c r="J34" s="510"/>
      <c r="K34" s="513" t="e">
        <f>$C$34*L$5</f>
        <v>#DIV/0!</v>
      </c>
      <c r="L34" s="510"/>
      <c r="M34" s="513" t="e">
        <f>$C$34*N$5</f>
        <v>#DIV/0!</v>
      </c>
      <c r="N34" s="510"/>
      <c r="O34" s="509" t="e">
        <f>$C$34*P$5</f>
        <v>#DIV/0!</v>
      </c>
      <c r="P34" s="510"/>
      <c r="Q34" s="513" t="e">
        <f>$C$34*R$5</f>
        <v>#DIV/0!</v>
      </c>
      <c r="R34" s="510"/>
      <c r="S34" s="513" t="e">
        <f>$C$34*T$5</f>
        <v>#DIV/0!</v>
      </c>
      <c r="T34" s="510"/>
      <c r="U34" s="513" t="e">
        <f>$C$34*V$5</f>
        <v>#DIV/0!</v>
      </c>
      <c r="V34" s="510"/>
      <c r="W34" s="513" t="e">
        <f>$C$34*X$5</f>
        <v>#DIV/0!</v>
      </c>
      <c r="X34" s="510"/>
      <c r="Y34" s="513" t="e">
        <f>$C$34*Z$5</f>
        <v>#DIV/0!</v>
      </c>
      <c r="Z34" s="510"/>
      <c r="AA34" s="513" t="e">
        <f>$C$34*AB$5</f>
        <v>#DIV/0!</v>
      </c>
      <c r="AB34" s="510"/>
      <c r="AC34" s="513" t="e">
        <f>$C$34*AD$5</f>
        <v>#DIV/0!</v>
      </c>
      <c r="AD34" s="510"/>
      <c r="AE34" s="179" t="e">
        <f>C34-SUM(E34:AD34)</f>
        <v>#DIV/0!</v>
      </c>
    </row>
    <row r="35" spans="1:31">
      <c r="A35" s="199"/>
      <c r="B35" s="176"/>
      <c r="C35" s="197"/>
      <c r="D35" s="198"/>
      <c r="E35" s="220"/>
      <c r="F35" s="170"/>
      <c r="G35" s="221"/>
      <c r="H35" s="170"/>
      <c r="I35" s="221"/>
      <c r="J35" s="170"/>
      <c r="K35" s="221"/>
      <c r="L35" s="170"/>
      <c r="M35" s="221"/>
      <c r="N35" s="170"/>
      <c r="O35" s="221"/>
      <c r="P35" s="170"/>
      <c r="Q35" s="221"/>
      <c r="R35" s="170"/>
      <c r="S35" s="221"/>
      <c r="T35" s="170"/>
      <c r="U35" s="221"/>
      <c r="V35" s="170"/>
      <c r="W35" s="221"/>
      <c r="X35" s="170"/>
      <c r="Y35" s="221"/>
      <c r="Z35" s="170"/>
      <c r="AA35" s="221"/>
      <c r="AB35" s="170"/>
      <c r="AC35" s="221"/>
      <c r="AD35" s="170"/>
      <c r="AE35" s="175"/>
    </row>
    <row r="36" spans="1:31" ht="14.25">
      <c r="A36" s="175" t="s">
        <v>79</v>
      </c>
      <c r="B36" s="176">
        <v>1801</v>
      </c>
      <c r="C36" s="197">
        <f>'EPA Clinical Benefits'!E39</f>
        <v>38</v>
      </c>
      <c r="D36" s="198">
        <f>'EPA Clinical Benefits'!D39</f>
        <v>0</v>
      </c>
      <c r="E36" s="513" t="e">
        <f>($D36*($F$6-($AE$5-1)))+($C36-$D36)</f>
        <v>#DIV/0!</v>
      </c>
      <c r="F36" s="510"/>
      <c r="G36" s="513"/>
      <c r="H36" s="510"/>
      <c r="I36" s="513"/>
      <c r="J36" s="510"/>
      <c r="K36" s="513" t="e">
        <f>$D$36*L$5</f>
        <v>#DIV/0!</v>
      </c>
      <c r="L36" s="510"/>
      <c r="M36" s="513" t="e">
        <f>$D$36*N$5</f>
        <v>#DIV/0!</v>
      </c>
      <c r="N36" s="510"/>
      <c r="O36" s="509" t="e">
        <f>$D$36*P$5</f>
        <v>#DIV/0!</v>
      </c>
      <c r="P36" s="510"/>
      <c r="Q36" s="513" t="e">
        <f>$D$36*R$5</f>
        <v>#DIV/0!</v>
      </c>
      <c r="R36" s="510"/>
      <c r="S36" s="513" t="e">
        <f>$D$36*T$5</f>
        <v>#DIV/0!</v>
      </c>
      <c r="T36" s="510"/>
      <c r="U36" s="513" t="e">
        <f>$D$36*V$5</f>
        <v>#DIV/0!</v>
      </c>
      <c r="V36" s="510"/>
      <c r="W36" s="513" t="e">
        <f>$D$36*X$5</f>
        <v>#DIV/0!</v>
      </c>
      <c r="X36" s="510"/>
      <c r="Y36" s="513" t="e">
        <f>$D$36*Z$5</f>
        <v>#DIV/0!</v>
      </c>
      <c r="Z36" s="510"/>
      <c r="AA36" s="513" t="e">
        <f>$D$36*AB$5</f>
        <v>#DIV/0!</v>
      </c>
      <c r="AB36" s="510"/>
      <c r="AC36" s="513" t="e">
        <f>$D$36*AD$5</f>
        <v>#DIV/0!</v>
      </c>
      <c r="AD36" s="510"/>
      <c r="AE36" s="179" t="e">
        <f>C36-SUM(E36:AD36)</f>
        <v>#DIV/0!</v>
      </c>
    </row>
    <row r="37" spans="1:31">
      <c r="A37" s="175"/>
      <c r="B37" s="176"/>
      <c r="C37" s="222"/>
      <c r="D37" s="223"/>
      <c r="E37" s="224"/>
      <c r="F37" s="184"/>
      <c r="G37" s="225"/>
      <c r="H37" s="184"/>
      <c r="I37" s="225"/>
      <c r="J37" s="184"/>
      <c r="K37" s="225"/>
      <c r="L37" s="184"/>
      <c r="M37" s="225"/>
      <c r="N37" s="184"/>
      <c r="O37" s="225"/>
      <c r="P37" s="184"/>
      <c r="Q37" s="225"/>
      <c r="R37" s="184"/>
      <c r="S37" s="225"/>
      <c r="T37" s="184"/>
      <c r="U37" s="225"/>
      <c r="V37" s="184"/>
      <c r="W37" s="225"/>
      <c r="X37" s="184"/>
      <c r="Y37" s="225"/>
      <c r="Z37" s="184"/>
      <c r="AA37" s="225"/>
      <c r="AB37" s="184"/>
      <c r="AC37" s="225"/>
      <c r="AD37" s="184"/>
      <c r="AE37" s="175"/>
    </row>
    <row r="38" spans="1:31" ht="14.25">
      <c r="A38" s="175" t="s">
        <v>80</v>
      </c>
      <c r="B38" s="176">
        <v>1801</v>
      </c>
      <c r="C38" s="197">
        <f>'EPA Clinical Benefits'!E41</f>
        <v>0</v>
      </c>
      <c r="D38" s="198">
        <f>'EPA Clinical Benefits'!D41</f>
        <v>0</v>
      </c>
      <c r="E38" s="513" t="e">
        <f>($D38*($F$6-($AE$5-1)))+($C38-$D38)</f>
        <v>#DIV/0!</v>
      </c>
      <c r="F38" s="510"/>
      <c r="G38" s="513"/>
      <c r="H38" s="510"/>
      <c r="I38" s="513"/>
      <c r="J38" s="510"/>
      <c r="K38" s="513" t="e">
        <f>($D$38*L$5)</f>
        <v>#DIV/0!</v>
      </c>
      <c r="L38" s="510"/>
      <c r="M38" s="513" t="e">
        <f>($D$38*N$5)</f>
        <v>#DIV/0!</v>
      </c>
      <c r="N38" s="510"/>
      <c r="O38" s="509" t="e">
        <f>($D$38*P$5)</f>
        <v>#DIV/0!</v>
      </c>
      <c r="P38" s="510"/>
      <c r="Q38" s="513" t="e">
        <f>($D$38*R$5)</f>
        <v>#DIV/0!</v>
      </c>
      <c r="R38" s="510"/>
      <c r="S38" s="513" t="e">
        <f>($D$38*T$5)</f>
        <v>#DIV/0!</v>
      </c>
      <c r="T38" s="510"/>
      <c r="U38" s="513" t="e">
        <f>($D$38*V$5)</f>
        <v>#DIV/0!</v>
      </c>
      <c r="V38" s="510"/>
      <c r="W38" s="513" t="e">
        <f>($D$38*X$5)</f>
        <v>#DIV/0!</v>
      </c>
      <c r="X38" s="510"/>
      <c r="Y38" s="513" t="e">
        <f>($D$38*Z$5)</f>
        <v>#DIV/0!</v>
      </c>
      <c r="Z38" s="510"/>
      <c r="AA38" s="513" t="e">
        <f>($D$38*AB$5)</f>
        <v>#DIV/0!</v>
      </c>
      <c r="AB38" s="510"/>
      <c r="AC38" s="513" t="e">
        <f>($D$38*AD$5)</f>
        <v>#DIV/0!</v>
      </c>
      <c r="AD38" s="510"/>
      <c r="AE38" s="179" t="e">
        <f>C38-SUM(E38:AD38)</f>
        <v>#DIV/0!</v>
      </c>
    </row>
    <row r="39" spans="1:31">
      <c r="A39" s="175"/>
      <c r="B39" s="176"/>
      <c r="C39" s="194"/>
      <c r="D39" s="195"/>
      <c r="E39" s="173"/>
      <c r="F39" s="184"/>
      <c r="G39" s="152"/>
      <c r="H39" s="184"/>
      <c r="I39" s="152"/>
      <c r="J39" s="184"/>
      <c r="K39" s="152"/>
      <c r="L39" s="184"/>
      <c r="M39" s="152"/>
      <c r="N39" s="184"/>
      <c r="O39" s="152"/>
      <c r="P39" s="184"/>
      <c r="Q39" s="152"/>
      <c r="R39" s="184"/>
      <c r="S39" s="152"/>
      <c r="T39" s="184"/>
      <c r="U39" s="152"/>
      <c r="V39" s="184"/>
      <c r="W39" s="152"/>
      <c r="X39" s="184"/>
      <c r="Y39" s="152"/>
      <c r="Z39" s="184"/>
      <c r="AA39" s="152"/>
      <c r="AB39" s="184"/>
      <c r="AC39" s="152"/>
      <c r="AD39" s="184"/>
      <c r="AE39" s="175"/>
    </row>
    <row r="40" spans="1:31" ht="14.25">
      <c r="A40" s="175" t="s">
        <v>81</v>
      </c>
      <c r="B40" s="176">
        <v>1805</v>
      </c>
      <c r="C40" s="197">
        <f>'EPA Clinical Benefits'!E43</f>
        <v>0</v>
      </c>
      <c r="D40" s="198"/>
      <c r="E40" s="513" t="e">
        <f>$C40*($F$6-($AE$5-1))</f>
        <v>#DIV/0!</v>
      </c>
      <c r="F40" s="510"/>
      <c r="G40" s="509"/>
      <c r="H40" s="510"/>
      <c r="I40" s="509"/>
      <c r="J40" s="510"/>
      <c r="K40" s="509" t="e">
        <f>$C$40*L$5</f>
        <v>#DIV/0!</v>
      </c>
      <c r="L40" s="510"/>
      <c r="M40" s="509" t="e">
        <f>$C$40*N$5</f>
        <v>#DIV/0!</v>
      </c>
      <c r="N40" s="510"/>
      <c r="O40" s="509" t="e">
        <f>$C$40*P$5</f>
        <v>#DIV/0!</v>
      </c>
      <c r="P40" s="510"/>
      <c r="Q40" s="509" t="e">
        <f>$C$40*R$5</f>
        <v>#DIV/0!</v>
      </c>
      <c r="R40" s="510"/>
      <c r="S40" s="509" t="e">
        <f>$C$40*T$5</f>
        <v>#DIV/0!</v>
      </c>
      <c r="T40" s="510"/>
      <c r="U40" s="509" t="e">
        <f>$C$40*V$5</f>
        <v>#DIV/0!</v>
      </c>
      <c r="V40" s="510"/>
      <c r="W40" s="509" t="e">
        <f>$C$40*X$5</f>
        <v>#DIV/0!</v>
      </c>
      <c r="X40" s="510"/>
      <c r="Y40" s="509" t="e">
        <f>$C$40*Z$5</f>
        <v>#DIV/0!</v>
      </c>
      <c r="Z40" s="510"/>
      <c r="AA40" s="509" t="e">
        <f>$C$40*AB$5</f>
        <v>#DIV/0!</v>
      </c>
      <c r="AB40" s="510"/>
      <c r="AC40" s="509" t="e">
        <f>$C$40*AD$5</f>
        <v>#DIV/0!</v>
      </c>
      <c r="AD40" s="510"/>
      <c r="AE40" s="179" t="e">
        <f>C40-SUM(E40:AD40)</f>
        <v>#DIV/0!</v>
      </c>
    </row>
    <row r="41" spans="1:31">
      <c r="A41" s="175"/>
      <c r="B41" s="176"/>
      <c r="C41" s="222"/>
      <c r="D41" s="223"/>
      <c r="E41" s="224"/>
      <c r="F41" s="184"/>
      <c r="G41" s="225"/>
      <c r="H41" s="184"/>
      <c r="I41" s="225"/>
      <c r="J41" s="184"/>
      <c r="K41" s="225"/>
      <c r="L41" s="184"/>
      <c r="M41" s="225"/>
      <c r="N41" s="184"/>
      <c r="O41" s="225"/>
      <c r="P41" s="184"/>
      <c r="Q41" s="225"/>
      <c r="R41" s="184"/>
      <c r="S41" s="225"/>
      <c r="T41" s="184"/>
      <c r="U41" s="225"/>
      <c r="V41" s="184"/>
      <c r="W41" s="225"/>
      <c r="X41" s="184"/>
      <c r="Y41" s="225"/>
      <c r="Z41" s="184"/>
      <c r="AA41" s="225"/>
      <c r="AB41" s="184"/>
      <c r="AC41" s="225"/>
      <c r="AD41" s="184"/>
      <c r="AE41" s="175"/>
    </row>
    <row r="42" spans="1:31" ht="14.25">
      <c r="A42" s="175" t="s">
        <v>82</v>
      </c>
      <c r="B42" s="176">
        <v>1808</v>
      </c>
      <c r="C42" s="197">
        <f>'EPA Clinical Benefits'!E45</f>
        <v>3873.72</v>
      </c>
      <c r="D42" s="198">
        <f>'EPA Clinical Benefits'!J16*12</f>
        <v>1462.32</v>
      </c>
      <c r="E42" s="513" t="e">
        <f>($D42*($F$6-($AE$5-1)))+($C42-$D42)</f>
        <v>#DIV/0!</v>
      </c>
      <c r="F42" s="510"/>
      <c r="G42" s="513"/>
      <c r="H42" s="510"/>
      <c r="I42" s="513"/>
      <c r="J42" s="510"/>
      <c r="K42" s="513" t="e">
        <f>($D$42*L$5)</f>
        <v>#DIV/0!</v>
      </c>
      <c r="L42" s="510"/>
      <c r="M42" s="513" t="e">
        <f>($D$42*N$5)</f>
        <v>#DIV/0!</v>
      </c>
      <c r="N42" s="510"/>
      <c r="O42" s="509" t="e">
        <f>($D$42*P$5)</f>
        <v>#DIV/0!</v>
      </c>
      <c r="P42" s="510"/>
      <c r="Q42" s="513" t="e">
        <f>($D$42*R$5)</f>
        <v>#DIV/0!</v>
      </c>
      <c r="R42" s="510"/>
      <c r="S42" s="513" t="e">
        <f>($D$42*T$5)</f>
        <v>#DIV/0!</v>
      </c>
      <c r="T42" s="510"/>
      <c r="U42" s="513" t="e">
        <f>($D$42*V$5)</f>
        <v>#DIV/0!</v>
      </c>
      <c r="V42" s="510"/>
      <c r="W42" s="513" t="e">
        <f>($D$42*X$5)</f>
        <v>#DIV/0!</v>
      </c>
      <c r="X42" s="510"/>
      <c r="Y42" s="513" t="e">
        <f>($D$42*Z$5)</f>
        <v>#DIV/0!</v>
      </c>
      <c r="Z42" s="510"/>
      <c r="AA42" s="513" t="e">
        <f>($D$42*AB$5)</f>
        <v>#DIV/0!</v>
      </c>
      <c r="AB42" s="510"/>
      <c r="AC42" s="513" t="e">
        <f>($D$42*AD$5)</f>
        <v>#DIV/0!</v>
      </c>
      <c r="AD42" s="510"/>
      <c r="AE42" s="179" t="e">
        <f>C42-SUM(E42:AD42)</f>
        <v>#DIV/0!</v>
      </c>
    </row>
    <row r="43" spans="1:31">
      <c r="A43" s="175"/>
      <c r="B43" s="176"/>
      <c r="C43" s="194"/>
      <c r="D43" s="195"/>
      <c r="E43" s="514"/>
      <c r="F43" s="515"/>
      <c r="G43" s="514"/>
      <c r="H43" s="515"/>
      <c r="I43" s="514"/>
      <c r="J43" s="515"/>
      <c r="K43" s="514"/>
      <c r="L43" s="515"/>
      <c r="M43" s="514"/>
      <c r="N43" s="515"/>
      <c r="O43" s="518"/>
      <c r="P43" s="515"/>
      <c r="Q43" s="514"/>
      <c r="R43" s="515"/>
      <c r="S43" s="514"/>
      <c r="T43" s="515"/>
      <c r="U43" s="514"/>
      <c r="V43" s="515"/>
      <c r="W43" s="514"/>
      <c r="X43" s="515"/>
      <c r="Y43" s="514"/>
      <c r="Z43" s="515"/>
      <c r="AA43" s="514"/>
      <c r="AB43" s="515"/>
      <c r="AC43" s="514"/>
      <c r="AD43" s="515"/>
      <c r="AE43" s="175"/>
    </row>
    <row r="44" spans="1:31" ht="14.25">
      <c r="A44" s="175" t="s">
        <v>83</v>
      </c>
      <c r="B44" s="176">
        <v>1808</v>
      </c>
      <c r="C44" s="197">
        <f>'EPA Clinical Benefits'!E47</f>
        <v>1509.12</v>
      </c>
      <c r="D44" s="198">
        <f>'EPA Clinical Benefits'!J20*12</f>
        <v>498.6</v>
      </c>
      <c r="E44" s="513" t="e">
        <f>($D44*($F$6-($AE$5-1)))+($C44-$D44)</f>
        <v>#DIV/0!</v>
      </c>
      <c r="F44" s="510"/>
      <c r="G44" s="513"/>
      <c r="H44" s="510"/>
      <c r="I44" s="513"/>
      <c r="J44" s="510"/>
      <c r="K44" s="513" t="e">
        <f>($D$44*L$5)</f>
        <v>#DIV/0!</v>
      </c>
      <c r="L44" s="510"/>
      <c r="M44" s="513" t="e">
        <f>($D$44*N$5)</f>
        <v>#DIV/0!</v>
      </c>
      <c r="N44" s="510"/>
      <c r="O44" s="509" t="e">
        <f>($D$44*P$5)</f>
        <v>#DIV/0!</v>
      </c>
      <c r="P44" s="510"/>
      <c r="Q44" s="513" t="e">
        <f>($D$44*R$5)</f>
        <v>#DIV/0!</v>
      </c>
      <c r="R44" s="510"/>
      <c r="S44" s="513" t="e">
        <f>($D$44*T$5)</f>
        <v>#DIV/0!</v>
      </c>
      <c r="T44" s="510"/>
      <c r="U44" s="513" t="e">
        <f>($D$44*V$5)</f>
        <v>#DIV/0!</v>
      </c>
      <c r="V44" s="510"/>
      <c r="W44" s="513" t="e">
        <f>($D$44*X$5)</f>
        <v>#DIV/0!</v>
      </c>
      <c r="X44" s="510"/>
      <c r="Y44" s="513" t="e">
        <f>($D$44*Z$5)</f>
        <v>#DIV/0!</v>
      </c>
      <c r="Z44" s="510"/>
      <c r="AA44" s="513" t="e">
        <f>($D$44*AB$5)</f>
        <v>#DIV/0!</v>
      </c>
      <c r="AB44" s="510"/>
      <c r="AC44" s="513" t="e">
        <f>($D$44*AD$5)</f>
        <v>#DIV/0!</v>
      </c>
      <c r="AD44" s="510"/>
      <c r="AE44" s="179" t="e">
        <f>C44-SUM(E44:AD44)</f>
        <v>#DIV/0!</v>
      </c>
    </row>
    <row r="45" spans="1:31">
      <c r="A45" s="217"/>
      <c r="B45" s="176"/>
      <c r="C45" s="194"/>
      <c r="D45" s="195"/>
      <c r="E45" s="173"/>
      <c r="F45" s="170"/>
      <c r="G45" s="152"/>
      <c r="H45" s="170"/>
      <c r="I45" s="152"/>
      <c r="J45" s="170"/>
      <c r="K45" s="152"/>
      <c r="L45" s="170"/>
      <c r="M45" s="152"/>
      <c r="N45" s="170"/>
      <c r="O45" s="152"/>
      <c r="P45" s="170"/>
      <c r="Q45" s="152"/>
      <c r="R45" s="170"/>
      <c r="S45" s="152"/>
      <c r="T45" s="170"/>
      <c r="U45" s="152"/>
      <c r="V45" s="170"/>
      <c r="W45" s="152"/>
      <c r="X45" s="170"/>
      <c r="Y45" s="152"/>
      <c r="Z45" s="170"/>
      <c r="AA45" s="152"/>
      <c r="AB45" s="170"/>
      <c r="AC45" s="152"/>
      <c r="AD45" s="170"/>
      <c r="AE45" s="175"/>
    </row>
    <row r="46" spans="1:31" ht="13.5" thickBot="1">
      <c r="A46" s="226" t="s">
        <v>148</v>
      </c>
      <c r="B46" s="227"/>
      <c r="C46" s="228">
        <f>SUM(C30:C45)</f>
        <v>13415</v>
      </c>
      <c r="D46" s="229">
        <f>SUM(D29:D45)</f>
        <v>1960.92</v>
      </c>
      <c r="E46" s="524" t="e">
        <f>SUM(E30:E45)</f>
        <v>#DIV/0!</v>
      </c>
      <c r="F46" s="512"/>
      <c r="G46" s="511">
        <f>SUM(G30:G45)</f>
        <v>0</v>
      </c>
      <c r="H46" s="512"/>
      <c r="I46" s="511">
        <f>SUM(I30:I45)</f>
        <v>0</v>
      </c>
      <c r="J46" s="512"/>
      <c r="K46" s="511" t="e">
        <f>SUM(K30:K45)</f>
        <v>#DIV/0!</v>
      </c>
      <c r="L46" s="512"/>
      <c r="M46" s="511" t="e">
        <f>SUM(M30:M45)</f>
        <v>#DIV/0!</v>
      </c>
      <c r="N46" s="512"/>
      <c r="O46" s="511" t="e">
        <f>SUM(O30:O45)</f>
        <v>#DIV/0!</v>
      </c>
      <c r="P46" s="512"/>
      <c r="Q46" s="511" t="e">
        <f>SUM(Q30:Q45)</f>
        <v>#DIV/0!</v>
      </c>
      <c r="R46" s="512"/>
      <c r="S46" s="511" t="e">
        <f>SUM(S30:S45)</f>
        <v>#DIV/0!</v>
      </c>
      <c r="T46" s="512"/>
      <c r="U46" s="511" t="e">
        <f>SUM(U30:U45)</f>
        <v>#DIV/0!</v>
      </c>
      <c r="V46" s="512"/>
      <c r="W46" s="511" t="e">
        <f>SUM(W30:W45)</f>
        <v>#DIV/0!</v>
      </c>
      <c r="X46" s="512"/>
      <c r="Y46" s="511" t="e">
        <f>SUM(Y30:Y45)</f>
        <v>#DIV/0!</v>
      </c>
      <c r="Z46" s="512"/>
      <c r="AA46" s="511" t="e">
        <f>SUM(AA30:AA45)</f>
        <v>#DIV/0!</v>
      </c>
      <c r="AB46" s="512"/>
      <c r="AC46" s="511" t="e">
        <f>SUM(AC30:AC45)</f>
        <v>#DIV/0!</v>
      </c>
      <c r="AD46" s="512"/>
      <c r="AE46" s="179" t="e">
        <f>C46-SUM(E46:AD46)</f>
        <v>#DIV/0!</v>
      </c>
    </row>
    <row r="47" spans="1:31" s="142" customFormat="1" ht="17.25" thickTop="1" thickBot="1">
      <c r="A47" s="230" t="s">
        <v>37</v>
      </c>
      <c r="B47" s="231"/>
      <c r="C47" s="232">
        <f>SUM(C8+C27+C46)</f>
        <v>13415</v>
      </c>
      <c r="D47" s="233"/>
      <c r="E47" s="523" t="e">
        <f>E8+E27+E46</f>
        <v>#DIV/0!</v>
      </c>
      <c r="F47" s="520"/>
      <c r="G47" s="519" t="e">
        <f>G8+G27+G46</f>
        <v>#DIV/0!</v>
      </c>
      <c r="H47" s="520"/>
      <c r="I47" s="519" t="e">
        <f>I8+I27+I46</f>
        <v>#DIV/0!</v>
      </c>
      <c r="J47" s="520"/>
      <c r="K47" s="519" t="e">
        <f>K8+K27+K46</f>
        <v>#DIV/0!</v>
      </c>
      <c r="L47" s="520"/>
      <c r="M47" s="519" t="e">
        <f>M8+M27+M46</f>
        <v>#DIV/0!</v>
      </c>
      <c r="N47" s="520"/>
      <c r="O47" s="519" t="e">
        <f>O8+O27+O46</f>
        <v>#DIV/0!</v>
      </c>
      <c r="P47" s="520"/>
      <c r="Q47" s="519" t="e">
        <f>Q8+Q27+Q46</f>
        <v>#DIV/0!</v>
      </c>
      <c r="R47" s="520"/>
      <c r="S47" s="519" t="e">
        <f>S8+S27+S46</f>
        <v>#DIV/0!</v>
      </c>
      <c r="T47" s="520"/>
      <c r="U47" s="519" t="e">
        <f>U8+U27+U46</f>
        <v>#DIV/0!</v>
      </c>
      <c r="V47" s="520"/>
      <c r="W47" s="519" t="e">
        <f>W8+W27+W46</f>
        <v>#DIV/0!</v>
      </c>
      <c r="X47" s="520"/>
      <c r="Y47" s="519" t="e">
        <f>Y8+Y27+Y46</f>
        <v>#DIV/0!</v>
      </c>
      <c r="Z47" s="520"/>
      <c r="AA47" s="519" t="e">
        <f>AA8+AA27+AA46</f>
        <v>#DIV/0!</v>
      </c>
      <c r="AB47" s="520"/>
      <c r="AC47" s="519" t="e">
        <f>AC8+AC27+AC46</f>
        <v>#DIV/0!</v>
      </c>
      <c r="AD47" s="520"/>
      <c r="AE47" s="234" t="e">
        <f>C47-SUM(E47:AD47)</f>
        <v>#DIV/0!</v>
      </c>
    </row>
    <row r="48" spans="1:31" s="142" customFormat="1" ht="13.5" customHeight="1" thickTop="1">
      <c r="A48" s="235"/>
      <c r="B48" s="236"/>
      <c r="C48" s="237"/>
      <c r="D48" s="237"/>
      <c r="E48" s="237"/>
      <c r="F48" s="238"/>
      <c r="G48" s="237"/>
      <c r="H48" s="238"/>
      <c r="I48" s="237"/>
      <c r="J48" s="238"/>
      <c r="K48" s="237"/>
      <c r="L48" s="238"/>
      <c r="M48" s="238"/>
      <c r="N48" s="238"/>
      <c r="O48" s="238"/>
      <c r="P48" s="238"/>
      <c r="Q48" s="239"/>
      <c r="R48" s="239"/>
      <c r="S48" s="239"/>
      <c r="T48" s="239"/>
      <c r="U48" s="239"/>
      <c r="V48" s="239"/>
      <c r="W48" s="239"/>
      <c r="X48" s="239"/>
      <c r="Y48" s="239"/>
      <c r="Z48" s="239"/>
      <c r="AA48" s="239"/>
      <c r="AB48" s="239"/>
      <c r="AC48" s="239"/>
      <c r="AD48" s="239"/>
    </row>
    <row r="49" spans="1:45" ht="41.25" customHeight="1">
      <c r="A49" s="240" t="s">
        <v>7</v>
      </c>
      <c r="B49" s="546" t="s">
        <v>158</v>
      </c>
      <c r="C49" s="546"/>
      <c r="D49" s="546"/>
      <c r="E49" s="546"/>
      <c r="F49" s="546"/>
      <c r="G49" s="546"/>
      <c r="H49" s="546"/>
      <c r="I49" s="546"/>
      <c r="J49" s="546"/>
      <c r="K49" s="546"/>
      <c r="L49" s="546"/>
      <c r="M49" s="546"/>
      <c r="N49" s="546"/>
      <c r="O49" s="546"/>
      <c r="P49" s="546"/>
      <c r="Q49" s="546" t="s">
        <v>158</v>
      </c>
      <c r="R49" s="546"/>
      <c r="S49" s="546"/>
      <c r="T49" s="546"/>
      <c r="U49" s="546"/>
      <c r="V49" s="546"/>
      <c r="W49" s="546"/>
      <c r="X49" s="546"/>
      <c r="Y49" s="546"/>
      <c r="Z49" s="546"/>
      <c r="AA49" s="546"/>
      <c r="AB49" s="546"/>
      <c r="AC49" s="546"/>
      <c r="AD49" s="546"/>
      <c r="AE49" s="546"/>
      <c r="AF49" s="241"/>
      <c r="AG49" s="241"/>
    </row>
    <row r="50" spans="1:45" ht="14.25" customHeight="1">
      <c r="A50" s="242"/>
      <c r="B50" s="545" t="s">
        <v>161</v>
      </c>
      <c r="C50" s="545"/>
      <c r="D50" s="545"/>
      <c r="E50" s="545"/>
      <c r="F50" s="545"/>
      <c r="G50" s="545"/>
      <c r="H50" s="545"/>
      <c r="I50" s="545"/>
      <c r="J50" s="545"/>
      <c r="K50" s="545"/>
      <c r="L50" s="545"/>
      <c r="M50" s="545"/>
      <c r="N50" s="545"/>
      <c r="O50" s="545"/>
      <c r="P50" s="545"/>
      <c r="Q50" s="545" t="s">
        <v>161</v>
      </c>
      <c r="R50" s="545"/>
      <c r="S50" s="545"/>
      <c r="T50" s="545"/>
      <c r="U50" s="545"/>
      <c r="V50" s="545"/>
      <c r="W50" s="545"/>
      <c r="X50" s="545"/>
      <c r="Y50" s="545"/>
      <c r="Z50" s="545"/>
      <c r="AA50" s="545"/>
      <c r="AB50" s="545"/>
      <c r="AC50" s="545"/>
      <c r="AD50" s="545"/>
      <c r="AE50" s="545"/>
      <c r="AF50" s="243"/>
      <c r="AG50" s="243"/>
      <c r="AH50" s="244"/>
      <c r="AI50" s="245"/>
      <c r="AJ50" s="244"/>
      <c r="AK50" s="245"/>
      <c r="AL50" s="244"/>
      <c r="AM50" s="245"/>
      <c r="AN50" s="244"/>
      <c r="AO50" s="245"/>
      <c r="AP50" s="244"/>
      <c r="AQ50" s="245"/>
      <c r="AR50" s="245"/>
      <c r="AS50" s="245"/>
    </row>
    <row r="51" spans="1:45" ht="27" customHeight="1">
      <c r="A51" s="246"/>
      <c r="B51" s="545" t="s">
        <v>162</v>
      </c>
      <c r="C51" s="545"/>
      <c r="D51" s="545"/>
      <c r="E51" s="545"/>
      <c r="F51" s="545"/>
      <c r="G51" s="545"/>
      <c r="H51" s="545"/>
      <c r="I51" s="545"/>
      <c r="J51" s="545"/>
      <c r="K51" s="545"/>
      <c r="L51" s="545"/>
      <c r="M51" s="545"/>
      <c r="N51" s="545"/>
      <c r="O51" s="545"/>
      <c r="P51" s="545"/>
      <c r="Q51" s="545" t="s">
        <v>162</v>
      </c>
      <c r="R51" s="545"/>
      <c r="S51" s="545"/>
      <c r="T51" s="545"/>
      <c r="U51" s="545"/>
      <c r="V51" s="545"/>
      <c r="W51" s="545"/>
      <c r="X51" s="545"/>
      <c r="Y51" s="545"/>
      <c r="Z51" s="545"/>
      <c r="AA51" s="545"/>
      <c r="AB51" s="545"/>
      <c r="AC51" s="545"/>
      <c r="AD51" s="545"/>
      <c r="AE51" s="545"/>
      <c r="AF51" s="243"/>
      <c r="AG51" s="243"/>
      <c r="AH51" s="244"/>
      <c r="AI51" s="245"/>
      <c r="AJ51" s="244"/>
      <c r="AK51" s="245"/>
      <c r="AL51" s="244"/>
      <c r="AM51" s="245"/>
      <c r="AN51" s="244"/>
      <c r="AO51" s="245"/>
      <c r="AP51" s="244"/>
      <c r="AQ51" s="245"/>
      <c r="AR51" s="245"/>
      <c r="AS51" s="245"/>
    </row>
    <row r="52" spans="1:45" ht="14.25" customHeight="1">
      <c r="A52" s="246"/>
      <c r="B52" s="545" t="s">
        <v>157</v>
      </c>
      <c r="C52" s="545"/>
      <c r="D52" s="545"/>
      <c r="E52" s="545"/>
      <c r="F52" s="545"/>
      <c r="G52" s="545"/>
      <c r="H52" s="545"/>
      <c r="I52" s="545"/>
      <c r="J52" s="545"/>
      <c r="K52" s="545"/>
      <c r="L52" s="545"/>
      <c r="M52" s="545"/>
      <c r="N52" s="545"/>
      <c r="O52" s="545"/>
      <c r="P52" s="545"/>
      <c r="Q52" s="545" t="s">
        <v>157</v>
      </c>
      <c r="R52" s="545"/>
      <c r="S52" s="545"/>
      <c r="T52" s="545"/>
      <c r="U52" s="545"/>
      <c r="V52" s="545"/>
      <c r="W52" s="545"/>
      <c r="X52" s="545"/>
      <c r="Y52" s="545"/>
      <c r="Z52" s="545"/>
      <c r="AA52" s="545"/>
      <c r="AB52" s="545"/>
      <c r="AC52" s="545"/>
      <c r="AD52" s="545"/>
      <c r="AE52" s="545"/>
      <c r="AF52" s="243"/>
      <c r="AG52" s="243"/>
      <c r="AH52" s="244"/>
      <c r="AI52" s="245"/>
      <c r="AJ52" s="244"/>
      <c r="AK52" s="245"/>
      <c r="AL52" s="244"/>
      <c r="AM52" s="245"/>
      <c r="AN52" s="244"/>
      <c r="AO52" s="245"/>
      <c r="AP52" s="244"/>
      <c r="AQ52" s="245"/>
      <c r="AR52" s="245"/>
      <c r="AS52" s="245"/>
    </row>
    <row r="53" spans="1:45" ht="25.5" customHeight="1">
      <c r="A53" s="246"/>
      <c r="B53" s="545" t="s">
        <v>72</v>
      </c>
      <c r="C53" s="545"/>
      <c r="D53" s="545"/>
      <c r="E53" s="545"/>
      <c r="F53" s="545"/>
      <c r="G53" s="545"/>
      <c r="H53" s="545"/>
      <c r="I53" s="545"/>
      <c r="J53" s="545"/>
      <c r="K53" s="545"/>
      <c r="L53" s="545"/>
      <c r="M53" s="545"/>
      <c r="N53" s="545"/>
      <c r="O53" s="545"/>
      <c r="P53" s="545"/>
      <c r="Q53" s="545" t="s">
        <v>72</v>
      </c>
      <c r="R53" s="545"/>
      <c r="S53" s="545"/>
      <c r="T53" s="545"/>
      <c r="U53" s="545"/>
      <c r="V53" s="545"/>
      <c r="W53" s="545"/>
      <c r="X53" s="545"/>
      <c r="Y53" s="545"/>
      <c r="Z53" s="545"/>
      <c r="AA53" s="545"/>
      <c r="AB53" s="545"/>
      <c r="AC53" s="545"/>
      <c r="AD53" s="545"/>
      <c r="AE53" s="545"/>
      <c r="AF53" s="243"/>
      <c r="AG53" s="243"/>
      <c r="AH53" s="244"/>
      <c r="AI53" s="245"/>
      <c r="AJ53" s="244"/>
      <c r="AK53" s="245"/>
      <c r="AL53" s="244"/>
      <c r="AM53" s="245"/>
      <c r="AN53" s="244"/>
      <c r="AO53" s="245"/>
      <c r="AP53" s="244"/>
      <c r="AQ53" s="245"/>
      <c r="AR53" s="245"/>
      <c r="AS53" s="245"/>
    </row>
    <row r="54" spans="1:45" ht="40.5" customHeight="1">
      <c r="A54" s="247"/>
      <c r="B54" s="545" t="s">
        <v>160</v>
      </c>
      <c r="C54" s="545"/>
      <c r="D54" s="545"/>
      <c r="E54" s="545"/>
      <c r="F54" s="545"/>
      <c r="G54" s="545"/>
      <c r="H54" s="545"/>
      <c r="I54" s="545"/>
      <c r="J54" s="545"/>
      <c r="K54" s="545"/>
      <c r="L54" s="545"/>
      <c r="M54" s="545"/>
      <c r="N54" s="545"/>
      <c r="O54" s="545"/>
      <c r="P54" s="545"/>
      <c r="Q54" s="545" t="s">
        <v>160</v>
      </c>
      <c r="R54" s="545"/>
      <c r="S54" s="545"/>
      <c r="T54" s="545"/>
      <c r="U54" s="545"/>
      <c r="V54" s="545"/>
      <c r="W54" s="545"/>
      <c r="X54" s="545"/>
      <c r="Y54" s="545"/>
      <c r="Z54" s="545"/>
      <c r="AA54" s="545"/>
      <c r="AB54" s="545"/>
      <c r="AC54" s="545"/>
      <c r="AD54" s="545"/>
      <c r="AE54" s="545"/>
      <c r="AF54" s="243"/>
      <c r="AG54" s="243"/>
      <c r="AH54" s="244"/>
      <c r="AI54" s="245"/>
      <c r="AJ54" s="244"/>
      <c r="AK54" s="245"/>
      <c r="AL54" s="244"/>
      <c r="AM54" s="245"/>
      <c r="AN54" s="244"/>
      <c r="AO54" s="245"/>
      <c r="AP54" s="244"/>
      <c r="AQ54" s="245"/>
      <c r="AR54" s="245"/>
      <c r="AS54" s="245"/>
    </row>
    <row r="55" spans="1:45" ht="52.5" customHeight="1">
      <c r="A55" s="248"/>
      <c r="B55" s="545"/>
      <c r="C55" s="545"/>
      <c r="D55" s="545"/>
      <c r="E55" s="545"/>
      <c r="F55" s="545"/>
      <c r="G55" s="545"/>
      <c r="H55" s="545"/>
      <c r="I55" s="545"/>
      <c r="J55" s="545"/>
      <c r="K55" s="545"/>
      <c r="L55" s="545"/>
      <c r="M55" s="545"/>
      <c r="N55" s="545"/>
      <c r="O55" s="545"/>
      <c r="P55" s="545"/>
      <c r="Q55" s="545"/>
      <c r="R55" s="545"/>
      <c r="S55" s="545"/>
      <c r="T55" s="545"/>
      <c r="U55" s="545"/>
      <c r="V55" s="545"/>
      <c r="W55" s="545"/>
      <c r="X55" s="545"/>
      <c r="Y55" s="545"/>
      <c r="Z55" s="545"/>
      <c r="AA55" s="545"/>
      <c r="AB55" s="545"/>
      <c r="AC55" s="545"/>
      <c r="AD55" s="545"/>
      <c r="AE55" s="243"/>
      <c r="AF55" s="243"/>
      <c r="AG55" s="243"/>
      <c r="AH55" s="244"/>
      <c r="AI55" s="245"/>
      <c r="AJ55" s="244"/>
      <c r="AK55" s="245"/>
      <c r="AL55" s="244"/>
      <c r="AM55" s="245"/>
      <c r="AN55" s="244"/>
      <c r="AO55" s="245"/>
      <c r="AP55" s="244"/>
      <c r="AQ55" s="245"/>
      <c r="AR55" s="245"/>
      <c r="AS55" s="245"/>
    </row>
    <row r="56" spans="1:45">
      <c r="A56" s="249"/>
      <c r="B56" s="250"/>
      <c r="C56" s="243"/>
      <c r="D56" s="243"/>
      <c r="E56" s="243"/>
      <c r="F56" s="243"/>
      <c r="G56" s="243"/>
      <c r="H56" s="243"/>
      <c r="I56" s="243"/>
      <c r="J56" s="243"/>
      <c r="K56" s="243"/>
      <c r="L56" s="243"/>
      <c r="M56" s="243"/>
      <c r="N56" s="243"/>
      <c r="AC56" s="237"/>
      <c r="AD56" s="544"/>
      <c r="AE56" s="544"/>
      <c r="AF56" s="544"/>
      <c r="AG56" s="544"/>
      <c r="AH56" s="544"/>
      <c r="AI56" s="544"/>
      <c r="AJ56" s="544"/>
      <c r="AK56" s="544"/>
      <c r="AL56" s="544"/>
      <c r="AM56" s="544"/>
      <c r="AN56" s="544"/>
      <c r="AO56" s="544"/>
      <c r="AP56" s="544"/>
      <c r="AQ56" s="544"/>
      <c r="AR56" s="544"/>
      <c r="AS56" s="544"/>
    </row>
    <row r="57" spans="1:45">
      <c r="A57" s="250"/>
      <c r="B57" s="250"/>
      <c r="C57" s="237"/>
      <c r="D57" s="237"/>
      <c r="E57" s="237"/>
      <c r="G57" s="237"/>
      <c r="I57" s="237"/>
      <c r="K57" s="237"/>
      <c r="AC57" s="237"/>
      <c r="AD57" s="246"/>
      <c r="AE57" s="246"/>
      <c r="AF57" s="244"/>
      <c r="AG57" s="244"/>
      <c r="AH57" s="244"/>
      <c r="AI57" s="245"/>
      <c r="AJ57" s="244"/>
      <c r="AK57" s="245"/>
      <c r="AL57" s="244"/>
      <c r="AM57" s="245"/>
      <c r="AN57" s="244"/>
      <c r="AO57" s="245"/>
      <c r="AP57" s="244"/>
      <c r="AQ57" s="245"/>
      <c r="AR57" s="245"/>
      <c r="AS57" s="245"/>
    </row>
    <row r="58" spans="1:45">
      <c r="A58" s="250"/>
      <c r="B58" s="236"/>
      <c r="C58" s="237"/>
      <c r="D58" s="237"/>
      <c r="E58" s="237"/>
      <c r="G58" s="237"/>
      <c r="I58" s="237"/>
      <c r="K58" s="237"/>
      <c r="AC58" s="237"/>
    </row>
    <row r="59" spans="1:45">
      <c r="A59" s="250"/>
      <c r="B59" s="236"/>
      <c r="C59" s="237"/>
      <c r="D59" s="237"/>
      <c r="E59" s="237"/>
      <c r="G59" s="237"/>
      <c r="I59" s="237"/>
      <c r="K59" s="237"/>
      <c r="AC59" s="237"/>
    </row>
    <row r="60" spans="1:45">
      <c r="A60" s="250"/>
      <c r="B60" s="236"/>
      <c r="C60" s="237"/>
      <c r="D60" s="237"/>
      <c r="E60" s="237"/>
      <c r="G60" s="237"/>
      <c r="I60" s="237"/>
      <c r="K60" s="237"/>
      <c r="AC60" s="237"/>
    </row>
    <row r="61" spans="1:45">
      <c r="A61" s="250"/>
      <c r="B61" s="236"/>
      <c r="C61" s="237"/>
      <c r="D61" s="237"/>
      <c r="E61" s="237"/>
      <c r="G61" s="237"/>
      <c r="I61" s="237"/>
      <c r="K61" s="237"/>
      <c r="AC61" s="237"/>
    </row>
    <row r="62" spans="1:45">
      <c r="A62" s="250"/>
      <c r="B62" s="236"/>
      <c r="C62" s="237"/>
      <c r="D62" s="237"/>
      <c r="E62" s="237"/>
      <c r="G62" s="237"/>
      <c r="I62" s="237"/>
      <c r="K62" s="237"/>
      <c r="AC62" s="237"/>
    </row>
    <row r="63" spans="1:45">
      <c r="A63" s="250"/>
      <c r="B63" s="236"/>
      <c r="C63" s="237"/>
      <c r="D63" s="237"/>
      <c r="E63" s="237"/>
      <c r="G63" s="237"/>
      <c r="I63" s="237"/>
      <c r="K63" s="237"/>
      <c r="AC63" s="237"/>
    </row>
    <row r="64" spans="1:45">
      <c r="A64" s="250"/>
      <c r="B64" s="236"/>
      <c r="C64" s="237"/>
      <c r="D64" s="237"/>
      <c r="E64" s="237"/>
      <c r="G64" s="237"/>
      <c r="I64" s="237"/>
      <c r="K64" s="237"/>
      <c r="AC64" s="237"/>
    </row>
    <row r="65" spans="1:29">
      <c r="A65" s="250"/>
      <c r="B65" s="236"/>
      <c r="C65" s="237"/>
      <c r="D65" s="237"/>
      <c r="E65" s="237"/>
      <c r="G65" s="237"/>
      <c r="I65" s="237"/>
      <c r="K65" s="237"/>
      <c r="AC65" s="237"/>
    </row>
    <row r="66" spans="1:29">
      <c r="A66" s="250"/>
      <c r="B66" s="236"/>
      <c r="C66" s="237"/>
      <c r="D66" s="237"/>
      <c r="E66" s="237"/>
      <c r="G66" s="237"/>
      <c r="I66" s="237"/>
      <c r="K66" s="237"/>
      <c r="AC66" s="237"/>
    </row>
    <row r="67" spans="1:29">
      <c r="A67" s="250"/>
      <c r="B67" s="236"/>
      <c r="C67" s="237"/>
      <c r="D67" s="237"/>
      <c r="E67" s="237"/>
      <c r="G67" s="237"/>
      <c r="I67" s="237"/>
      <c r="K67" s="237"/>
      <c r="AC67" s="237"/>
    </row>
    <row r="68" spans="1:29">
      <c r="A68" s="250"/>
      <c r="B68" s="236"/>
      <c r="C68" s="237"/>
      <c r="D68" s="237"/>
      <c r="E68" s="237"/>
      <c r="G68" s="237"/>
      <c r="I68" s="237"/>
      <c r="K68" s="237"/>
      <c r="AC68" s="237"/>
    </row>
    <row r="69" spans="1:29">
      <c r="A69" s="250"/>
      <c r="B69" s="236"/>
      <c r="C69" s="237"/>
      <c r="D69" s="237"/>
      <c r="E69" s="237"/>
      <c r="G69" s="237"/>
      <c r="I69" s="237"/>
      <c r="K69" s="237"/>
      <c r="AC69" s="237"/>
    </row>
    <row r="70" spans="1:29">
      <c r="A70" s="250"/>
      <c r="B70" s="236"/>
      <c r="C70" s="237"/>
      <c r="D70" s="237"/>
      <c r="E70" s="237"/>
      <c r="G70" s="237"/>
      <c r="I70" s="237"/>
      <c r="K70" s="237"/>
      <c r="AC70" s="237"/>
    </row>
    <row r="71" spans="1:29">
      <c r="A71" s="250"/>
      <c r="B71" s="236"/>
      <c r="C71" s="237"/>
      <c r="D71" s="237"/>
      <c r="E71" s="237"/>
      <c r="G71" s="237"/>
      <c r="I71" s="237"/>
      <c r="K71" s="237"/>
      <c r="AC71" s="237"/>
    </row>
    <row r="72" spans="1:29">
      <c r="A72" s="250"/>
      <c r="B72" s="236"/>
      <c r="C72" s="237"/>
      <c r="D72" s="237"/>
      <c r="E72" s="237"/>
      <c r="G72" s="237"/>
      <c r="I72" s="237"/>
      <c r="K72" s="237"/>
      <c r="AC72" s="237"/>
    </row>
    <row r="73" spans="1:29">
      <c r="A73" s="250"/>
      <c r="B73" s="236"/>
      <c r="C73" s="237"/>
      <c r="D73" s="237"/>
      <c r="E73" s="237"/>
      <c r="G73" s="237"/>
      <c r="I73" s="237"/>
      <c r="K73" s="237"/>
      <c r="AC73" s="237"/>
    </row>
    <row r="74" spans="1:29">
      <c r="A74" s="250"/>
      <c r="B74" s="236"/>
      <c r="C74" s="237"/>
      <c r="D74" s="237"/>
      <c r="E74" s="237"/>
      <c r="G74" s="237"/>
      <c r="I74" s="237"/>
      <c r="K74" s="237"/>
      <c r="AC74" s="237"/>
    </row>
    <row r="75" spans="1:29">
      <c r="A75" s="250"/>
      <c r="B75" s="236"/>
      <c r="C75" s="237"/>
      <c r="D75" s="237"/>
      <c r="E75" s="237"/>
      <c r="G75" s="237"/>
      <c r="I75" s="237"/>
      <c r="K75" s="237"/>
      <c r="AC75" s="237"/>
    </row>
    <row r="76" spans="1:29">
      <c r="A76" s="250"/>
      <c r="B76" s="236"/>
      <c r="C76" s="237"/>
      <c r="D76" s="237"/>
      <c r="E76" s="237"/>
      <c r="G76" s="237"/>
      <c r="I76" s="237"/>
      <c r="K76" s="237"/>
      <c r="AC76" s="237"/>
    </row>
    <row r="77" spans="1:29">
      <c r="A77" s="250"/>
      <c r="B77" s="236"/>
      <c r="C77" s="237"/>
      <c r="D77" s="237"/>
      <c r="E77" s="237"/>
      <c r="G77" s="237"/>
      <c r="I77" s="237"/>
      <c r="K77" s="237"/>
      <c r="AC77" s="237"/>
    </row>
    <row r="78" spans="1:29">
      <c r="A78" s="250"/>
      <c r="B78" s="236"/>
      <c r="C78" s="237"/>
      <c r="D78" s="237"/>
      <c r="E78" s="237"/>
      <c r="G78" s="237"/>
      <c r="I78" s="237"/>
      <c r="K78" s="237"/>
      <c r="AC78" s="237"/>
    </row>
    <row r="79" spans="1:29">
      <c r="A79" s="250"/>
      <c r="B79" s="236"/>
      <c r="C79" s="237"/>
      <c r="D79" s="237"/>
      <c r="E79" s="237"/>
      <c r="G79" s="237"/>
      <c r="I79" s="237"/>
      <c r="K79" s="237"/>
      <c r="AC79" s="237"/>
    </row>
    <row r="80" spans="1:29">
      <c r="A80" s="250"/>
      <c r="B80" s="236"/>
      <c r="C80" s="237"/>
      <c r="D80" s="237"/>
      <c r="E80" s="237"/>
      <c r="G80" s="237"/>
      <c r="I80" s="237"/>
      <c r="K80" s="237"/>
      <c r="AC80" s="237"/>
    </row>
    <row r="81" spans="1:29">
      <c r="A81" s="250"/>
      <c r="B81" s="236"/>
      <c r="C81" s="237"/>
      <c r="D81" s="237"/>
      <c r="E81" s="237"/>
      <c r="G81" s="237"/>
      <c r="I81" s="237"/>
      <c r="K81" s="237"/>
      <c r="AC81" s="237"/>
    </row>
    <row r="82" spans="1:29">
      <c r="A82" s="250"/>
      <c r="B82" s="236"/>
      <c r="C82" s="237"/>
      <c r="D82" s="237"/>
      <c r="E82" s="237"/>
      <c r="G82" s="237"/>
      <c r="I82" s="237"/>
      <c r="K82" s="237"/>
      <c r="AC82" s="237"/>
    </row>
    <row r="83" spans="1:29">
      <c r="A83" s="250"/>
      <c r="B83" s="236"/>
      <c r="C83" s="237"/>
      <c r="D83" s="237"/>
      <c r="E83" s="237"/>
      <c r="G83" s="237"/>
      <c r="I83" s="237"/>
      <c r="K83" s="237"/>
      <c r="AC83" s="237"/>
    </row>
    <row r="84" spans="1:29">
      <c r="A84" s="250"/>
      <c r="B84" s="236"/>
      <c r="C84" s="237"/>
      <c r="D84" s="237"/>
      <c r="E84" s="237"/>
      <c r="G84" s="237"/>
      <c r="I84" s="237"/>
      <c r="K84" s="237"/>
      <c r="AC84" s="237"/>
    </row>
    <row r="85" spans="1:29">
      <c r="A85" s="250"/>
      <c r="B85" s="236"/>
      <c r="C85" s="237"/>
      <c r="D85" s="237"/>
      <c r="E85" s="237"/>
      <c r="G85" s="237"/>
      <c r="I85" s="237"/>
      <c r="K85" s="237"/>
      <c r="AC85" s="237"/>
    </row>
    <row r="86" spans="1:29">
      <c r="A86" s="250"/>
      <c r="B86" s="236"/>
      <c r="C86" s="237"/>
      <c r="D86" s="237"/>
      <c r="E86" s="237"/>
      <c r="G86" s="237"/>
      <c r="I86" s="237"/>
      <c r="K86" s="237"/>
      <c r="AC86" s="237"/>
    </row>
    <row r="87" spans="1:29">
      <c r="A87" s="250"/>
      <c r="B87" s="236"/>
      <c r="C87" s="237"/>
      <c r="D87" s="237"/>
      <c r="E87" s="237"/>
      <c r="G87" s="237"/>
      <c r="I87" s="237"/>
      <c r="K87" s="237"/>
      <c r="AC87" s="237"/>
    </row>
    <row r="88" spans="1:29">
      <c r="A88" s="250"/>
      <c r="B88" s="236"/>
      <c r="C88" s="237"/>
      <c r="D88" s="237"/>
      <c r="E88" s="237"/>
      <c r="G88" s="237"/>
      <c r="I88" s="237"/>
      <c r="K88" s="237"/>
      <c r="AC88" s="237"/>
    </row>
    <row r="89" spans="1:29">
      <c r="A89" s="250"/>
      <c r="B89" s="236"/>
      <c r="C89" s="237"/>
      <c r="D89" s="237"/>
      <c r="E89" s="237"/>
      <c r="G89" s="237"/>
      <c r="I89" s="237"/>
      <c r="K89" s="237"/>
      <c r="AC89" s="237"/>
    </row>
    <row r="90" spans="1:29">
      <c r="A90" s="250"/>
      <c r="B90" s="236"/>
      <c r="C90" s="237"/>
      <c r="D90" s="237"/>
      <c r="E90" s="237"/>
      <c r="G90" s="237"/>
      <c r="I90" s="237"/>
      <c r="K90" s="237"/>
      <c r="AC90" s="237"/>
    </row>
    <row r="91" spans="1:29">
      <c r="A91" s="250"/>
      <c r="B91" s="236"/>
      <c r="C91" s="237"/>
      <c r="D91" s="237"/>
      <c r="E91" s="237"/>
      <c r="G91" s="237"/>
      <c r="I91" s="237"/>
      <c r="K91" s="237"/>
      <c r="AC91" s="237"/>
    </row>
    <row r="92" spans="1:29">
      <c r="A92" s="250"/>
      <c r="B92" s="236"/>
      <c r="C92" s="237"/>
      <c r="D92" s="237"/>
      <c r="E92" s="237"/>
      <c r="G92" s="237"/>
      <c r="I92" s="237"/>
      <c r="K92" s="237"/>
      <c r="AC92" s="237"/>
    </row>
    <row r="93" spans="1:29">
      <c r="A93" s="250"/>
      <c r="B93" s="236"/>
      <c r="C93" s="237"/>
      <c r="D93" s="237"/>
      <c r="E93" s="237"/>
      <c r="G93" s="237"/>
      <c r="I93" s="237"/>
      <c r="K93" s="237"/>
      <c r="AC93" s="237"/>
    </row>
    <row r="94" spans="1:29">
      <c r="A94" s="250"/>
      <c r="B94" s="236"/>
      <c r="C94" s="237"/>
      <c r="D94" s="237"/>
      <c r="E94" s="237"/>
      <c r="G94" s="237"/>
      <c r="I94" s="237"/>
      <c r="K94" s="237"/>
      <c r="AC94" s="237"/>
    </row>
    <row r="95" spans="1:29">
      <c r="A95" s="250"/>
      <c r="B95" s="236"/>
      <c r="C95" s="237"/>
      <c r="D95" s="237"/>
      <c r="E95" s="237"/>
      <c r="G95" s="237"/>
      <c r="I95" s="237"/>
      <c r="K95" s="237"/>
      <c r="AC95" s="237"/>
    </row>
    <row r="96" spans="1:29">
      <c r="A96" s="250"/>
      <c r="B96" s="236"/>
      <c r="C96" s="237"/>
      <c r="D96" s="237"/>
      <c r="E96" s="237"/>
      <c r="G96" s="237"/>
      <c r="I96" s="237"/>
      <c r="K96" s="237"/>
      <c r="AC96" s="237"/>
    </row>
    <row r="97" spans="1:29">
      <c r="A97" s="250"/>
      <c r="B97" s="236"/>
      <c r="C97" s="237"/>
      <c r="D97" s="237"/>
      <c r="E97" s="237"/>
      <c r="G97" s="237"/>
      <c r="I97" s="237"/>
      <c r="K97" s="237"/>
      <c r="AC97" s="237"/>
    </row>
    <row r="98" spans="1:29">
      <c r="A98" s="250"/>
      <c r="B98" s="236"/>
      <c r="C98" s="237"/>
      <c r="D98" s="237"/>
      <c r="E98" s="237"/>
      <c r="G98" s="237"/>
      <c r="I98" s="237"/>
      <c r="K98" s="237"/>
      <c r="AC98" s="237"/>
    </row>
    <row r="99" spans="1:29">
      <c r="A99" s="250"/>
      <c r="B99" s="236"/>
      <c r="C99" s="237"/>
      <c r="D99" s="237"/>
      <c r="E99" s="237"/>
      <c r="G99" s="237"/>
      <c r="I99" s="237"/>
      <c r="K99" s="237"/>
      <c r="AC99" s="237"/>
    </row>
    <row r="100" spans="1:29">
      <c r="A100" s="250"/>
      <c r="B100" s="236"/>
      <c r="C100" s="237"/>
      <c r="D100" s="237"/>
      <c r="E100" s="237"/>
      <c r="G100" s="237"/>
      <c r="I100" s="237"/>
      <c r="K100" s="237"/>
      <c r="AC100" s="237"/>
    </row>
    <row r="101" spans="1:29">
      <c r="A101" s="250"/>
      <c r="B101" s="236"/>
      <c r="C101" s="237"/>
      <c r="D101" s="237"/>
      <c r="E101" s="237"/>
      <c r="G101" s="237"/>
      <c r="I101" s="237"/>
      <c r="K101" s="237"/>
      <c r="AC101" s="237"/>
    </row>
    <row r="102" spans="1:29">
      <c r="A102" s="250"/>
      <c r="B102" s="236"/>
      <c r="C102" s="237"/>
      <c r="D102" s="237"/>
      <c r="E102" s="237"/>
      <c r="G102" s="237"/>
      <c r="I102" s="237"/>
      <c r="K102" s="237"/>
      <c r="AC102" s="237"/>
    </row>
    <row r="103" spans="1:29">
      <c r="A103" s="250"/>
      <c r="B103" s="236"/>
      <c r="C103" s="237"/>
      <c r="D103" s="237"/>
      <c r="E103" s="237"/>
      <c r="G103" s="237"/>
      <c r="I103" s="237"/>
      <c r="K103" s="237"/>
      <c r="AC103" s="237"/>
    </row>
    <row r="104" spans="1:29">
      <c r="A104" s="250"/>
      <c r="B104" s="236"/>
      <c r="C104" s="237"/>
      <c r="D104" s="237"/>
      <c r="E104" s="237"/>
      <c r="G104" s="237"/>
      <c r="I104" s="237"/>
      <c r="K104" s="237"/>
      <c r="AC104" s="237"/>
    </row>
    <row r="105" spans="1:29">
      <c r="A105" s="250"/>
      <c r="B105" s="236"/>
      <c r="C105" s="237"/>
      <c r="D105" s="237"/>
      <c r="E105" s="237"/>
      <c r="G105" s="237"/>
      <c r="I105" s="237"/>
      <c r="K105" s="237"/>
      <c r="AC105" s="237"/>
    </row>
    <row r="106" spans="1:29">
      <c r="A106" s="250"/>
      <c r="B106" s="236"/>
      <c r="C106" s="237"/>
      <c r="D106" s="237"/>
      <c r="E106" s="237"/>
      <c r="G106" s="237"/>
      <c r="I106" s="237"/>
      <c r="K106" s="237"/>
      <c r="AC106" s="237"/>
    </row>
    <row r="107" spans="1:29">
      <c r="A107" s="250"/>
      <c r="B107" s="236"/>
      <c r="C107" s="237"/>
      <c r="D107" s="237"/>
      <c r="E107" s="237"/>
      <c r="G107" s="237"/>
      <c r="I107" s="237"/>
      <c r="K107" s="237"/>
      <c r="AC107" s="237"/>
    </row>
    <row r="108" spans="1:29">
      <c r="A108" s="250"/>
      <c r="B108" s="236"/>
      <c r="C108" s="237"/>
      <c r="D108" s="237"/>
      <c r="E108" s="237"/>
      <c r="G108" s="237"/>
      <c r="I108" s="237"/>
      <c r="K108" s="237"/>
      <c r="AC108" s="237"/>
    </row>
    <row r="109" spans="1:29">
      <c r="A109" s="250"/>
      <c r="B109" s="236"/>
      <c r="C109" s="237"/>
      <c r="D109" s="237"/>
      <c r="E109" s="237"/>
      <c r="G109" s="237"/>
      <c r="I109" s="237"/>
      <c r="K109" s="237"/>
      <c r="AC109" s="237"/>
    </row>
    <row r="110" spans="1:29">
      <c r="A110" s="250"/>
      <c r="B110" s="236"/>
      <c r="C110" s="237"/>
      <c r="D110" s="237"/>
      <c r="E110" s="237"/>
      <c r="G110" s="237"/>
      <c r="I110" s="237"/>
      <c r="K110" s="237"/>
      <c r="AC110" s="237"/>
    </row>
    <row r="111" spans="1:29">
      <c r="A111" s="250"/>
      <c r="B111" s="236"/>
      <c r="C111" s="237"/>
      <c r="D111" s="237"/>
      <c r="E111" s="237"/>
      <c r="G111" s="237"/>
      <c r="I111" s="237"/>
      <c r="K111" s="237"/>
      <c r="AC111" s="237"/>
    </row>
    <row r="112" spans="1:29">
      <c r="A112" s="250"/>
      <c r="B112" s="236"/>
      <c r="C112" s="237"/>
      <c r="D112" s="237"/>
      <c r="E112" s="237"/>
      <c r="G112" s="237"/>
      <c r="I112" s="237"/>
      <c r="K112" s="237"/>
      <c r="AC112" s="237"/>
    </row>
    <row r="113" spans="1:29">
      <c r="A113" s="250"/>
      <c r="B113" s="236"/>
      <c r="C113" s="237"/>
      <c r="D113" s="237"/>
      <c r="E113" s="237"/>
      <c r="G113" s="237"/>
      <c r="I113" s="237"/>
      <c r="K113" s="237"/>
      <c r="AC113" s="237"/>
    </row>
    <row r="114" spans="1:29">
      <c r="A114" s="250"/>
      <c r="B114" s="236"/>
      <c r="C114" s="237"/>
      <c r="D114" s="237"/>
      <c r="E114" s="237"/>
      <c r="G114" s="237"/>
      <c r="I114" s="237"/>
      <c r="K114" s="237"/>
      <c r="AC114" s="237"/>
    </row>
    <row r="115" spans="1:29">
      <c r="A115" s="250"/>
      <c r="B115" s="236"/>
      <c r="C115" s="237"/>
      <c r="D115" s="237"/>
      <c r="E115" s="237"/>
      <c r="G115" s="237"/>
      <c r="I115" s="237"/>
      <c r="K115" s="237"/>
      <c r="AC115" s="237"/>
    </row>
    <row r="116" spans="1:29">
      <c r="A116" s="250"/>
      <c r="B116" s="236"/>
      <c r="C116" s="237"/>
      <c r="D116" s="237"/>
      <c r="E116" s="237"/>
      <c r="G116" s="237"/>
      <c r="I116" s="237"/>
      <c r="K116" s="237"/>
      <c r="AC116" s="237"/>
    </row>
    <row r="117" spans="1:29">
      <c r="A117" s="250"/>
      <c r="B117" s="236"/>
      <c r="C117" s="237"/>
      <c r="D117" s="237"/>
      <c r="E117" s="237"/>
      <c r="G117" s="237"/>
      <c r="I117" s="237"/>
      <c r="K117" s="237"/>
      <c r="AC117" s="237"/>
    </row>
    <row r="118" spans="1:29">
      <c r="A118" s="250"/>
      <c r="B118" s="236"/>
      <c r="C118" s="237"/>
      <c r="D118" s="237"/>
      <c r="E118" s="237"/>
      <c r="G118" s="237"/>
      <c r="I118" s="237"/>
      <c r="K118" s="237"/>
      <c r="AC118" s="237"/>
    </row>
    <row r="119" spans="1:29">
      <c r="A119" s="250"/>
      <c r="B119" s="236"/>
      <c r="C119" s="237"/>
      <c r="D119" s="237"/>
      <c r="E119" s="237"/>
      <c r="G119" s="237"/>
      <c r="I119" s="237"/>
      <c r="K119" s="237"/>
      <c r="AC119" s="237"/>
    </row>
    <row r="120" spans="1:29">
      <c r="A120" s="250"/>
      <c r="B120" s="236"/>
      <c r="C120" s="237"/>
      <c r="D120" s="237"/>
      <c r="E120" s="237"/>
      <c r="G120" s="237"/>
      <c r="I120" s="237"/>
      <c r="K120" s="237"/>
      <c r="AC120" s="237"/>
    </row>
    <row r="121" spans="1:29">
      <c r="A121" s="250"/>
      <c r="B121" s="236"/>
      <c r="C121" s="237"/>
      <c r="D121" s="237"/>
      <c r="E121" s="237"/>
      <c r="G121" s="237"/>
      <c r="I121" s="237"/>
      <c r="K121" s="237"/>
      <c r="AC121" s="237"/>
    </row>
    <row r="122" spans="1:29">
      <c r="A122" s="250"/>
      <c r="B122" s="236"/>
      <c r="C122" s="237"/>
      <c r="D122" s="237"/>
      <c r="E122" s="237"/>
      <c r="G122" s="237"/>
      <c r="I122" s="237"/>
      <c r="K122" s="237"/>
      <c r="AC122" s="237"/>
    </row>
    <row r="123" spans="1:29">
      <c r="A123" s="250"/>
      <c r="B123" s="236"/>
      <c r="C123" s="237"/>
      <c r="D123" s="237"/>
      <c r="E123" s="237"/>
      <c r="G123" s="237"/>
      <c r="I123" s="237"/>
      <c r="K123" s="237"/>
      <c r="AC123" s="237"/>
    </row>
    <row r="124" spans="1:29">
      <c r="A124" s="250"/>
      <c r="B124" s="236"/>
      <c r="C124" s="237"/>
      <c r="D124" s="237"/>
      <c r="E124" s="237"/>
      <c r="G124" s="237"/>
      <c r="I124" s="237"/>
      <c r="K124" s="237"/>
      <c r="AC124" s="237"/>
    </row>
    <row r="125" spans="1:29">
      <c r="A125" s="250"/>
      <c r="B125" s="236"/>
      <c r="C125" s="237"/>
      <c r="D125" s="237"/>
      <c r="E125" s="237"/>
      <c r="G125" s="237"/>
      <c r="I125" s="237"/>
      <c r="K125" s="237"/>
      <c r="AC125" s="237"/>
    </row>
    <row r="126" spans="1:29">
      <c r="A126" s="250"/>
      <c r="B126" s="236"/>
      <c r="C126" s="237"/>
      <c r="D126" s="237"/>
      <c r="E126" s="237"/>
      <c r="G126" s="237"/>
      <c r="I126" s="237"/>
      <c r="K126" s="237"/>
      <c r="AC126" s="237"/>
    </row>
    <row r="127" spans="1:29">
      <c r="A127" s="250"/>
      <c r="B127" s="236"/>
      <c r="C127" s="237"/>
      <c r="D127" s="237"/>
      <c r="E127" s="237"/>
      <c r="G127" s="237"/>
      <c r="I127" s="237"/>
      <c r="K127" s="237"/>
      <c r="AC127" s="237"/>
    </row>
    <row r="128" spans="1:29">
      <c r="A128" s="250"/>
      <c r="B128" s="236"/>
      <c r="C128" s="237"/>
      <c r="D128" s="237"/>
      <c r="E128" s="237"/>
      <c r="G128" s="237"/>
      <c r="I128" s="237"/>
      <c r="K128" s="237"/>
      <c r="AC128" s="237"/>
    </row>
    <row r="129" spans="1:29">
      <c r="A129" s="250"/>
      <c r="B129" s="236"/>
      <c r="C129" s="237"/>
      <c r="D129" s="237"/>
      <c r="E129" s="237"/>
      <c r="G129" s="237"/>
      <c r="I129" s="237"/>
      <c r="K129" s="237"/>
      <c r="AC129" s="237"/>
    </row>
    <row r="130" spans="1:29">
      <c r="A130" s="250"/>
      <c r="B130" s="236"/>
      <c r="C130" s="237"/>
      <c r="D130" s="237"/>
      <c r="E130" s="237"/>
      <c r="G130" s="237"/>
      <c r="I130" s="237"/>
      <c r="K130" s="237"/>
      <c r="AC130" s="237"/>
    </row>
    <row r="131" spans="1:29">
      <c r="A131" s="250"/>
      <c r="B131" s="236"/>
      <c r="C131" s="237"/>
      <c r="D131" s="237"/>
      <c r="E131" s="237"/>
      <c r="G131" s="237"/>
      <c r="I131" s="237"/>
      <c r="K131" s="237"/>
      <c r="AC131" s="237"/>
    </row>
    <row r="132" spans="1:29">
      <c r="A132" s="250"/>
      <c r="B132" s="236"/>
      <c r="C132" s="237"/>
      <c r="D132" s="237"/>
      <c r="E132" s="237"/>
      <c r="G132" s="237"/>
      <c r="I132" s="237"/>
      <c r="K132" s="237"/>
      <c r="AC132" s="237"/>
    </row>
    <row r="133" spans="1:29">
      <c r="A133" s="250"/>
      <c r="B133" s="236"/>
      <c r="C133" s="237"/>
      <c r="D133" s="237"/>
      <c r="E133" s="237"/>
      <c r="G133" s="237"/>
      <c r="I133" s="237"/>
      <c r="K133" s="237"/>
      <c r="AC133" s="237"/>
    </row>
    <row r="134" spans="1:29">
      <c r="A134" s="250"/>
      <c r="B134" s="236"/>
      <c r="C134" s="237"/>
      <c r="D134" s="237"/>
      <c r="E134" s="237"/>
      <c r="G134" s="237"/>
      <c r="I134" s="237"/>
      <c r="K134" s="237"/>
      <c r="AC134" s="237"/>
    </row>
    <row r="135" spans="1:29">
      <c r="A135" s="250"/>
      <c r="B135" s="236"/>
      <c r="C135" s="237"/>
      <c r="D135" s="237"/>
      <c r="E135" s="237"/>
      <c r="G135" s="237"/>
      <c r="I135" s="237"/>
      <c r="K135" s="237"/>
      <c r="AC135" s="237"/>
    </row>
    <row r="136" spans="1:29">
      <c r="A136" s="250"/>
      <c r="B136" s="236"/>
      <c r="C136" s="237"/>
      <c r="D136" s="237"/>
      <c r="E136" s="237"/>
      <c r="G136" s="237"/>
      <c r="I136" s="237"/>
      <c r="K136" s="237"/>
      <c r="AC136" s="237"/>
    </row>
    <row r="137" spans="1:29">
      <c r="A137" s="250"/>
      <c r="B137" s="236"/>
      <c r="C137" s="237"/>
      <c r="D137" s="237"/>
      <c r="E137" s="237"/>
      <c r="G137" s="237"/>
      <c r="I137" s="237"/>
      <c r="K137" s="237"/>
      <c r="AC137" s="237"/>
    </row>
    <row r="138" spans="1:29">
      <c r="A138" s="250"/>
      <c r="B138" s="236"/>
      <c r="C138" s="237"/>
      <c r="D138" s="237"/>
      <c r="E138" s="237"/>
      <c r="G138" s="237"/>
      <c r="I138" s="237"/>
      <c r="K138" s="237"/>
      <c r="AC138" s="237"/>
    </row>
    <row r="139" spans="1:29">
      <c r="A139" s="250"/>
      <c r="B139" s="236"/>
      <c r="C139" s="237"/>
      <c r="D139" s="237"/>
      <c r="E139" s="237"/>
      <c r="G139" s="237"/>
      <c r="I139" s="237"/>
      <c r="K139" s="237"/>
      <c r="AC139" s="237"/>
    </row>
    <row r="140" spans="1:29">
      <c r="A140" s="250"/>
      <c r="B140" s="236"/>
      <c r="C140" s="237"/>
      <c r="D140" s="237"/>
      <c r="E140" s="237"/>
      <c r="G140" s="237"/>
      <c r="I140" s="237"/>
      <c r="K140" s="237"/>
      <c r="AC140" s="237"/>
    </row>
    <row r="141" spans="1:29">
      <c r="A141" s="250"/>
      <c r="B141" s="236"/>
      <c r="C141" s="237"/>
      <c r="D141" s="237"/>
      <c r="E141" s="237"/>
      <c r="G141" s="237"/>
      <c r="I141" s="237"/>
      <c r="K141" s="237"/>
      <c r="AC141" s="237"/>
    </row>
    <row r="142" spans="1:29">
      <c r="A142" s="250"/>
      <c r="B142" s="236"/>
      <c r="C142" s="237"/>
      <c r="D142" s="237"/>
      <c r="E142" s="237"/>
      <c r="G142" s="237"/>
      <c r="I142" s="237"/>
      <c r="K142" s="237"/>
      <c r="AC142" s="237"/>
    </row>
    <row r="143" spans="1:29">
      <c r="A143" s="250"/>
      <c r="B143" s="236"/>
      <c r="C143" s="237"/>
      <c r="D143" s="237"/>
      <c r="E143" s="237"/>
      <c r="G143" s="237"/>
      <c r="I143" s="237"/>
      <c r="K143" s="237"/>
      <c r="AC143" s="237"/>
    </row>
    <row r="144" spans="1:29">
      <c r="A144" s="250"/>
      <c r="B144" s="236"/>
      <c r="C144" s="237"/>
      <c r="D144" s="237"/>
      <c r="E144" s="237"/>
      <c r="G144" s="237"/>
      <c r="I144" s="237"/>
      <c r="K144" s="237"/>
      <c r="AC144" s="237"/>
    </row>
    <row r="145" spans="1:29">
      <c r="A145" s="250"/>
      <c r="B145" s="236"/>
      <c r="C145" s="237"/>
      <c r="D145" s="237"/>
      <c r="E145" s="237"/>
      <c r="G145" s="237"/>
      <c r="I145" s="237"/>
      <c r="K145" s="237"/>
      <c r="AC145" s="237"/>
    </row>
    <row r="146" spans="1:29">
      <c r="A146" s="250"/>
      <c r="B146" s="236"/>
      <c r="C146" s="237"/>
      <c r="D146" s="237"/>
      <c r="E146" s="237"/>
      <c r="G146" s="237"/>
      <c r="I146" s="237"/>
      <c r="K146" s="237"/>
      <c r="AC146" s="237"/>
    </row>
    <row r="147" spans="1:29">
      <c r="A147" s="250"/>
      <c r="B147" s="236"/>
      <c r="C147" s="237"/>
      <c r="D147" s="237"/>
      <c r="E147" s="237"/>
      <c r="G147" s="237"/>
      <c r="I147" s="237"/>
      <c r="K147" s="237"/>
      <c r="AC147" s="237"/>
    </row>
    <row r="148" spans="1:29">
      <c r="A148" s="250"/>
      <c r="B148" s="236"/>
      <c r="C148" s="237"/>
      <c r="D148" s="237"/>
      <c r="E148" s="237"/>
      <c r="G148" s="237"/>
      <c r="I148" s="237"/>
      <c r="K148" s="237"/>
      <c r="AC148" s="237"/>
    </row>
    <row r="149" spans="1:29">
      <c r="A149" s="250"/>
      <c r="B149" s="236"/>
      <c r="C149" s="237"/>
      <c r="D149" s="237"/>
      <c r="E149" s="237"/>
      <c r="G149" s="237"/>
      <c r="I149" s="237"/>
      <c r="K149" s="237"/>
      <c r="AC149" s="237"/>
    </row>
    <row r="150" spans="1:29">
      <c r="A150" s="250"/>
      <c r="B150" s="236"/>
      <c r="C150" s="237"/>
      <c r="D150" s="237"/>
      <c r="E150" s="237"/>
      <c r="G150" s="237"/>
      <c r="I150" s="237"/>
      <c r="K150" s="237"/>
      <c r="AC150" s="237"/>
    </row>
    <row r="151" spans="1:29">
      <c r="A151" s="250"/>
      <c r="B151" s="236"/>
      <c r="C151" s="237"/>
      <c r="D151" s="237"/>
      <c r="E151" s="237"/>
      <c r="G151" s="237"/>
      <c r="I151" s="237"/>
      <c r="K151" s="237"/>
      <c r="AC151" s="237"/>
    </row>
    <row r="152" spans="1:29">
      <c r="A152" s="250"/>
      <c r="B152" s="236"/>
      <c r="C152" s="237"/>
      <c r="D152" s="237"/>
      <c r="E152" s="237"/>
      <c r="G152" s="237"/>
      <c r="I152" s="237"/>
      <c r="K152" s="237"/>
      <c r="AC152" s="237"/>
    </row>
    <row r="153" spans="1:29">
      <c r="A153" s="250"/>
      <c r="B153" s="236"/>
      <c r="C153" s="237"/>
      <c r="D153" s="237"/>
      <c r="E153" s="237"/>
      <c r="G153" s="237"/>
      <c r="I153" s="237"/>
      <c r="K153" s="237"/>
      <c r="AC153" s="237"/>
    </row>
    <row r="154" spans="1:29">
      <c r="A154" s="250"/>
      <c r="B154" s="236"/>
      <c r="C154" s="237"/>
      <c r="D154" s="237"/>
      <c r="E154" s="237"/>
      <c r="G154" s="237"/>
      <c r="I154" s="237"/>
      <c r="K154" s="237"/>
      <c r="AC154" s="237"/>
    </row>
    <row r="155" spans="1:29">
      <c r="A155" s="250"/>
      <c r="B155" s="236"/>
      <c r="C155" s="237"/>
      <c r="D155" s="237"/>
      <c r="E155" s="237"/>
      <c r="G155" s="237"/>
      <c r="I155" s="237"/>
      <c r="K155" s="237"/>
      <c r="AC155" s="237"/>
    </row>
    <row r="156" spans="1:29">
      <c r="A156" s="250"/>
      <c r="B156" s="236"/>
      <c r="C156" s="237"/>
      <c r="D156" s="237"/>
      <c r="E156" s="237"/>
      <c r="G156" s="237"/>
      <c r="I156" s="237"/>
      <c r="K156" s="237"/>
      <c r="AC156" s="237"/>
    </row>
    <row r="157" spans="1:29">
      <c r="A157" s="250"/>
      <c r="B157" s="236"/>
      <c r="C157" s="237"/>
      <c r="D157" s="237"/>
      <c r="E157" s="237"/>
      <c r="G157" s="237"/>
      <c r="I157" s="237"/>
      <c r="K157" s="237"/>
      <c r="AC157" s="237"/>
    </row>
    <row r="158" spans="1:29">
      <c r="A158" s="250"/>
      <c r="B158" s="236"/>
      <c r="C158" s="237"/>
      <c r="D158" s="237"/>
      <c r="E158" s="237"/>
      <c r="G158" s="237"/>
      <c r="I158" s="237"/>
      <c r="K158" s="237"/>
      <c r="AC158" s="237"/>
    </row>
    <row r="159" spans="1:29">
      <c r="A159" s="250"/>
      <c r="B159" s="236"/>
      <c r="C159" s="237"/>
      <c r="D159" s="237"/>
      <c r="E159" s="237"/>
      <c r="G159" s="237"/>
      <c r="I159" s="237"/>
      <c r="K159" s="237"/>
      <c r="AC159" s="237"/>
    </row>
    <row r="160" spans="1:29">
      <c r="A160" s="250"/>
      <c r="B160" s="236"/>
      <c r="C160" s="237"/>
      <c r="D160" s="237"/>
      <c r="E160" s="237"/>
      <c r="G160" s="237"/>
      <c r="I160" s="237"/>
      <c r="K160" s="237"/>
      <c r="AC160" s="237"/>
    </row>
    <row r="161" spans="1:29">
      <c r="A161" s="250"/>
      <c r="B161" s="236"/>
      <c r="C161" s="237"/>
      <c r="D161" s="237"/>
      <c r="E161" s="237"/>
      <c r="G161" s="237"/>
      <c r="I161" s="237"/>
      <c r="K161" s="237"/>
      <c r="AC161" s="237"/>
    </row>
    <row r="162" spans="1:29">
      <c r="A162" s="250"/>
      <c r="B162" s="236"/>
      <c r="C162" s="237"/>
      <c r="D162" s="237"/>
      <c r="E162" s="237"/>
      <c r="G162" s="237"/>
      <c r="I162" s="237"/>
      <c r="K162" s="237"/>
      <c r="AC162" s="237"/>
    </row>
    <row r="163" spans="1:29">
      <c r="A163" s="250"/>
      <c r="B163" s="236"/>
      <c r="C163" s="237"/>
      <c r="D163" s="237"/>
      <c r="E163" s="237"/>
      <c r="G163" s="237"/>
      <c r="I163" s="237"/>
      <c r="K163" s="237"/>
      <c r="AC163" s="237"/>
    </row>
    <row r="164" spans="1:29">
      <c r="A164" s="250"/>
      <c r="B164" s="236"/>
      <c r="C164" s="237"/>
      <c r="D164" s="237"/>
      <c r="E164" s="237"/>
      <c r="G164" s="237"/>
      <c r="I164" s="237"/>
      <c r="K164" s="237"/>
      <c r="AC164" s="237"/>
    </row>
    <row r="165" spans="1:29">
      <c r="A165" s="250"/>
      <c r="B165" s="236"/>
      <c r="C165" s="237"/>
      <c r="D165" s="237"/>
      <c r="E165" s="237"/>
      <c r="G165" s="237"/>
      <c r="I165" s="237"/>
      <c r="K165" s="237"/>
      <c r="AC165" s="237"/>
    </row>
    <row r="166" spans="1:29">
      <c r="A166" s="250"/>
      <c r="B166" s="236"/>
      <c r="C166" s="237"/>
      <c r="D166" s="237"/>
      <c r="E166" s="237"/>
      <c r="G166" s="237"/>
      <c r="I166" s="237"/>
      <c r="K166" s="237"/>
      <c r="AC166" s="237"/>
    </row>
    <row r="167" spans="1:29">
      <c r="A167" s="250"/>
      <c r="B167" s="236"/>
      <c r="C167" s="237"/>
      <c r="D167" s="237"/>
      <c r="E167" s="237"/>
      <c r="G167" s="237"/>
      <c r="I167" s="237"/>
      <c r="K167" s="237"/>
      <c r="AC167" s="237"/>
    </row>
    <row r="168" spans="1:29">
      <c r="A168" s="250"/>
      <c r="B168" s="236"/>
      <c r="C168" s="237"/>
      <c r="D168" s="237"/>
      <c r="E168" s="237"/>
      <c r="G168" s="237"/>
      <c r="I168" s="237"/>
      <c r="K168" s="237"/>
      <c r="AC168" s="237"/>
    </row>
    <row r="169" spans="1:29">
      <c r="A169" s="250"/>
      <c r="B169" s="236"/>
      <c r="C169" s="237"/>
      <c r="D169" s="237"/>
      <c r="E169" s="237"/>
      <c r="G169" s="237"/>
      <c r="I169" s="237"/>
      <c r="K169" s="237"/>
      <c r="AC169" s="237"/>
    </row>
    <row r="170" spans="1:29">
      <c r="A170" s="250"/>
      <c r="B170" s="236"/>
      <c r="C170" s="237"/>
      <c r="D170" s="237"/>
      <c r="E170" s="237"/>
      <c r="G170" s="237"/>
      <c r="I170" s="237"/>
      <c r="K170" s="237"/>
      <c r="AC170" s="237"/>
    </row>
    <row r="171" spans="1:29">
      <c r="A171" s="250"/>
      <c r="B171" s="236"/>
      <c r="C171" s="237"/>
      <c r="D171" s="237"/>
      <c r="E171" s="237"/>
      <c r="G171" s="237"/>
      <c r="I171" s="237"/>
      <c r="K171" s="237"/>
      <c r="AC171" s="237"/>
    </row>
    <row r="172" spans="1:29">
      <c r="A172" s="250"/>
      <c r="B172" s="236"/>
      <c r="C172" s="237"/>
      <c r="D172" s="237"/>
      <c r="E172" s="237"/>
      <c r="G172" s="237"/>
      <c r="I172" s="237"/>
      <c r="K172" s="237"/>
      <c r="AC172" s="237"/>
    </row>
    <row r="173" spans="1:29">
      <c r="A173" s="250"/>
      <c r="B173" s="236"/>
      <c r="C173" s="237"/>
      <c r="D173" s="237"/>
      <c r="E173" s="237"/>
      <c r="G173" s="237"/>
      <c r="I173" s="237"/>
      <c r="K173" s="237"/>
      <c r="AC173" s="237"/>
    </row>
    <row r="174" spans="1:29">
      <c r="A174" s="250"/>
      <c r="B174" s="236"/>
      <c r="C174" s="237"/>
      <c r="D174" s="237"/>
      <c r="E174" s="237"/>
      <c r="G174" s="237"/>
      <c r="I174" s="237"/>
      <c r="K174" s="237"/>
      <c r="AC174" s="237"/>
    </row>
    <row r="175" spans="1:29">
      <c r="A175" s="250"/>
      <c r="B175" s="236"/>
      <c r="C175" s="237"/>
      <c r="D175" s="237"/>
      <c r="E175" s="237"/>
      <c r="G175" s="237"/>
      <c r="I175" s="237"/>
      <c r="K175" s="237"/>
      <c r="AC175" s="237"/>
    </row>
    <row r="176" spans="1:29">
      <c r="A176" s="250"/>
      <c r="B176" s="236"/>
      <c r="C176" s="237"/>
      <c r="D176" s="237"/>
      <c r="E176" s="237"/>
      <c r="G176" s="237"/>
      <c r="I176" s="237"/>
      <c r="K176" s="237"/>
      <c r="AC176" s="237"/>
    </row>
    <row r="177" spans="1:29">
      <c r="A177" s="250"/>
      <c r="B177" s="236"/>
      <c r="C177" s="237"/>
      <c r="D177" s="237"/>
      <c r="E177" s="237"/>
      <c r="G177" s="237"/>
      <c r="I177" s="237"/>
      <c r="K177" s="237"/>
      <c r="AC177" s="237"/>
    </row>
    <row r="178" spans="1:29">
      <c r="A178" s="250"/>
      <c r="B178" s="236"/>
      <c r="C178" s="237"/>
      <c r="D178" s="237"/>
      <c r="E178" s="237"/>
      <c r="G178" s="237"/>
      <c r="I178" s="237"/>
      <c r="K178" s="237"/>
      <c r="AC178" s="237"/>
    </row>
    <row r="179" spans="1:29">
      <c r="A179" s="250"/>
      <c r="B179" s="236"/>
      <c r="C179" s="237"/>
      <c r="D179" s="237"/>
      <c r="E179" s="237"/>
      <c r="G179" s="237"/>
      <c r="I179" s="237"/>
      <c r="K179" s="237"/>
      <c r="AC179" s="237"/>
    </row>
    <row r="180" spans="1:29">
      <c r="A180" s="250"/>
      <c r="B180" s="236"/>
      <c r="C180" s="237"/>
      <c r="D180" s="237"/>
      <c r="E180" s="237"/>
      <c r="G180" s="237"/>
      <c r="I180" s="237"/>
      <c r="K180" s="237"/>
      <c r="AC180" s="237"/>
    </row>
    <row r="181" spans="1:29">
      <c r="A181" s="250"/>
      <c r="B181" s="236"/>
      <c r="C181" s="237"/>
      <c r="D181" s="237"/>
      <c r="E181" s="237"/>
      <c r="G181" s="237"/>
      <c r="I181" s="237"/>
      <c r="K181" s="237"/>
      <c r="AC181" s="237"/>
    </row>
    <row r="182" spans="1:29">
      <c r="A182" s="250"/>
      <c r="B182" s="236"/>
      <c r="C182" s="237"/>
      <c r="D182" s="237"/>
      <c r="E182" s="237"/>
      <c r="G182" s="237"/>
      <c r="I182" s="237"/>
      <c r="K182" s="237"/>
      <c r="AC182" s="237"/>
    </row>
    <row r="183" spans="1:29">
      <c r="A183" s="250"/>
      <c r="B183" s="236"/>
      <c r="C183" s="237"/>
      <c r="D183" s="237"/>
      <c r="E183" s="237"/>
      <c r="G183" s="237"/>
      <c r="I183" s="237"/>
      <c r="K183" s="237"/>
      <c r="AC183" s="237"/>
    </row>
    <row r="184" spans="1:29">
      <c r="A184" s="250"/>
      <c r="B184" s="236"/>
      <c r="C184" s="237"/>
      <c r="D184" s="237"/>
      <c r="E184" s="237"/>
      <c r="G184" s="237"/>
      <c r="I184" s="237"/>
      <c r="K184" s="237"/>
      <c r="AC184" s="237"/>
    </row>
    <row r="185" spans="1:29">
      <c r="A185" s="250"/>
      <c r="B185" s="236"/>
      <c r="C185" s="237"/>
      <c r="D185" s="237"/>
      <c r="E185" s="237"/>
      <c r="G185" s="237"/>
      <c r="I185" s="237"/>
      <c r="K185" s="237"/>
      <c r="AC185" s="237"/>
    </row>
    <row r="186" spans="1:29">
      <c r="A186" s="250"/>
      <c r="B186" s="236"/>
      <c r="C186" s="237"/>
      <c r="D186" s="237"/>
      <c r="E186" s="237"/>
      <c r="G186" s="237"/>
      <c r="I186" s="237"/>
      <c r="K186" s="237"/>
      <c r="AC186" s="237"/>
    </row>
    <row r="187" spans="1:29">
      <c r="A187" s="250"/>
      <c r="B187" s="236"/>
      <c r="C187" s="237"/>
      <c r="D187" s="237"/>
      <c r="E187" s="237"/>
      <c r="G187" s="237"/>
      <c r="I187" s="237"/>
      <c r="K187" s="237"/>
      <c r="AC187" s="237"/>
    </row>
    <row r="188" spans="1:29">
      <c r="A188" s="250"/>
      <c r="B188" s="236"/>
      <c r="C188" s="237"/>
      <c r="D188" s="237"/>
      <c r="E188" s="237"/>
      <c r="G188" s="237"/>
      <c r="I188" s="237"/>
      <c r="K188" s="237"/>
      <c r="AC188" s="237"/>
    </row>
    <row r="189" spans="1:29">
      <c r="A189" s="250"/>
      <c r="B189" s="236"/>
      <c r="C189" s="237"/>
      <c r="D189" s="237"/>
      <c r="E189" s="237"/>
      <c r="G189" s="237"/>
      <c r="I189" s="237"/>
      <c r="K189" s="237"/>
      <c r="AC189" s="237"/>
    </row>
    <row r="190" spans="1:29">
      <c r="A190" s="250"/>
      <c r="B190" s="236"/>
      <c r="C190" s="237"/>
      <c r="D190" s="237"/>
      <c r="E190" s="237"/>
      <c r="G190" s="237"/>
      <c r="I190" s="237"/>
      <c r="K190" s="237"/>
      <c r="AC190" s="237"/>
    </row>
    <row r="191" spans="1:29">
      <c r="A191" s="250"/>
      <c r="B191" s="236"/>
      <c r="C191" s="237"/>
      <c r="D191" s="237"/>
      <c r="E191" s="237"/>
      <c r="G191" s="237"/>
      <c r="I191" s="237"/>
      <c r="K191" s="237"/>
      <c r="AC191" s="237"/>
    </row>
    <row r="192" spans="1:29">
      <c r="A192" s="250"/>
      <c r="B192" s="236"/>
      <c r="C192" s="237"/>
      <c r="D192" s="237"/>
      <c r="E192" s="237"/>
      <c r="G192" s="237"/>
      <c r="I192" s="237"/>
      <c r="K192" s="237"/>
      <c r="AC192" s="237"/>
    </row>
    <row r="193" spans="1:29">
      <c r="A193" s="250"/>
      <c r="B193" s="236"/>
      <c r="C193" s="237"/>
      <c r="D193" s="237"/>
      <c r="E193" s="237"/>
      <c r="G193" s="237"/>
      <c r="I193" s="237"/>
      <c r="K193" s="237"/>
      <c r="AC193" s="237"/>
    </row>
    <row r="194" spans="1:29">
      <c r="A194" s="250"/>
      <c r="B194" s="236"/>
      <c r="C194" s="237"/>
      <c r="D194" s="237"/>
      <c r="E194" s="237"/>
      <c r="G194" s="237"/>
      <c r="I194" s="237"/>
      <c r="K194" s="237"/>
      <c r="AC194" s="237"/>
    </row>
    <row r="195" spans="1:29">
      <c r="A195" s="250"/>
      <c r="B195" s="236"/>
      <c r="C195" s="237"/>
      <c r="D195" s="237"/>
      <c r="E195" s="237"/>
      <c r="G195" s="237"/>
      <c r="I195" s="237"/>
      <c r="K195" s="237"/>
      <c r="AC195" s="237"/>
    </row>
    <row r="196" spans="1:29">
      <c r="A196" s="250"/>
      <c r="B196" s="236"/>
      <c r="C196" s="237"/>
      <c r="D196" s="237"/>
      <c r="E196" s="237"/>
      <c r="G196" s="237"/>
      <c r="I196" s="237"/>
      <c r="K196" s="237"/>
      <c r="AC196" s="237"/>
    </row>
    <row r="197" spans="1:29">
      <c r="A197" s="250"/>
      <c r="B197" s="236"/>
      <c r="C197" s="237"/>
      <c r="D197" s="237"/>
      <c r="E197" s="237"/>
      <c r="G197" s="237"/>
      <c r="I197" s="237"/>
      <c r="K197" s="237"/>
      <c r="AC197" s="237"/>
    </row>
    <row r="198" spans="1:29">
      <c r="A198" s="250"/>
      <c r="B198" s="236"/>
      <c r="C198" s="237"/>
      <c r="D198" s="237"/>
      <c r="E198" s="237"/>
      <c r="G198" s="237"/>
      <c r="I198" s="237"/>
      <c r="K198" s="237"/>
      <c r="AC198" s="237"/>
    </row>
    <row r="199" spans="1:29">
      <c r="A199" s="250"/>
      <c r="B199" s="236"/>
      <c r="C199" s="237"/>
      <c r="D199" s="237"/>
      <c r="E199" s="237"/>
      <c r="G199" s="237"/>
      <c r="I199" s="237"/>
      <c r="K199" s="237"/>
      <c r="AC199" s="237"/>
    </row>
    <row r="200" spans="1:29">
      <c r="A200" s="250"/>
      <c r="B200" s="236"/>
      <c r="C200" s="237"/>
      <c r="D200" s="237"/>
      <c r="E200" s="237"/>
      <c r="G200" s="237"/>
      <c r="I200" s="237"/>
      <c r="K200" s="237"/>
      <c r="AC200" s="237"/>
    </row>
    <row r="201" spans="1:29">
      <c r="A201" s="250"/>
      <c r="B201" s="236"/>
      <c r="C201" s="237"/>
      <c r="D201" s="237"/>
      <c r="E201" s="237"/>
      <c r="G201" s="237"/>
      <c r="I201" s="237"/>
      <c r="K201" s="237"/>
      <c r="AC201" s="237"/>
    </row>
    <row r="202" spans="1:29">
      <c r="A202" s="250"/>
      <c r="B202" s="236"/>
      <c r="C202" s="237"/>
      <c r="D202" s="237"/>
      <c r="E202" s="237"/>
      <c r="G202" s="237"/>
      <c r="I202" s="237"/>
      <c r="K202" s="237"/>
      <c r="AC202" s="237"/>
    </row>
    <row r="203" spans="1:29">
      <c r="A203" s="250"/>
      <c r="B203" s="236"/>
      <c r="C203" s="237"/>
      <c r="D203" s="237"/>
      <c r="E203" s="237"/>
      <c r="G203" s="237"/>
      <c r="I203" s="237"/>
      <c r="K203" s="237"/>
      <c r="AC203" s="237"/>
    </row>
    <row r="204" spans="1:29">
      <c r="A204" s="250"/>
      <c r="B204" s="236"/>
      <c r="C204" s="237"/>
      <c r="D204" s="237"/>
      <c r="E204" s="237"/>
      <c r="G204" s="237"/>
      <c r="I204" s="237"/>
      <c r="K204" s="237"/>
      <c r="AC204" s="237"/>
    </row>
    <row r="205" spans="1:29">
      <c r="A205" s="250"/>
      <c r="B205" s="236"/>
      <c r="C205" s="237"/>
      <c r="D205" s="237"/>
      <c r="E205" s="237"/>
      <c r="G205" s="237"/>
      <c r="I205" s="237"/>
      <c r="K205" s="237"/>
      <c r="AC205" s="237"/>
    </row>
    <row r="206" spans="1:29">
      <c r="A206" s="250"/>
      <c r="B206" s="236"/>
      <c r="C206" s="237"/>
      <c r="D206" s="237"/>
      <c r="E206" s="237"/>
      <c r="G206" s="237"/>
      <c r="I206" s="237"/>
      <c r="K206" s="237"/>
      <c r="AC206" s="237"/>
    </row>
    <row r="207" spans="1:29">
      <c r="A207" s="250"/>
      <c r="B207" s="236"/>
      <c r="C207" s="237"/>
      <c r="D207" s="237"/>
      <c r="E207" s="237"/>
      <c r="G207" s="237"/>
      <c r="I207" s="237"/>
      <c r="K207" s="237"/>
      <c r="AC207" s="237"/>
    </row>
    <row r="208" spans="1:29">
      <c r="A208" s="250"/>
      <c r="B208" s="236"/>
      <c r="C208" s="237"/>
      <c r="D208" s="237"/>
      <c r="E208" s="237"/>
      <c r="G208" s="237"/>
      <c r="I208" s="237"/>
      <c r="K208" s="237"/>
      <c r="AC208" s="237"/>
    </row>
    <row r="209" spans="1:29">
      <c r="A209" s="250"/>
      <c r="B209" s="236"/>
      <c r="C209" s="237"/>
      <c r="D209" s="237"/>
      <c r="E209" s="237"/>
      <c r="G209" s="237"/>
      <c r="I209" s="237"/>
      <c r="K209" s="237"/>
      <c r="AC209" s="237"/>
    </row>
    <row r="210" spans="1:29">
      <c r="A210" s="250"/>
      <c r="B210" s="236"/>
      <c r="C210" s="237"/>
      <c r="D210" s="237"/>
      <c r="E210" s="237"/>
      <c r="G210" s="237"/>
      <c r="I210" s="237"/>
      <c r="K210" s="237"/>
      <c r="AC210" s="237"/>
    </row>
    <row r="211" spans="1:29">
      <c r="A211" s="250"/>
      <c r="B211" s="236"/>
      <c r="C211" s="237"/>
      <c r="D211" s="237"/>
      <c r="E211" s="237"/>
      <c r="G211" s="237"/>
      <c r="I211" s="237"/>
      <c r="K211" s="237"/>
      <c r="AC211" s="237"/>
    </row>
    <row r="212" spans="1:29">
      <c r="A212" s="250"/>
      <c r="B212" s="236"/>
      <c r="C212" s="237"/>
      <c r="D212" s="237"/>
      <c r="E212" s="237"/>
      <c r="G212" s="237"/>
      <c r="I212" s="237"/>
      <c r="K212" s="237"/>
      <c r="AC212" s="237"/>
    </row>
    <row r="213" spans="1:29">
      <c r="A213" s="250"/>
      <c r="B213" s="236"/>
      <c r="C213" s="237"/>
      <c r="D213" s="237"/>
      <c r="E213" s="237"/>
      <c r="G213" s="237"/>
      <c r="I213" s="237"/>
      <c r="K213" s="237"/>
      <c r="AC213" s="237"/>
    </row>
    <row r="214" spans="1:29">
      <c r="A214" s="250"/>
      <c r="B214" s="236"/>
      <c r="C214" s="237"/>
      <c r="D214" s="237"/>
      <c r="E214" s="237"/>
      <c r="G214" s="237"/>
      <c r="I214" s="237"/>
      <c r="K214" s="237"/>
      <c r="AC214" s="237"/>
    </row>
    <row r="215" spans="1:29">
      <c r="A215" s="250"/>
      <c r="B215" s="236"/>
      <c r="C215" s="237"/>
      <c r="D215" s="237"/>
      <c r="E215" s="237"/>
      <c r="G215" s="237"/>
      <c r="I215" s="237"/>
      <c r="K215" s="237"/>
      <c r="AC215" s="237"/>
    </row>
    <row r="216" spans="1:29">
      <c r="A216" s="250"/>
      <c r="B216" s="236"/>
      <c r="C216" s="237"/>
      <c r="D216" s="237"/>
      <c r="E216" s="237"/>
      <c r="G216" s="237"/>
      <c r="I216" s="237"/>
      <c r="K216" s="237"/>
      <c r="AC216" s="237"/>
    </row>
    <row r="217" spans="1:29">
      <c r="A217" s="250"/>
      <c r="B217" s="236"/>
      <c r="C217" s="237"/>
      <c r="D217" s="237"/>
      <c r="E217" s="237"/>
      <c r="G217" s="237"/>
      <c r="I217" s="237"/>
      <c r="K217" s="237"/>
      <c r="AC217" s="237"/>
    </row>
    <row r="218" spans="1:29">
      <c r="A218" s="250"/>
      <c r="B218" s="236"/>
      <c r="C218" s="237"/>
      <c r="D218" s="237"/>
      <c r="E218" s="237"/>
      <c r="G218" s="237"/>
      <c r="I218" s="237"/>
      <c r="K218" s="237"/>
      <c r="AC218" s="237"/>
    </row>
    <row r="219" spans="1:29">
      <c r="A219" s="250"/>
      <c r="B219" s="236"/>
      <c r="C219" s="237"/>
      <c r="D219" s="237"/>
      <c r="E219" s="237"/>
      <c r="G219" s="237"/>
      <c r="I219" s="237"/>
      <c r="K219" s="237"/>
      <c r="AC219" s="237"/>
    </row>
    <row r="220" spans="1:29">
      <c r="A220" s="250"/>
      <c r="B220" s="236"/>
      <c r="C220" s="237"/>
      <c r="D220" s="237"/>
      <c r="E220" s="237"/>
      <c r="G220" s="237"/>
      <c r="I220" s="237"/>
      <c r="K220" s="237"/>
      <c r="AC220" s="237"/>
    </row>
    <row r="221" spans="1:29">
      <c r="A221" s="250"/>
      <c r="B221" s="236"/>
      <c r="C221" s="237"/>
      <c r="D221" s="237"/>
      <c r="E221" s="237"/>
      <c r="G221" s="237"/>
      <c r="I221" s="237"/>
      <c r="K221" s="237"/>
      <c r="AC221" s="237"/>
    </row>
    <row r="222" spans="1:29">
      <c r="A222" s="250"/>
      <c r="B222" s="236"/>
      <c r="C222" s="237"/>
      <c r="D222" s="237"/>
      <c r="E222" s="237"/>
      <c r="G222" s="237"/>
      <c r="I222" s="237"/>
      <c r="K222" s="237"/>
      <c r="AC222" s="237"/>
    </row>
    <row r="223" spans="1:29">
      <c r="A223" s="250"/>
      <c r="B223" s="236"/>
      <c r="C223" s="237"/>
      <c r="D223" s="237"/>
      <c r="E223" s="237"/>
      <c r="G223" s="237"/>
      <c r="I223" s="237"/>
      <c r="K223" s="237"/>
      <c r="AC223" s="237"/>
    </row>
    <row r="224" spans="1:29">
      <c r="A224" s="250"/>
      <c r="B224" s="236"/>
      <c r="C224" s="237"/>
      <c r="D224" s="237"/>
      <c r="E224" s="237"/>
      <c r="G224" s="237"/>
      <c r="I224" s="237"/>
      <c r="K224" s="237"/>
      <c r="AC224" s="237"/>
    </row>
    <row r="225" spans="1:29">
      <c r="A225" s="250"/>
      <c r="B225" s="236"/>
      <c r="C225" s="237"/>
      <c r="D225" s="237"/>
      <c r="E225" s="237"/>
      <c r="G225" s="237"/>
      <c r="I225" s="237"/>
      <c r="K225" s="237"/>
      <c r="AC225" s="237"/>
    </row>
    <row r="226" spans="1:29">
      <c r="A226" s="250"/>
      <c r="B226" s="236"/>
      <c r="C226" s="237"/>
      <c r="D226" s="237"/>
      <c r="E226" s="237"/>
      <c r="G226" s="237"/>
      <c r="I226" s="237"/>
      <c r="K226" s="237"/>
      <c r="AC226" s="237"/>
    </row>
    <row r="227" spans="1:29">
      <c r="A227" s="250"/>
      <c r="B227" s="236"/>
      <c r="C227" s="237"/>
      <c r="D227" s="237"/>
      <c r="E227" s="237"/>
      <c r="G227" s="237"/>
      <c r="I227" s="237"/>
      <c r="K227" s="237"/>
      <c r="AC227" s="237"/>
    </row>
    <row r="228" spans="1:29">
      <c r="A228" s="250"/>
      <c r="B228" s="236"/>
      <c r="C228" s="237"/>
      <c r="D228" s="237"/>
      <c r="E228" s="237"/>
      <c r="G228" s="237"/>
      <c r="I228" s="237"/>
      <c r="K228" s="237"/>
      <c r="AC228" s="237"/>
    </row>
    <row r="229" spans="1:29">
      <c r="A229" s="250"/>
      <c r="B229" s="236"/>
      <c r="C229" s="237"/>
      <c r="D229" s="237"/>
      <c r="E229" s="237"/>
      <c r="G229" s="237"/>
      <c r="I229" s="237"/>
      <c r="K229" s="237"/>
      <c r="AC229" s="237"/>
    </row>
    <row r="230" spans="1:29">
      <c r="A230" s="250"/>
      <c r="B230" s="236"/>
      <c r="C230" s="237"/>
      <c r="D230" s="237"/>
      <c r="E230" s="237"/>
      <c r="G230" s="237"/>
      <c r="I230" s="237"/>
      <c r="K230" s="237"/>
      <c r="AC230" s="237"/>
    </row>
    <row r="231" spans="1:29">
      <c r="A231" s="250"/>
      <c r="B231" s="236"/>
      <c r="C231" s="237"/>
      <c r="D231" s="237"/>
      <c r="E231" s="237"/>
      <c r="G231" s="237"/>
      <c r="I231" s="237"/>
      <c r="K231" s="237"/>
      <c r="AC231" s="237"/>
    </row>
    <row r="232" spans="1:29">
      <c r="A232" s="250"/>
      <c r="B232" s="236"/>
      <c r="C232" s="237"/>
      <c r="D232" s="237"/>
      <c r="E232" s="237"/>
      <c r="G232" s="237"/>
      <c r="I232" s="237"/>
      <c r="K232" s="237"/>
      <c r="AC232" s="237"/>
    </row>
    <row r="233" spans="1:29">
      <c r="A233" s="250"/>
      <c r="B233" s="236"/>
      <c r="C233" s="237"/>
      <c r="D233" s="237"/>
      <c r="E233" s="237"/>
      <c r="G233" s="237"/>
      <c r="I233" s="237"/>
      <c r="K233" s="237"/>
      <c r="AC233" s="237"/>
    </row>
    <row r="234" spans="1:29">
      <c r="A234" s="250"/>
      <c r="B234" s="236"/>
      <c r="C234" s="237"/>
      <c r="D234" s="237"/>
      <c r="E234" s="237"/>
      <c r="G234" s="237"/>
      <c r="I234" s="237"/>
      <c r="K234" s="237"/>
      <c r="AC234" s="237"/>
    </row>
    <row r="235" spans="1:29">
      <c r="A235" s="250"/>
      <c r="B235" s="236"/>
      <c r="C235" s="237"/>
      <c r="D235" s="237"/>
      <c r="E235" s="237"/>
      <c r="G235" s="237"/>
      <c r="I235" s="237"/>
      <c r="K235" s="237"/>
      <c r="AC235" s="237"/>
    </row>
    <row r="236" spans="1:29">
      <c r="A236" s="250"/>
      <c r="B236" s="236"/>
      <c r="C236" s="237"/>
      <c r="D236" s="237"/>
      <c r="E236" s="237"/>
      <c r="G236" s="237"/>
      <c r="I236" s="237"/>
      <c r="K236" s="237"/>
      <c r="AC236" s="237"/>
    </row>
    <row r="237" spans="1:29">
      <c r="A237" s="250"/>
      <c r="B237" s="236"/>
      <c r="C237" s="237"/>
      <c r="D237" s="237"/>
      <c r="E237" s="237"/>
      <c r="G237" s="237"/>
      <c r="I237" s="237"/>
      <c r="K237" s="237"/>
      <c r="AC237" s="237"/>
    </row>
    <row r="238" spans="1:29">
      <c r="A238" s="250"/>
      <c r="B238" s="236"/>
      <c r="C238" s="237"/>
      <c r="D238" s="237"/>
      <c r="E238" s="237"/>
      <c r="G238" s="237"/>
      <c r="I238" s="237"/>
      <c r="K238" s="237"/>
      <c r="AC238" s="237"/>
    </row>
    <row r="239" spans="1:29">
      <c r="A239" s="250"/>
      <c r="B239" s="236"/>
      <c r="C239" s="237"/>
      <c r="D239" s="237"/>
      <c r="E239" s="237"/>
      <c r="G239" s="237"/>
      <c r="I239" s="237"/>
      <c r="K239" s="237"/>
      <c r="AC239" s="237"/>
    </row>
    <row r="240" spans="1:29">
      <c r="A240" s="250"/>
      <c r="B240" s="236"/>
      <c r="C240" s="237"/>
      <c r="D240" s="237"/>
      <c r="E240" s="237"/>
      <c r="G240" s="237"/>
      <c r="I240" s="237"/>
      <c r="K240" s="237"/>
      <c r="AC240" s="237"/>
    </row>
    <row r="241" spans="1:29">
      <c r="A241" s="250"/>
      <c r="B241" s="236"/>
      <c r="C241" s="237"/>
      <c r="D241" s="237"/>
      <c r="E241" s="237"/>
      <c r="G241" s="237"/>
      <c r="I241" s="237"/>
      <c r="K241" s="237"/>
      <c r="AC241" s="237"/>
    </row>
    <row r="242" spans="1:29">
      <c r="A242" s="250"/>
      <c r="B242" s="236"/>
      <c r="C242" s="237"/>
      <c r="D242" s="237"/>
      <c r="E242" s="237"/>
      <c r="G242" s="237"/>
      <c r="I242" s="237"/>
      <c r="K242" s="237"/>
      <c r="AC242" s="237"/>
    </row>
    <row r="243" spans="1:29">
      <c r="A243" s="250"/>
      <c r="B243" s="236"/>
      <c r="C243" s="237"/>
      <c r="D243" s="237"/>
      <c r="E243" s="237"/>
      <c r="G243" s="237"/>
      <c r="I243" s="237"/>
      <c r="K243" s="237"/>
      <c r="AC243" s="237"/>
    </row>
    <row r="244" spans="1:29">
      <c r="A244" s="250"/>
      <c r="B244" s="236"/>
      <c r="C244" s="237"/>
      <c r="D244" s="237"/>
      <c r="E244" s="237"/>
      <c r="G244" s="237"/>
      <c r="I244" s="237"/>
      <c r="K244" s="237"/>
      <c r="AC244" s="237"/>
    </row>
    <row r="245" spans="1:29">
      <c r="A245" s="250"/>
      <c r="B245" s="236"/>
      <c r="C245" s="237"/>
      <c r="D245" s="237"/>
      <c r="E245" s="237"/>
      <c r="G245" s="237"/>
      <c r="I245" s="237"/>
      <c r="K245" s="237"/>
      <c r="AC245" s="237"/>
    </row>
    <row r="246" spans="1:29">
      <c r="A246" s="250"/>
      <c r="B246" s="236"/>
      <c r="C246" s="237"/>
      <c r="D246" s="237"/>
      <c r="E246" s="237"/>
      <c r="G246" s="237"/>
      <c r="I246" s="237"/>
      <c r="K246" s="237"/>
      <c r="AC246" s="237"/>
    </row>
    <row r="247" spans="1:29">
      <c r="A247" s="250"/>
      <c r="B247" s="236"/>
      <c r="C247" s="237"/>
      <c r="D247" s="237"/>
      <c r="E247" s="237"/>
      <c r="G247" s="237"/>
      <c r="I247" s="237"/>
      <c r="K247" s="237"/>
      <c r="AC247" s="237"/>
    </row>
    <row r="248" spans="1:29">
      <c r="A248" s="250"/>
      <c r="B248" s="236"/>
      <c r="C248" s="237"/>
      <c r="D248" s="237"/>
      <c r="E248" s="237"/>
      <c r="G248" s="237"/>
      <c r="I248" s="237"/>
      <c r="K248" s="237"/>
      <c r="AC248" s="237"/>
    </row>
    <row r="249" spans="1:29">
      <c r="A249" s="250"/>
      <c r="B249" s="236"/>
      <c r="C249" s="237"/>
      <c r="D249" s="237"/>
      <c r="E249" s="237"/>
      <c r="G249" s="237"/>
      <c r="I249" s="237"/>
      <c r="K249" s="237"/>
      <c r="AC249" s="237"/>
    </row>
    <row r="250" spans="1:29">
      <c r="A250" s="250"/>
      <c r="B250" s="236"/>
      <c r="C250" s="237"/>
      <c r="D250" s="237"/>
      <c r="E250" s="237"/>
      <c r="G250" s="237"/>
      <c r="I250" s="237"/>
      <c r="K250" s="237"/>
      <c r="AC250" s="237"/>
    </row>
    <row r="251" spans="1:29">
      <c r="A251" s="250"/>
      <c r="B251" s="236"/>
      <c r="C251" s="237"/>
      <c r="D251" s="237"/>
      <c r="E251" s="237"/>
      <c r="G251" s="237"/>
      <c r="I251" s="237"/>
      <c r="K251" s="237"/>
      <c r="AC251" s="237"/>
    </row>
    <row r="252" spans="1:29">
      <c r="A252" s="250"/>
      <c r="B252" s="236"/>
      <c r="C252" s="237"/>
      <c r="D252" s="237"/>
      <c r="E252" s="237"/>
      <c r="G252" s="237"/>
      <c r="I252" s="237"/>
      <c r="K252" s="237"/>
      <c r="AC252" s="237"/>
    </row>
    <row r="253" spans="1:29">
      <c r="A253" s="250"/>
      <c r="B253" s="236"/>
      <c r="C253" s="237"/>
      <c r="D253" s="237"/>
      <c r="E253" s="237"/>
      <c r="G253" s="237"/>
      <c r="I253" s="237"/>
      <c r="K253" s="237"/>
      <c r="AC253" s="237"/>
    </row>
    <row r="254" spans="1:29">
      <c r="A254" s="250"/>
      <c r="B254" s="236"/>
      <c r="C254" s="237"/>
      <c r="D254" s="237"/>
      <c r="E254" s="237"/>
      <c r="G254" s="237"/>
      <c r="I254" s="237"/>
      <c r="K254" s="237"/>
      <c r="AC254" s="237"/>
    </row>
    <row r="255" spans="1:29">
      <c r="A255" s="250"/>
      <c r="B255" s="236"/>
      <c r="C255" s="237"/>
      <c r="D255" s="237"/>
      <c r="E255" s="237"/>
      <c r="G255" s="237"/>
      <c r="I255" s="237"/>
      <c r="K255" s="237"/>
      <c r="AC255" s="237"/>
    </row>
    <row r="256" spans="1:29">
      <c r="A256" s="250"/>
      <c r="B256" s="236"/>
      <c r="C256" s="237"/>
      <c r="D256" s="237"/>
      <c r="E256" s="237"/>
      <c r="G256" s="237"/>
      <c r="I256" s="237"/>
      <c r="K256" s="237"/>
      <c r="AC256" s="237"/>
    </row>
    <row r="257" spans="1:29">
      <c r="A257" s="250"/>
      <c r="B257" s="236"/>
      <c r="C257" s="237"/>
      <c r="D257" s="237"/>
      <c r="E257" s="237"/>
      <c r="G257" s="237"/>
      <c r="I257" s="237"/>
      <c r="K257" s="237"/>
      <c r="AC257" s="237"/>
    </row>
    <row r="258" spans="1:29">
      <c r="A258" s="250"/>
      <c r="B258" s="236"/>
      <c r="C258" s="237"/>
      <c r="D258" s="237"/>
      <c r="E258" s="237"/>
      <c r="G258" s="237"/>
      <c r="I258" s="237"/>
      <c r="K258" s="237"/>
      <c r="AC258" s="237"/>
    </row>
    <row r="259" spans="1:29">
      <c r="A259" s="250"/>
      <c r="B259" s="236"/>
      <c r="C259" s="237"/>
      <c r="D259" s="237"/>
      <c r="E259" s="237"/>
      <c r="G259" s="237"/>
      <c r="I259" s="237"/>
      <c r="K259" s="237"/>
      <c r="AC259" s="237"/>
    </row>
    <row r="260" spans="1:29">
      <c r="A260" s="250"/>
      <c r="B260" s="236"/>
      <c r="C260" s="237"/>
      <c r="D260" s="237"/>
      <c r="E260" s="237"/>
      <c r="G260" s="237"/>
      <c r="I260" s="237"/>
      <c r="K260" s="237"/>
      <c r="AC260" s="237"/>
    </row>
    <row r="261" spans="1:29">
      <c r="A261" s="250"/>
      <c r="B261" s="236"/>
      <c r="C261" s="237"/>
      <c r="D261" s="237"/>
      <c r="E261" s="237"/>
      <c r="G261" s="237"/>
      <c r="I261" s="237"/>
      <c r="K261" s="237"/>
      <c r="AC261" s="237"/>
    </row>
    <row r="262" spans="1:29">
      <c r="A262" s="250"/>
      <c r="B262" s="236"/>
      <c r="C262" s="237"/>
      <c r="D262" s="237"/>
      <c r="E262" s="237"/>
      <c r="G262" s="237"/>
      <c r="I262" s="237"/>
      <c r="K262" s="237"/>
      <c r="AC262" s="237"/>
    </row>
    <row r="263" spans="1:29">
      <c r="A263" s="250"/>
      <c r="B263" s="236"/>
      <c r="C263" s="237"/>
      <c r="D263" s="237"/>
      <c r="E263" s="237"/>
      <c r="G263" s="237"/>
      <c r="I263" s="237"/>
      <c r="K263" s="237"/>
      <c r="AC263" s="237"/>
    </row>
    <row r="264" spans="1:29">
      <c r="A264" s="250"/>
      <c r="B264" s="236"/>
      <c r="C264" s="237"/>
      <c r="D264" s="237"/>
      <c r="E264" s="237"/>
      <c r="G264" s="237"/>
      <c r="I264" s="237"/>
      <c r="K264" s="237"/>
      <c r="AC264" s="237"/>
    </row>
    <row r="265" spans="1:29">
      <c r="A265" s="250"/>
      <c r="B265" s="236"/>
      <c r="C265" s="237"/>
      <c r="D265" s="237"/>
      <c r="E265" s="237"/>
      <c r="G265" s="237"/>
      <c r="I265" s="237"/>
      <c r="K265" s="237"/>
      <c r="AC265" s="237"/>
    </row>
    <row r="266" spans="1:29">
      <c r="A266" s="250"/>
      <c r="B266" s="236"/>
      <c r="C266" s="237"/>
      <c r="D266" s="237"/>
      <c r="E266" s="237"/>
      <c r="G266" s="237"/>
      <c r="I266" s="237"/>
      <c r="K266" s="237"/>
      <c r="AC266" s="237"/>
    </row>
    <row r="267" spans="1:29">
      <c r="A267" s="250"/>
      <c r="B267" s="236"/>
      <c r="C267" s="237"/>
      <c r="D267" s="237"/>
      <c r="E267" s="237"/>
      <c r="G267" s="237"/>
      <c r="I267" s="237"/>
      <c r="K267" s="237"/>
      <c r="AC267" s="237"/>
    </row>
    <row r="268" spans="1:29">
      <c r="A268" s="250"/>
      <c r="B268" s="236"/>
      <c r="C268" s="237"/>
      <c r="D268" s="237"/>
      <c r="E268" s="237"/>
      <c r="G268" s="237"/>
      <c r="I268" s="237"/>
      <c r="K268" s="237"/>
      <c r="AC268" s="237"/>
    </row>
    <row r="269" spans="1:29">
      <c r="A269" s="250"/>
      <c r="B269" s="236"/>
      <c r="C269" s="237"/>
      <c r="D269" s="237"/>
      <c r="E269" s="237"/>
      <c r="G269" s="237"/>
      <c r="I269" s="237"/>
      <c r="K269" s="237"/>
      <c r="AC269" s="237"/>
    </row>
    <row r="270" spans="1:29">
      <c r="A270" s="250"/>
      <c r="B270" s="236"/>
      <c r="C270" s="237"/>
      <c r="D270" s="237"/>
      <c r="E270" s="237"/>
      <c r="G270" s="237"/>
      <c r="I270" s="237"/>
      <c r="K270" s="237"/>
      <c r="AC270" s="237"/>
    </row>
    <row r="271" spans="1:29">
      <c r="A271" s="250"/>
      <c r="B271" s="236"/>
      <c r="C271" s="237"/>
      <c r="D271" s="237"/>
      <c r="E271" s="237"/>
      <c r="G271" s="237"/>
      <c r="I271" s="237"/>
      <c r="K271" s="237"/>
      <c r="AC271" s="237"/>
    </row>
    <row r="272" spans="1:29">
      <c r="A272" s="250"/>
      <c r="B272" s="236"/>
      <c r="C272" s="237"/>
      <c r="D272" s="237"/>
      <c r="E272" s="237"/>
      <c r="G272" s="237"/>
      <c r="I272" s="237"/>
      <c r="K272" s="237"/>
      <c r="AC272" s="237"/>
    </row>
    <row r="273" spans="1:29">
      <c r="A273" s="250"/>
      <c r="B273" s="236"/>
      <c r="C273" s="237"/>
      <c r="D273" s="237"/>
      <c r="E273" s="237"/>
      <c r="G273" s="237"/>
      <c r="I273" s="237"/>
      <c r="K273" s="237"/>
      <c r="AC273" s="237"/>
    </row>
    <row r="274" spans="1:29">
      <c r="A274" s="250"/>
      <c r="B274" s="236"/>
      <c r="C274" s="237"/>
      <c r="D274" s="237"/>
      <c r="E274" s="237"/>
      <c r="G274" s="237"/>
      <c r="I274" s="237"/>
      <c r="K274" s="237"/>
      <c r="AC274" s="237"/>
    </row>
    <row r="275" spans="1:29">
      <c r="A275" s="250"/>
      <c r="B275" s="236"/>
      <c r="C275" s="237"/>
      <c r="D275" s="237"/>
      <c r="E275" s="237"/>
      <c r="G275" s="237"/>
      <c r="I275" s="237"/>
      <c r="K275" s="237"/>
      <c r="AC275" s="237"/>
    </row>
    <row r="276" spans="1:29">
      <c r="A276" s="250"/>
      <c r="B276" s="236"/>
      <c r="C276" s="237"/>
      <c r="D276" s="237"/>
      <c r="E276" s="237"/>
      <c r="G276" s="237"/>
      <c r="I276" s="237"/>
      <c r="K276" s="237"/>
      <c r="AC276" s="237"/>
    </row>
    <row r="277" spans="1:29">
      <c r="A277" s="250"/>
      <c r="B277" s="236"/>
      <c r="C277" s="237"/>
      <c r="D277" s="237"/>
      <c r="E277" s="237"/>
      <c r="G277" s="237"/>
      <c r="I277" s="237"/>
      <c r="K277" s="237"/>
      <c r="AC277" s="237"/>
    </row>
    <row r="278" spans="1:29">
      <c r="A278" s="250"/>
      <c r="B278" s="236"/>
      <c r="C278" s="237"/>
      <c r="D278" s="237"/>
      <c r="E278" s="237"/>
      <c r="G278" s="237"/>
      <c r="I278" s="237"/>
      <c r="K278" s="237"/>
      <c r="AC278" s="237"/>
    </row>
    <row r="279" spans="1:29">
      <c r="A279" s="250"/>
      <c r="B279" s="236"/>
      <c r="C279" s="237"/>
      <c r="D279" s="237"/>
      <c r="E279" s="237"/>
      <c r="G279" s="237"/>
      <c r="I279" s="237"/>
      <c r="K279" s="237"/>
      <c r="AC279" s="237"/>
    </row>
    <row r="280" spans="1:29">
      <c r="A280" s="250"/>
      <c r="B280" s="236"/>
      <c r="C280" s="237"/>
      <c r="D280" s="237"/>
      <c r="E280" s="237"/>
      <c r="G280" s="237"/>
      <c r="I280" s="237"/>
      <c r="K280" s="237"/>
      <c r="AC280" s="237"/>
    </row>
    <row r="281" spans="1:29">
      <c r="A281" s="250"/>
      <c r="B281" s="236"/>
      <c r="C281" s="237"/>
      <c r="D281" s="237"/>
      <c r="E281" s="237"/>
      <c r="G281" s="237"/>
      <c r="I281" s="237"/>
      <c r="K281" s="237"/>
      <c r="AC281" s="237"/>
    </row>
    <row r="282" spans="1:29">
      <c r="A282" s="250"/>
      <c r="B282" s="236"/>
      <c r="C282" s="237"/>
      <c r="D282" s="237"/>
      <c r="E282" s="237"/>
      <c r="G282" s="237"/>
      <c r="I282" s="237"/>
      <c r="K282" s="237"/>
      <c r="AC282" s="237"/>
    </row>
    <row r="283" spans="1:29">
      <c r="A283" s="250"/>
      <c r="B283" s="236"/>
      <c r="C283" s="237"/>
      <c r="D283" s="237"/>
      <c r="E283" s="237"/>
      <c r="G283" s="237"/>
      <c r="I283" s="237"/>
      <c r="K283" s="237"/>
      <c r="AC283" s="237"/>
    </row>
    <row r="284" spans="1:29">
      <c r="A284" s="250"/>
      <c r="B284" s="236"/>
      <c r="C284" s="237"/>
      <c r="D284" s="237"/>
      <c r="E284" s="237"/>
      <c r="G284" s="237"/>
      <c r="I284" s="237"/>
      <c r="K284" s="237"/>
      <c r="AC284" s="237"/>
    </row>
    <row r="285" spans="1:29">
      <c r="A285" s="250"/>
      <c r="B285" s="236"/>
      <c r="C285" s="237"/>
      <c r="D285" s="237"/>
      <c r="E285" s="237"/>
      <c r="G285" s="237"/>
      <c r="I285" s="237"/>
      <c r="K285" s="237"/>
      <c r="AC285" s="237"/>
    </row>
    <row r="286" spans="1:29">
      <c r="A286" s="250"/>
      <c r="B286" s="236"/>
      <c r="C286" s="237"/>
      <c r="D286" s="237"/>
      <c r="E286" s="237"/>
      <c r="G286" s="237"/>
      <c r="I286" s="237"/>
      <c r="K286" s="237"/>
      <c r="AC286" s="237"/>
    </row>
    <row r="287" spans="1:29">
      <c r="A287" s="250"/>
      <c r="B287" s="236"/>
      <c r="C287" s="237"/>
      <c r="D287" s="237"/>
      <c r="E287" s="237"/>
      <c r="G287" s="237"/>
      <c r="I287" s="237"/>
      <c r="K287" s="237"/>
      <c r="AC287" s="237"/>
    </row>
    <row r="288" spans="1:29">
      <c r="A288" s="250"/>
      <c r="B288" s="236"/>
      <c r="C288" s="237"/>
      <c r="D288" s="237"/>
      <c r="E288" s="237"/>
      <c r="G288" s="237"/>
      <c r="I288" s="237"/>
      <c r="K288" s="237"/>
      <c r="AC288" s="237"/>
    </row>
    <row r="289" spans="1:29">
      <c r="A289" s="250"/>
      <c r="B289" s="236"/>
      <c r="C289" s="237"/>
      <c r="D289" s="237"/>
      <c r="E289" s="237"/>
      <c r="G289" s="237"/>
      <c r="I289" s="237"/>
      <c r="K289" s="237"/>
      <c r="AC289" s="237"/>
    </row>
    <row r="290" spans="1:29">
      <c r="A290" s="250"/>
      <c r="B290" s="236"/>
      <c r="C290" s="237"/>
      <c r="D290" s="237"/>
      <c r="E290" s="237"/>
      <c r="G290" s="237"/>
      <c r="I290" s="237"/>
      <c r="K290" s="237"/>
      <c r="AC290" s="237"/>
    </row>
    <row r="291" spans="1:29">
      <c r="A291" s="250"/>
      <c r="B291" s="236"/>
      <c r="C291" s="237"/>
      <c r="D291" s="237"/>
      <c r="E291" s="237"/>
      <c r="G291" s="237"/>
      <c r="I291" s="237"/>
      <c r="K291" s="237"/>
      <c r="AC291" s="237"/>
    </row>
    <row r="292" spans="1:29">
      <c r="A292" s="250"/>
      <c r="B292" s="236"/>
      <c r="C292" s="237"/>
      <c r="D292" s="237"/>
      <c r="E292" s="237"/>
      <c r="G292" s="237"/>
      <c r="I292" s="237"/>
      <c r="K292" s="237"/>
      <c r="AC292" s="237"/>
    </row>
    <row r="293" spans="1:29">
      <c r="A293" s="250"/>
      <c r="B293" s="236"/>
      <c r="C293" s="237"/>
      <c r="D293" s="237"/>
      <c r="E293" s="237"/>
      <c r="G293" s="237"/>
      <c r="I293" s="237"/>
      <c r="K293" s="237"/>
      <c r="AC293" s="237"/>
    </row>
    <row r="294" spans="1:29">
      <c r="A294" s="250"/>
      <c r="B294" s="236"/>
      <c r="C294" s="237"/>
      <c r="D294" s="237"/>
      <c r="E294" s="237"/>
      <c r="G294" s="237"/>
      <c r="I294" s="237"/>
      <c r="K294" s="237"/>
      <c r="AC294" s="237"/>
    </row>
    <row r="295" spans="1:29">
      <c r="A295" s="250"/>
      <c r="B295" s="236"/>
      <c r="C295" s="237"/>
      <c r="D295" s="237"/>
      <c r="E295" s="237"/>
      <c r="G295" s="237"/>
      <c r="I295" s="237"/>
      <c r="K295" s="237"/>
      <c r="AC295" s="237"/>
    </row>
    <row r="296" spans="1:29">
      <c r="A296" s="250"/>
      <c r="B296" s="236"/>
      <c r="C296" s="237"/>
      <c r="D296" s="237"/>
      <c r="E296" s="237"/>
      <c r="G296" s="237"/>
      <c r="I296" s="237"/>
      <c r="K296" s="237"/>
      <c r="AC296" s="237"/>
    </row>
    <row r="297" spans="1:29">
      <c r="A297" s="250"/>
      <c r="B297" s="236"/>
      <c r="C297" s="237"/>
      <c r="D297" s="237"/>
      <c r="E297" s="237"/>
      <c r="G297" s="237"/>
      <c r="I297" s="237"/>
      <c r="K297" s="237"/>
      <c r="AC297" s="237"/>
    </row>
    <row r="298" spans="1:29">
      <c r="A298" s="250"/>
      <c r="B298" s="236"/>
      <c r="C298" s="237"/>
      <c r="D298" s="237"/>
      <c r="E298" s="237"/>
      <c r="G298" s="237"/>
      <c r="I298" s="237"/>
      <c r="K298" s="237"/>
      <c r="AC298" s="237"/>
    </row>
    <row r="299" spans="1:29">
      <c r="A299" s="250"/>
      <c r="B299" s="236"/>
      <c r="C299" s="237"/>
      <c r="D299" s="237"/>
      <c r="E299" s="237"/>
      <c r="G299" s="237"/>
      <c r="I299" s="237"/>
      <c r="K299" s="237"/>
      <c r="AC299" s="237"/>
    </row>
    <row r="300" spans="1:29">
      <c r="A300" s="250"/>
      <c r="B300" s="236"/>
      <c r="C300" s="237"/>
      <c r="D300" s="237"/>
      <c r="E300" s="237"/>
      <c r="G300" s="237"/>
      <c r="I300" s="237"/>
      <c r="K300" s="237"/>
      <c r="AC300" s="237"/>
    </row>
    <row r="301" spans="1:29">
      <c r="A301" s="250"/>
      <c r="B301" s="236"/>
      <c r="C301" s="237"/>
      <c r="D301" s="237"/>
      <c r="E301" s="237"/>
      <c r="G301" s="237"/>
      <c r="I301" s="237"/>
      <c r="K301" s="237"/>
      <c r="AC301" s="237"/>
    </row>
    <row r="302" spans="1:29">
      <c r="A302" s="250"/>
      <c r="B302" s="236"/>
      <c r="C302" s="237"/>
      <c r="D302" s="237"/>
      <c r="E302" s="237"/>
      <c r="G302" s="237"/>
      <c r="I302" s="237"/>
      <c r="K302" s="237"/>
      <c r="AC302" s="237"/>
    </row>
    <row r="303" spans="1:29">
      <c r="A303" s="250"/>
      <c r="B303" s="236"/>
      <c r="C303" s="237"/>
      <c r="D303" s="237"/>
      <c r="E303" s="237"/>
      <c r="G303" s="237"/>
      <c r="I303" s="237"/>
      <c r="K303" s="237"/>
      <c r="AC303" s="237"/>
    </row>
    <row r="304" spans="1:29">
      <c r="A304" s="250"/>
      <c r="B304" s="236"/>
      <c r="C304" s="237"/>
      <c r="D304" s="237"/>
      <c r="E304" s="237"/>
      <c r="G304" s="237"/>
      <c r="I304" s="237"/>
      <c r="K304" s="237"/>
      <c r="AC304" s="237"/>
    </row>
    <row r="305" spans="1:29">
      <c r="A305" s="250"/>
      <c r="B305" s="236"/>
      <c r="C305" s="237"/>
      <c r="D305" s="237"/>
      <c r="E305" s="237"/>
      <c r="G305" s="237"/>
      <c r="I305" s="237"/>
      <c r="K305" s="237"/>
      <c r="AC305" s="237"/>
    </row>
    <row r="306" spans="1:29">
      <c r="A306" s="250"/>
      <c r="B306" s="236"/>
      <c r="C306" s="237"/>
      <c r="D306" s="237"/>
      <c r="E306" s="237"/>
      <c r="G306" s="237"/>
      <c r="I306" s="237"/>
      <c r="K306" s="237"/>
      <c r="AC306" s="237"/>
    </row>
    <row r="307" spans="1:29">
      <c r="A307" s="250"/>
      <c r="B307" s="236"/>
      <c r="C307" s="237"/>
      <c r="D307" s="237"/>
      <c r="E307" s="237"/>
      <c r="G307" s="237"/>
      <c r="I307" s="237"/>
      <c r="K307" s="237"/>
      <c r="AC307" s="237"/>
    </row>
    <row r="308" spans="1:29">
      <c r="A308" s="250"/>
      <c r="B308" s="236"/>
      <c r="C308" s="237"/>
      <c r="D308" s="237"/>
      <c r="E308" s="237"/>
      <c r="G308" s="237"/>
      <c r="I308" s="237"/>
      <c r="K308" s="237"/>
      <c r="AC308" s="237"/>
    </row>
    <row r="309" spans="1:29">
      <c r="A309" s="250"/>
      <c r="B309" s="236"/>
      <c r="C309" s="237"/>
      <c r="D309" s="237"/>
      <c r="E309" s="237"/>
      <c r="G309" s="237"/>
      <c r="I309" s="237"/>
      <c r="K309" s="237"/>
      <c r="AC309" s="237"/>
    </row>
    <row r="310" spans="1:29">
      <c r="A310" s="250"/>
      <c r="B310" s="236"/>
      <c r="C310" s="237"/>
      <c r="D310" s="237"/>
      <c r="E310" s="237"/>
      <c r="G310" s="237"/>
      <c r="I310" s="237"/>
      <c r="K310" s="237"/>
      <c r="AC310" s="237"/>
    </row>
    <row r="311" spans="1:29">
      <c r="A311" s="250"/>
      <c r="B311" s="236"/>
      <c r="C311" s="237"/>
      <c r="D311" s="237"/>
      <c r="E311" s="237"/>
      <c r="G311" s="237"/>
      <c r="I311" s="237"/>
      <c r="K311" s="237"/>
      <c r="AC311" s="237"/>
    </row>
    <row r="312" spans="1:29">
      <c r="A312" s="250"/>
      <c r="B312" s="236"/>
      <c r="C312" s="237"/>
      <c r="D312" s="237"/>
      <c r="E312" s="237"/>
      <c r="G312" s="237"/>
      <c r="I312" s="237"/>
      <c r="K312" s="237"/>
      <c r="AC312" s="237"/>
    </row>
    <row r="313" spans="1:29">
      <c r="A313" s="250"/>
      <c r="B313" s="236"/>
      <c r="C313" s="237"/>
      <c r="D313" s="237"/>
      <c r="E313" s="237"/>
      <c r="G313" s="237"/>
      <c r="I313" s="237"/>
      <c r="K313" s="237"/>
      <c r="AC313" s="237"/>
    </row>
    <row r="314" spans="1:29">
      <c r="A314" s="250"/>
      <c r="B314" s="236"/>
      <c r="C314" s="237"/>
      <c r="D314" s="237"/>
      <c r="E314" s="237"/>
      <c r="G314" s="237"/>
      <c r="I314" s="237"/>
      <c r="K314" s="237"/>
      <c r="AC314" s="237"/>
    </row>
    <row r="315" spans="1:29">
      <c r="A315" s="250"/>
      <c r="B315" s="236"/>
      <c r="C315" s="237"/>
      <c r="D315" s="237"/>
      <c r="E315" s="237"/>
      <c r="G315" s="237"/>
      <c r="I315" s="237"/>
      <c r="K315" s="237"/>
      <c r="AC315" s="237"/>
    </row>
    <row r="316" spans="1:29">
      <c r="A316" s="250"/>
      <c r="B316" s="236"/>
      <c r="C316" s="237"/>
      <c r="D316" s="237"/>
      <c r="E316" s="237"/>
      <c r="G316" s="237"/>
      <c r="I316" s="237"/>
      <c r="K316" s="237"/>
      <c r="AC316" s="237"/>
    </row>
    <row r="317" spans="1:29">
      <c r="A317" s="250"/>
      <c r="B317" s="236"/>
      <c r="C317" s="237"/>
      <c r="D317" s="237"/>
      <c r="E317" s="237"/>
      <c r="G317" s="237"/>
      <c r="I317" s="237"/>
      <c r="K317" s="237"/>
      <c r="AC317" s="237"/>
    </row>
    <row r="318" spans="1:29">
      <c r="A318" s="250"/>
      <c r="B318" s="236"/>
      <c r="C318" s="237"/>
      <c r="D318" s="237"/>
      <c r="E318" s="237"/>
      <c r="G318" s="237"/>
      <c r="I318" s="237"/>
      <c r="K318" s="237"/>
      <c r="AC318" s="237"/>
    </row>
    <row r="319" spans="1:29">
      <c r="A319" s="250"/>
      <c r="B319" s="236"/>
      <c r="C319" s="237"/>
      <c r="D319" s="237"/>
      <c r="E319" s="237"/>
      <c r="G319" s="237"/>
      <c r="I319" s="237"/>
      <c r="K319" s="237"/>
      <c r="AC319" s="237"/>
    </row>
    <row r="320" spans="1:29">
      <c r="A320" s="250"/>
      <c r="B320" s="236"/>
      <c r="C320" s="237"/>
      <c r="D320" s="237"/>
      <c r="E320" s="237"/>
      <c r="G320" s="237"/>
      <c r="I320" s="237"/>
      <c r="K320" s="237"/>
      <c r="AC320" s="237"/>
    </row>
    <row r="321" spans="1:29">
      <c r="A321" s="250"/>
      <c r="B321" s="236"/>
      <c r="C321" s="237"/>
      <c r="D321" s="237"/>
      <c r="E321" s="237"/>
      <c r="G321" s="237"/>
      <c r="I321" s="237"/>
      <c r="K321" s="237"/>
      <c r="AC321" s="237"/>
    </row>
    <row r="322" spans="1:29">
      <c r="A322" s="250"/>
      <c r="B322" s="236"/>
      <c r="C322" s="237"/>
      <c r="D322" s="237"/>
      <c r="E322" s="237"/>
      <c r="G322" s="237"/>
      <c r="I322" s="237"/>
      <c r="K322" s="237"/>
      <c r="AC322" s="237"/>
    </row>
    <row r="323" spans="1:29">
      <c r="A323" s="250"/>
      <c r="B323" s="236"/>
      <c r="C323" s="237"/>
      <c r="D323" s="237"/>
      <c r="E323" s="237"/>
      <c r="G323" s="237"/>
      <c r="I323" s="237"/>
      <c r="K323" s="237"/>
      <c r="AC323" s="237"/>
    </row>
    <row r="324" spans="1:29">
      <c r="A324" s="250"/>
      <c r="B324" s="236"/>
      <c r="C324" s="237"/>
      <c r="D324" s="237"/>
      <c r="E324" s="237"/>
      <c r="G324" s="237"/>
      <c r="I324" s="237"/>
      <c r="K324" s="237"/>
      <c r="AC324" s="237"/>
    </row>
    <row r="325" spans="1:29">
      <c r="A325" s="250"/>
      <c r="B325" s="236"/>
      <c r="C325" s="237"/>
      <c r="D325" s="237"/>
      <c r="E325" s="237"/>
      <c r="G325" s="237"/>
      <c r="I325" s="237"/>
      <c r="K325" s="237"/>
      <c r="AC325" s="237"/>
    </row>
    <row r="326" spans="1:29">
      <c r="A326" s="250"/>
      <c r="B326" s="236"/>
      <c r="C326" s="237"/>
      <c r="D326" s="237"/>
      <c r="E326" s="237"/>
      <c r="G326" s="237"/>
      <c r="I326" s="237"/>
      <c r="K326" s="237"/>
      <c r="AC326" s="237"/>
    </row>
    <row r="327" spans="1:29">
      <c r="A327" s="250"/>
      <c r="B327" s="236"/>
      <c r="C327" s="237"/>
      <c r="D327" s="237"/>
      <c r="E327" s="237"/>
      <c r="G327" s="237"/>
      <c r="I327" s="237"/>
      <c r="K327" s="237"/>
      <c r="AC327" s="237"/>
    </row>
    <row r="328" spans="1:29">
      <c r="A328" s="250"/>
      <c r="B328" s="236"/>
      <c r="C328" s="237"/>
      <c r="D328" s="237"/>
      <c r="E328" s="237"/>
      <c r="G328" s="237"/>
      <c r="I328" s="237"/>
      <c r="K328" s="237"/>
      <c r="AC328" s="237"/>
    </row>
    <row r="329" spans="1:29">
      <c r="A329" s="250"/>
      <c r="B329" s="236"/>
      <c r="C329" s="237"/>
      <c r="D329" s="237"/>
      <c r="E329" s="237"/>
      <c r="G329" s="237"/>
      <c r="I329" s="237"/>
      <c r="K329" s="237"/>
      <c r="AC329" s="237"/>
    </row>
    <row r="330" spans="1:29">
      <c r="A330" s="250"/>
      <c r="B330" s="236"/>
      <c r="C330" s="237"/>
      <c r="D330" s="237"/>
      <c r="E330" s="237"/>
      <c r="G330" s="237"/>
      <c r="I330" s="237"/>
      <c r="K330" s="237"/>
      <c r="AC330" s="237"/>
    </row>
    <row r="331" spans="1:29">
      <c r="A331" s="250"/>
      <c r="B331" s="236"/>
      <c r="C331" s="237"/>
      <c r="D331" s="237"/>
      <c r="E331" s="237"/>
      <c r="G331" s="237"/>
      <c r="I331" s="237"/>
      <c r="K331" s="237"/>
      <c r="AC331" s="237"/>
    </row>
    <row r="332" spans="1:29">
      <c r="A332" s="250"/>
      <c r="B332" s="236"/>
      <c r="C332" s="237"/>
      <c r="D332" s="237"/>
      <c r="E332" s="237"/>
      <c r="G332" s="237"/>
      <c r="I332" s="237"/>
      <c r="K332" s="237"/>
      <c r="AC332" s="237"/>
    </row>
    <row r="333" spans="1:29">
      <c r="A333" s="250"/>
      <c r="B333" s="236"/>
      <c r="C333" s="237"/>
      <c r="D333" s="237"/>
      <c r="E333" s="237"/>
      <c r="G333" s="237"/>
      <c r="I333" s="237"/>
      <c r="K333" s="237"/>
      <c r="AC333" s="237"/>
    </row>
    <row r="334" spans="1:29">
      <c r="A334" s="250"/>
      <c r="B334" s="236"/>
      <c r="C334" s="237"/>
      <c r="D334" s="237"/>
      <c r="E334" s="237"/>
      <c r="G334" s="237"/>
      <c r="I334" s="237"/>
      <c r="K334" s="237"/>
      <c r="AC334" s="237"/>
    </row>
    <row r="335" spans="1:29">
      <c r="A335" s="250"/>
      <c r="B335" s="236"/>
      <c r="C335" s="237"/>
      <c r="D335" s="237"/>
      <c r="E335" s="237"/>
      <c r="G335" s="237"/>
      <c r="I335" s="237"/>
      <c r="K335" s="237"/>
      <c r="AC335" s="237"/>
    </row>
    <row r="336" spans="1:29">
      <c r="A336" s="250"/>
      <c r="B336" s="236"/>
      <c r="C336" s="237"/>
      <c r="D336" s="237"/>
      <c r="E336" s="237"/>
      <c r="G336" s="237"/>
      <c r="I336" s="237"/>
      <c r="K336" s="237"/>
      <c r="AC336" s="237"/>
    </row>
    <row r="337" spans="1:29">
      <c r="A337" s="250"/>
      <c r="B337" s="236"/>
      <c r="C337" s="237"/>
      <c r="D337" s="237"/>
      <c r="E337" s="237"/>
      <c r="G337" s="237"/>
      <c r="I337" s="237"/>
      <c r="K337" s="237"/>
      <c r="AC337" s="237"/>
    </row>
    <row r="338" spans="1:29">
      <c r="A338" s="250"/>
      <c r="B338" s="236"/>
      <c r="C338" s="237"/>
      <c r="D338" s="237"/>
      <c r="E338" s="237"/>
      <c r="G338" s="237"/>
      <c r="I338" s="237"/>
      <c r="K338" s="237"/>
      <c r="AC338" s="237"/>
    </row>
    <row r="339" spans="1:29">
      <c r="A339" s="250"/>
      <c r="B339" s="236"/>
      <c r="C339" s="237"/>
      <c r="D339" s="237"/>
      <c r="E339" s="237"/>
      <c r="G339" s="237"/>
      <c r="I339" s="237"/>
      <c r="K339" s="237"/>
      <c r="AC339" s="237"/>
    </row>
    <row r="340" spans="1:29">
      <c r="A340" s="250"/>
      <c r="B340" s="236"/>
      <c r="C340" s="237"/>
      <c r="D340" s="237"/>
      <c r="E340" s="237"/>
      <c r="G340" s="237"/>
      <c r="I340" s="237"/>
      <c r="K340" s="237"/>
      <c r="AC340" s="237"/>
    </row>
    <row r="341" spans="1:29">
      <c r="A341" s="250"/>
      <c r="B341" s="236"/>
      <c r="C341" s="237"/>
      <c r="D341" s="237"/>
      <c r="E341" s="237"/>
      <c r="G341" s="237"/>
      <c r="I341" s="237"/>
      <c r="K341" s="237"/>
      <c r="AC341" s="237"/>
    </row>
    <row r="342" spans="1:29">
      <c r="A342" s="250"/>
      <c r="B342" s="236"/>
      <c r="C342" s="237"/>
      <c r="D342" s="237"/>
      <c r="E342" s="237"/>
      <c r="G342" s="237"/>
      <c r="I342" s="237"/>
      <c r="K342" s="237"/>
      <c r="AC342" s="237"/>
    </row>
    <row r="343" spans="1:29">
      <c r="A343" s="250"/>
      <c r="B343" s="236"/>
      <c r="C343" s="237"/>
      <c r="D343" s="237"/>
      <c r="E343" s="237"/>
      <c r="G343" s="237"/>
      <c r="I343" s="237"/>
      <c r="K343" s="237"/>
      <c r="AC343" s="237"/>
    </row>
    <row r="344" spans="1:29">
      <c r="A344" s="250"/>
      <c r="B344" s="236"/>
      <c r="C344" s="237"/>
      <c r="D344" s="237"/>
      <c r="E344" s="237"/>
      <c r="G344" s="237"/>
      <c r="I344" s="237"/>
      <c r="K344" s="237"/>
      <c r="AC344" s="237"/>
    </row>
    <row r="345" spans="1:29">
      <c r="A345" s="250"/>
      <c r="B345" s="236"/>
      <c r="C345" s="237"/>
      <c r="D345" s="237"/>
      <c r="E345" s="237"/>
      <c r="G345" s="237"/>
      <c r="I345" s="237"/>
      <c r="K345" s="237"/>
      <c r="AC345" s="237"/>
    </row>
    <row r="346" spans="1:29">
      <c r="A346" s="250"/>
      <c r="B346" s="236"/>
      <c r="C346" s="237"/>
      <c r="D346" s="237"/>
      <c r="E346" s="237"/>
      <c r="G346" s="237"/>
      <c r="I346" s="237"/>
      <c r="K346" s="237"/>
      <c r="AC346" s="237"/>
    </row>
    <row r="347" spans="1:29">
      <c r="A347" s="250"/>
      <c r="B347" s="236"/>
      <c r="C347" s="237"/>
      <c r="D347" s="237"/>
      <c r="E347" s="237"/>
      <c r="G347" s="237"/>
      <c r="I347" s="237"/>
      <c r="K347" s="237"/>
      <c r="AC347" s="237"/>
    </row>
    <row r="348" spans="1:29">
      <c r="A348" s="250"/>
      <c r="B348" s="236"/>
      <c r="C348" s="237"/>
      <c r="D348" s="237"/>
      <c r="E348" s="237"/>
      <c r="G348" s="237"/>
      <c r="I348" s="237"/>
      <c r="K348" s="237"/>
      <c r="AC348" s="237"/>
    </row>
    <row r="349" spans="1:29">
      <c r="A349" s="250"/>
      <c r="B349" s="236"/>
      <c r="C349" s="237"/>
      <c r="D349" s="237"/>
      <c r="E349" s="237"/>
      <c r="G349" s="237"/>
      <c r="I349" s="237"/>
      <c r="K349" s="237"/>
      <c r="AC349" s="237"/>
    </row>
    <row r="350" spans="1:29">
      <c r="A350" s="250"/>
      <c r="B350" s="236"/>
      <c r="C350" s="237"/>
      <c r="D350" s="237"/>
      <c r="E350" s="237"/>
      <c r="G350" s="237"/>
      <c r="I350" s="237"/>
      <c r="K350" s="237"/>
      <c r="AC350" s="237"/>
    </row>
    <row r="351" spans="1:29">
      <c r="A351" s="250"/>
      <c r="B351" s="236"/>
      <c r="C351" s="237"/>
      <c r="D351" s="237"/>
      <c r="E351" s="237"/>
      <c r="G351" s="237"/>
      <c r="I351" s="237"/>
      <c r="K351" s="237"/>
      <c r="AC351" s="237"/>
    </row>
    <row r="352" spans="1:29">
      <c r="A352" s="250"/>
      <c r="B352" s="236"/>
      <c r="C352" s="237"/>
      <c r="D352" s="237"/>
      <c r="E352" s="237"/>
      <c r="G352" s="237"/>
      <c r="I352" s="237"/>
      <c r="K352" s="237"/>
      <c r="AC352" s="237"/>
    </row>
    <row r="353" spans="1:29">
      <c r="A353" s="250"/>
      <c r="B353" s="236"/>
      <c r="C353" s="237"/>
      <c r="D353" s="237"/>
      <c r="E353" s="237"/>
      <c r="G353" s="237"/>
      <c r="I353" s="237"/>
      <c r="K353" s="237"/>
      <c r="AC353" s="237"/>
    </row>
    <row r="354" spans="1:29">
      <c r="A354" s="250"/>
      <c r="B354" s="236"/>
      <c r="C354" s="237"/>
      <c r="D354" s="237"/>
      <c r="E354" s="237"/>
      <c r="G354" s="237"/>
      <c r="I354" s="237"/>
      <c r="K354" s="237"/>
      <c r="AC354" s="237"/>
    </row>
    <row r="355" spans="1:29">
      <c r="A355" s="250"/>
      <c r="B355" s="236"/>
      <c r="C355" s="237"/>
      <c r="D355" s="237"/>
      <c r="E355" s="237"/>
      <c r="G355" s="237"/>
      <c r="I355" s="237"/>
      <c r="K355" s="237"/>
      <c r="AC355" s="237"/>
    </row>
    <row r="356" spans="1:29">
      <c r="A356" s="250"/>
      <c r="B356" s="236"/>
      <c r="C356" s="237"/>
      <c r="D356" s="237"/>
      <c r="E356" s="237"/>
      <c r="G356" s="237"/>
      <c r="I356" s="237"/>
      <c r="K356" s="237"/>
      <c r="AC356" s="237"/>
    </row>
    <row r="357" spans="1:29">
      <c r="A357" s="250"/>
      <c r="B357" s="236"/>
      <c r="C357" s="237"/>
      <c r="D357" s="237"/>
      <c r="E357" s="237"/>
      <c r="G357" s="237"/>
      <c r="I357" s="237"/>
      <c r="K357" s="237"/>
      <c r="AC357" s="237"/>
    </row>
    <row r="358" spans="1:29">
      <c r="A358" s="250"/>
      <c r="B358" s="236"/>
      <c r="C358" s="237"/>
      <c r="D358" s="237"/>
      <c r="E358" s="237"/>
      <c r="G358" s="237"/>
      <c r="I358" s="237"/>
      <c r="K358" s="237"/>
      <c r="AC358" s="237"/>
    </row>
    <row r="359" spans="1:29">
      <c r="A359" s="250"/>
      <c r="B359" s="236"/>
      <c r="C359" s="237"/>
      <c r="D359" s="237"/>
      <c r="E359" s="237"/>
      <c r="G359" s="237"/>
      <c r="I359" s="237"/>
      <c r="K359" s="237"/>
      <c r="AC359" s="237"/>
    </row>
    <row r="360" spans="1:29">
      <c r="A360" s="250"/>
      <c r="B360" s="236"/>
      <c r="C360" s="237"/>
      <c r="D360" s="237"/>
      <c r="E360" s="237"/>
      <c r="G360" s="237"/>
      <c r="I360" s="237"/>
      <c r="K360" s="237"/>
      <c r="AC360" s="237"/>
    </row>
    <row r="361" spans="1:29">
      <c r="A361" s="250"/>
      <c r="B361" s="236"/>
      <c r="C361" s="237"/>
      <c r="D361" s="237"/>
      <c r="E361" s="237"/>
      <c r="G361" s="237"/>
      <c r="I361" s="237"/>
      <c r="K361" s="237"/>
      <c r="AC361" s="237"/>
    </row>
    <row r="362" spans="1:29">
      <c r="A362" s="250"/>
      <c r="B362" s="236"/>
      <c r="C362" s="237"/>
      <c r="D362" s="237"/>
      <c r="E362" s="237"/>
      <c r="G362" s="237"/>
      <c r="I362" s="237"/>
      <c r="K362" s="237"/>
      <c r="AC362" s="237"/>
    </row>
    <row r="363" spans="1:29">
      <c r="A363" s="250"/>
      <c r="B363" s="236"/>
      <c r="C363" s="237"/>
      <c r="D363" s="237"/>
      <c r="E363" s="237"/>
      <c r="G363" s="237"/>
      <c r="I363" s="237"/>
      <c r="K363" s="237"/>
      <c r="AC363" s="237"/>
    </row>
    <row r="364" spans="1:29">
      <c r="A364" s="250"/>
      <c r="B364" s="236"/>
      <c r="C364" s="237"/>
      <c r="D364" s="237"/>
      <c r="E364" s="237"/>
      <c r="G364" s="237"/>
      <c r="I364" s="237"/>
      <c r="K364" s="237"/>
      <c r="AC364" s="237"/>
    </row>
    <row r="365" spans="1:29">
      <c r="A365" s="250"/>
      <c r="B365" s="236"/>
      <c r="C365" s="237"/>
      <c r="D365" s="237"/>
      <c r="E365" s="237"/>
      <c r="G365" s="237"/>
      <c r="I365" s="237"/>
      <c r="K365" s="237"/>
      <c r="AC365" s="237"/>
    </row>
    <row r="366" spans="1:29">
      <c r="A366" s="250"/>
      <c r="B366" s="236"/>
      <c r="C366" s="237"/>
      <c r="D366" s="237"/>
      <c r="E366" s="237"/>
      <c r="G366" s="237"/>
      <c r="I366" s="237"/>
      <c r="K366" s="237"/>
      <c r="AC366" s="237"/>
    </row>
    <row r="367" spans="1:29">
      <c r="A367" s="250"/>
      <c r="B367" s="236"/>
      <c r="C367" s="237"/>
      <c r="D367" s="237"/>
      <c r="E367" s="237"/>
      <c r="G367" s="237"/>
      <c r="I367" s="237"/>
      <c r="K367" s="237"/>
      <c r="AC367" s="237"/>
    </row>
    <row r="368" spans="1:29">
      <c r="A368" s="250"/>
      <c r="B368" s="236"/>
      <c r="C368" s="237"/>
      <c r="D368" s="237"/>
      <c r="E368" s="237"/>
      <c r="G368" s="237"/>
      <c r="I368" s="237"/>
      <c r="K368" s="237"/>
      <c r="AC368" s="237"/>
    </row>
    <row r="369" spans="1:29">
      <c r="A369" s="250"/>
      <c r="B369" s="236"/>
      <c r="C369" s="237"/>
      <c r="D369" s="237"/>
      <c r="E369" s="237"/>
      <c r="G369" s="237"/>
      <c r="I369" s="237"/>
      <c r="K369" s="237"/>
      <c r="AC369" s="237"/>
    </row>
    <row r="370" spans="1:29">
      <c r="A370" s="250"/>
      <c r="B370" s="236"/>
      <c r="C370" s="237"/>
      <c r="D370" s="237"/>
      <c r="E370" s="237"/>
      <c r="G370" s="237"/>
      <c r="I370" s="237"/>
      <c r="K370" s="237"/>
      <c r="AC370" s="237"/>
    </row>
    <row r="371" spans="1:29">
      <c r="A371" s="250"/>
      <c r="B371" s="236"/>
      <c r="C371" s="237"/>
      <c r="D371" s="237"/>
      <c r="E371" s="237"/>
      <c r="G371" s="237"/>
      <c r="I371" s="237"/>
      <c r="K371" s="237"/>
      <c r="AC371" s="237"/>
    </row>
    <row r="372" spans="1:29">
      <c r="A372" s="250"/>
      <c r="B372" s="236"/>
      <c r="C372" s="237"/>
      <c r="D372" s="237"/>
      <c r="E372" s="237"/>
      <c r="G372" s="237"/>
      <c r="I372" s="237"/>
      <c r="K372" s="237"/>
      <c r="AC372" s="237"/>
    </row>
    <row r="373" spans="1:29">
      <c r="A373" s="250"/>
      <c r="B373" s="236"/>
      <c r="C373" s="237"/>
      <c r="D373" s="237"/>
      <c r="E373" s="237"/>
      <c r="G373" s="237"/>
      <c r="I373" s="237"/>
      <c r="K373" s="237"/>
      <c r="AC373" s="237"/>
    </row>
    <row r="374" spans="1:29">
      <c r="A374" s="250"/>
      <c r="B374" s="236"/>
      <c r="C374" s="237"/>
      <c r="D374" s="237"/>
      <c r="E374" s="237"/>
      <c r="G374" s="237"/>
      <c r="I374" s="237"/>
      <c r="K374" s="237"/>
      <c r="AC374" s="237"/>
    </row>
    <row r="375" spans="1:29">
      <c r="A375" s="250"/>
      <c r="B375" s="236"/>
      <c r="C375" s="237"/>
      <c r="D375" s="237"/>
      <c r="E375" s="237"/>
      <c r="G375" s="237"/>
      <c r="I375" s="237"/>
      <c r="K375" s="237"/>
      <c r="AC375" s="237"/>
    </row>
    <row r="376" spans="1:29">
      <c r="A376" s="250"/>
      <c r="B376" s="236"/>
      <c r="C376" s="237"/>
      <c r="D376" s="237"/>
      <c r="E376" s="237"/>
      <c r="G376" s="237"/>
      <c r="I376" s="237"/>
      <c r="K376" s="237"/>
      <c r="AC376" s="237"/>
    </row>
    <row r="377" spans="1:29">
      <c r="A377" s="250"/>
      <c r="B377" s="236"/>
      <c r="C377" s="237"/>
      <c r="D377" s="237"/>
      <c r="E377" s="237"/>
      <c r="G377" s="237"/>
      <c r="I377" s="237"/>
      <c r="K377" s="237"/>
      <c r="AC377" s="237"/>
    </row>
    <row r="378" spans="1:29">
      <c r="A378" s="250"/>
      <c r="B378" s="236"/>
      <c r="C378" s="237"/>
      <c r="D378" s="237"/>
      <c r="E378" s="237"/>
      <c r="G378" s="237"/>
      <c r="I378" s="237"/>
      <c r="K378" s="237"/>
      <c r="AC378" s="237"/>
    </row>
    <row r="379" spans="1:29">
      <c r="A379" s="250"/>
      <c r="B379" s="236"/>
      <c r="C379" s="237"/>
      <c r="D379" s="237"/>
      <c r="E379" s="237"/>
      <c r="G379" s="237"/>
      <c r="I379" s="237"/>
      <c r="K379" s="237"/>
      <c r="AC379" s="237"/>
    </row>
    <row r="380" spans="1:29">
      <c r="A380" s="250"/>
      <c r="B380" s="236"/>
      <c r="C380" s="237"/>
      <c r="D380" s="237"/>
      <c r="E380" s="237"/>
      <c r="G380" s="237"/>
      <c r="I380" s="237"/>
      <c r="K380" s="237"/>
      <c r="AC380" s="237"/>
    </row>
    <row r="381" spans="1:29">
      <c r="A381" s="250"/>
      <c r="B381" s="236"/>
      <c r="C381" s="237"/>
      <c r="D381" s="237"/>
      <c r="E381" s="237"/>
      <c r="G381" s="237"/>
      <c r="I381" s="237"/>
      <c r="K381" s="237"/>
      <c r="AC381" s="237"/>
    </row>
    <row r="382" spans="1:29">
      <c r="A382" s="250"/>
      <c r="B382" s="236"/>
      <c r="C382" s="237"/>
      <c r="D382" s="237"/>
      <c r="E382" s="237"/>
      <c r="G382" s="237"/>
      <c r="I382" s="237"/>
      <c r="K382" s="237"/>
      <c r="AC382" s="237"/>
    </row>
    <row r="383" spans="1:29">
      <c r="A383" s="250"/>
      <c r="B383" s="236"/>
      <c r="C383" s="237"/>
      <c r="D383" s="237"/>
      <c r="E383" s="237"/>
      <c r="G383" s="237"/>
      <c r="I383" s="237"/>
      <c r="K383" s="237"/>
      <c r="AC383" s="237"/>
    </row>
    <row r="384" spans="1:29">
      <c r="A384" s="250"/>
      <c r="B384" s="236"/>
      <c r="C384" s="237"/>
      <c r="D384" s="237"/>
      <c r="E384" s="237"/>
      <c r="G384" s="237"/>
      <c r="I384" s="237"/>
      <c r="K384" s="237"/>
      <c r="AC384" s="237"/>
    </row>
    <row r="385" spans="1:29">
      <c r="A385" s="250"/>
      <c r="B385" s="236"/>
      <c r="C385" s="237"/>
      <c r="D385" s="237"/>
      <c r="E385" s="237"/>
      <c r="G385" s="237"/>
      <c r="I385" s="237"/>
      <c r="K385" s="237"/>
      <c r="AC385" s="237"/>
    </row>
    <row r="386" spans="1:29">
      <c r="A386" s="250"/>
      <c r="B386" s="236"/>
      <c r="C386" s="237"/>
      <c r="D386" s="237"/>
      <c r="E386" s="237"/>
      <c r="G386" s="237"/>
      <c r="I386" s="237"/>
      <c r="K386" s="237"/>
      <c r="AC386" s="237"/>
    </row>
    <row r="387" spans="1:29">
      <c r="A387" s="250"/>
      <c r="B387" s="236"/>
      <c r="C387" s="237"/>
      <c r="D387" s="237"/>
      <c r="E387" s="237"/>
      <c r="G387" s="237"/>
      <c r="I387" s="237"/>
      <c r="K387" s="237"/>
      <c r="AC387" s="237"/>
    </row>
    <row r="388" spans="1:29">
      <c r="A388" s="250"/>
      <c r="B388" s="236"/>
      <c r="C388" s="237"/>
      <c r="D388" s="237"/>
      <c r="E388" s="237"/>
      <c r="G388" s="237"/>
      <c r="I388" s="237"/>
      <c r="K388" s="237"/>
      <c r="AC388" s="237"/>
    </row>
    <row r="389" spans="1:29">
      <c r="A389" s="250"/>
      <c r="B389" s="236"/>
      <c r="C389" s="237"/>
      <c r="D389" s="237"/>
      <c r="E389" s="237"/>
      <c r="G389" s="237"/>
      <c r="I389" s="237"/>
      <c r="K389" s="237"/>
      <c r="AC389" s="237"/>
    </row>
    <row r="390" spans="1:29">
      <c r="A390" s="250"/>
      <c r="B390" s="236"/>
      <c r="C390" s="237"/>
      <c r="D390" s="237"/>
      <c r="E390" s="237"/>
      <c r="G390" s="237"/>
      <c r="I390" s="237"/>
      <c r="K390" s="237"/>
      <c r="AC390" s="237"/>
    </row>
    <row r="391" spans="1:29">
      <c r="A391" s="250"/>
      <c r="B391" s="236"/>
      <c r="C391" s="237"/>
      <c r="D391" s="237"/>
      <c r="E391" s="237"/>
      <c r="G391" s="237"/>
      <c r="I391" s="237"/>
      <c r="K391" s="237"/>
      <c r="AC391" s="237"/>
    </row>
    <row r="392" spans="1:29">
      <c r="A392" s="250"/>
      <c r="B392" s="236"/>
      <c r="C392" s="237"/>
      <c r="D392" s="237"/>
      <c r="E392" s="237"/>
      <c r="G392" s="237"/>
      <c r="I392" s="237"/>
      <c r="K392" s="237"/>
      <c r="AC392" s="237"/>
    </row>
    <row r="393" spans="1:29">
      <c r="A393" s="250"/>
      <c r="B393" s="236"/>
      <c r="C393" s="237"/>
      <c r="D393" s="237"/>
      <c r="E393" s="237"/>
      <c r="G393" s="237"/>
      <c r="I393" s="237"/>
      <c r="K393" s="237"/>
      <c r="AC393" s="237"/>
    </row>
    <row r="394" spans="1:29">
      <c r="A394" s="250"/>
      <c r="B394" s="236"/>
      <c r="C394" s="237"/>
      <c r="D394" s="237"/>
      <c r="E394" s="237"/>
      <c r="G394" s="237"/>
      <c r="I394" s="237"/>
      <c r="K394" s="237"/>
      <c r="AC394" s="237"/>
    </row>
    <row r="395" spans="1:29">
      <c r="A395" s="250"/>
      <c r="B395" s="236"/>
      <c r="C395" s="237"/>
      <c r="D395" s="237"/>
      <c r="E395" s="237"/>
      <c r="G395" s="237"/>
      <c r="I395" s="237"/>
      <c r="K395" s="237"/>
      <c r="AC395" s="237"/>
    </row>
    <row r="396" spans="1:29">
      <c r="A396" s="250"/>
      <c r="B396" s="236"/>
      <c r="C396" s="237"/>
      <c r="D396" s="237"/>
      <c r="E396" s="237"/>
      <c r="G396" s="237"/>
      <c r="I396" s="237"/>
      <c r="K396" s="237"/>
      <c r="AC396" s="237"/>
    </row>
    <row r="397" spans="1:29">
      <c r="A397" s="250"/>
      <c r="B397" s="236"/>
      <c r="C397" s="237"/>
      <c r="D397" s="237"/>
      <c r="E397" s="237"/>
      <c r="G397" s="237"/>
      <c r="I397" s="237"/>
      <c r="K397" s="237"/>
      <c r="AC397" s="237"/>
    </row>
    <row r="398" spans="1:29">
      <c r="A398" s="250"/>
      <c r="B398" s="236"/>
      <c r="C398" s="237"/>
      <c r="D398" s="237"/>
      <c r="E398" s="237"/>
      <c r="G398" s="237"/>
      <c r="I398" s="237"/>
      <c r="K398" s="237"/>
      <c r="AC398" s="237"/>
    </row>
    <row r="399" spans="1:29">
      <c r="A399" s="250"/>
      <c r="B399" s="236"/>
      <c r="C399" s="237"/>
      <c r="D399" s="237"/>
      <c r="E399" s="237"/>
      <c r="G399" s="237"/>
      <c r="I399" s="237"/>
      <c r="K399" s="237"/>
      <c r="AC399" s="237"/>
    </row>
    <row r="400" spans="1:29">
      <c r="A400" s="250"/>
      <c r="B400" s="236"/>
      <c r="C400" s="237"/>
      <c r="D400" s="237"/>
      <c r="E400" s="237"/>
      <c r="G400" s="237"/>
      <c r="I400" s="237"/>
      <c r="K400" s="237"/>
      <c r="AC400" s="237"/>
    </row>
    <row r="401" spans="1:29">
      <c r="A401" s="250"/>
      <c r="B401" s="236"/>
      <c r="C401" s="237"/>
      <c r="D401" s="237"/>
      <c r="E401" s="237"/>
      <c r="G401" s="237"/>
      <c r="I401" s="237"/>
      <c r="K401" s="237"/>
      <c r="AC401" s="237"/>
    </row>
    <row r="402" spans="1:29">
      <c r="A402" s="250"/>
      <c r="B402" s="236"/>
      <c r="C402" s="237"/>
      <c r="D402" s="237"/>
      <c r="E402" s="237"/>
      <c r="G402" s="237"/>
      <c r="I402" s="237"/>
      <c r="K402" s="237"/>
      <c r="AC402" s="237"/>
    </row>
    <row r="403" spans="1:29">
      <c r="A403" s="250"/>
      <c r="B403" s="236"/>
      <c r="C403" s="237"/>
      <c r="D403" s="237"/>
      <c r="E403" s="237"/>
      <c r="G403" s="237"/>
      <c r="I403" s="237"/>
      <c r="K403" s="237"/>
      <c r="AC403" s="237"/>
    </row>
    <row r="404" spans="1:29">
      <c r="A404" s="250"/>
      <c r="B404" s="236"/>
      <c r="C404" s="237"/>
      <c r="D404" s="237"/>
      <c r="E404" s="237"/>
      <c r="G404" s="237"/>
      <c r="I404" s="237"/>
      <c r="K404" s="237"/>
      <c r="AC404" s="237"/>
    </row>
    <row r="405" spans="1:29">
      <c r="A405" s="250"/>
      <c r="B405" s="236"/>
      <c r="C405" s="237"/>
      <c r="D405" s="237"/>
      <c r="E405" s="237"/>
      <c r="G405" s="237"/>
      <c r="I405" s="237"/>
      <c r="K405" s="237"/>
      <c r="AC405" s="237"/>
    </row>
    <row r="406" spans="1:29">
      <c r="A406" s="250"/>
      <c r="B406" s="236"/>
      <c r="C406" s="237"/>
      <c r="D406" s="237"/>
      <c r="E406" s="237"/>
      <c r="G406" s="237"/>
      <c r="I406" s="237"/>
      <c r="K406" s="237"/>
      <c r="AC406" s="237"/>
    </row>
    <row r="407" spans="1:29">
      <c r="A407" s="250"/>
      <c r="B407" s="236"/>
      <c r="C407" s="237"/>
      <c r="D407" s="237"/>
      <c r="E407" s="237"/>
      <c r="G407" s="237"/>
      <c r="I407" s="237"/>
      <c r="K407" s="237"/>
      <c r="AC407" s="237"/>
    </row>
    <row r="408" spans="1:29">
      <c r="A408" s="250"/>
      <c r="B408" s="236"/>
      <c r="C408" s="237"/>
      <c r="D408" s="237"/>
      <c r="E408" s="237"/>
      <c r="G408" s="237"/>
      <c r="I408" s="237"/>
      <c r="K408" s="237"/>
      <c r="AC408" s="237"/>
    </row>
    <row r="409" spans="1:29">
      <c r="A409" s="250"/>
      <c r="B409" s="236"/>
      <c r="C409" s="237"/>
      <c r="D409" s="237"/>
      <c r="E409" s="237"/>
      <c r="G409" s="237"/>
      <c r="I409" s="237"/>
      <c r="K409" s="237"/>
      <c r="AC409" s="237"/>
    </row>
    <row r="410" spans="1:29">
      <c r="A410" s="250"/>
      <c r="B410" s="236"/>
      <c r="C410" s="237"/>
      <c r="D410" s="237"/>
      <c r="E410" s="237"/>
      <c r="G410" s="237"/>
      <c r="I410" s="237"/>
      <c r="K410" s="237"/>
      <c r="AC410" s="237"/>
    </row>
    <row r="411" spans="1:29">
      <c r="A411" s="250"/>
      <c r="B411" s="236"/>
      <c r="C411" s="237"/>
      <c r="D411" s="237"/>
      <c r="E411" s="237"/>
      <c r="G411" s="237"/>
      <c r="I411" s="237"/>
      <c r="K411" s="237"/>
      <c r="AC411" s="237"/>
    </row>
    <row r="412" spans="1:29">
      <c r="A412" s="250"/>
      <c r="B412" s="236"/>
      <c r="C412" s="237"/>
      <c r="D412" s="237"/>
      <c r="E412" s="237"/>
      <c r="G412" s="237"/>
      <c r="I412" s="237"/>
      <c r="K412" s="237"/>
      <c r="AC412" s="237"/>
    </row>
    <row r="413" spans="1:29">
      <c r="A413" s="250"/>
      <c r="B413" s="236"/>
      <c r="C413" s="237"/>
      <c r="D413" s="237"/>
      <c r="E413" s="237"/>
      <c r="G413" s="237"/>
      <c r="I413" s="237"/>
      <c r="K413" s="237"/>
      <c r="AC413" s="237"/>
    </row>
    <row r="414" spans="1:29">
      <c r="A414" s="250"/>
      <c r="B414" s="236"/>
      <c r="C414" s="237"/>
      <c r="D414" s="237"/>
      <c r="E414" s="237"/>
      <c r="G414" s="237"/>
      <c r="I414" s="237"/>
      <c r="K414" s="237"/>
      <c r="AC414" s="237"/>
    </row>
    <row r="415" spans="1:29">
      <c r="A415" s="250"/>
      <c r="B415" s="236"/>
      <c r="C415" s="237"/>
      <c r="D415" s="237"/>
      <c r="E415" s="237"/>
      <c r="G415" s="237"/>
      <c r="I415" s="237"/>
      <c r="K415" s="237"/>
      <c r="AC415" s="237"/>
    </row>
    <row r="416" spans="1:29">
      <c r="A416" s="250"/>
      <c r="B416" s="236"/>
      <c r="C416" s="237"/>
      <c r="D416" s="237"/>
      <c r="E416" s="237"/>
      <c r="G416" s="237"/>
      <c r="I416" s="237"/>
      <c r="K416" s="237"/>
      <c r="AC416" s="237"/>
    </row>
    <row r="417" spans="1:29">
      <c r="A417" s="250"/>
      <c r="B417" s="236"/>
      <c r="C417" s="237"/>
      <c r="D417" s="237"/>
      <c r="E417" s="237"/>
      <c r="G417" s="237"/>
      <c r="I417" s="237"/>
      <c r="K417" s="237"/>
      <c r="AC417" s="237"/>
    </row>
    <row r="418" spans="1:29">
      <c r="A418" s="250"/>
      <c r="B418" s="236"/>
      <c r="C418" s="237"/>
      <c r="D418" s="237"/>
      <c r="E418" s="237"/>
      <c r="G418" s="237"/>
      <c r="I418" s="237"/>
      <c r="K418" s="237"/>
      <c r="AC418" s="237"/>
    </row>
    <row r="419" spans="1:29">
      <c r="A419" s="250"/>
      <c r="B419" s="236"/>
      <c r="C419" s="237"/>
      <c r="D419" s="237"/>
      <c r="E419" s="237"/>
      <c r="G419" s="237"/>
      <c r="I419" s="237"/>
      <c r="K419" s="237"/>
      <c r="AC419" s="237"/>
    </row>
    <row r="420" spans="1:29">
      <c r="A420" s="250"/>
      <c r="B420" s="236"/>
      <c r="C420" s="237"/>
      <c r="D420" s="237"/>
      <c r="E420" s="237"/>
      <c r="G420" s="237"/>
      <c r="I420" s="237"/>
      <c r="K420" s="237"/>
      <c r="AC420" s="237"/>
    </row>
    <row r="421" spans="1:29">
      <c r="A421" s="250"/>
      <c r="B421" s="236"/>
      <c r="C421" s="237"/>
      <c r="D421" s="237"/>
      <c r="E421" s="237"/>
      <c r="G421" s="237"/>
      <c r="I421" s="237"/>
      <c r="K421" s="237"/>
      <c r="AC421" s="237"/>
    </row>
    <row r="422" spans="1:29">
      <c r="A422" s="250"/>
      <c r="B422" s="236"/>
      <c r="C422" s="237"/>
      <c r="D422" s="237"/>
      <c r="E422" s="237"/>
      <c r="G422" s="237"/>
      <c r="I422" s="237"/>
      <c r="K422" s="237"/>
      <c r="AC422" s="237"/>
    </row>
    <row r="423" spans="1:29">
      <c r="A423" s="250"/>
      <c r="B423" s="236"/>
      <c r="C423" s="237"/>
      <c r="D423" s="237"/>
      <c r="E423" s="237"/>
      <c r="G423" s="237"/>
      <c r="I423" s="237"/>
      <c r="K423" s="237"/>
      <c r="AC423" s="237"/>
    </row>
    <row r="424" spans="1:29">
      <c r="A424" s="250"/>
      <c r="B424" s="236"/>
      <c r="C424" s="237"/>
      <c r="D424" s="237"/>
      <c r="E424" s="237"/>
      <c r="G424" s="237"/>
      <c r="I424" s="237"/>
      <c r="K424" s="237"/>
      <c r="AC424" s="237"/>
    </row>
    <row r="425" spans="1:29">
      <c r="A425" s="250"/>
      <c r="B425" s="236"/>
      <c r="C425" s="237"/>
      <c r="D425" s="237"/>
      <c r="E425" s="237"/>
      <c r="G425" s="237"/>
      <c r="I425" s="237"/>
      <c r="K425" s="237"/>
      <c r="AC425" s="237"/>
    </row>
    <row r="426" spans="1:29">
      <c r="A426" s="250"/>
      <c r="B426" s="236"/>
      <c r="C426" s="237"/>
      <c r="D426" s="237"/>
      <c r="E426" s="237"/>
      <c r="G426" s="237"/>
      <c r="I426" s="237"/>
      <c r="K426" s="237"/>
      <c r="AC426" s="237"/>
    </row>
    <row r="427" spans="1:29">
      <c r="A427" s="250"/>
      <c r="B427" s="236"/>
      <c r="C427" s="237"/>
      <c r="D427" s="237"/>
      <c r="E427" s="237"/>
      <c r="G427" s="237"/>
      <c r="I427" s="237"/>
      <c r="K427" s="237"/>
      <c r="AC427" s="237"/>
    </row>
    <row r="428" spans="1:29">
      <c r="A428" s="250"/>
      <c r="B428" s="236"/>
      <c r="C428" s="237"/>
      <c r="D428" s="237"/>
      <c r="E428" s="237"/>
      <c r="G428" s="237"/>
      <c r="I428" s="237"/>
      <c r="K428" s="237"/>
      <c r="AC428" s="237"/>
    </row>
    <row r="429" spans="1:29">
      <c r="A429" s="250"/>
      <c r="B429" s="236"/>
      <c r="C429" s="237"/>
      <c r="D429" s="237"/>
      <c r="E429" s="237"/>
      <c r="G429" s="237"/>
      <c r="I429" s="237"/>
      <c r="K429" s="237"/>
      <c r="AC429" s="237"/>
    </row>
    <row r="430" spans="1:29">
      <c r="A430" s="250"/>
      <c r="B430" s="236"/>
      <c r="C430" s="237"/>
      <c r="D430" s="237"/>
      <c r="E430" s="237"/>
      <c r="G430" s="237"/>
      <c r="I430" s="237"/>
      <c r="K430" s="237"/>
      <c r="AC430" s="237"/>
    </row>
    <row r="431" spans="1:29">
      <c r="A431" s="250"/>
      <c r="B431" s="236"/>
      <c r="C431" s="237"/>
      <c r="D431" s="237"/>
      <c r="E431" s="237"/>
      <c r="G431" s="237"/>
      <c r="I431" s="237"/>
      <c r="K431" s="237"/>
      <c r="AC431" s="237"/>
    </row>
    <row r="432" spans="1:29">
      <c r="A432" s="250"/>
      <c r="B432" s="236"/>
      <c r="C432" s="237"/>
      <c r="D432" s="237"/>
      <c r="E432" s="237"/>
      <c r="G432" s="237"/>
      <c r="I432" s="237"/>
      <c r="K432" s="237"/>
      <c r="AC432" s="237"/>
    </row>
    <row r="433" spans="1:29">
      <c r="A433" s="250"/>
      <c r="B433" s="236"/>
      <c r="C433" s="237"/>
      <c r="D433" s="237"/>
      <c r="E433" s="237"/>
      <c r="G433" s="237"/>
      <c r="I433" s="237"/>
      <c r="K433" s="237"/>
      <c r="AC433" s="237"/>
    </row>
    <row r="434" spans="1:29">
      <c r="A434" s="250"/>
      <c r="B434" s="236"/>
      <c r="C434" s="237"/>
      <c r="D434" s="237"/>
      <c r="E434" s="237"/>
      <c r="G434" s="237"/>
      <c r="I434" s="237"/>
      <c r="K434" s="237"/>
      <c r="AC434" s="237"/>
    </row>
    <row r="435" spans="1:29">
      <c r="A435" s="250"/>
      <c r="B435" s="236"/>
      <c r="C435" s="237"/>
      <c r="D435" s="237"/>
      <c r="E435" s="237"/>
      <c r="G435" s="237"/>
      <c r="I435" s="237"/>
      <c r="K435" s="237"/>
      <c r="AC435" s="237"/>
    </row>
    <row r="436" spans="1:29">
      <c r="A436" s="250"/>
      <c r="B436" s="236"/>
      <c r="C436" s="237"/>
      <c r="D436" s="237"/>
      <c r="E436" s="237"/>
      <c r="G436" s="237"/>
      <c r="I436" s="237"/>
      <c r="K436" s="237"/>
      <c r="AC436" s="237"/>
    </row>
    <row r="437" spans="1:29">
      <c r="A437" s="250"/>
      <c r="B437" s="236"/>
      <c r="C437" s="237"/>
      <c r="D437" s="237"/>
      <c r="E437" s="237"/>
      <c r="G437" s="237"/>
      <c r="I437" s="237"/>
      <c r="K437" s="237"/>
      <c r="AC437" s="237"/>
    </row>
    <row r="438" spans="1:29">
      <c r="A438" s="250"/>
      <c r="B438" s="236"/>
      <c r="C438" s="237"/>
      <c r="D438" s="237"/>
      <c r="E438" s="237"/>
      <c r="G438" s="237"/>
      <c r="I438" s="237"/>
      <c r="K438" s="237"/>
      <c r="AC438" s="237"/>
    </row>
    <row r="439" spans="1:29">
      <c r="A439" s="250"/>
      <c r="B439" s="236"/>
      <c r="C439" s="237"/>
      <c r="D439" s="237"/>
      <c r="E439" s="237"/>
      <c r="G439" s="237"/>
      <c r="I439" s="237"/>
      <c r="K439" s="237"/>
      <c r="AC439" s="237"/>
    </row>
    <row r="440" spans="1:29">
      <c r="A440" s="250"/>
      <c r="B440" s="236"/>
      <c r="C440" s="237"/>
      <c r="D440" s="237"/>
      <c r="E440" s="237"/>
      <c r="G440" s="237"/>
      <c r="I440" s="237"/>
      <c r="K440" s="237"/>
      <c r="AC440" s="237"/>
    </row>
    <row r="441" spans="1:29">
      <c r="A441" s="250"/>
      <c r="B441" s="236"/>
      <c r="C441" s="237"/>
      <c r="D441" s="237"/>
      <c r="E441" s="237"/>
      <c r="G441" s="237"/>
      <c r="I441" s="237"/>
      <c r="K441" s="237"/>
      <c r="AC441" s="237"/>
    </row>
    <row r="442" spans="1:29">
      <c r="A442" s="250"/>
      <c r="B442" s="236"/>
      <c r="C442" s="237"/>
      <c r="D442" s="237"/>
      <c r="E442" s="237"/>
      <c r="G442" s="237"/>
      <c r="I442" s="237"/>
      <c r="K442" s="237"/>
      <c r="AC442" s="237"/>
    </row>
    <row r="443" spans="1:29">
      <c r="A443" s="250"/>
      <c r="B443" s="236"/>
      <c r="C443" s="237"/>
      <c r="D443" s="237"/>
      <c r="E443" s="237"/>
      <c r="G443" s="237"/>
      <c r="I443" s="237"/>
      <c r="K443" s="237"/>
      <c r="AC443" s="237"/>
    </row>
    <row r="444" spans="1:29">
      <c r="A444" s="250"/>
      <c r="B444" s="236"/>
      <c r="C444" s="237"/>
      <c r="D444" s="237"/>
      <c r="E444" s="237"/>
      <c r="G444" s="237"/>
      <c r="I444" s="237"/>
      <c r="K444" s="237"/>
      <c r="AC444" s="237"/>
    </row>
    <row r="445" spans="1:29">
      <c r="A445" s="250"/>
      <c r="B445" s="236"/>
      <c r="C445" s="237"/>
      <c r="D445" s="237"/>
      <c r="E445" s="237"/>
      <c r="G445" s="237"/>
      <c r="I445" s="237"/>
      <c r="K445" s="237"/>
      <c r="AC445" s="237"/>
    </row>
    <row r="446" spans="1:29">
      <c r="A446" s="250"/>
      <c r="B446" s="236"/>
      <c r="C446" s="237"/>
      <c r="D446" s="237"/>
      <c r="E446" s="237"/>
      <c r="G446" s="237"/>
      <c r="I446" s="237"/>
      <c r="K446" s="237"/>
      <c r="AC446" s="237"/>
    </row>
    <row r="447" spans="1:29">
      <c r="A447" s="250"/>
      <c r="B447" s="236"/>
      <c r="C447" s="237"/>
      <c r="D447" s="237"/>
      <c r="E447" s="237"/>
      <c r="G447" s="237"/>
      <c r="I447" s="237"/>
      <c r="K447" s="237"/>
      <c r="AC447" s="237"/>
    </row>
    <row r="448" spans="1:29">
      <c r="A448" s="250"/>
      <c r="B448" s="236"/>
      <c r="C448" s="237"/>
      <c r="D448" s="237"/>
      <c r="E448" s="237"/>
      <c r="G448" s="237"/>
      <c r="I448" s="237"/>
      <c r="K448" s="237"/>
      <c r="AC448" s="237"/>
    </row>
    <row r="449" spans="1:29">
      <c r="A449" s="250"/>
      <c r="B449" s="236"/>
      <c r="C449" s="237"/>
      <c r="D449" s="237"/>
      <c r="E449" s="237"/>
      <c r="G449" s="237"/>
      <c r="I449" s="237"/>
      <c r="K449" s="237"/>
      <c r="AC449" s="237"/>
    </row>
    <row r="450" spans="1:29">
      <c r="A450" s="250"/>
      <c r="B450" s="236"/>
      <c r="C450" s="237"/>
      <c r="D450" s="237"/>
      <c r="E450" s="237"/>
      <c r="G450" s="237"/>
      <c r="I450" s="237"/>
      <c r="K450" s="237"/>
      <c r="AC450" s="237"/>
    </row>
    <row r="451" spans="1:29">
      <c r="A451" s="250"/>
      <c r="B451" s="236"/>
      <c r="C451" s="237"/>
      <c r="D451" s="237"/>
      <c r="E451" s="237"/>
      <c r="G451" s="237"/>
      <c r="I451" s="237"/>
      <c r="K451" s="237"/>
      <c r="AC451" s="237"/>
    </row>
    <row r="452" spans="1:29">
      <c r="A452" s="250"/>
      <c r="B452" s="236"/>
      <c r="C452" s="237"/>
      <c r="D452" s="237"/>
      <c r="E452" s="237"/>
      <c r="G452" s="237"/>
      <c r="I452" s="237"/>
      <c r="K452" s="237"/>
      <c r="AC452" s="237"/>
    </row>
    <row r="453" spans="1:29">
      <c r="A453" s="250"/>
      <c r="B453" s="236"/>
      <c r="C453" s="237"/>
      <c r="D453" s="237"/>
      <c r="E453" s="237"/>
      <c r="G453" s="237"/>
      <c r="I453" s="237"/>
      <c r="K453" s="237"/>
      <c r="AC453" s="237"/>
    </row>
    <row r="454" spans="1:29">
      <c r="A454" s="250"/>
      <c r="B454" s="236"/>
      <c r="C454" s="237"/>
      <c r="D454" s="237"/>
      <c r="E454" s="237"/>
      <c r="G454" s="237"/>
      <c r="I454" s="237"/>
      <c r="K454" s="237"/>
      <c r="AC454" s="237"/>
    </row>
    <row r="455" spans="1:29">
      <c r="A455" s="250"/>
      <c r="B455" s="236"/>
      <c r="C455" s="237"/>
      <c r="D455" s="237"/>
      <c r="E455" s="237"/>
      <c r="G455" s="237"/>
      <c r="I455" s="237"/>
      <c r="K455" s="237"/>
      <c r="AC455" s="237"/>
    </row>
    <row r="456" spans="1:29">
      <c r="A456" s="250"/>
      <c r="B456" s="236"/>
      <c r="C456" s="237"/>
      <c r="D456" s="237"/>
      <c r="E456" s="237"/>
      <c r="G456" s="237"/>
      <c r="I456" s="237"/>
      <c r="K456" s="237"/>
      <c r="AC456" s="237"/>
    </row>
    <row r="457" spans="1:29">
      <c r="A457" s="250"/>
      <c r="B457" s="236"/>
      <c r="C457" s="237"/>
      <c r="D457" s="237"/>
      <c r="E457" s="237"/>
      <c r="G457" s="237"/>
      <c r="I457" s="237"/>
      <c r="K457" s="237"/>
      <c r="AC457" s="237"/>
    </row>
    <row r="458" spans="1:29">
      <c r="A458" s="250"/>
      <c r="B458" s="236"/>
      <c r="C458" s="237"/>
      <c r="D458" s="237"/>
      <c r="E458" s="237"/>
      <c r="G458" s="237"/>
      <c r="I458" s="237"/>
      <c r="K458" s="237"/>
      <c r="AC458" s="237"/>
    </row>
    <row r="459" spans="1:29">
      <c r="A459" s="250"/>
      <c r="B459" s="236"/>
      <c r="C459" s="237"/>
      <c r="D459" s="237"/>
      <c r="E459" s="237"/>
      <c r="G459" s="237"/>
      <c r="I459" s="237"/>
      <c r="K459" s="237"/>
      <c r="AC459" s="237"/>
    </row>
    <row r="460" spans="1:29">
      <c r="A460" s="250"/>
      <c r="B460" s="236"/>
      <c r="C460" s="237"/>
      <c r="D460" s="237"/>
      <c r="E460" s="237"/>
      <c r="G460" s="237"/>
      <c r="I460" s="237"/>
      <c r="K460" s="237"/>
      <c r="AC460" s="237"/>
    </row>
    <row r="461" spans="1:29">
      <c r="A461" s="250"/>
      <c r="B461" s="236"/>
      <c r="C461" s="237"/>
      <c r="D461" s="237"/>
      <c r="E461" s="237"/>
      <c r="G461" s="237"/>
      <c r="I461" s="237"/>
      <c r="K461" s="237"/>
      <c r="AC461" s="237"/>
    </row>
    <row r="462" spans="1:29">
      <c r="A462" s="250"/>
      <c r="B462" s="236"/>
      <c r="C462" s="237"/>
      <c r="D462" s="237"/>
      <c r="E462" s="237"/>
      <c r="G462" s="237"/>
      <c r="I462" s="237"/>
      <c r="K462" s="237"/>
      <c r="AC462" s="237"/>
    </row>
    <row r="463" spans="1:29">
      <c r="A463" s="250"/>
      <c r="B463" s="236"/>
      <c r="C463" s="237"/>
      <c r="D463" s="237"/>
      <c r="E463" s="237"/>
      <c r="G463" s="237"/>
      <c r="I463" s="237"/>
      <c r="K463" s="237"/>
      <c r="AC463" s="237"/>
    </row>
    <row r="464" spans="1:29">
      <c r="A464" s="250"/>
      <c r="B464" s="236"/>
      <c r="C464" s="237"/>
      <c r="D464" s="237"/>
      <c r="E464" s="237"/>
      <c r="G464" s="237"/>
      <c r="I464" s="237"/>
      <c r="K464" s="237"/>
      <c r="AC464" s="237"/>
    </row>
    <row r="465" spans="1:29">
      <c r="A465" s="250"/>
      <c r="B465" s="236"/>
      <c r="C465" s="237"/>
      <c r="D465" s="237"/>
      <c r="E465" s="237"/>
      <c r="G465" s="237"/>
      <c r="I465" s="237"/>
      <c r="K465" s="237"/>
      <c r="AC465" s="237"/>
    </row>
    <row r="466" spans="1:29">
      <c r="A466" s="250"/>
      <c r="B466" s="236"/>
      <c r="C466" s="237"/>
      <c r="D466" s="237"/>
      <c r="E466" s="237"/>
      <c r="G466" s="237"/>
      <c r="I466" s="237"/>
      <c r="K466" s="237"/>
      <c r="AC466" s="237"/>
    </row>
    <row r="467" spans="1:29">
      <c r="A467" s="250"/>
      <c r="B467" s="236"/>
      <c r="C467" s="237"/>
      <c r="D467" s="237"/>
      <c r="E467" s="237"/>
      <c r="G467" s="237"/>
      <c r="I467" s="237"/>
      <c r="K467" s="237"/>
      <c r="AC467" s="237"/>
    </row>
    <row r="468" spans="1:29">
      <c r="A468" s="250"/>
      <c r="B468" s="236"/>
      <c r="C468" s="237"/>
      <c r="D468" s="237"/>
      <c r="E468" s="237"/>
      <c r="G468" s="237"/>
      <c r="I468" s="237"/>
      <c r="K468" s="237"/>
      <c r="AC468" s="237"/>
    </row>
    <row r="469" spans="1:29">
      <c r="A469" s="250"/>
      <c r="B469" s="236"/>
      <c r="C469" s="237"/>
      <c r="D469" s="237"/>
      <c r="E469" s="237"/>
      <c r="G469" s="237"/>
      <c r="I469" s="237"/>
      <c r="K469" s="237"/>
      <c r="AC469" s="237"/>
    </row>
    <row r="470" spans="1:29">
      <c r="A470" s="250"/>
      <c r="B470" s="236"/>
      <c r="C470" s="237"/>
      <c r="D470" s="237"/>
      <c r="E470" s="237"/>
      <c r="G470" s="237"/>
      <c r="I470" s="237"/>
      <c r="K470" s="237"/>
      <c r="AC470" s="237"/>
    </row>
    <row r="471" spans="1:29">
      <c r="A471" s="250"/>
      <c r="B471" s="236"/>
      <c r="C471" s="237"/>
      <c r="D471" s="237"/>
      <c r="E471" s="237"/>
      <c r="G471" s="237"/>
      <c r="I471" s="237"/>
      <c r="K471" s="237"/>
      <c r="AC471" s="237"/>
    </row>
    <row r="472" spans="1:29">
      <c r="A472" s="250"/>
      <c r="B472" s="236"/>
      <c r="C472" s="237"/>
      <c r="D472" s="237"/>
      <c r="E472" s="237"/>
      <c r="G472" s="237"/>
      <c r="I472" s="237"/>
      <c r="K472" s="237"/>
      <c r="AC472" s="237"/>
    </row>
    <row r="473" spans="1:29">
      <c r="A473" s="250"/>
      <c r="B473" s="236"/>
      <c r="C473" s="237"/>
      <c r="D473" s="237"/>
      <c r="E473" s="237"/>
      <c r="G473" s="237"/>
      <c r="I473" s="237"/>
      <c r="K473" s="237"/>
      <c r="AC473" s="237"/>
    </row>
    <row r="474" spans="1:29">
      <c r="A474" s="250"/>
      <c r="B474" s="236"/>
      <c r="C474" s="237"/>
      <c r="D474" s="237"/>
      <c r="E474" s="237"/>
      <c r="G474" s="237"/>
      <c r="I474" s="237"/>
      <c r="K474" s="237"/>
      <c r="AC474" s="237"/>
    </row>
    <row r="475" spans="1:29">
      <c r="A475" s="250"/>
      <c r="B475" s="236"/>
      <c r="C475" s="237"/>
      <c r="D475" s="237"/>
      <c r="E475" s="237"/>
      <c r="G475" s="237"/>
      <c r="I475" s="237"/>
      <c r="K475" s="237"/>
      <c r="AC475" s="237"/>
    </row>
    <row r="476" spans="1:29">
      <c r="A476" s="250"/>
      <c r="B476" s="236"/>
      <c r="C476" s="237"/>
      <c r="D476" s="237"/>
      <c r="E476" s="237"/>
      <c r="G476" s="237"/>
      <c r="I476" s="237"/>
      <c r="K476" s="237"/>
      <c r="AC476" s="237"/>
    </row>
    <row r="477" spans="1:29">
      <c r="A477" s="250"/>
      <c r="B477" s="236"/>
      <c r="C477" s="237"/>
      <c r="D477" s="237"/>
      <c r="E477" s="237"/>
      <c r="G477" s="237"/>
      <c r="I477" s="237"/>
      <c r="K477" s="237"/>
      <c r="AC477" s="237"/>
    </row>
    <row r="478" spans="1:29">
      <c r="A478" s="250"/>
      <c r="B478" s="236"/>
      <c r="C478" s="237"/>
      <c r="D478" s="237"/>
      <c r="E478" s="237"/>
      <c r="G478" s="237"/>
      <c r="I478" s="237"/>
      <c r="K478" s="237"/>
      <c r="AC478" s="237"/>
    </row>
    <row r="479" spans="1:29">
      <c r="A479" s="250"/>
      <c r="B479" s="236"/>
      <c r="C479" s="237"/>
      <c r="D479" s="237"/>
      <c r="E479" s="237"/>
      <c r="G479" s="237"/>
      <c r="I479" s="237"/>
      <c r="K479" s="237"/>
      <c r="AC479" s="237"/>
    </row>
    <row r="480" spans="1:29">
      <c r="A480" s="250"/>
      <c r="B480" s="236"/>
      <c r="C480" s="237"/>
      <c r="D480" s="237"/>
      <c r="E480" s="237"/>
      <c r="G480" s="237"/>
      <c r="I480" s="237"/>
      <c r="K480" s="237"/>
      <c r="AC480" s="237"/>
    </row>
    <row r="481" spans="1:29">
      <c r="A481" s="250"/>
      <c r="B481" s="236"/>
      <c r="C481" s="237"/>
      <c r="D481" s="237"/>
      <c r="E481" s="237"/>
      <c r="G481" s="237"/>
      <c r="I481" s="237"/>
      <c r="K481" s="237"/>
      <c r="AC481" s="237"/>
    </row>
    <row r="482" spans="1:29">
      <c r="A482" s="250"/>
      <c r="B482" s="236"/>
      <c r="C482" s="237"/>
      <c r="D482" s="237"/>
      <c r="E482" s="237"/>
      <c r="G482" s="237"/>
      <c r="I482" s="237"/>
      <c r="K482" s="237"/>
      <c r="AC482" s="237"/>
    </row>
    <row r="483" spans="1:29">
      <c r="A483" s="250"/>
      <c r="B483" s="236"/>
      <c r="C483" s="237"/>
      <c r="D483" s="237"/>
      <c r="E483" s="237"/>
      <c r="G483" s="237"/>
      <c r="I483" s="237"/>
      <c r="K483" s="237"/>
      <c r="AC483" s="237"/>
    </row>
    <row r="484" spans="1:29">
      <c r="A484" s="250"/>
      <c r="B484" s="236"/>
      <c r="C484" s="237"/>
      <c r="D484" s="237"/>
      <c r="E484" s="237"/>
      <c r="G484" s="237"/>
      <c r="I484" s="237"/>
      <c r="K484" s="237"/>
      <c r="AC484" s="237"/>
    </row>
    <row r="485" spans="1:29">
      <c r="A485" s="250"/>
      <c r="B485" s="236"/>
      <c r="C485" s="237"/>
      <c r="D485" s="237"/>
      <c r="E485" s="237"/>
      <c r="G485" s="237"/>
      <c r="I485" s="237"/>
      <c r="K485" s="237"/>
      <c r="AC485" s="237"/>
    </row>
    <row r="486" spans="1:29">
      <c r="A486" s="250"/>
      <c r="B486" s="236"/>
      <c r="C486" s="237"/>
      <c r="D486" s="237"/>
      <c r="E486" s="237"/>
      <c r="G486" s="237"/>
      <c r="I486" s="237"/>
      <c r="K486" s="237"/>
      <c r="AC486" s="237"/>
    </row>
    <row r="487" spans="1:29">
      <c r="A487" s="250"/>
      <c r="B487" s="236"/>
      <c r="C487" s="237"/>
      <c r="D487" s="237"/>
      <c r="E487" s="237"/>
      <c r="G487" s="237"/>
      <c r="I487" s="237"/>
      <c r="K487" s="237"/>
      <c r="AC487" s="237"/>
    </row>
    <row r="488" spans="1:29">
      <c r="A488" s="250"/>
      <c r="B488" s="236"/>
      <c r="C488" s="237"/>
      <c r="D488" s="237"/>
      <c r="E488" s="237"/>
      <c r="G488" s="237"/>
      <c r="I488" s="237"/>
      <c r="K488" s="237"/>
      <c r="AC488" s="237"/>
    </row>
    <row r="489" spans="1:29">
      <c r="A489" s="250"/>
      <c r="B489" s="236"/>
      <c r="C489" s="237"/>
      <c r="D489" s="237"/>
      <c r="E489" s="237"/>
      <c r="G489" s="237"/>
      <c r="I489" s="237"/>
      <c r="K489" s="237"/>
      <c r="AC489" s="237"/>
    </row>
    <row r="490" spans="1:29">
      <c r="A490" s="250"/>
      <c r="B490" s="236"/>
      <c r="C490" s="237"/>
      <c r="D490" s="237"/>
      <c r="E490" s="237"/>
      <c r="G490" s="237"/>
      <c r="I490" s="237"/>
      <c r="K490" s="237"/>
      <c r="AC490" s="237"/>
    </row>
    <row r="491" spans="1:29">
      <c r="A491" s="250"/>
      <c r="B491" s="236"/>
      <c r="C491" s="237"/>
      <c r="D491" s="237"/>
      <c r="E491" s="237"/>
      <c r="G491" s="237"/>
      <c r="I491" s="237"/>
      <c r="K491" s="237"/>
      <c r="AC491" s="237"/>
    </row>
    <row r="492" spans="1:29">
      <c r="A492" s="250"/>
      <c r="B492" s="236"/>
      <c r="C492" s="237"/>
      <c r="D492" s="237"/>
      <c r="E492" s="237"/>
      <c r="G492" s="237"/>
      <c r="I492" s="237"/>
      <c r="K492" s="237"/>
      <c r="AC492" s="237"/>
    </row>
    <row r="493" spans="1:29">
      <c r="A493" s="250"/>
      <c r="B493" s="236"/>
      <c r="C493" s="237"/>
      <c r="D493" s="237"/>
      <c r="E493" s="237"/>
      <c r="G493" s="237"/>
      <c r="I493" s="237"/>
      <c r="K493" s="237"/>
      <c r="AC493" s="237"/>
    </row>
    <row r="494" spans="1:29">
      <c r="A494" s="250"/>
      <c r="B494" s="236"/>
      <c r="C494" s="237"/>
      <c r="D494" s="237"/>
      <c r="E494" s="237"/>
      <c r="G494" s="237"/>
      <c r="I494" s="237"/>
      <c r="K494" s="237"/>
      <c r="AC494" s="237"/>
    </row>
    <row r="495" spans="1:29">
      <c r="A495" s="250"/>
      <c r="B495" s="236"/>
      <c r="C495" s="237"/>
      <c r="D495" s="237"/>
      <c r="E495" s="237"/>
      <c r="G495" s="237"/>
      <c r="I495" s="237"/>
      <c r="K495" s="237"/>
      <c r="AC495" s="237"/>
    </row>
    <row r="496" spans="1:29">
      <c r="A496" s="250"/>
      <c r="B496" s="236"/>
      <c r="C496" s="237"/>
      <c r="D496" s="237"/>
      <c r="E496" s="237"/>
      <c r="G496" s="237"/>
      <c r="I496" s="237"/>
      <c r="K496" s="237"/>
      <c r="AC496" s="237"/>
    </row>
    <row r="497" spans="1:29">
      <c r="A497" s="250"/>
      <c r="B497" s="236"/>
      <c r="C497" s="237"/>
      <c r="D497" s="237"/>
      <c r="E497" s="237"/>
      <c r="G497" s="237"/>
      <c r="I497" s="237"/>
      <c r="K497" s="237"/>
      <c r="AC497" s="237"/>
    </row>
    <row r="498" spans="1:29">
      <c r="A498" s="250"/>
      <c r="B498" s="236"/>
      <c r="C498" s="237"/>
      <c r="D498" s="237"/>
      <c r="E498" s="237"/>
      <c r="G498" s="237"/>
      <c r="I498" s="237"/>
      <c r="K498" s="237"/>
      <c r="AC498" s="237"/>
    </row>
    <row r="499" spans="1:29">
      <c r="A499" s="250"/>
      <c r="B499" s="236"/>
      <c r="C499" s="237"/>
      <c r="D499" s="237"/>
      <c r="E499" s="237"/>
      <c r="G499" s="237"/>
      <c r="I499" s="237"/>
      <c r="K499" s="237"/>
      <c r="AC499" s="237"/>
    </row>
    <row r="500" spans="1:29">
      <c r="A500" s="250"/>
      <c r="B500" s="236"/>
      <c r="C500" s="237"/>
      <c r="D500" s="237"/>
      <c r="E500" s="237"/>
      <c r="G500" s="237"/>
      <c r="I500" s="237"/>
      <c r="K500" s="237"/>
      <c r="AC500" s="237"/>
    </row>
    <row r="501" spans="1:29">
      <c r="A501" s="250"/>
      <c r="B501" s="236"/>
      <c r="C501" s="237"/>
      <c r="D501" s="237"/>
      <c r="E501" s="237"/>
      <c r="G501" s="237"/>
      <c r="I501" s="237"/>
      <c r="K501" s="237"/>
      <c r="AC501" s="237"/>
    </row>
    <row r="502" spans="1:29">
      <c r="A502" s="250"/>
      <c r="B502" s="236"/>
      <c r="C502" s="237"/>
      <c r="D502" s="237"/>
      <c r="E502" s="237"/>
      <c r="G502" s="237"/>
      <c r="I502" s="237"/>
      <c r="K502" s="237"/>
      <c r="AC502" s="237"/>
    </row>
    <row r="503" spans="1:29">
      <c r="A503" s="250"/>
      <c r="B503" s="236"/>
      <c r="C503" s="237"/>
      <c r="D503" s="237"/>
      <c r="E503" s="237"/>
      <c r="G503" s="237"/>
      <c r="I503" s="237"/>
      <c r="K503" s="237"/>
      <c r="AC503" s="237"/>
    </row>
    <row r="504" spans="1:29">
      <c r="A504" s="250"/>
      <c r="B504" s="236"/>
      <c r="C504" s="237"/>
      <c r="D504" s="237"/>
      <c r="E504" s="237"/>
      <c r="G504" s="237"/>
      <c r="I504" s="237"/>
      <c r="K504" s="237"/>
      <c r="AC504" s="237"/>
    </row>
    <row r="505" spans="1:29">
      <c r="A505" s="250"/>
      <c r="B505" s="236"/>
      <c r="C505" s="237"/>
      <c r="D505" s="237"/>
      <c r="E505" s="237"/>
      <c r="G505" s="237"/>
      <c r="I505" s="237"/>
      <c r="K505" s="237"/>
      <c r="AC505" s="237"/>
    </row>
    <row r="506" spans="1:29">
      <c r="A506" s="250"/>
      <c r="B506" s="236"/>
      <c r="C506" s="237"/>
      <c r="D506" s="237"/>
      <c r="E506" s="237"/>
      <c r="G506" s="237"/>
      <c r="I506" s="237"/>
      <c r="K506" s="237"/>
      <c r="AC506" s="237"/>
    </row>
    <row r="507" spans="1:29">
      <c r="A507" s="250"/>
      <c r="B507" s="236"/>
      <c r="C507" s="237"/>
      <c r="D507" s="237"/>
      <c r="E507" s="237"/>
      <c r="G507" s="237"/>
      <c r="I507" s="237"/>
      <c r="K507" s="237"/>
      <c r="AC507" s="237"/>
    </row>
    <row r="508" spans="1:29">
      <c r="A508" s="250"/>
      <c r="B508" s="236"/>
      <c r="C508" s="237"/>
      <c r="D508" s="237"/>
      <c r="E508" s="237"/>
      <c r="G508" s="237"/>
      <c r="I508" s="237"/>
      <c r="K508" s="237"/>
      <c r="AC508" s="237"/>
    </row>
    <row r="509" spans="1:29">
      <c r="A509" s="250"/>
      <c r="B509" s="236"/>
      <c r="C509" s="237"/>
      <c r="D509" s="237"/>
      <c r="E509" s="237"/>
      <c r="G509" s="237"/>
      <c r="I509" s="237"/>
      <c r="K509" s="237"/>
      <c r="AC509" s="237"/>
    </row>
    <row r="510" spans="1:29">
      <c r="A510" s="250"/>
      <c r="B510" s="236"/>
      <c r="C510" s="237"/>
      <c r="D510" s="237"/>
      <c r="E510" s="237"/>
      <c r="G510" s="237"/>
      <c r="I510" s="237"/>
      <c r="K510" s="237"/>
      <c r="AC510" s="237"/>
    </row>
    <row r="511" spans="1:29">
      <c r="A511" s="250"/>
      <c r="B511" s="236"/>
      <c r="C511" s="237"/>
      <c r="D511" s="237"/>
      <c r="E511" s="237"/>
      <c r="G511" s="237"/>
      <c r="I511" s="237"/>
      <c r="K511" s="237"/>
      <c r="AC511" s="237"/>
    </row>
    <row r="512" spans="1:29">
      <c r="A512" s="250"/>
      <c r="B512" s="236"/>
      <c r="C512" s="237"/>
      <c r="D512" s="237"/>
      <c r="E512" s="237"/>
      <c r="G512" s="237"/>
      <c r="I512" s="237"/>
      <c r="K512" s="237"/>
      <c r="AC512" s="237"/>
    </row>
    <row r="513" spans="1:29">
      <c r="A513" s="250"/>
      <c r="B513" s="236"/>
      <c r="C513" s="237"/>
      <c r="D513" s="237"/>
      <c r="E513" s="237"/>
      <c r="G513" s="237"/>
      <c r="I513" s="237"/>
      <c r="K513" s="237"/>
      <c r="AC513" s="237"/>
    </row>
    <row r="514" spans="1:29">
      <c r="A514" s="250"/>
      <c r="B514" s="236"/>
      <c r="C514" s="237"/>
      <c r="D514" s="237"/>
      <c r="E514" s="237"/>
      <c r="G514" s="237"/>
      <c r="I514" s="237"/>
      <c r="K514" s="237"/>
      <c r="AC514" s="237"/>
    </row>
    <row r="515" spans="1:29">
      <c r="A515" s="250"/>
      <c r="B515" s="236"/>
      <c r="C515" s="237"/>
      <c r="D515" s="237"/>
      <c r="E515" s="237"/>
      <c r="G515" s="237"/>
      <c r="I515" s="237"/>
      <c r="K515" s="237"/>
      <c r="AC515" s="237"/>
    </row>
    <row r="516" spans="1:29">
      <c r="A516" s="250"/>
      <c r="B516" s="236"/>
      <c r="C516" s="237"/>
      <c r="D516" s="237"/>
      <c r="E516" s="237"/>
      <c r="G516" s="237"/>
      <c r="I516" s="237"/>
      <c r="K516" s="237"/>
      <c r="AC516" s="237"/>
    </row>
    <row r="517" spans="1:29">
      <c r="A517" s="250"/>
      <c r="B517" s="236"/>
      <c r="C517" s="237"/>
      <c r="D517" s="237"/>
      <c r="E517" s="237"/>
      <c r="G517" s="237"/>
      <c r="I517" s="237"/>
      <c r="K517" s="237"/>
      <c r="AC517" s="237"/>
    </row>
    <row r="518" spans="1:29">
      <c r="A518" s="250"/>
      <c r="B518" s="236"/>
      <c r="C518" s="237"/>
      <c r="D518" s="237"/>
      <c r="E518" s="237"/>
      <c r="G518" s="237"/>
      <c r="I518" s="237"/>
      <c r="K518" s="237"/>
      <c r="AC518" s="237"/>
    </row>
    <row r="519" spans="1:29">
      <c r="A519" s="250"/>
      <c r="B519" s="236"/>
      <c r="C519" s="237"/>
      <c r="D519" s="237"/>
      <c r="E519" s="237"/>
      <c r="G519" s="237"/>
      <c r="I519" s="237"/>
      <c r="K519" s="237"/>
      <c r="AC519" s="237"/>
    </row>
    <row r="520" spans="1:29">
      <c r="A520" s="250"/>
      <c r="B520" s="236"/>
      <c r="C520" s="237"/>
      <c r="D520" s="237"/>
      <c r="E520" s="237"/>
      <c r="G520" s="237"/>
      <c r="I520" s="237"/>
      <c r="K520" s="237"/>
      <c r="AC520" s="237"/>
    </row>
    <row r="521" spans="1:29">
      <c r="A521" s="250"/>
      <c r="B521" s="236"/>
      <c r="C521" s="237"/>
      <c r="D521" s="237"/>
      <c r="E521" s="237"/>
      <c r="G521" s="237"/>
      <c r="I521" s="237"/>
      <c r="K521" s="237"/>
      <c r="AC521" s="237"/>
    </row>
    <row r="522" spans="1:29">
      <c r="A522" s="250"/>
      <c r="B522" s="236"/>
      <c r="C522" s="237"/>
      <c r="D522" s="237"/>
      <c r="E522" s="237"/>
      <c r="G522" s="237"/>
      <c r="I522" s="237"/>
      <c r="K522" s="237"/>
      <c r="AC522" s="237"/>
    </row>
    <row r="523" spans="1:29">
      <c r="A523" s="250"/>
      <c r="B523" s="236"/>
      <c r="C523" s="237"/>
      <c r="D523" s="237"/>
      <c r="E523" s="237"/>
      <c r="G523" s="237"/>
      <c r="I523" s="237"/>
      <c r="K523" s="237"/>
      <c r="AC523" s="237"/>
    </row>
    <row r="524" spans="1:29">
      <c r="A524" s="250"/>
      <c r="B524" s="236"/>
      <c r="C524" s="237"/>
      <c r="D524" s="237"/>
      <c r="E524" s="237"/>
      <c r="G524" s="237"/>
      <c r="I524" s="237"/>
      <c r="K524" s="237"/>
      <c r="AC524" s="237"/>
    </row>
    <row r="525" spans="1:29">
      <c r="A525" s="250"/>
      <c r="B525" s="236"/>
      <c r="C525" s="237"/>
      <c r="D525" s="237"/>
      <c r="E525" s="237"/>
      <c r="G525" s="237"/>
      <c r="I525" s="237"/>
      <c r="K525" s="237"/>
      <c r="AC525" s="237"/>
    </row>
    <row r="526" spans="1:29">
      <c r="A526" s="250"/>
      <c r="B526" s="236"/>
      <c r="C526" s="237"/>
      <c r="D526" s="237"/>
      <c r="E526" s="237"/>
      <c r="G526" s="237"/>
      <c r="I526" s="237"/>
      <c r="K526" s="237"/>
      <c r="AC526" s="237"/>
    </row>
    <row r="527" spans="1:29">
      <c r="A527" s="250"/>
      <c r="B527" s="236"/>
      <c r="C527" s="237"/>
      <c r="D527" s="237"/>
      <c r="E527" s="237"/>
      <c r="G527" s="237"/>
      <c r="I527" s="237"/>
      <c r="K527" s="237"/>
      <c r="AC527" s="237"/>
    </row>
    <row r="528" spans="1:29">
      <c r="A528" s="250"/>
      <c r="B528" s="236"/>
      <c r="C528" s="237"/>
      <c r="D528" s="237"/>
      <c r="E528" s="237"/>
      <c r="G528" s="237"/>
      <c r="I528" s="237"/>
      <c r="K528" s="237"/>
      <c r="AC528" s="237"/>
    </row>
    <row r="529" spans="1:29">
      <c r="A529" s="250"/>
      <c r="B529" s="236"/>
      <c r="C529" s="237"/>
      <c r="D529" s="237"/>
      <c r="E529" s="237"/>
      <c r="G529" s="237"/>
      <c r="I529" s="237"/>
      <c r="K529" s="237"/>
      <c r="AC529" s="237"/>
    </row>
    <row r="530" spans="1:29">
      <c r="A530" s="250"/>
      <c r="B530" s="236"/>
      <c r="C530" s="237"/>
      <c r="D530" s="237"/>
      <c r="E530" s="237"/>
      <c r="G530" s="237"/>
      <c r="I530" s="237"/>
      <c r="K530" s="237"/>
      <c r="AC530" s="237"/>
    </row>
    <row r="531" spans="1:29">
      <c r="A531" s="250"/>
      <c r="B531" s="236"/>
      <c r="C531" s="237"/>
      <c r="D531" s="237"/>
      <c r="E531" s="237"/>
      <c r="G531" s="237"/>
      <c r="I531" s="237"/>
      <c r="K531" s="237"/>
      <c r="AC531" s="237"/>
    </row>
    <row r="532" spans="1:29">
      <c r="A532" s="250"/>
      <c r="B532" s="236"/>
      <c r="C532" s="237"/>
      <c r="D532" s="237"/>
      <c r="E532" s="237"/>
      <c r="G532" s="237"/>
      <c r="I532" s="237"/>
      <c r="K532" s="237"/>
      <c r="AC532" s="237"/>
    </row>
    <row r="533" spans="1:29">
      <c r="A533" s="250"/>
      <c r="B533" s="236"/>
      <c r="C533" s="237"/>
      <c r="D533" s="237"/>
      <c r="E533" s="237"/>
      <c r="G533" s="237"/>
      <c r="I533" s="237"/>
      <c r="K533" s="237"/>
      <c r="AC533" s="237"/>
    </row>
    <row r="534" spans="1:29">
      <c r="A534" s="250"/>
      <c r="B534" s="236"/>
      <c r="C534" s="237"/>
      <c r="D534" s="237"/>
      <c r="E534" s="237"/>
      <c r="G534" s="237"/>
      <c r="I534" s="237"/>
      <c r="K534" s="237"/>
      <c r="AC534" s="237"/>
    </row>
    <row r="535" spans="1:29">
      <c r="A535" s="250"/>
      <c r="B535" s="236"/>
      <c r="C535" s="237"/>
      <c r="D535" s="237"/>
      <c r="E535" s="237"/>
      <c r="G535" s="237"/>
      <c r="I535" s="237"/>
      <c r="K535" s="237"/>
      <c r="AC535" s="237"/>
    </row>
    <row r="536" spans="1:29">
      <c r="A536" s="250"/>
      <c r="B536" s="236"/>
      <c r="C536" s="237"/>
      <c r="D536" s="237"/>
      <c r="E536" s="237"/>
      <c r="G536" s="237"/>
      <c r="I536" s="237"/>
      <c r="K536" s="237"/>
      <c r="AC536" s="237"/>
    </row>
    <row r="537" spans="1:29">
      <c r="A537" s="250"/>
      <c r="B537" s="236"/>
      <c r="C537" s="237"/>
      <c r="D537" s="237"/>
      <c r="E537" s="237"/>
      <c r="G537" s="237"/>
      <c r="I537" s="237"/>
      <c r="K537" s="237"/>
      <c r="AC537" s="237"/>
    </row>
    <row r="538" spans="1:29">
      <c r="A538" s="250"/>
      <c r="B538" s="236"/>
      <c r="C538" s="237"/>
      <c r="D538" s="237"/>
      <c r="E538" s="237"/>
      <c r="G538" s="237"/>
      <c r="I538" s="237"/>
      <c r="K538" s="237"/>
      <c r="AC538" s="237"/>
    </row>
  </sheetData>
  <mergeCells count="295">
    <mergeCell ref="A2:A3"/>
    <mergeCell ref="Q49:AE49"/>
    <mergeCell ref="Q50:AE50"/>
    <mergeCell ref="Q51:AE51"/>
    <mergeCell ref="Y36:Z36"/>
    <mergeCell ref="Y38:Z38"/>
    <mergeCell ref="Y46:Z46"/>
    <mergeCell ref="Y47:Z47"/>
    <mergeCell ref="Y40:Z40"/>
    <mergeCell ref="W32:X32"/>
    <mergeCell ref="W34:X34"/>
    <mergeCell ref="Y27:Z27"/>
    <mergeCell ref="Y30:Z30"/>
    <mergeCell ref="Y32:Z32"/>
    <mergeCell ref="Y34:Z34"/>
    <mergeCell ref="W44:X44"/>
    <mergeCell ref="W46:X46"/>
    <mergeCell ref="W47:X47"/>
    <mergeCell ref="W36:X36"/>
    <mergeCell ref="W38:X38"/>
    <mergeCell ref="W40:X40"/>
    <mergeCell ref="W42:X42"/>
    <mergeCell ref="W43:X43"/>
    <mergeCell ref="Y43:Z43"/>
    <mergeCell ref="B55:P55"/>
    <mergeCell ref="Q55:AD55"/>
    <mergeCell ref="B49:P49"/>
    <mergeCell ref="B51:P51"/>
    <mergeCell ref="B50:P50"/>
    <mergeCell ref="B52:P52"/>
    <mergeCell ref="B53:P53"/>
    <mergeCell ref="B54:P54"/>
    <mergeCell ref="Q52:AE52"/>
    <mergeCell ref="Q53:AE53"/>
    <mergeCell ref="Q54:AE54"/>
    <mergeCell ref="Y44:Z44"/>
    <mergeCell ref="AD56:AS56"/>
    <mergeCell ref="AA12:AB12"/>
    <mergeCell ref="G3:H3"/>
    <mergeCell ref="I3:J3"/>
    <mergeCell ref="W24:X24"/>
    <mergeCell ref="Y8:Z8"/>
    <mergeCell ref="Y12:Z12"/>
    <mergeCell ref="Y14:Z14"/>
    <mergeCell ref="Y16:Z16"/>
    <mergeCell ref="Y22:Z22"/>
    <mergeCell ref="AA46:AB46"/>
    <mergeCell ref="AA40:AB40"/>
    <mergeCell ref="AA42:AB42"/>
    <mergeCell ref="AA27:AB27"/>
    <mergeCell ref="AA30:AB30"/>
    <mergeCell ref="AA32:AB32"/>
    <mergeCell ref="AA34:AB34"/>
    <mergeCell ref="AA38:AB38"/>
    <mergeCell ref="AA44:AB44"/>
    <mergeCell ref="Y42:Z42"/>
    <mergeCell ref="W8:X8"/>
    <mergeCell ref="W12:X12"/>
    <mergeCell ref="W14:X14"/>
    <mergeCell ref="AA36:AB36"/>
    <mergeCell ref="U16:V16"/>
    <mergeCell ref="U18:V18"/>
    <mergeCell ref="U20:V20"/>
    <mergeCell ref="U22:V22"/>
    <mergeCell ref="U27:V27"/>
    <mergeCell ref="Q34:R34"/>
    <mergeCell ref="B4:B6"/>
    <mergeCell ref="AA18:AB18"/>
    <mergeCell ref="AA20:AB20"/>
    <mergeCell ref="Y18:Z18"/>
    <mergeCell ref="Y20:Z20"/>
    <mergeCell ref="S18:T18"/>
    <mergeCell ref="S20:T20"/>
    <mergeCell ref="Q8:R8"/>
    <mergeCell ref="Q12:R12"/>
    <mergeCell ref="AA8:AB8"/>
    <mergeCell ref="W18:X18"/>
    <mergeCell ref="W20:X20"/>
    <mergeCell ref="AA14:AB14"/>
    <mergeCell ref="G8:H8"/>
    <mergeCell ref="G12:H12"/>
    <mergeCell ref="G14:H14"/>
    <mergeCell ref="G16:H16"/>
    <mergeCell ref="W16:X16"/>
    <mergeCell ref="AA24:AB24"/>
    <mergeCell ref="AA22:AB22"/>
    <mergeCell ref="U24:V24"/>
    <mergeCell ref="U30:V30"/>
    <mergeCell ref="W22:X22"/>
    <mergeCell ref="Y24:Z24"/>
    <mergeCell ref="W27:X27"/>
    <mergeCell ref="W30:X30"/>
    <mergeCell ref="AA16:AB16"/>
    <mergeCell ref="M32:N32"/>
    <mergeCell ref="U8:V8"/>
    <mergeCell ref="U12:V12"/>
    <mergeCell ref="U14:V14"/>
    <mergeCell ref="M34:N34"/>
    <mergeCell ref="M36:N36"/>
    <mergeCell ref="E40:F40"/>
    <mergeCell ref="E36:F36"/>
    <mergeCell ref="I22:J22"/>
    <mergeCell ref="I24:J24"/>
    <mergeCell ref="I27:J27"/>
    <mergeCell ref="I14:J14"/>
    <mergeCell ref="I16:J16"/>
    <mergeCell ref="I18:J18"/>
    <mergeCell ref="I20:J20"/>
    <mergeCell ref="U38:V38"/>
    <mergeCell ref="U40:V40"/>
    <mergeCell ref="U44:V44"/>
    <mergeCell ref="U43:V43"/>
    <mergeCell ref="U42:V42"/>
    <mergeCell ref="U32:V32"/>
    <mergeCell ref="AA43:AB43"/>
    <mergeCell ref="A4:A6"/>
    <mergeCell ref="E43:F43"/>
    <mergeCell ref="S8:T8"/>
    <mergeCell ref="S12:T12"/>
    <mergeCell ref="S14:T14"/>
    <mergeCell ref="S16:T16"/>
    <mergeCell ref="D4:D6"/>
    <mergeCell ref="G43:H43"/>
    <mergeCell ref="I43:J43"/>
    <mergeCell ref="C4:C6"/>
    <mergeCell ref="O43:P43"/>
    <mergeCell ref="S22:T22"/>
    <mergeCell ref="S24:T24"/>
    <mergeCell ref="Q24:R24"/>
    <mergeCell ref="Q27:R27"/>
    <mergeCell ref="Q22:R22"/>
    <mergeCell ref="S27:T27"/>
    <mergeCell ref="E44:F44"/>
    <mergeCell ref="S30:T30"/>
    <mergeCell ref="M47:N47"/>
    <mergeCell ref="O8:P8"/>
    <mergeCell ref="O12:P12"/>
    <mergeCell ref="O14:P14"/>
    <mergeCell ref="O16:P16"/>
    <mergeCell ref="O18:P18"/>
    <mergeCell ref="O20:P20"/>
    <mergeCell ref="O22:P22"/>
    <mergeCell ref="O24:P24"/>
    <mergeCell ref="O40:P40"/>
    <mergeCell ref="O42:P42"/>
    <mergeCell ref="O27:P27"/>
    <mergeCell ref="O30:P30"/>
    <mergeCell ref="O32:P32"/>
    <mergeCell ref="O34:P34"/>
    <mergeCell ref="M38:N38"/>
    <mergeCell ref="M40:N40"/>
    <mergeCell ref="M42:N42"/>
    <mergeCell ref="M44:N44"/>
    <mergeCell ref="M43:N43"/>
    <mergeCell ref="O44:P44"/>
    <mergeCell ref="O46:P46"/>
    <mergeCell ref="O47:P47"/>
    <mergeCell ref="M30:N30"/>
    <mergeCell ref="E3:F3"/>
    <mergeCell ref="M8:N8"/>
    <mergeCell ref="M12:N12"/>
    <mergeCell ref="M14:N14"/>
    <mergeCell ref="E8:F8"/>
    <mergeCell ref="E12:F12"/>
    <mergeCell ref="E14:F14"/>
    <mergeCell ref="M16:N16"/>
    <mergeCell ref="M20:N20"/>
    <mergeCell ref="M18:N18"/>
    <mergeCell ref="K8:L8"/>
    <mergeCell ref="K12:L12"/>
    <mergeCell ref="K14:L14"/>
    <mergeCell ref="K16:L16"/>
    <mergeCell ref="K18:L18"/>
    <mergeCell ref="E16:F16"/>
    <mergeCell ref="E18:F18"/>
    <mergeCell ref="I8:J8"/>
    <mergeCell ref="I12:J12"/>
    <mergeCell ref="E47:F47"/>
    <mergeCell ref="E46:F46"/>
    <mergeCell ref="G18:H18"/>
    <mergeCell ref="G20:H20"/>
    <mergeCell ref="G22:H22"/>
    <mergeCell ref="G24:H24"/>
    <mergeCell ref="G32:H32"/>
    <mergeCell ref="G34:H34"/>
    <mergeCell ref="E20:F20"/>
    <mergeCell ref="G47:H47"/>
    <mergeCell ref="G36:H36"/>
    <mergeCell ref="G38:H38"/>
    <mergeCell ref="G40:H40"/>
    <mergeCell ref="G42:H42"/>
    <mergeCell ref="G44:H44"/>
    <mergeCell ref="G46:H46"/>
    <mergeCell ref="E38:F38"/>
    <mergeCell ref="E34:F34"/>
    <mergeCell ref="E22:F22"/>
    <mergeCell ref="E24:F24"/>
    <mergeCell ref="E32:F32"/>
    <mergeCell ref="E27:F27"/>
    <mergeCell ref="E30:F30"/>
    <mergeCell ref="E42:F42"/>
    <mergeCell ref="I47:J47"/>
    <mergeCell ref="I36:J36"/>
    <mergeCell ref="I38:J38"/>
    <mergeCell ref="I40:J40"/>
    <mergeCell ref="K20:L20"/>
    <mergeCell ref="K22:L22"/>
    <mergeCell ref="K24:L24"/>
    <mergeCell ref="K27:L27"/>
    <mergeCell ref="K30:L30"/>
    <mergeCell ref="K32:L32"/>
    <mergeCell ref="I30:J30"/>
    <mergeCell ref="I32:J32"/>
    <mergeCell ref="I34:J34"/>
    <mergeCell ref="K46:L46"/>
    <mergeCell ref="K47:L47"/>
    <mergeCell ref="K43:L43"/>
    <mergeCell ref="K38:L38"/>
    <mergeCell ref="K40:L40"/>
    <mergeCell ref="K42:L42"/>
    <mergeCell ref="K44:L44"/>
    <mergeCell ref="I42:J42"/>
    <mergeCell ref="I44:J44"/>
    <mergeCell ref="AC47:AD47"/>
    <mergeCell ref="AC36:AD36"/>
    <mergeCell ref="AC38:AD38"/>
    <mergeCell ref="AC40:AD40"/>
    <mergeCell ref="AC42:AD42"/>
    <mergeCell ref="AC43:AD43"/>
    <mergeCell ref="AC44:AD44"/>
    <mergeCell ref="Q44:R44"/>
    <mergeCell ref="AC8:AD8"/>
    <mergeCell ref="AC12:AD12"/>
    <mergeCell ref="AC14:AD14"/>
    <mergeCell ref="AC16:AD16"/>
    <mergeCell ref="AC30:AD30"/>
    <mergeCell ref="AC32:AD32"/>
    <mergeCell ref="AC34:AD34"/>
    <mergeCell ref="AC18:AD18"/>
    <mergeCell ref="AC20:AD20"/>
    <mergeCell ref="AC22:AD22"/>
    <mergeCell ref="AC24:AD24"/>
    <mergeCell ref="AC27:AD27"/>
    <mergeCell ref="Q14:R14"/>
    <mergeCell ref="Q16:R16"/>
    <mergeCell ref="Q18:R18"/>
    <mergeCell ref="Q20:R20"/>
    <mergeCell ref="Q47:R47"/>
    <mergeCell ref="Q43:R43"/>
    <mergeCell ref="AA47:AB47"/>
    <mergeCell ref="S47:T47"/>
    <mergeCell ref="U47:V47"/>
    <mergeCell ref="S6:T6"/>
    <mergeCell ref="U6:V6"/>
    <mergeCell ref="W6:X6"/>
    <mergeCell ref="Y6:Z6"/>
    <mergeCell ref="AA6:AB6"/>
    <mergeCell ref="Q30:R30"/>
    <mergeCell ref="Q32:R32"/>
    <mergeCell ref="Q36:R36"/>
    <mergeCell ref="Q38:R38"/>
    <mergeCell ref="Q40:R40"/>
    <mergeCell ref="Q42:R42"/>
    <mergeCell ref="S44:T44"/>
    <mergeCell ref="S46:T46"/>
    <mergeCell ref="S43:T43"/>
    <mergeCell ref="S32:T32"/>
    <mergeCell ref="S34:T34"/>
    <mergeCell ref="S36:T36"/>
    <mergeCell ref="S38:T38"/>
    <mergeCell ref="S40:T40"/>
    <mergeCell ref="AC6:AD6"/>
    <mergeCell ref="G6:H6"/>
    <mergeCell ref="I6:J6"/>
    <mergeCell ref="K6:L6"/>
    <mergeCell ref="M6:N6"/>
    <mergeCell ref="O6:P6"/>
    <mergeCell ref="Q6:R6"/>
    <mergeCell ref="O38:P38"/>
    <mergeCell ref="Q46:R46"/>
    <mergeCell ref="AC46:AD46"/>
    <mergeCell ref="K34:L34"/>
    <mergeCell ref="K36:L36"/>
    <mergeCell ref="M22:N22"/>
    <mergeCell ref="M24:N24"/>
    <mergeCell ref="M27:N27"/>
    <mergeCell ref="O36:P36"/>
    <mergeCell ref="I46:J46"/>
    <mergeCell ref="G27:H27"/>
    <mergeCell ref="G30:H30"/>
    <mergeCell ref="M46:N46"/>
    <mergeCell ref="S42:T42"/>
    <mergeCell ref="U46:V46"/>
    <mergeCell ref="U34:V34"/>
    <mergeCell ref="U36:V36"/>
  </mergeCells>
  <phoneticPr fontId="0" type="noConversion"/>
  <printOptions horizontalCentered="1"/>
  <pageMargins left="0.25" right="0.25" top="0.5" bottom="0.05" header="0.25" footer="0.25"/>
  <pageSetup scale="60" orientation="landscape" horizontalDpi="4294967292" r:id="rId1"/>
  <headerFooter alignWithMargins="0">
    <oddHeader>&amp;C&amp;"Arial,Bold"UNC DEPARTMENT OF PEDIATRICS</oddHeader>
    <oddFooter>&amp;L&amp;Z&amp;F&amp;C&amp;D&amp;R&amp;A</oddFooter>
  </headerFooter>
  <colBreaks count="1" manualBreakCount="1">
    <brk id="16" max="5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Y524"/>
  <sheetViews>
    <sheetView zoomScale="85" zoomScaleNormal="85" workbookViewId="0">
      <pane ySplit="7" topLeftCell="A8" activePane="bottomLeft" state="frozen"/>
      <selection activeCell="A44" sqref="A44"/>
      <selection pane="bottomLeft" activeCell="E29" sqref="E29"/>
    </sheetView>
  </sheetViews>
  <sheetFormatPr defaultColWidth="8.85546875" defaultRowHeight="12.75"/>
  <cols>
    <col min="1" max="1" width="52.5703125" style="118" customWidth="1"/>
    <col min="2" max="2" width="18.5703125" style="119"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16384" width="8.85546875" style="45"/>
  </cols>
  <sheetData>
    <row r="1" spans="1:25" s="98" customFormat="1" ht="24.95" customHeight="1" thickBot="1">
      <c r="A1" s="89" t="s">
        <v>242</v>
      </c>
      <c r="B1" s="90"/>
      <c r="C1" s="91"/>
      <c r="D1" s="92"/>
      <c r="E1" s="93"/>
      <c r="F1" s="94"/>
      <c r="G1" s="94"/>
      <c r="H1" s="96"/>
    </row>
    <row r="2" spans="1:25" s="105" customFormat="1" ht="16.5" thickTop="1">
      <c r="A2" s="99" t="s">
        <v>26</v>
      </c>
      <c r="B2" s="1"/>
      <c r="C2" s="100"/>
      <c r="D2" s="101"/>
      <c r="E2" s="102"/>
      <c r="F2" s="103"/>
      <c r="G2" s="103"/>
      <c r="H2" s="104"/>
    </row>
    <row r="3" spans="1:25" s="105" customFormat="1" ht="15.75">
      <c r="A3" s="107" t="s">
        <v>67</v>
      </c>
      <c r="B3" s="260"/>
      <c r="C3" s="108" t="s">
        <v>151</v>
      </c>
      <c r="D3" s="101"/>
      <c r="E3" s="102"/>
      <c r="F3" s="103"/>
      <c r="G3" s="103"/>
      <c r="H3" s="104"/>
    </row>
    <row r="4" spans="1:25" s="105" customFormat="1" ht="15.75">
      <c r="A4" s="107" t="s">
        <v>10</v>
      </c>
      <c r="B4" s="2"/>
      <c r="C4" s="108" t="s">
        <v>168</v>
      </c>
      <c r="D4" s="101"/>
      <c r="E4" s="102"/>
      <c r="F4" s="103"/>
      <c r="G4" s="103"/>
      <c r="H4" s="104"/>
    </row>
    <row r="5" spans="1:25" s="105" customFormat="1" ht="15.75">
      <c r="A5" s="107" t="s">
        <v>32</v>
      </c>
      <c r="B5" s="2"/>
      <c r="C5" s="108" t="s">
        <v>165</v>
      </c>
      <c r="D5" s="101"/>
      <c r="E5" s="102"/>
      <c r="F5" s="103"/>
      <c r="G5" s="103"/>
      <c r="H5" s="104"/>
    </row>
    <row r="6" spans="1:25" ht="15.75">
      <c r="A6" s="109"/>
      <c r="B6" s="110"/>
      <c r="C6" s="111"/>
      <c r="D6" s="112"/>
      <c r="E6" s="113"/>
      <c r="F6" s="114"/>
      <c r="G6" s="114"/>
      <c r="H6" s="45"/>
      <c r="I6" s="117"/>
      <c r="J6" s="117"/>
      <c r="K6" s="117"/>
      <c r="L6" s="117"/>
      <c r="M6" s="117"/>
      <c r="N6" s="117"/>
      <c r="O6" s="117"/>
      <c r="P6" s="117"/>
      <c r="Q6" s="117"/>
      <c r="R6" s="117"/>
      <c r="Y6" s="105"/>
    </row>
    <row r="7" spans="1:25" ht="15.75" thickBot="1">
      <c r="A7" s="4" t="s">
        <v>2</v>
      </c>
      <c r="B7" s="5" t="s">
        <v>3</v>
      </c>
      <c r="C7" s="6" t="s">
        <v>12</v>
      </c>
      <c r="D7" s="7" t="s">
        <v>14</v>
      </c>
      <c r="E7" s="8" t="s">
        <v>17</v>
      </c>
      <c r="F7" s="559" t="s">
        <v>13</v>
      </c>
      <c r="G7" s="560"/>
      <c r="H7" s="9"/>
      <c r="I7" s="117"/>
      <c r="J7" s="117"/>
      <c r="K7" s="117"/>
      <c r="L7" s="117"/>
      <c r="M7" s="117"/>
      <c r="N7" s="117"/>
      <c r="O7" s="117"/>
      <c r="P7" s="117"/>
      <c r="W7" s="105"/>
    </row>
    <row r="8" spans="1:25" ht="15.75" thickTop="1">
      <c r="A8" s="12"/>
      <c r="B8" s="13"/>
      <c r="C8" s="14"/>
      <c r="D8" s="13"/>
      <c r="E8" s="15"/>
      <c r="F8" s="16"/>
      <c r="G8" s="17"/>
      <c r="H8" s="18"/>
      <c r="I8" s="117"/>
      <c r="J8" s="117"/>
      <c r="K8" s="117"/>
      <c r="L8" s="117"/>
      <c r="M8" s="117"/>
      <c r="N8" s="117"/>
      <c r="O8" s="117"/>
      <c r="P8" s="117"/>
      <c r="W8" s="105"/>
    </row>
    <row r="9" spans="1:25">
      <c r="A9" s="12" t="s">
        <v>0</v>
      </c>
      <c r="B9" s="13" t="s">
        <v>34</v>
      </c>
      <c r="C9" s="14"/>
      <c r="D9" s="13"/>
      <c r="E9" s="3"/>
      <c r="F9" s="561">
        <f>E9/12</f>
        <v>0</v>
      </c>
      <c r="G9" s="562"/>
      <c r="I9" s="117"/>
      <c r="J9" s="117"/>
      <c r="K9" s="117"/>
      <c r="L9" s="117"/>
      <c r="M9" s="117"/>
      <c r="N9" s="117"/>
      <c r="O9" s="117"/>
      <c r="P9" s="117"/>
    </row>
    <row r="10" spans="1:25">
      <c r="A10" s="22"/>
      <c r="B10" s="23"/>
      <c r="C10" s="24"/>
      <c r="D10" s="23"/>
      <c r="E10" s="25"/>
      <c r="G10" s="27"/>
      <c r="I10" s="117"/>
      <c r="J10" s="117"/>
      <c r="K10" s="117"/>
      <c r="L10" s="117"/>
      <c r="M10" s="117"/>
      <c r="N10" s="117"/>
      <c r="O10" s="117"/>
      <c r="P10" s="117"/>
    </row>
    <row r="11" spans="1:25">
      <c r="A11" s="29" t="s">
        <v>150</v>
      </c>
      <c r="B11" s="30"/>
      <c r="C11" s="31"/>
      <c r="D11" s="30"/>
      <c r="E11" s="32"/>
      <c r="F11" s="33"/>
      <c r="G11" s="34"/>
      <c r="I11" s="117"/>
      <c r="J11" s="117"/>
      <c r="K11" s="117"/>
      <c r="L11" s="117"/>
      <c r="M11" s="117"/>
      <c r="N11" s="117"/>
      <c r="O11" s="117"/>
      <c r="P11" s="117"/>
    </row>
    <row r="12" spans="1:25">
      <c r="A12" s="35"/>
      <c r="B12" s="36"/>
      <c r="C12" s="37"/>
      <c r="D12" s="36"/>
      <c r="E12" s="38"/>
      <c r="G12" s="27"/>
      <c r="I12" s="117"/>
      <c r="J12" s="117"/>
      <c r="K12" s="117"/>
      <c r="L12" s="117"/>
      <c r="M12" s="117"/>
      <c r="N12" s="117"/>
      <c r="O12" s="117"/>
      <c r="P12" s="117"/>
    </row>
    <row r="13" spans="1:25" ht="14.25">
      <c r="A13" s="12" t="s">
        <v>38</v>
      </c>
      <c r="B13" s="13">
        <v>1812</v>
      </c>
      <c r="C13" s="39" t="str">
        <f>CONCATENATE(Summary!$G$9*100,"% of Salary")</f>
        <v>6.2% of Salary</v>
      </c>
      <c r="D13" s="40"/>
      <c r="E13" s="15">
        <f>IF($E$9&gt;=Summary!G10,Summary!G9*Summary!G10,$E$9*Summary!G9)</f>
        <v>0</v>
      </c>
      <c r="F13" s="553">
        <f>IF(ISERROR(E13/12),"-",E13/12)</f>
        <v>0</v>
      </c>
      <c r="G13" s="554">
        <f>IF(ISERROR(F13/12),"-",F13/12)</f>
        <v>0</v>
      </c>
      <c r="I13" s="117"/>
      <c r="J13" s="117"/>
      <c r="K13" s="117"/>
      <c r="L13" s="117"/>
      <c r="M13" s="117"/>
      <c r="N13" s="117"/>
      <c r="O13" s="117"/>
      <c r="P13" s="117"/>
    </row>
    <row r="14" spans="1:25">
      <c r="A14" s="12"/>
      <c r="B14" s="13"/>
      <c r="C14" s="39"/>
      <c r="D14" s="13"/>
      <c r="E14" s="15"/>
      <c r="F14" s="139"/>
      <c r="G14" s="318"/>
      <c r="I14" s="117"/>
      <c r="J14" s="117"/>
      <c r="K14" s="117"/>
      <c r="L14" s="117"/>
      <c r="M14" s="117"/>
      <c r="N14" s="117"/>
      <c r="O14" s="117"/>
      <c r="P14" s="117"/>
    </row>
    <row r="15" spans="1:25">
      <c r="A15" s="35" t="s">
        <v>11</v>
      </c>
      <c r="B15" s="40">
        <v>1813</v>
      </c>
      <c r="C15" s="39" t="str">
        <f>CONCATENATE(Summary!$G$11*100,"% of Salary")</f>
        <v>1.45% of Salary</v>
      </c>
      <c r="D15" s="40"/>
      <c r="E15" s="15">
        <f>SUM($E$9*Summary!G11)</f>
        <v>0</v>
      </c>
      <c r="F15" s="553">
        <f>IF(ISERROR(E15/12),"-",E15/12)</f>
        <v>0</v>
      </c>
      <c r="G15" s="554">
        <f>IF(ISERROR(F15/12),"-",F15/12)</f>
        <v>0</v>
      </c>
      <c r="I15" s="117"/>
      <c r="J15" s="117"/>
      <c r="K15" s="117"/>
      <c r="L15" s="117"/>
      <c r="M15" s="117"/>
      <c r="N15" s="117"/>
      <c r="O15" s="117"/>
      <c r="P15" s="117"/>
    </row>
    <row r="16" spans="1:25">
      <c r="A16" s="12"/>
      <c r="B16" s="13"/>
      <c r="C16" s="39"/>
      <c r="D16" s="13"/>
      <c r="E16" s="15"/>
      <c r="F16" s="553"/>
      <c r="G16" s="554"/>
      <c r="I16" s="117"/>
      <c r="J16" s="117"/>
      <c r="K16" s="117"/>
      <c r="L16" s="117"/>
      <c r="M16" s="117"/>
      <c r="N16" s="117"/>
      <c r="O16" s="117"/>
      <c r="P16" s="117"/>
    </row>
    <row r="17" spans="1:25" ht="14.25">
      <c r="A17" s="12" t="s">
        <v>39</v>
      </c>
      <c r="B17" s="13">
        <v>1822</v>
      </c>
      <c r="C17" s="39" t="str">
        <f>CONCATENATE(Summary!$G$14*100,"%  of Salary")</f>
        <v>14.23%  of Salary</v>
      </c>
      <c r="D17" s="41">
        <f>IF($E$9&gt;=Summary!$G$15,Summary!$G$15,$E$9)*Summary!$G$14</f>
        <v>0</v>
      </c>
      <c r="E17" s="122" t="str">
        <f>IF(AND(B3&gt;0.74,B4="Yes",B5="State"),D17,(IF(AND(B3&gt;0.74,B4="No",B5="State"),D18,"-")))</f>
        <v>-</v>
      </c>
      <c r="F17" s="553" t="str">
        <f>IF(ISERROR(E17/12),"-",E17/12)</f>
        <v>-</v>
      </c>
      <c r="G17" s="554" t="str">
        <f>IF(ISERROR(F17/12),"-",F17/12)</f>
        <v>-</v>
      </c>
      <c r="I17" s="117"/>
      <c r="J17" s="117"/>
      <c r="K17" s="117"/>
      <c r="L17" s="117"/>
      <c r="M17" s="117"/>
      <c r="N17" s="117"/>
      <c r="O17" s="117"/>
      <c r="P17" s="117"/>
    </row>
    <row r="18" spans="1:25">
      <c r="A18" s="43"/>
      <c r="B18" s="13"/>
      <c r="C18" s="39"/>
      <c r="D18" s="41">
        <f>IF($E$9&gt;Summary!$G$16,Summary!$G$16,$E$9)*Summary!$G$14</f>
        <v>0</v>
      </c>
      <c r="E18" s="44"/>
      <c r="F18" s="553"/>
      <c r="G18" s="554"/>
      <c r="H18" s="45"/>
      <c r="I18" s="117"/>
      <c r="J18" s="117"/>
      <c r="K18" s="117"/>
      <c r="L18" s="117"/>
      <c r="M18" s="117"/>
      <c r="N18" s="117"/>
      <c r="O18" s="117"/>
      <c r="P18" s="117"/>
    </row>
    <row r="19" spans="1:25" ht="14.25">
      <c r="A19" s="12" t="s">
        <v>84</v>
      </c>
      <c r="B19" s="13" t="s">
        <v>5</v>
      </c>
      <c r="C19" s="39" t="str">
        <f>CONCATENATE(Summary!$G$20*100,"% of Salary")</f>
        <v>12.58% of Salary</v>
      </c>
      <c r="D19" s="41">
        <f>IF($E$9&gt;Summary!$G$21,Summary!$G$21,$E$9)*Summary!$G$20</f>
        <v>0</v>
      </c>
      <c r="E19" s="42" t="str">
        <f>IF(AND(B3&gt;0.74,B4="Yes",B5="Optional"),D19,(IF(AND(B3&gt;0.74,B4="No",B5="Optional"),D20,"-")))</f>
        <v>-</v>
      </c>
      <c r="F19" s="553" t="str">
        <f>IF(ISERROR(E19/12),"-",E19/12)</f>
        <v>-</v>
      </c>
      <c r="G19" s="554" t="str">
        <f>IF(ISERROR(F19/12),"-",F19/12)</f>
        <v>-</v>
      </c>
      <c r="I19" s="117"/>
      <c r="J19" s="117"/>
      <c r="K19" s="117"/>
      <c r="L19" s="117"/>
      <c r="M19" s="117"/>
      <c r="N19" s="117"/>
      <c r="O19" s="117"/>
      <c r="P19" s="117"/>
    </row>
    <row r="20" spans="1:25">
      <c r="A20" s="43"/>
      <c r="B20" s="13"/>
      <c r="C20" s="39"/>
      <c r="D20" s="41">
        <f>IF($E$9&gt;Summary!$G$22,Summary!$G$22,$E$9)*Summary!$G$20</f>
        <v>0</v>
      </c>
      <c r="E20" s="44"/>
      <c r="F20" s="553"/>
      <c r="G20" s="554"/>
      <c r="I20" s="117"/>
      <c r="J20" s="117"/>
      <c r="K20" s="117"/>
      <c r="L20" s="117"/>
      <c r="M20" s="117"/>
      <c r="N20" s="117"/>
      <c r="O20" s="117"/>
      <c r="P20" s="117"/>
    </row>
    <row r="21" spans="1:25">
      <c r="A21" s="12" t="s">
        <v>1</v>
      </c>
      <c r="B21" s="13">
        <v>1832</v>
      </c>
      <c r="C21" s="46" t="str">
        <f>CONCATENATE(Summary!$G$29,"/month")</f>
        <v>432.66/month</v>
      </c>
      <c r="D21" s="13"/>
      <c r="E21" s="122" t="str">
        <f>IF(B3&gt;0.74,Summary!$G$29*12,"-")</f>
        <v>-</v>
      </c>
      <c r="F21" s="553" t="str">
        <f>IF(ISERROR(E21/12),"-",E21/12)</f>
        <v>-</v>
      </c>
      <c r="G21" s="554" t="str">
        <f>IF(ISERROR(F21/12),"-",F21/12)</f>
        <v>-</v>
      </c>
    </row>
    <row r="22" spans="1:25">
      <c r="A22" s="12"/>
      <c r="B22" s="13"/>
      <c r="C22" s="39"/>
      <c r="D22" s="13"/>
      <c r="E22" s="15"/>
      <c r="F22" s="553"/>
      <c r="G22" s="554"/>
    </row>
    <row r="23" spans="1:25">
      <c r="A23" s="35" t="s">
        <v>18</v>
      </c>
      <c r="B23" s="40">
        <v>1892</v>
      </c>
      <c r="C23" s="39" t="str">
        <f>CONCATENATE(Summary!$G$27*100,"% of Salary")</f>
        <v>0.35% of Salary</v>
      </c>
      <c r="D23" s="40"/>
      <c r="E23" s="15">
        <f>SUM($E$9*Summary!G27)</f>
        <v>0</v>
      </c>
      <c r="F23" s="553">
        <f>IF(ISERROR(E23/12),"-",E23/12)</f>
        <v>0</v>
      </c>
      <c r="G23" s="554">
        <f>IF(ISERROR(F23/12),"-",F23/12)</f>
        <v>0</v>
      </c>
    </row>
    <row r="24" spans="1:25">
      <c r="A24" s="35"/>
      <c r="B24" s="40"/>
      <c r="C24" s="47"/>
      <c r="D24" s="40"/>
      <c r="E24" s="15"/>
      <c r="F24" s="553"/>
      <c r="G24" s="554"/>
    </row>
    <row r="25" spans="1:25">
      <c r="A25" s="48" t="s">
        <v>6</v>
      </c>
      <c r="B25" s="40">
        <v>3914</v>
      </c>
      <c r="C25" s="39" t="str">
        <f>CONCATENATE(Summary!$G$76*100,"% of Salary")</f>
        <v>0.241% of Salary</v>
      </c>
      <c r="D25" s="40"/>
      <c r="E25" s="15">
        <f>SUM($E$9*Summary!G76)</f>
        <v>0</v>
      </c>
      <c r="F25" s="553">
        <f>IF(ISERROR(E25/12),"-",E25/12)</f>
        <v>0</v>
      </c>
      <c r="G25" s="554">
        <f>IF(ISERROR(F25/12),"-",F25/12)</f>
        <v>0</v>
      </c>
    </row>
    <row r="26" spans="1:25">
      <c r="A26" s="48"/>
      <c r="B26" s="40"/>
      <c r="C26" s="39"/>
      <c r="D26" s="40"/>
      <c r="E26" s="15"/>
      <c r="F26" s="553"/>
      <c r="G26" s="554"/>
    </row>
    <row r="27" spans="1:25">
      <c r="A27" s="48" t="s">
        <v>238</v>
      </c>
      <c r="B27" s="40">
        <v>3225</v>
      </c>
      <c r="C27" s="39" t="str">
        <f>CONCATENATE(Summary!$G$75*100,"% of Salary")</f>
        <v>0.54% of Salary</v>
      </c>
      <c r="D27" s="40"/>
      <c r="E27" s="15">
        <f>SUM($E$9*Summary!G75)</f>
        <v>0</v>
      </c>
      <c r="F27" s="553">
        <f>IF(ISERROR(E27/12),"-",E27/12)</f>
        <v>0</v>
      </c>
      <c r="G27" s="554">
        <f>IF(ISERROR(F27/12),"-",F27/12)</f>
        <v>0</v>
      </c>
    </row>
    <row r="28" spans="1:25">
      <c r="A28" s="48"/>
      <c r="B28" s="40"/>
      <c r="C28" s="39"/>
      <c r="D28" s="40"/>
      <c r="E28" s="15"/>
      <c r="F28" s="553"/>
      <c r="G28" s="554"/>
    </row>
    <row r="29" spans="1:25">
      <c r="A29" s="48" t="s">
        <v>40</v>
      </c>
      <c r="B29" s="40">
        <v>1803</v>
      </c>
      <c r="C29" s="39" t="s">
        <v>253</v>
      </c>
      <c r="D29" s="40"/>
      <c r="E29" s="3"/>
      <c r="F29" s="553">
        <f>IF(ISERROR(E29/12),"-",E29/12)</f>
        <v>0</v>
      </c>
      <c r="G29" s="554">
        <f>IF(ISERROR(F29/12),"-",F29/12)</f>
        <v>0</v>
      </c>
    </row>
    <row r="30" spans="1:25" s="85" customFormat="1">
      <c r="A30" s="48"/>
      <c r="B30" s="36"/>
      <c r="C30" s="37"/>
      <c r="D30" s="36"/>
      <c r="E30" s="38"/>
      <c r="F30" s="49"/>
      <c r="G30" s="50"/>
      <c r="H30" s="61"/>
      <c r="Y30" s="45"/>
    </row>
    <row r="31" spans="1:25" s="85" customFormat="1" ht="13.5" thickBot="1">
      <c r="A31" s="52" t="s">
        <v>149</v>
      </c>
      <c r="B31" s="53"/>
      <c r="C31" s="54"/>
      <c r="D31" s="55"/>
      <c r="E31" s="56">
        <f>SUM(E13:E30)</f>
        <v>0</v>
      </c>
      <c r="F31" s="557">
        <f>SUM(F13:G30)</f>
        <v>0</v>
      </c>
      <c r="G31" s="558"/>
      <c r="H31" s="61"/>
      <c r="Y31" s="45"/>
    </row>
    <row r="32" spans="1:25" ht="17.25" thickTop="1" thickBot="1">
      <c r="A32" s="76" t="s">
        <v>37</v>
      </c>
      <c r="B32" s="77"/>
      <c r="C32" s="78"/>
      <c r="D32" s="79"/>
      <c r="E32" s="80">
        <f>E9+E31</f>
        <v>0</v>
      </c>
      <c r="F32" s="555">
        <f>F9+F31</f>
        <v>0</v>
      </c>
      <c r="G32" s="556"/>
    </row>
    <row r="33" spans="1:25" ht="18" customHeight="1" thickTop="1">
      <c r="A33" s="81"/>
      <c r="B33" s="82"/>
      <c r="C33" s="83"/>
      <c r="D33" s="82"/>
      <c r="E33" s="551" t="s">
        <v>203</v>
      </c>
      <c r="F33" s="549" t="e">
        <f>E31/E9</f>
        <v>#DIV/0!</v>
      </c>
      <c r="G33" s="549"/>
      <c r="Y33" s="85"/>
    </row>
    <row r="34" spans="1:25">
      <c r="A34" s="142" t="s">
        <v>7</v>
      </c>
      <c r="B34" s="86"/>
      <c r="C34" s="66"/>
      <c r="D34" s="86"/>
      <c r="E34" s="552"/>
      <c r="F34" s="550"/>
      <c r="G34" s="550"/>
    </row>
    <row r="35" spans="1:25">
      <c r="A35" s="88" t="str">
        <f>'EPA Clinical Benefits'!A54</f>
        <v>1) Social Security:  CY2013 Salary maximum is $113,700</v>
      </c>
      <c r="B35" s="86"/>
      <c r="C35" s="66"/>
      <c r="D35" s="86"/>
      <c r="E35" s="87"/>
    </row>
    <row r="36" spans="1:25">
      <c r="A36" s="88" t="str">
        <f>'EPA Clinical Benefits'!A55</f>
        <v>2) State and Optional Retirement:  $375,000 salary max if employed PRIOR to 07/01/96, $250,000 max if employed AFTER 07/01/96</v>
      </c>
      <c r="B36" s="86"/>
      <c r="C36" s="66"/>
      <c r="D36" s="86"/>
      <c r="E36" s="87"/>
    </row>
    <row r="37" spans="1:25">
      <c r="A37" s="88"/>
      <c r="B37" s="82"/>
      <c r="C37" s="83"/>
      <c r="D37" s="82"/>
      <c r="E37" s="84"/>
    </row>
    <row r="38" spans="1:25">
      <c r="A38" s="144"/>
      <c r="B38" s="82"/>
      <c r="C38" s="83"/>
      <c r="D38" s="82"/>
      <c r="E38" s="84"/>
    </row>
    <row r="39" spans="1:25">
      <c r="A39" s="143"/>
      <c r="B39" s="82"/>
      <c r="C39" s="83"/>
      <c r="D39" s="82"/>
      <c r="E39" s="84"/>
    </row>
    <row r="40" spans="1:25">
      <c r="A40" s="117"/>
      <c r="B40" s="82"/>
      <c r="C40" s="83"/>
      <c r="D40" s="82"/>
      <c r="E40" s="84"/>
    </row>
    <row r="41" spans="1:25">
      <c r="A41" s="117"/>
      <c r="B41" s="82"/>
      <c r="C41" s="83"/>
      <c r="D41" s="82"/>
      <c r="E41" s="84"/>
    </row>
    <row r="42" spans="1:25">
      <c r="A42" s="117"/>
      <c r="B42" s="82"/>
      <c r="C42" s="83"/>
      <c r="D42" s="82"/>
      <c r="E42" s="84"/>
    </row>
    <row r="43" spans="1:25">
      <c r="A43" s="117"/>
      <c r="B43" s="82"/>
      <c r="C43" s="83"/>
      <c r="D43" s="82"/>
      <c r="E43" s="84"/>
    </row>
    <row r="44" spans="1:25">
      <c r="A44" s="117"/>
      <c r="B44" s="82"/>
      <c r="C44" s="83"/>
      <c r="D44" s="82"/>
      <c r="E44" s="84"/>
    </row>
    <row r="45" spans="1:25">
      <c r="A45" s="117"/>
      <c r="B45" s="82"/>
      <c r="C45" s="83"/>
      <c r="D45" s="82"/>
      <c r="E45" s="84"/>
    </row>
    <row r="46" spans="1:25">
      <c r="A46" s="117"/>
      <c r="B46" s="82"/>
      <c r="C46" s="83"/>
      <c r="D46" s="82"/>
      <c r="E46" s="84"/>
    </row>
    <row r="47" spans="1:25">
      <c r="A47" s="117"/>
      <c r="B47" s="82"/>
      <c r="C47" s="83"/>
      <c r="D47" s="82"/>
      <c r="E47" s="84"/>
    </row>
    <row r="48" spans="1:25">
      <c r="A48" s="117"/>
      <c r="B48" s="82"/>
      <c r="C48" s="83"/>
      <c r="D48" s="82"/>
      <c r="E48" s="84"/>
    </row>
    <row r="49" spans="1:25">
      <c r="A49" s="117"/>
      <c r="B49" s="82"/>
      <c r="C49" s="83"/>
      <c r="D49" s="82"/>
      <c r="E49" s="84"/>
    </row>
    <row r="50" spans="1:25">
      <c r="A50" s="117"/>
      <c r="B50" s="82"/>
      <c r="C50" s="83"/>
      <c r="D50" s="82"/>
      <c r="E50" s="84"/>
    </row>
    <row r="51" spans="1:25">
      <c r="A51" s="117"/>
      <c r="B51" s="82"/>
      <c r="C51" s="83"/>
      <c r="D51" s="82"/>
      <c r="E51" s="84"/>
    </row>
    <row r="52" spans="1:25">
      <c r="A52" s="117"/>
      <c r="B52" s="82"/>
      <c r="C52" s="83"/>
      <c r="D52" s="82"/>
      <c r="E52" s="84"/>
    </row>
    <row r="53" spans="1:25">
      <c r="A53" s="117"/>
      <c r="B53" s="82"/>
      <c r="C53" s="83"/>
      <c r="D53" s="82"/>
      <c r="E53" s="84"/>
      <c r="Y53" s="85"/>
    </row>
    <row r="54" spans="1:25">
      <c r="A54" s="117"/>
      <c r="B54" s="82"/>
      <c r="C54" s="83"/>
      <c r="D54" s="82"/>
      <c r="E54" s="84"/>
      <c r="Y54" s="85"/>
    </row>
    <row r="55" spans="1:25">
      <c r="A55" s="117"/>
      <c r="B55" s="82"/>
      <c r="C55" s="83"/>
      <c r="D55" s="82"/>
      <c r="E55" s="84"/>
    </row>
    <row r="56" spans="1:25">
      <c r="A56" s="117"/>
      <c r="B56" s="82"/>
      <c r="C56" s="83"/>
      <c r="D56" s="82"/>
      <c r="E56" s="84"/>
    </row>
    <row r="57" spans="1:25">
      <c r="A57" s="117"/>
      <c r="B57" s="82"/>
      <c r="C57" s="83"/>
      <c r="D57" s="82"/>
      <c r="E57" s="84"/>
    </row>
    <row r="58" spans="1:25">
      <c r="A58" s="117"/>
      <c r="B58" s="82"/>
      <c r="C58" s="83"/>
      <c r="D58" s="82"/>
      <c r="E58" s="84"/>
    </row>
    <row r="59" spans="1:25">
      <c r="A59" s="117"/>
      <c r="B59" s="82"/>
      <c r="C59" s="83"/>
      <c r="D59" s="82"/>
      <c r="E59" s="84"/>
    </row>
    <row r="60" spans="1:25">
      <c r="A60" s="117"/>
      <c r="B60" s="82"/>
      <c r="C60" s="83"/>
      <c r="D60" s="82"/>
      <c r="E60" s="84"/>
    </row>
    <row r="61" spans="1:25">
      <c r="A61" s="117"/>
      <c r="B61" s="82"/>
      <c r="C61" s="83"/>
      <c r="D61" s="82"/>
      <c r="E61" s="84"/>
    </row>
    <row r="62" spans="1:25">
      <c r="A62" s="117"/>
      <c r="B62" s="82"/>
      <c r="C62" s="83"/>
      <c r="D62" s="82"/>
      <c r="E62" s="84"/>
    </row>
    <row r="63" spans="1:25">
      <c r="A63" s="117"/>
      <c r="B63" s="82"/>
      <c r="C63" s="83"/>
      <c r="D63" s="82"/>
      <c r="E63" s="84"/>
    </row>
    <row r="64" spans="1:2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sheetData>
  <mergeCells count="22">
    <mergeCell ref="F26:G26"/>
    <mergeCell ref="F27:G27"/>
    <mergeCell ref="F28:G28"/>
    <mergeCell ref="F20:G20"/>
    <mergeCell ref="F21:G21"/>
    <mergeCell ref="F23:G23"/>
    <mergeCell ref="F25:G25"/>
    <mergeCell ref="F22:G22"/>
    <mergeCell ref="F24:G24"/>
    <mergeCell ref="F7:G7"/>
    <mergeCell ref="F17:G17"/>
    <mergeCell ref="F19:G19"/>
    <mergeCell ref="F9:G9"/>
    <mergeCell ref="F13:G13"/>
    <mergeCell ref="F15:G15"/>
    <mergeCell ref="F18:G18"/>
    <mergeCell ref="F16:G16"/>
    <mergeCell ref="F33:G34"/>
    <mergeCell ref="E33:E34"/>
    <mergeCell ref="F29:G29"/>
    <mergeCell ref="F32:G32"/>
    <mergeCell ref="F31:G31"/>
  </mergeCells>
  <phoneticPr fontId="0" type="noConversion"/>
  <dataValidations count="3">
    <dataValidation type="list" allowBlank="1" showInputMessage="1" showErrorMessage="1" sqref="B4">
      <formula1>Hired</formula1>
    </dataValidation>
    <dataValidation type="list" allowBlank="1" showInputMessage="1" showErrorMessage="1" sqref="B5">
      <formula1>Retire</formula1>
    </dataValidation>
    <dataValidation type="decimal" allowBlank="1" showInputMessage="1" showErrorMessage="1" sqref="B3">
      <formula1>0.5</formula1>
      <formula2>1</formula2>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A525"/>
  <sheetViews>
    <sheetView zoomScale="85" zoomScaleNormal="85" workbookViewId="0">
      <pane ySplit="6" topLeftCell="A7" activePane="bottomLeft" state="frozen"/>
      <selection activeCell="X20" sqref="X20"/>
      <selection pane="bottomLeft" activeCell="E30" sqref="E30"/>
    </sheetView>
  </sheetViews>
  <sheetFormatPr defaultColWidth="8.85546875" defaultRowHeight="12.75"/>
  <cols>
    <col min="1" max="1" width="52.5703125" style="118" customWidth="1"/>
    <col min="2" max="2" width="16" style="119" bestFit="1"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2.140625" style="21" bestFit="1" customWidth="1"/>
    <col min="10" max="10" width="15.140625" style="21" bestFit="1" customWidth="1"/>
    <col min="11" max="11" width="6.140625" style="21" customWidth="1"/>
    <col min="12" max="12" width="8.28515625" style="45" hidden="1" customWidth="1"/>
    <col min="13" max="13" width="10.7109375" style="45" hidden="1" customWidth="1"/>
    <col min="14" max="16384" width="8.85546875" style="45"/>
  </cols>
  <sheetData>
    <row r="1" spans="1:27" s="98" customFormat="1" ht="24.95" customHeight="1" thickBot="1">
      <c r="A1" s="89" t="s">
        <v>243</v>
      </c>
      <c r="B1" s="90"/>
      <c r="C1" s="91"/>
      <c r="D1" s="92"/>
      <c r="E1" s="93"/>
      <c r="F1" s="94"/>
      <c r="G1" s="94"/>
      <c r="H1" s="96"/>
      <c r="I1" s="96"/>
      <c r="J1" s="96"/>
      <c r="K1" s="97"/>
    </row>
    <row r="2" spans="1:27" s="105" customFormat="1" ht="16.5" thickTop="1">
      <c r="A2" s="99" t="s">
        <v>26</v>
      </c>
      <c r="B2" s="1"/>
      <c r="C2" s="100"/>
      <c r="D2" s="101"/>
      <c r="E2" s="102"/>
      <c r="F2" s="103"/>
      <c r="G2" s="103"/>
      <c r="H2" s="104"/>
      <c r="K2" s="106"/>
    </row>
    <row r="3" spans="1:27" s="105" customFormat="1" ht="15.75">
      <c r="A3" s="107" t="s">
        <v>188</v>
      </c>
      <c r="B3" s="331"/>
      <c r="C3" s="333" t="s">
        <v>189</v>
      </c>
      <c r="D3" s="101"/>
      <c r="E3" s="102"/>
      <c r="F3" s="103"/>
      <c r="G3" s="103"/>
      <c r="H3" s="104"/>
      <c r="K3" s="106"/>
    </row>
    <row r="4" spans="1:27" s="105" customFormat="1" ht="15.75">
      <c r="A4" s="107" t="s">
        <v>55</v>
      </c>
      <c r="B4" s="372" t="str">
        <f>IF(TRUNC(DAYS360(B3,Summary!G85,FALSE)/360,0)&gt;35,"0",TRUNC(DAYS360(B3,Summary!G85,FALSE)/360,0))</f>
        <v>0</v>
      </c>
      <c r="C4" s="108"/>
      <c r="D4" s="101"/>
      <c r="E4" s="102"/>
      <c r="F4" s="103"/>
      <c r="G4" s="103"/>
      <c r="H4" s="104"/>
      <c r="K4" s="106"/>
    </row>
    <row r="5" spans="1:27" ht="15.75">
      <c r="A5" s="109"/>
      <c r="B5" s="110"/>
      <c r="C5" s="111"/>
      <c r="D5" s="112"/>
      <c r="E5" s="113"/>
      <c r="F5" s="114"/>
      <c r="G5" s="114"/>
      <c r="H5" s="45"/>
      <c r="I5" s="117"/>
      <c r="J5" s="117"/>
      <c r="K5" s="61"/>
      <c r="L5" s="117"/>
      <c r="M5" s="117"/>
      <c r="N5" s="117"/>
      <c r="O5" s="117"/>
      <c r="P5" s="117"/>
      <c r="Q5" s="117"/>
      <c r="R5" s="117"/>
      <c r="S5" s="117"/>
      <c r="T5" s="117"/>
      <c r="U5" s="117"/>
      <c r="V5" s="117"/>
      <c r="AA5" s="105"/>
    </row>
    <row r="6" spans="1:27" ht="15" customHeight="1" thickBot="1">
      <c r="A6" s="4" t="s">
        <v>2</v>
      </c>
      <c r="B6" s="5" t="s">
        <v>3</v>
      </c>
      <c r="C6" s="6" t="s">
        <v>12</v>
      </c>
      <c r="D6" s="7" t="s">
        <v>14</v>
      </c>
      <c r="E6" s="8" t="s">
        <v>17</v>
      </c>
      <c r="F6" s="559" t="s">
        <v>13</v>
      </c>
      <c r="G6" s="560"/>
      <c r="H6" s="9"/>
      <c r="I6" s="362" t="s">
        <v>27</v>
      </c>
      <c r="J6" s="250"/>
      <c r="L6" s="117"/>
      <c r="M6" s="117"/>
      <c r="N6" s="117"/>
      <c r="O6" s="117"/>
      <c r="P6" s="117"/>
      <c r="Q6" s="117"/>
      <c r="R6" s="117"/>
      <c r="S6" s="117"/>
      <c r="T6" s="117"/>
      <c r="U6" s="117"/>
      <c r="V6" s="117"/>
      <c r="AA6" s="105"/>
    </row>
    <row r="7" spans="1:27" ht="15" customHeight="1" thickTop="1" thickBot="1">
      <c r="A7" s="12"/>
      <c r="B7" s="13"/>
      <c r="C7" s="14"/>
      <c r="D7" s="13"/>
      <c r="E7" s="15"/>
      <c r="F7" s="16"/>
      <c r="G7" s="17"/>
      <c r="H7" s="18"/>
      <c r="I7" s="363" t="s">
        <v>49</v>
      </c>
      <c r="J7" s="364" t="s">
        <v>48</v>
      </c>
      <c r="L7" s="10" t="s">
        <v>57</v>
      </c>
      <c r="M7" s="365" t="s">
        <v>48</v>
      </c>
      <c r="N7" s="117"/>
      <c r="O7" s="117"/>
      <c r="P7" s="117"/>
      <c r="Q7" s="117"/>
      <c r="R7" s="117"/>
      <c r="S7" s="117"/>
      <c r="T7" s="117"/>
      <c r="U7" s="117"/>
      <c r="V7" s="117"/>
      <c r="AA7" s="105"/>
    </row>
    <row r="8" spans="1:27" ht="15" customHeight="1" thickTop="1">
      <c r="A8" s="12" t="s">
        <v>0</v>
      </c>
      <c r="B8" s="13">
        <v>1210</v>
      </c>
      <c r="C8" s="14"/>
      <c r="D8" s="13"/>
      <c r="E8" s="254"/>
      <c r="F8" s="561">
        <f>E8/12</f>
        <v>0</v>
      </c>
      <c r="G8" s="562"/>
      <c r="I8" s="366" t="s">
        <v>56</v>
      </c>
      <c r="J8" s="367">
        <v>0</v>
      </c>
      <c r="L8" s="132">
        <v>1</v>
      </c>
      <c r="M8" s="133">
        <v>0</v>
      </c>
      <c r="N8" s="117"/>
      <c r="O8" s="117"/>
      <c r="P8" s="117"/>
      <c r="Q8" s="117"/>
      <c r="R8" s="117"/>
      <c r="S8" s="117"/>
      <c r="T8" s="117"/>
      <c r="U8" s="117"/>
      <c r="V8" s="117"/>
      <c r="AA8" s="105"/>
    </row>
    <row r="9" spans="1:27" ht="15" customHeight="1">
      <c r="A9" s="12"/>
      <c r="B9" s="13"/>
      <c r="C9" s="14"/>
      <c r="D9" s="13"/>
      <c r="E9" s="344"/>
      <c r="F9" s="16"/>
      <c r="G9" s="17"/>
      <c r="I9" s="366" t="s">
        <v>50</v>
      </c>
      <c r="J9" s="367">
        <v>1.4999999999999999E-2</v>
      </c>
      <c r="L9" s="132">
        <v>2</v>
      </c>
      <c r="M9" s="133">
        <v>0</v>
      </c>
      <c r="N9" s="117"/>
      <c r="O9" s="117"/>
      <c r="P9" s="117"/>
      <c r="Q9" s="117"/>
      <c r="R9" s="117"/>
      <c r="S9" s="117"/>
      <c r="T9" s="117"/>
      <c r="U9" s="117"/>
      <c r="V9" s="117"/>
      <c r="AA9" s="105"/>
    </row>
    <row r="10" spans="1:27" ht="15" customHeight="1">
      <c r="A10" s="48" t="s">
        <v>54</v>
      </c>
      <c r="B10" s="13">
        <v>1271</v>
      </c>
      <c r="C10" s="39" t="s">
        <v>35</v>
      </c>
      <c r="D10" s="343" t="str">
        <f>IF(ISERROR(INDEX(L8:M44,MATCH(B4,L8:L44,0),2)),"0",INDEX(L8:M44,MATCH(B4,L8:L44,0),2))</f>
        <v>0</v>
      </c>
      <c r="E10" s="15">
        <f>$E$8*D10</f>
        <v>0</v>
      </c>
      <c r="F10" s="16"/>
      <c r="G10" s="17"/>
      <c r="I10" s="366" t="s">
        <v>51</v>
      </c>
      <c r="J10" s="367">
        <v>2.2499999999999999E-2</v>
      </c>
      <c r="L10" s="132">
        <v>3</v>
      </c>
      <c r="M10" s="133">
        <v>0</v>
      </c>
      <c r="N10" s="117"/>
      <c r="O10" s="117"/>
      <c r="P10" s="117"/>
      <c r="Q10" s="117"/>
      <c r="R10" s="117"/>
      <c r="S10" s="117"/>
      <c r="T10" s="117"/>
      <c r="U10" s="117"/>
      <c r="V10" s="117"/>
      <c r="AA10" s="105"/>
    </row>
    <row r="11" spans="1:27" ht="15" customHeight="1">
      <c r="A11" s="22"/>
      <c r="B11" s="23"/>
      <c r="C11" s="24"/>
      <c r="D11" s="23"/>
      <c r="E11" s="25"/>
      <c r="G11" s="27"/>
      <c r="I11" s="366" t="s">
        <v>52</v>
      </c>
      <c r="J11" s="367">
        <v>3.2500000000000001E-2</v>
      </c>
      <c r="K11" s="116"/>
      <c r="L11" s="132">
        <v>4</v>
      </c>
      <c r="M11" s="133">
        <v>0</v>
      </c>
      <c r="N11" s="117"/>
      <c r="O11" s="117"/>
      <c r="P11" s="117"/>
      <c r="Q11" s="117"/>
      <c r="R11" s="117"/>
      <c r="S11" s="117"/>
      <c r="T11" s="117"/>
      <c r="U11" s="117"/>
      <c r="V11" s="117"/>
    </row>
    <row r="12" spans="1:27" ht="15" customHeight="1">
      <c r="A12" s="29" t="s">
        <v>150</v>
      </c>
      <c r="B12" s="30"/>
      <c r="C12" s="31"/>
      <c r="D12" s="30"/>
      <c r="E12" s="32"/>
      <c r="F12" s="33"/>
      <c r="G12" s="34"/>
      <c r="I12" s="129" t="s">
        <v>53</v>
      </c>
      <c r="J12" s="130">
        <v>4.4999999999999998E-2</v>
      </c>
      <c r="K12" s="116"/>
      <c r="L12" s="132">
        <v>5</v>
      </c>
      <c r="M12" s="133">
        <v>0</v>
      </c>
      <c r="N12" s="117"/>
      <c r="O12" s="117"/>
      <c r="P12" s="117"/>
      <c r="Q12" s="117"/>
      <c r="R12" s="117"/>
      <c r="S12" s="117"/>
      <c r="T12" s="117"/>
      <c r="U12" s="117"/>
      <c r="V12" s="117"/>
    </row>
    <row r="13" spans="1:27" ht="15" customHeight="1">
      <c r="A13" s="35"/>
      <c r="B13" s="36"/>
      <c r="C13" s="37"/>
      <c r="D13" s="36"/>
      <c r="E13" s="38"/>
      <c r="G13" s="27"/>
      <c r="L13" s="132">
        <v>6</v>
      </c>
      <c r="M13" s="133">
        <v>0</v>
      </c>
      <c r="N13" s="117"/>
      <c r="O13" s="117"/>
      <c r="P13" s="117"/>
      <c r="Q13" s="117"/>
      <c r="R13" s="117"/>
      <c r="S13" s="117"/>
      <c r="T13" s="117"/>
      <c r="U13" s="117"/>
      <c r="V13" s="117"/>
    </row>
    <row r="14" spans="1:27" ht="15" customHeight="1">
      <c r="A14" s="12" t="s">
        <v>38</v>
      </c>
      <c r="B14" s="13">
        <v>1812</v>
      </c>
      <c r="C14" s="39" t="str">
        <f>CONCATENATE(Summary!$G$9*100,"% of Salary")</f>
        <v>6.2% of Salary</v>
      </c>
      <c r="D14" s="40"/>
      <c r="E14" s="15">
        <f>IF(($E$8+$E$10)&gt;=Summary!$G$10,Summary!$G$9*Summary!$G$10,($E$8+$E$10)*Summary!$G$9)</f>
        <v>0</v>
      </c>
      <c r="F14" s="561">
        <f>E14/12</f>
        <v>0</v>
      </c>
      <c r="G14" s="562"/>
      <c r="L14" s="132">
        <v>7</v>
      </c>
      <c r="M14" s="133">
        <v>0</v>
      </c>
      <c r="N14" s="117"/>
      <c r="O14" s="117"/>
      <c r="P14" s="117"/>
      <c r="Q14" s="117"/>
      <c r="R14" s="117"/>
      <c r="S14" s="117"/>
      <c r="T14" s="117"/>
      <c r="U14" s="117"/>
      <c r="V14" s="117"/>
    </row>
    <row r="15" spans="1:27" ht="15" customHeight="1">
      <c r="A15" s="12"/>
      <c r="B15" s="13"/>
      <c r="C15" s="39"/>
      <c r="D15" s="13"/>
      <c r="E15" s="15"/>
      <c r="F15" s="20"/>
      <c r="G15" s="17"/>
      <c r="L15" s="132">
        <v>8</v>
      </c>
      <c r="M15" s="133">
        <v>0</v>
      </c>
      <c r="N15" s="117"/>
      <c r="O15" s="117"/>
      <c r="P15" s="117"/>
      <c r="Q15" s="117"/>
      <c r="R15" s="117"/>
      <c r="S15" s="117"/>
      <c r="T15" s="117"/>
      <c r="U15" s="117"/>
      <c r="V15" s="117"/>
    </row>
    <row r="16" spans="1:27" ht="15" customHeight="1">
      <c r="A16" s="35" t="s">
        <v>11</v>
      </c>
      <c r="B16" s="40">
        <v>1813</v>
      </c>
      <c r="C16" s="39" t="str">
        <f>CONCATENATE(Summary!$G$11*100,"% of Salary")</f>
        <v>1.45% of Salary</v>
      </c>
      <c r="D16" s="40"/>
      <c r="E16" s="15">
        <f>SUM(($E$8+$E$10)*Summary!G11)</f>
        <v>0</v>
      </c>
      <c r="F16" s="561">
        <f>E16/12</f>
        <v>0</v>
      </c>
      <c r="G16" s="562"/>
      <c r="L16" s="132">
        <v>9</v>
      </c>
      <c r="M16" s="133">
        <v>0</v>
      </c>
      <c r="N16" s="117"/>
      <c r="O16" s="117"/>
      <c r="P16" s="117"/>
      <c r="Q16" s="117"/>
      <c r="R16" s="117"/>
      <c r="S16" s="117"/>
      <c r="T16" s="117"/>
      <c r="U16" s="117"/>
      <c r="V16" s="117"/>
    </row>
    <row r="17" spans="1:22" ht="15" customHeight="1">
      <c r="A17" s="12"/>
      <c r="B17" s="13"/>
      <c r="C17" s="39"/>
      <c r="D17" s="13"/>
      <c r="E17" s="15"/>
      <c r="G17" s="27"/>
      <c r="L17" s="132">
        <v>10</v>
      </c>
      <c r="M17" s="133">
        <v>1.4999999999999999E-2</v>
      </c>
      <c r="N17" s="117"/>
      <c r="O17" s="117"/>
      <c r="P17" s="117"/>
      <c r="Q17" s="117"/>
      <c r="R17" s="117"/>
      <c r="S17" s="117"/>
      <c r="T17" s="117"/>
      <c r="U17" s="117"/>
      <c r="V17" s="117"/>
    </row>
    <row r="18" spans="1:22" ht="15" customHeight="1">
      <c r="A18" s="12" t="s">
        <v>39</v>
      </c>
      <c r="B18" s="13">
        <v>1822</v>
      </c>
      <c r="C18" s="39" t="str">
        <f>CONCATENATE(Summary!$G$14*100,"%  of Salary")</f>
        <v>14.23%  of Salary</v>
      </c>
      <c r="D18" s="41"/>
      <c r="E18" s="15">
        <f>SUM(($E$8+$E$10)*Summary!G14)</f>
        <v>0</v>
      </c>
      <c r="F18" s="553">
        <f>IF(ISERROR(E18/12),"-",E18/12)</f>
        <v>0</v>
      </c>
      <c r="G18" s="554"/>
      <c r="K18" s="45"/>
      <c r="L18" s="132">
        <v>11</v>
      </c>
      <c r="M18" s="133">
        <v>1.4999999999999999E-2</v>
      </c>
      <c r="N18" s="117"/>
      <c r="O18" s="117"/>
      <c r="P18" s="117"/>
      <c r="Q18" s="117"/>
      <c r="R18" s="117"/>
      <c r="S18" s="117"/>
      <c r="T18" s="117"/>
      <c r="U18" s="117"/>
      <c r="V18" s="117"/>
    </row>
    <row r="19" spans="1:22" ht="15" customHeight="1">
      <c r="A19" s="43"/>
      <c r="B19" s="13"/>
      <c r="C19" s="39"/>
      <c r="D19" s="41"/>
      <c r="E19" s="44"/>
      <c r="F19" s="561"/>
      <c r="G19" s="562"/>
      <c r="H19" s="45"/>
      <c r="K19" s="45"/>
      <c r="L19" s="132">
        <v>12</v>
      </c>
      <c r="M19" s="133">
        <v>1.4999999999999999E-2</v>
      </c>
      <c r="N19" s="117"/>
      <c r="O19" s="117"/>
      <c r="P19" s="117"/>
      <c r="Q19" s="117"/>
      <c r="R19" s="117"/>
      <c r="S19" s="117"/>
      <c r="T19" s="117"/>
      <c r="U19" s="117"/>
      <c r="V19" s="117"/>
    </row>
    <row r="20" spans="1:22" ht="15" customHeight="1">
      <c r="A20" s="12" t="s">
        <v>1</v>
      </c>
      <c r="B20" s="13">
        <v>1832</v>
      </c>
      <c r="C20" s="46" t="str">
        <f>CONCATENATE(Summary!$G$29,"/month")</f>
        <v>432.66/month</v>
      </c>
      <c r="D20" s="13"/>
      <c r="E20" s="15">
        <f>Summary!G29*12</f>
        <v>5191.92</v>
      </c>
      <c r="F20" s="561">
        <f>E20/12</f>
        <v>432.66</v>
      </c>
      <c r="G20" s="562"/>
      <c r="L20" s="132">
        <v>13</v>
      </c>
      <c r="M20" s="133">
        <v>1.4999999999999999E-2</v>
      </c>
      <c r="N20" s="117"/>
      <c r="O20" s="117"/>
      <c r="P20" s="117"/>
      <c r="Q20" s="117"/>
      <c r="R20" s="117"/>
      <c r="S20" s="117"/>
      <c r="T20" s="117"/>
      <c r="U20" s="117"/>
      <c r="V20" s="117"/>
    </row>
    <row r="21" spans="1:22" ht="15" customHeight="1">
      <c r="A21" s="12"/>
      <c r="B21" s="13"/>
      <c r="C21" s="39"/>
      <c r="D21" s="13"/>
      <c r="E21" s="15"/>
      <c r="G21" s="27"/>
      <c r="L21" s="132">
        <v>14</v>
      </c>
      <c r="M21" s="133">
        <v>1.4999999999999999E-2</v>
      </c>
      <c r="N21" s="117"/>
      <c r="O21" s="117"/>
      <c r="P21" s="117"/>
      <c r="Q21" s="117"/>
      <c r="R21" s="117"/>
      <c r="S21" s="117"/>
      <c r="T21" s="117"/>
      <c r="U21" s="117"/>
      <c r="V21" s="117"/>
    </row>
    <row r="22" spans="1:22" ht="15" customHeight="1">
      <c r="A22" s="35" t="s">
        <v>18</v>
      </c>
      <c r="B22" s="40">
        <v>1892</v>
      </c>
      <c r="C22" s="39" t="str">
        <f>CONCATENATE(Summary!$G$27*100,"% of Salary")</f>
        <v>0.35% of Salary</v>
      </c>
      <c r="D22" s="40"/>
      <c r="E22" s="15">
        <f>SUM(($E$8+$E$10)*Summary!G27)</f>
        <v>0</v>
      </c>
      <c r="F22" s="561">
        <f>E22/12</f>
        <v>0</v>
      </c>
      <c r="G22" s="562"/>
      <c r="L22" s="132">
        <v>15</v>
      </c>
      <c r="M22" s="133">
        <v>2.2499999999999999E-2</v>
      </c>
    </row>
    <row r="23" spans="1:22" ht="15" customHeight="1">
      <c r="A23" s="35"/>
      <c r="B23" s="40"/>
      <c r="C23" s="47"/>
      <c r="D23" s="40"/>
      <c r="E23" s="15"/>
      <c r="G23" s="27"/>
      <c r="L23" s="132">
        <v>16</v>
      </c>
      <c r="M23" s="133">
        <v>2.2499999999999999E-2</v>
      </c>
    </row>
    <row r="24" spans="1:22" ht="15" customHeight="1">
      <c r="A24" s="48" t="s">
        <v>6</v>
      </c>
      <c r="B24" s="40">
        <v>3914</v>
      </c>
      <c r="C24" s="39" t="str">
        <f>CONCATENATE(Summary!$G$76*100,"% of Salary")</f>
        <v>0.241% of Salary</v>
      </c>
      <c r="D24" s="40"/>
      <c r="E24" s="15">
        <f>SUM(($E$8+$E$10)*Summary!G76)</f>
        <v>0</v>
      </c>
      <c r="F24" s="561">
        <f>E24/12</f>
        <v>0</v>
      </c>
      <c r="G24" s="562"/>
      <c r="L24" s="132">
        <v>17</v>
      </c>
      <c r="M24" s="133">
        <v>2.2499999999999999E-2</v>
      </c>
    </row>
    <row r="25" spans="1:22" ht="15" customHeight="1">
      <c r="A25" s="48"/>
      <c r="B25" s="40"/>
      <c r="C25" s="39"/>
      <c r="D25" s="40"/>
      <c r="E25" s="15"/>
      <c r="F25" s="16"/>
      <c r="G25" s="17"/>
      <c r="L25" s="132">
        <v>18</v>
      </c>
      <c r="M25" s="133">
        <v>2.2499999999999999E-2</v>
      </c>
    </row>
    <row r="26" spans="1:22" ht="15" customHeight="1">
      <c r="A26" s="48" t="s">
        <v>45</v>
      </c>
      <c r="B26" s="40">
        <v>1251</v>
      </c>
      <c r="C26" s="39" t="str">
        <f>CONCATENATE(Summary!G74*100,"% of Salary")</f>
        <v>0.75% of Salary</v>
      </c>
      <c r="D26" s="40"/>
      <c r="E26" s="15">
        <f>SUM(($E$8+$E$10)*Summary!G74)</f>
        <v>0</v>
      </c>
      <c r="F26" s="561">
        <f>E26/12</f>
        <v>0</v>
      </c>
      <c r="G26" s="562"/>
      <c r="L26" s="132">
        <v>19</v>
      </c>
      <c r="M26" s="133">
        <v>2.2499999999999999E-2</v>
      </c>
    </row>
    <row r="27" spans="1:22" ht="15" customHeight="1">
      <c r="A27" s="48"/>
      <c r="B27" s="40"/>
      <c r="C27" s="39"/>
      <c r="D27" s="40"/>
      <c r="E27" s="15"/>
      <c r="F27" s="16"/>
      <c r="G27" s="17"/>
      <c r="L27" s="132">
        <v>20</v>
      </c>
      <c r="M27" s="133">
        <v>3.2500000000000001E-2</v>
      </c>
    </row>
    <row r="28" spans="1:22" ht="15" customHeight="1">
      <c r="A28" s="48" t="s">
        <v>238</v>
      </c>
      <c r="B28" s="40">
        <v>3225</v>
      </c>
      <c r="C28" s="39" t="str">
        <f>CONCATENATE(Summary!$G$75*100,"% of Salary")</f>
        <v>0.54% of Salary</v>
      </c>
      <c r="D28" s="40"/>
      <c r="E28" s="15">
        <f>SUM($E$8+$E$10)*Summary!G76</f>
        <v>0</v>
      </c>
      <c r="F28" s="553">
        <f>IF(ISERROR(E28/12),"-",E28/12)</f>
        <v>0</v>
      </c>
      <c r="G28" s="554">
        <f>IF(ISERROR(F28/12),"-",F28/12)</f>
        <v>0</v>
      </c>
      <c r="L28" s="132"/>
      <c r="M28" s="133"/>
    </row>
    <row r="29" spans="1:22" ht="15" customHeight="1">
      <c r="A29" s="48"/>
      <c r="B29" s="40"/>
      <c r="C29" s="39"/>
      <c r="D29" s="40"/>
      <c r="E29" s="15"/>
      <c r="F29" s="16"/>
      <c r="G29" s="496"/>
      <c r="L29" s="132"/>
      <c r="M29" s="133"/>
    </row>
    <row r="30" spans="1:22" ht="15" customHeight="1">
      <c r="A30" s="48" t="s">
        <v>40</v>
      </c>
      <c r="B30" s="40">
        <v>1803</v>
      </c>
      <c r="C30" s="39" t="s">
        <v>253</v>
      </c>
      <c r="D30" s="40"/>
      <c r="E30" s="254"/>
      <c r="F30" s="561">
        <f>E30/12</f>
        <v>0</v>
      </c>
      <c r="G30" s="562"/>
      <c r="L30" s="132">
        <v>21</v>
      </c>
      <c r="M30" s="133">
        <v>3.2500000000000001E-2</v>
      </c>
    </row>
    <row r="31" spans="1:22" ht="15" customHeight="1">
      <c r="A31" s="48"/>
      <c r="B31" s="36"/>
      <c r="C31" s="37"/>
      <c r="D31" s="36"/>
      <c r="E31" s="38"/>
      <c r="F31" s="49"/>
      <c r="G31" s="50"/>
      <c r="K31" s="61"/>
      <c r="L31" s="132">
        <v>22</v>
      </c>
      <c r="M31" s="133">
        <v>3.2500000000000001E-2</v>
      </c>
    </row>
    <row r="32" spans="1:22" ht="15" customHeight="1" thickBot="1">
      <c r="A32" s="52" t="s">
        <v>149</v>
      </c>
      <c r="B32" s="53"/>
      <c r="C32" s="54"/>
      <c r="D32" s="55"/>
      <c r="E32" s="56">
        <f>SUM(E14:E31)</f>
        <v>5191.92</v>
      </c>
      <c r="F32" s="557">
        <f>SUM(F14:G24)</f>
        <v>432.66</v>
      </c>
      <c r="G32" s="558"/>
      <c r="K32" s="61"/>
      <c r="L32" s="132">
        <v>23</v>
      </c>
      <c r="M32" s="133">
        <v>3.2500000000000001E-2</v>
      </c>
    </row>
    <row r="33" spans="1:27" s="85" customFormat="1" ht="15" customHeight="1" thickTop="1" thickBot="1">
      <c r="A33" s="76" t="s">
        <v>37</v>
      </c>
      <c r="B33" s="77"/>
      <c r="C33" s="78"/>
      <c r="D33" s="79"/>
      <c r="E33" s="80">
        <f>E8+E32</f>
        <v>5191.92</v>
      </c>
      <c r="F33" s="555">
        <f>F8+F32</f>
        <v>432.66</v>
      </c>
      <c r="G33" s="556"/>
      <c r="H33" s="61"/>
      <c r="I33" s="21"/>
      <c r="J33" s="21"/>
      <c r="K33" s="45"/>
      <c r="L33" s="132">
        <v>24</v>
      </c>
      <c r="M33" s="133">
        <v>3.2500000000000001E-2</v>
      </c>
      <c r="AA33" s="45"/>
    </row>
    <row r="34" spans="1:27" s="85" customFormat="1" ht="15" customHeight="1" thickTop="1">
      <c r="A34" s="81"/>
      <c r="B34" s="82"/>
      <c r="C34" s="83"/>
      <c r="D34" s="82"/>
      <c r="E34" s="551" t="s">
        <v>203</v>
      </c>
      <c r="F34" s="549" t="e">
        <f>E32/(E8+E10)</f>
        <v>#DIV/0!</v>
      </c>
      <c r="G34" s="549"/>
      <c r="H34" s="61"/>
      <c r="I34" s="21"/>
      <c r="J34" s="21"/>
      <c r="K34" s="45"/>
      <c r="L34" s="132">
        <v>25</v>
      </c>
      <c r="M34" s="133">
        <v>4.4999999999999998E-2</v>
      </c>
      <c r="AA34" s="45"/>
    </row>
    <row r="35" spans="1:27" ht="15" customHeight="1">
      <c r="A35" s="85" t="s">
        <v>7</v>
      </c>
      <c r="B35" s="86"/>
      <c r="C35" s="66"/>
      <c r="D35" s="86"/>
      <c r="E35" s="552"/>
      <c r="F35" s="550"/>
      <c r="G35" s="550"/>
      <c r="K35" s="45"/>
      <c r="L35" s="132">
        <v>26</v>
      </c>
      <c r="M35" s="133">
        <v>4.4999999999999998E-2</v>
      </c>
      <c r="AA35" s="85"/>
    </row>
    <row r="36" spans="1:27" ht="15" customHeight="1">
      <c r="A36" s="88" t="str">
        <f>'EPA Clinical Benefits'!A54</f>
        <v>1) Social Security:  CY2013 Salary maximum is $113,700</v>
      </c>
      <c r="B36" s="86"/>
      <c r="C36" s="66"/>
      <c r="D36" s="86"/>
      <c r="E36" s="87"/>
      <c r="L36" s="132">
        <v>27</v>
      </c>
      <c r="M36" s="133">
        <v>4.4999999999999998E-2</v>
      </c>
    </row>
    <row r="37" spans="1:27" ht="15" customHeight="1">
      <c r="A37" s="88"/>
      <c r="B37" s="86"/>
      <c r="C37" s="66"/>
      <c r="D37" s="86"/>
      <c r="E37" s="87"/>
      <c r="L37" s="132">
        <v>28</v>
      </c>
      <c r="M37" s="133">
        <v>4.4999999999999998E-2</v>
      </c>
    </row>
    <row r="38" spans="1:27">
      <c r="A38" s="117"/>
      <c r="B38" s="82"/>
      <c r="C38" s="83"/>
      <c r="D38" s="82"/>
      <c r="E38" s="84"/>
      <c r="L38" s="132">
        <v>29</v>
      </c>
      <c r="M38" s="133">
        <v>4.4999999999999998E-2</v>
      </c>
    </row>
    <row r="39" spans="1:27">
      <c r="A39" s="117"/>
      <c r="B39" s="82"/>
      <c r="C39" s="83"/>
      <c r="D39" s="82"/>
      <c r="E39" s="84"/>
      <c r="L39" s="132">
        <v>30</v>
      </c>
      <c r="M39" s="133">
        <v>4.4999999999999998E-2</v>
      </c>
    </row>
    <row r="40" spans="1:27">
      <c r="A40" s="117"/>
      <c r="B40" s="82"/>
      <c r="C40" s="83"/>
      <c r="D40" s="82"/>
      <c r="E40" s="84"/>
      <c r="L40" s="132">
        <v>31</v>
      </c>
      <c r="M40" s="133">
        <v>4.4999999999999998E-2</v>
      </c>
    </row>
    <row r="41" spans="1:27">
      <c r="A41" s="117"/>
      <c r="B41" s="82"/>
      <c r="C41" s="83"/>
      <c r="D41" s="82"/>
      <c r="E41" s="84"/>
      <c r="L41" s="132">
        <v>32</v>
      </c>
      <c r="M41" s="133">
        <v>4.4999999999999998E-2</v>
      </c>
    </row>
    <row r="42" spans="1:27">
      <c r="A42" s="117"/>
      <c r="B42" s="82"/>
      <c r="C42" s="83"/>
      <c r="D42" s="82"/>
      <c r="E42" s="84"/>
      <c r="L42" s="132">
        <v>33</v>
      </c>
      <c r="M42" s="133">
        <v>4.4999999999999998E-2</v>
      </c>
    </row>
    <row r="43" spans="1:27">
      <c r="A43" s="332"/>
      <c r="B43" s="82"/>
      <c r="C43" s="83"/>
      <c r="D43" s="82"/>
      <c r="E43" s="84"/>
      <c r="L43" s="132">
        <v>34</v>
      </c>
      <c r="M43" s="133">
        <v>4.4999999999999998E-2</v>
      </c>
    </row>
    <row r="44" spans="1:27">
      <c r="A44" s="117"/>
      <c r="B44" s="82"/>
      <c r="C44" s="83"/>
      <c r="D44" s="82"/>
      <c r="E44" s="84"/>
      <c r="L44" s="134">
        <v>35</v>
      </c>
      <c r="M44" s="135">
        <v>4.4999999999999998E-2</v>
      </c>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row>
    <row r="55" spans="1:27">
      <c r="A55" s="117"/>
      <c r="B55" s="82"/>
      <c r="C55" s="83"/>
      <c r="D55" s="82"/>
      <c r="E55" s="84"/>
      <c r="AA55" s="85"/>
    </row>
    <row r="56" spans="1:27">
      <c r="A56" s="117"/>
      <c r="B56" s="82"/>
      <c r="C56" s="83"/>
      <c r="D56" s="82"/>
      <c r="E56" s="84"/>
      <c r="AA56" s="85"/>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row r="525" spans="1:5">
      <c r="A525" s="117"/>
      <c r="B525" s="82"/>
      <c r="C525" s="83"/>
      <c r="D525" s="82"/>
      <c r="E525" s="84"/>
    </row>
  </sheetData>
  <mergeCells count="16">
    <mergeCell ref="E34:E35"/>
    <mergeCell ref="F34:G35"/>
    <mergeCell ref="F33:G33"/>
    <mergeCell ref="F32:G32"/>
    <mergeCell ref="F19:G19"/>
    <mergeCell ref="F30:G30"/>
    <mergeCell ref="F26:G26"/>
    <mergeCell ref="F20:G20"/>
    <mergeCell ref="F22:G22"/>
    <mergeCell ref="F24:G24"/>
    <mergeCell ref="F28:G28"/>
    <mergeCell ref="F6:G6"/>
    <mergeCell ref="F18:G18"/>
    <mergeCell ref="F8:G8"/>
    <mergeCell ref="F14:G14"/>
    <mergeCell ref="F16:G16"/>
  </mergeCells>
  <phoneticPr fontId="0" type="noConversion"/>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AA520"/>
  <sheetViews>
    <sheetView zoomScale="85" zoomScaleNormal="85" workbookViewId="0">
      <pane ySplit="7" topLeftCell="A8" activePane="bottomLeft" state="frozen"/>
      <selection activeCell="X20" sqref="X20"/>
      <selection pane="bottomLeft" activeCell="E25" sqref="E25"/>
    </sheetView>
  </sheetViews>
  <sheetFormatPr defaultColWidth="8.85546875" defaultRowHeight="12.75"/>
  <cols>
    <col min="1" max="1" width="52.5703125" style="118" customWidth="1"/>
    <col min="2" max="2" width="16" style="119" bestFit="1" customWidth="1"/>
    <col min="3" max="3" width="16" style="120" bestFit="1"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2.140625" style="21" bestFit="1" customWidth="1"/>
    <col min="10" max="10" width="15.140625" style="21" bestFit="1" customWidth="1"/>
    <col min="11" max="11" width="6.140625" style="21" customWidth="1"/>
    <col min="12" max="12" width="8.28515625" style="45" hidden="1" customWidth="1"/>
    <col min="13" max="13" width="10.7109375" style="45" hidden="1" customWidth="1"/>
    <col min="14" max="16384" width="8.85546875" style="45"/>
  </cols>
  <sheetData>
    <row r="1" spans="1:27" s="98" customFormat="1" ht="24.95" customHeight="1" thickBot="1">
      <c r="A1" s="89" t="s">
        <v>244</v>
      </c>
      <c r="B1" s="90"/>
      <c r="C1" s="91"/>
      <c r="D1" s="92"/>
      <c r="E1" s="93"/>
      <c r="F1" s="94"/>
      <c r="G1" s="94"/>
      <c r="H1" s="96"/>
      <c r="I1" s="96"/>
      <c r="J1" s="96"/>
      <c r="K1" s="97"/>
    </row>
    <row r="2" spans="1:27" s="105" customFormat="1" ht="16.5" thickTop="1">
      <c r="A2" s="99" t="s">
        <v>26</v>
      </c>
      <c r="B2" s="1"/>
      <c r="C2" s="100"/>
      <c r="D2" s="101"/>
      <c r="E2" s="102"/>
      <c r="F2" s="103"/>
      <c r="G2" s="103"/>
      <c r="H2" s="104"/>
      <c r="K2" s="106"/>
    </row>
    <row r="3" spans="1:27" s="105" customFormat="1" ht="15.75">
      <c r="A3" s="107" t="s">
        <v>188</v>
      </c>
      <c r="B3" s="331"/>
      <c r="C3" s="333" t="s">
        <v>189</v>
      </c>
      <c r="D3" s="101"/>
      <c r="E3" s="102"/>
      <c r="F3" s="103"/>
      <c r="G3" s="103"/>
      <c r="H3" s="104"/>
      <c r="K3" s="106"/>
    </row>
    <row r="4" spans="1:27" s="105" customFormat="1" ht="15.75">
      <c r="A4" s="107" t="s">
        <v>55</v>
      </c>
      <c r="B4" s="372" t="str">
        <f>IF(TRUNC(DAYS360(B3,Summary!G85,FALSE)/360,0)&gt;35,"0",TRUNC(DAYS360(B3,Summary!G85,FALSE)/360,0))</f>
        <v>0</v>
      </c>
      <c r="C4" s="108"/>
      <c r="D4" s="101"/>
      <c r="E4" s="102"/>
      <c r="F4" s="103"/>
      <c r="G4" s="103"/>
      <c r="H4" s="104"/>
      <c r="K4" s="106"/>
    </row>
    <row r="5" spans="1:27" s="105" customFormat="1" ht="15.75">
      <c r="A5" s="107" t="s">
        <v>31</v>
      </c>
      <c r="B5" s="2"/>
      <c r="C5" s="108" t="s">
        <v>166</v>
      </c>
      <c r="D5" s="101"/>
      <c r="E5" s="102"/>
      <c r="F5" s="103"/>
      <c r="G5" s="103"/>
      <c r="H5" s="104"/>
      <c r="K5" s="106"/>
    </row>
    <row r="6" spans="1:27" ht="15" customHeight="1">
      <c r="A6" s="109"/>
      <c r="B6" s="110"/>
      <c r="C6" s="111"/>
      <c r="D6" s="112"/>
      <c r="E6" s="113"/>
      <c r="F6" s="114"/>
      <c r="G6" s="114"/>
      <c r="H6" s="45"/>
      <c r="I6" s="117"/>
      <c r="J6" s="117"/>
      <c r="K6" s="61"/>
      <c r="L6" s="117"/>
      <c r="M6" s="117"/>
      <c r="N6" s="117"/>
      <c r="O6" s="117"/>
      <c r="P6" s="117"/>
      <c r="Q6" s="117"/>
      <c r="R6" s="117"/>
      <c r="S6" s="117"/>
      <c r="T6" s="117"/>
      <c r="U6" s="117"/>
      <c r="V6" s="117"/>
      <c r="AA6" s="105"/>
    </row>
    <row r="7" spans="1:27" ht="15" customHeight="1" thickBot="1">
      <c r="A7" s="4" t="s">
        <v>2</v>
      </c>
      <c r="B7" s="5" t="s">
        <v>3</v>
      </c>
      <c r="C7" s="6" t="s">
        <v>12</v>
      </c>
      <c r="D7" s="7" t="s">
        <v>14</v>
      </c>
      <c r="E7" s="8" t="s">
        <v>17</v>
      </c>
      <c r="F7" s="559" t="s">
        <v>13</v>
      </c>
      <c r="G7" s="560"/>
      <c r="H7" s="9"/>
      <c r="I7" s="362" t="s">
        <v>27</v>
      </c>
      <c r="J7" s="250"/>
      <c r="L7" s="117"/>
      <c r="M7" s="117"/>
      <c r="N7" s="117"/>
      <c r="O7" s="117"/>
      <c r="P7" s="117"/>
      <c r="Q7" s="117"/>
      <c r="R7" s="117"/>
      <c r="S7" s="117"/>
      <c r="T7" s="117"/>
      <c r="U7" s="117"/>
      <c r="V7" s="117"/>
      <c r="AA7" s="105"/>
    </row>
    <row r="8" spans="1:27" ht="15" customHeight="1" thickTop="1" thickBot="1">
      <c r="A8" s="12"/>
      <c r="B8" s="13"/>
      <c r="C8" s="14"/>
      <c r="D8" s="13"/>
      <c r="E8" s="15"/>
      <c r="F8" s="16"/>
      <c r="G8" s="17"/>
      <c r="H8" s="18"/>
      <c r="I8" s="363" t="s">
        <v>195</v>
      </c>
      <c r="J8" s="364" t="s">
        <v>194</v>
      </c>
      <c r="L8" s="10" t="s">
        <v>57</v>
      </c>
      <c r="M8" s="365" t="s">
        <v>48</v>
      </c>
      <c r="N8" s="117"/>
      <c r="O8" s="117"/>
      <c r="P8" s="117"/>
      <c r="Q8" s="117"/>
      <c r="R8" s="117"/>
      <c r="S8" s="117"/>
      <c r="T8" s="117"/>
      <c r="U8" s="117"/>
      <c r="V8" s="117"/>
      <c r="AA8" s="105"/>
    </row>
    <row r="9" spans="1:27" ht="15" customHeight="1" thickTop="1">
      <c r="A9" s="12" t="s">
        <v>0</v>
      </c>
      <c r="B9" s="13" t="s">
        <v>190</v>
      </c>
      <c r="C9" s="14"/>
      <c r="D9" s="13"/>
      <c r="E9" s="254"/>
      <c r="F9" s="561">
        <f>E9/12</f>
        <v>0</v>
      </c>
      <c r="G9" s="562"/>
      <c r="I9" s="366" t="s">
        <v>20</v>
      </c>
      <c r="J9" s="335">
        <v>8.2200000000000006</v>
      </c>
      <c r="L9" s="132">
        <v>1</v>
      </c>
      <c r="M9" s="133">
        <v>0</v>
      </c>
      <c r="N9" s="117"/>
      <c r="O9" s="117"/>
      <c r="P9" s="117"/>
      <c r="Q9" s="117"/>
      <c r="R9" s="117"/>
      <c r="S9" s="117"/>
      <c r="T9" s="117"/>
      <c r="U9" s="117"/>
      <c r="V9" s="117"/>
      <c r="AA9" s="105"/>
    </row>
    <row r="10" spans="1:27" ht="15" customHeight="1">
      <c r="A10" s="12"/>
      <c r="B10" s="13"/>
      <c r="C10" s="14"/>
      <c r="D10" s="13"/>
      <c r="E10" s="345"/>
      <c r="F10" s="16"/>
      <c r="G10" s="17"/>
      <c r="I10" s="366" t="s">
        <v>24</v>
      </c>
      <c r="J10" s="335">
        <v>103.28</v>
      </c>
      <c r="L10" s="132">
        <v>2</v>
      </c>
      <c r="M10" s="133">
        <v>0</v>
      </c>
      <c r="N10" s="117"/>
      <c r="O10" s="117"/>
      <c r="P10" s="117"/>
      <c r="Q10" s="117"/>
      <c r="R10" s="117"/>
      <c r="S10" s="117"/>
      <c r="T10" s="117"/>
      <c r="U10" s="117"/>
      <c r="V10" s="117"/>
      <c r="AA10" s="105"/>
    </row>
    <row r="11" spans="1:27" ht="15" customHeight="1">
      <c r="A11" s="12" t="s">
        <v>54</v>
      </c>
      <c r="B11" s="13">
        <v>1983</v>
      </c>
      <c r="C11" s="39" t="s">
        <v>36</v>
      </c>
      <c r="D11" s="343" t="str">
        <f>IF(ISERROR(INDEX(L9:M43,MATCH(B4,L9:L43,0),2)),"0",INDEX(L9:M43,MATCH(B4,L9:L43,0),2))</f>
        <v>0</v>
      </c>
      <c r="E11" s="15">
        <f>$E$9*D11</f>
        <v>0</v>
      </c>
      <c r="F11" s="561">
        <f>E11/12</f>
        <v>0</v>
      </c>
      <c r="G11" s="562"/>
      <c r="I11" s="366" t="s">
        <v>42</v>
      </c>
      <c r="J11" s="335">
        <v>227.26</v>
      </c>
      <c r="L11" s="132">
        <v>3</v>
      </c>
      <c r="M11" s="133">
        <v>0</v>
      </c>
      <c r="N11" s="117"/>
      <c r="O11" s="117"/>
      <c r="P11" s="117"/>
      <c r="Q11" s="117"/>
      <c r="R11" s="117"/>
      <c r="S11" s="117"/>
      <c r="T11" s="117"/>
      <c r="U11" s="117"/>
      <c r="V11" s="117"/>
      <c r="AA11" s="105"/>
    </row>
    <row r="12" spans="1:27" ht="15" customHeight="1">
      <c r="A12" s="22"/>
      <c r="B12" s="23"/>
      <c r="C12" s="24"/>
      <c r="D12" s="23"/>
      <c r="E12" s="25"/>
      <c r="G12" s="27"/>
      <c r="I12" s="129" t="s">
        <v>21</v>
      </c>
      <c r="J12" s="336">
        <v>240.44</v>
      </c>
      <c r="K12" s="116"/>
      <c r="L12" s="132">
        <v>4</v>
      </c>
      <c r="M12" s="133">
        <v>0</v>
      </c>
      <c r="N12" s="117"/>
      <c r="O12" s="117"/>
      <c r="P12" s="117"/>
      <c r="Q12" s="117"/>
      <c r="R12" s="117"/>
      <c r="S12" s="117"/>
      <c r="T12" s="117"/>
      <c r="U12" s="117"/>
      <c r="V12" s="117"/>
    </row>
    <row r="13" spans="1:27" ht="15" customHeight="1">
      <c r="A13" s="29" t="s">
        <v>150</v>
      </c>
      <c r="B13" s="30"/>
      <c r="C13" s="31"/>
      <c r="D13" s="30"/>
      <c r="E13" s="32"/>
      <c r="F13" s="33"/>
      <c r="G13" s="34"/>
      <c r="I13" s="362" t="s">
        <v>28</v>
      </c>
      <c r="J13" s="250"/>
      <c r="K13" s="116"/>
      <c r="L13" s="132">
        <v>5</v>
      </c>
      <c r="M13" s="133">
        <v>0</v>
      </c>
      <c r="N13" s="117"/>
      <c r="O13" s="117"/>
      <c r="P13" s="117"/>
      <c r="Q13" s="117"/>
      <c r="R13" s="117"/>
      <c r="S13" s="117"/>
      <c r="T13" s="117"/>
      <c r="U13" s="117"/>
      <c r="V13" s="117"/>
    </row>
    <row r="14" spans="1:27" ht="15" customHeight="1" thickBot="1">
      <c r="A14" s="35"/>
      <c r="B14" s="36"/>
      <c r="C14" s="37"/>
      <c r="D14" s="36"/>
      <c r="E14" s="38"/>
      <c r="G14" s="27"/>
      <c r="I14" s="363" t="s">
        <v>49</v>
      </c>
      <c r="J14" s="364" t="s">
        <v>48</v>
      </c>
      <c r="K14" s="116"/>
      <c r="L14" s="132">
        <v>6</v>
      </c>
      <c r="M14" s="133">
        <v>0</v>
      </c>
      <c r="N14" s="117"/>
      <c r="O14" s="117"/>
      <c r="P14" s="117"/>
      <c r="Q14" s="117"/>
      <c r="R14" s="117"/>
      <c r="S14" s="117"/>
      <c r="T14" s="117"/>
      <c r="U14" s="117"/>
      <c r="V14" s="117"/>
    </row>
    <row r="15" spans="1:27" ht="15" customHeight="1" thickTop="1">
      <c r="A15" s="12" t="s">
        <v>38</v>
      </c>
      <c r="B15" s="13">
        <v>1989</v>
      </c>
      <c r="C15" s="39" t="str">
        <f>CONCATENATE(Summary!$G$9*100,"% of Salary")</f>
        <v>6.2% of Salary</v>
      </c>
      <c r="D15" s="40"/>
      <c r="E15" s="15">
        <f>IF(($E$9+$E$11)&gt;=Summary!$G$10,Summary!$G$9*Summary!$G$10,($E$9+$E$11)*Summary!$G$9)</f>
        <v>0</v>
      </c>
      <c r="F15" s="561">
        <f>E15/12</f>
        <v>0</v>
      </c>
      <c r="G15" s="562"/>
      <c r="I15" s="366" t="s">
        <v>56</v>
      </c>
      <c r="J15" s="367">
        <v>0</v>
      </c>
      <c r="K15" s="116"/>
      <c r="L15" s="132">
        <v>7</v>
      </c>
      <c r="M15" s="133">
        <v>0</v>
      </c>
      <c r="N15" s="117"/>
      <c r="O15" s="117"/>
      <c r="P15" s="117"/>
      <c r="Q15" s="117"/>
      <c r="R15" s="117"/>
      <c r="S15" s="117"/>
      <c r="T15" s="117"/>
      <c r="U15" s="117"/>
      <c r="V15" s="117"/>
    </row>
    <row r="16" spans="1:27" ht="15" customHeight="1">
      <c r="A16" s="12"/>
      <c r="B16" s="13"/>
      <c r="C16" s="39"/>
      <c r="D16" s="13"/>
      <c r="E16" s="15"/>
      <c r="F16" s="20"/>
      <c r="G16" s="17"/>
      <c r="I16" s="366" t="s">
        <v>50</v>
      </c>
      <c r="J16" s="367">
        <v>1.4999999999999999E-2</v>
      </c>
      <c r="K16" s="116"/>
      <c r="L16" s="132">
        <v>8</v>
      </c>
      <c r="M16" s="133">
        <v>0</v>
      </c>
      <c r="N16" s="117"/>
      <c r="O16" s="117"/>
      <c r="P16" s="117"/>
      <c r="Q16" s="117"/>
      <c r="R16" s="117"/>
      <c r="S16" s="117"/>
      <c r="T16" s="117"/>
      <c r="U16" s="117"/>
      <c r="V16" s="117"/>
    </row>
    <row r="17" spans="1:27" ht="15" customHeight="1">
      <c r="A17" s="35" t="s">
        <v>11</v>
      </c>
      <c r="B17" s="13">
        <v>1989</v>
      </c>
      <c r="C17" s="39" t="str">
        <f>CONCATENATE(Summary!$G$11*100,"% of Salary")</f>
        <v>1.45% of Salary</v>
      </c>
      <c r="D17" s="40"/>
      <c r="E17" s="15">
        <f>SUM(($E$9+$E$11)*Summary!G11)</f>
        <v>0</v>
      </c>
      <c r="F17" s="561">
        <f>E17/12</f>
        <v>0</v>
      </c>
      <c r="G17" s="562"/>
      <c r="I17" s="366" t="s">
        <v>51</v>
      </c>
      <c r="J17" s="367">
        <v>2.2499999999999999E-2</v>
      </c>
      <c r="K17" s="116"/>
      <c r="L17" s="132">
        <v>9</v>
      </c>
      <c r="M17" s="133">
        <v>0</v>
      </c>
      <c r="N17" s="117"/>
      <c r="O17" s="117"/>
      <c r="P17" s="117"/>
      <c r="Q17" s="117"/>
      <c r="R17" s="117"/>
      <c r="S17" s="117"/>
      <c r="T17" s="117"/>
      <c r="U17" s="117"/>
      <c r="V17" s="117"/>
    </row>
    <row r="18" spans="1:27" ht="15" customHeight="1">
      <c r="A18" s="12"/>
      <c r="B18" s="13"/>
      <c r="C18" s="39"/>
      <c r="D18" s="13"/>
      <c r="E18" s="15"/>
      <c r="G18" s="27"/>
      <c r="I18" s="366" t="s">
        <v>52</v>
      </c>
      <c r="J18" s="367">
        <v>3.2500000000000001E-2</v>
      </c>
      <c r="L18" s="132">
        <v>10</v>
      </c>
      <c r="M18" s="133">
        <v>1.4999999999999999E-2</v>
      </c>
      <c r="N18" s="117"/>
      <c r="O18" s="117"/>
      <c r="P18" s="117"/>
      <c r="Q18" s="117"/>
      <c r="R18" s="117"/>
      <c r="S18" s="117"/>
      <c r="T18" s="117"/>
      <c r="U18" s="117"/>
      <c r="V18" s="117"/>
    </row>
    <row r="19" spans="1:27" ht="15" customHeight="1">
      <c r="A19" s="12" t="s">
        <v>39</v>
      </c>
      <c r="B19" s="13">
        <v>1989</v>
      </c>
      <c r="C19" s="39" t="str">
        <f>CONCATENATE(Summary!$G$14*100,"%  of Salary")</f>
        <v>14.23%  of Salary</v>
      </c>
      <c r="D19" s="41"/>
      <c r="E19" s="15">
        <f>SUM(($E$9+$E$11)*Summary!G14)</f>
        <v>0</v>
      </c>
      <c r="F19" s="553">
        <f>IF(ISERROR(E19/12),"-",E19/12)</f>
        <v>0</v>
      </c>
      <c r="G19" s="554"/>
      <c r="I19" s="129" t="s">
        <v>53</v>
      </c>
      <c r="J19" s="130">
        <v>4.4999999999999998E-2</v>
      </c>
      <c r="K19" s="45"/>
      <c r="L19" s="132">
        <v>11</v>
      </c>
      <c r="M19" s="133">
        <v>1.4999999999999999E-2</v>
      </c>
      <c r="N19" s="117"/>
      <c r="O19" s="117"/>
      <c r="P19" s="117"/>
      <c r="Q19" s="117"/>
      <c r="R19" s="117"/>
      <c r="S19" s="117"/>
      <c r="T19" s="117"/>
      <c r="U19" s="117"/>
      <c r="V19" s="117"/>
    </row>
    <row r="20" spans="1:27" ht="15" customHeight="1">
      <c r="A20" s="43"/>
      <c r="B20" s="13"/>
      <c r="C20" s="39"/>
      <c r="D20" s="41"/>
      <c r="E20" s="44"/>
      <c r="F20" s="561"/>
      <c r="G20" s="562"/>
      <c r="H20" s="45"/>
      <c r="K20" s="45"/>
      <c r="L20" s="132">
        <v>12</v>
      </c>
      <c r="M20" s="133">
        <v>1.4999999999999999E-2</v>
      </c>
      <c r="N20" s="117"/>
      <c r="O20" s="117"/>
      <c r="P20" s="117"/>
      <c r="Q20" s="117"/>
      <c r="R20" s="117"/>
      <c r="S20" s="117"/>
      <c r="T20" s="117"/>
      <c r="U20" s="117"/>
      <c r="V20" s="117"/>
    </row>
    <row r="21" spans="1:27" ht="15" customHeight="1">
      <c r="A21" s="12" t="s">
        <v>1</v>
      </c>
      <c r="B21" s="13">
        <v>1989</v>
      </c>
      <c r="C21" s="46" t="str">
        <f>CONCATENATE(Summary!$G$30,"/month")</f>
        <v>432.66/month</v>
      </c>
      <c r="D21" s="13"/>
      <c r="E21" s="15">
        <f>Summary!G30*12</f>
        <v>5191.92</v>
      </c>
      <c r="F21" s="561">
        <f>E21/12</f>
        <v>432.66</v>
      </c>
      <c r="G21" s="562"/>
      <c r="L21" s="132">
        <v>13</v>
      </c>
      <c r="M21" s="133">
        <v>1.4999999999999999E-2</v>
      </c>
      <c r="N21" s="117"/>
      <c r="O21" s="117"/>
      <c r="P21" s="117"/>
      <c r="Q21" s="117"/>
      <c r="R21" s="117"/>
      <c r="S21" s="117"/>
      <c r="T21" s="117"/>
      <c r="U21" s="117"/>
      <c r="V21" s="117"/>
    </row>
    <row r="22" spans="1:27" ht="15" customHeight="1">
      <c r="A22" s="12"/>
      <c r="B22" s="13"/>
      <c r="C22" s="39"/>
      <c r="D22" s="13"/>
      <c r="E22" s="15"/>
      <c r="G22" s="27"/>
      <c r="L22" s="132">
        <v>14</v>
      </c>
      <c r="M22" s="133">
        <v>1.4999999999999999E-2</v>
      </c>
      <c r="N22" s="117"/>
      <c r="O22" s="117"/>
      <c r="P22" s="117"/>
      <c r="Q22" s="117"/>
      <c r="R22" s="117"/>
      <c r="S22" s="117"/>
      <c r="T22" s="117"/>
      <c r="U22" s="117"/>
      <c r="V22" s="117"/>
    </row>
    <row r="23" spans="1:27" ht="15" customHeight="1">
      <c r="A23" s="12" t="s">
        <v>191</v>
      </c>
      <c r="B23" s="13">
        <v>1983</v>
      </c>
      <c r="C23" s="39" t="s">
        <v>35</v>
      </c>
      <c r="D23" s="13"/>
      <c r="E23" s="15">
        <f>IFERROR(INDEX(I9:J12,MATCH(B5,I9:I12,0),2)*12,)</f>
        <v>0</v>
      </c>
      <c r="G23" s="27"/>
      <c r="L23" s="132">
        <v>15</v>
      </c>
      <c r="M23" s="133">
        <v>2.2499999999999999E-2</v>
      </c>
    </row>
    <row r="24" spans="1:27" ht="15" customHeight="1">
      <c r="A24" s="12"/>
      <c r="B24" s="13"/>
      <c r="C24" s="39"/>
      <c r="D24" s="13"/>
      <c r="E24" s="15"/>
      <c r="G24" s="27"/>
      <c r="L24" s="132">
        <v>16</v>
      </c>
      <c r="M24" s="133">
        <v>2.2499999999999999E-2</v>
      </c>
    </row>
    <row r="25" spans="1:27" ht="15" customHeight="1">
      <c r="A25" s="48" t="s">
        <v>40</v>
      </c>
      <c r="B25" s="40">
        <v>1803</v>
      </c>
      <c r="C25" s="39" t="s">
        <v>253</v>
      </c>
      <c r="D25" s="40"/>
      <c r="E25" s="254"/>
      <c r="F25" s="561">
        <f>E25/12</f>
        <v>0</v>
      </c>
      <c r="G25" s="562"/>
      <c r="L25" s="132">
        <v>17</v>
      </c>
      <c r="M25" s="133">
        <v>2.2499999999999999E-2</v>
      </c>
    </row>
    <row r="26" spans="1:27" ht="15" customHeight="1">
      <c r="A26" s="48"/>
      <c r="B26" s="36"/>
      <c r="C26" s="37"/>
      <c r="D26" s="36"/>
      <c r="E26" s="38"/>
      <c r="F26" s="49"/>
      <c r="G26" s="50"/>
      <c r="L26" s="132">
        <v>18</v>
      </c>
      <c r="M26" s="133">
        <v>2.2499999999999999E-2</v>
      </c>
    </row>
    <row r="27" spans="1:27" ht="15" customHeight="1" thickBot="1">
      <c r="A27" s="52" t="s">
        <v>149</v>
      </c>
      <c r="B27" s="53"/>
      <c r="C27" s="54"/>
      <c r="D27" s="55"/>
      <c r="E27" s="56">
        <f>SUM(E15:E26)</f>
        <v>5191.92</v>
      </c>
      <c r="F27" s="557">
        <f>SUM(F15:G22)</f>
        <v>432.66</v>
      </c>
      <c r="G27" s="558"/>
      <c r="L27" s="132">
        <v>19</v>
      </c>
      <c r="M27" s="133">
        <v>2.2499999999999999E-2</v>
      </c>
    </row>
    <row r="28" spans="1:27" ht="15" customHeight="1" thickTop="1" thickBot="1">
      <c r="A28" s="76" t="s">
        <v>37</v>
      </c>
      <c r="B28" s="77"/>
      <c r="C28" s="78"/>
      <c r="D28" s="79"/>
      <c r="E28" s="80">
        <f>E9+E27</f>
        <v>5191.92</v>
      </c>
      <c r="F28" s="555">
        <f>F9+F27</f>
        <v>432.66</v>
      </c>
      <c r="G28" s="556"/>
      <c r="L28" s="132">
        <v>20</v>
      </c>
      <c r="M28" s="133">
        <v>3.2500000000000001E-2</v>
      </c>
    </row>
    <row r="29" spans="1:27" ht="15" customHeight="1" thickTop="1">
      <c r="A29" s="350"/>
      <c r="B29" s="82"/>
      <c r="C29" s="349"/>
      <c r="D29" s="82"/>
      <c r="E29" s="551" t="s">
        <v>203</v>
      </c>
      <c r="F29" s="549" t="e">
        <f>E27/(E9+E11)</f>
        <v>#DIV/0!</v>
      </c>
      <c r="G29" s="549"/>
      <c r="L29" s="132">
        <v>21</v>
      </c>
      <c r="M29" s="133">
        <v>3.2500000000000001E-2</v>
      </c>
    </row>
    <row r="30" spans="1:27">
      <c r="A30" s="85" t="s">
        <v>7</v>
      </c>
      <c r="B30" s="86"/>
      <c r="C30" s="66"/>
      <c r="D30" s="86"/>
      <c r="E30" s="552"/>
      <c r="F30" s="550"/>
      <c r="G30" s="550"/>
      <c r="K30" s="61"/>
      <c r="L30" s="132">
        <v>22</v>
      </c>
      <c r="M30" s="133">
        <v>3.2500000000000001E-2</v>
      </c>
    </row>
    <row r="31" spans="1:27">
      <c r="A31" s="88" t="str">
        <f>'EPA Clinical Benefits'!A54</f>
        <v>1) Social Security:  CY2013 Salary maximum is $113,700</v>
      </c>
      <c r="B31" s="86"/>
      <c r="C31" s="66"/>
      <c r="D31" s="86"/>
      <c r="E31" s="87"/>
      <c r="K31" s="61"/>
      <c r="L31" s="132">
        <v>23</v>
      </c>
      <c r="M31" s="133">
        <v>3.2500000000000001E-2</v>
      </c>
    </row>
    <row r="32" spans="1:27" s="85" customFormat="1">
      <c r="A32" s="88"/>
      <c r="B32" s="86"/>
      <c r="C32" s="66"/>
      <c r="D32" s="86"/>
      <c r="E32" s="87"/>
      <c r="F32" s="26"/>
      <c r="G32" s="26"/>
      <c r="H32" s="61"/>
      <c r="I32" s="21"/>
      <c r="J32" s="21"/>
      <c r="K32" s="45"/>
      <c r="L32" s="132">
        <v>24</v>
      </c>
      <c r="M32" s="133">
        <v>3.2500000000000001E-2</v>
      </c>
      <c r="AA32" s="45"/>
    </row>
    <row r="33" spans="1:27" s="85" customFormat="1">
      <c r="A33" s="117"/>
      <c r="B33" s="82"/>
      <c r="C33" s="83"/>
      <c r="D33" s="82"/>
      <c r="E33" s="84"/>
      <c r="F33" s="26"/>
      <c r="G33" s="26"/>
      <c r="H33" s="61"/>
      <c r="I33" s="21"/>
      <c r="J33" s="21"/>
      <c r="K33" s="45"/>
      <c r="L33" s="132">
        <v>25</v>
      </c>
      <c r="M33" s="133">
        <v>4.4999999999999998E-2</v>
      </c>
      <c r="AA33" s="45"/>
    </row>
    <row r="34" spans="1:27">
      <c r="A34" s="117"/>
      <c r="B34" s="82"/>
      <c r="C34" s="83"/>
      <c r="D34" s="82"/>
      <c r="E34" s="84"/>
      <c r="K34" s="45"/>
      <c r="L34" s="132">
        <v>26</v>
      </c>
      <c r="M34" s="133">
        <v>4.4999999999999998E-2</v>
      </c>
      <c r="AA34" s="85"/>
    </row>
    <row r="35" spans="1:27">
      <c r="A35" s="117"/>
      <c r="B35" s="82"/>
      <c r="C35" s="83"/>
      <c r="D35" s="82"/>
      <c r="E35" s="84"/>
      <c r="L35" s="132">
        <v>27</v>
      </c>
      <c r="M35" s="133">
        <v>4.4999999999999998E-2</v>
      </c>
    </row>
    <row r="36" spans="1:27">
      <c r="A36" s="117"/>
      <c r="B36" s="82"/>
      <c r="C36" s="83"/>
      <c r="D36" s="82"/>
      <c r="E36" s="84"/>
      <c r="L36" s="132">
        <v>28</v>
      </c>
      <c r="M36" s="133">
        <v>4.4999999999999998E-2</v>
      </c>
    </row>
    <row r="37" spans="1:27">
      <c r="A37" s="117"/>
      <c r="B37" s="82"/>
      <c r="C37" s="334"/>
      <c r="D37" s="82"/>
      <c r="E37" s="84"/>
      <c r="L37" s="132">
        <v>29</v>
      </c>
      <c r="M37" s="133">
        <v>4.4999999999999998E-2</v>
      </c>
    </row>
    <row r="38" spans="1:27">
      <c r="A38" s="332"/>
      <c r="B38" s="82"/>
      <c r="C38" s="83"/>
      <c r="D38" s="82"/>
      <c r="E38" s="84"/>
      <c r="L38" s="132">
        <v>30</v>
      </c>
      <c r="M38" s="133">
        <v>4.4999999999999998E-2</v>
      </c>
    </row>
    <row r="39" spans="1:27">
      <c r="A39" s="117"/>
      <c r="B39" s="82"/>
      <c r="C39" s="83"/>
      <c r="D39" s="82"/>
      <c r="E39" s="84"/>
      <c r="L39" s="132">
        <v>31</v>
      </c>
      <c r="M39" s="133">
        <v>4.4999999999999998E-2</v>
      </c>
    </row>
    <row r="40" spans="1:27">
      <c r="A40" s="117"/>
      <c r="B40" s="82"/>
      <c r="C40" s="83"/>
      <c r="D40" s="82"/>
      <c r="E40" s="84"/>
      <c r="L40" s="132">
        <v>32</v>
      </c>
      <c r="M40" s="133">
        <v>4.4999999999999998E-2</v>
      </c>
    </row>
    <row r="41" spans="1:27">
      <c r="A41" s="332"/>
      <c r="B41" s="82"/>
      <c r="C41" s="83"/>
      <c r="D41" s="82"/>
      <c r="E41" s="84"/>
      <c r="L41" s="132">
        <v>33</v>
      </c>
      <c r="M41" s="133">
        <v>4.4999999999999998E-2</v>
      </c>
    </row>
    <row r="42" spans="1:27">
      <c r="A42" s="332"/>
      <c r="B42" s="82"/>
      <c r="C42" s="83"/>
      <c r="D42" s="82"/>
      <c r="E42" s="84"/>
      <c r="L42" s="132">
        <v>34</v>
      </c>
      <c r="M42" s="133">
        <v>4.4999999999999998E-2</v>
      </c>
    </row>
    <row r="43" spans="1:27">
      <c r="A43" s="117"/>
      <c r="B43" s="82"/>
      <c r="C43" s="83"/>
      <c r="D43" s="82"/>
      <c r="E43" s="84"/>
      <c r="L43" s="134">
        <v>35</v>
      </c>
      <c r="M43" s="135">
        <v>4.4999999999999998E-2</v>
      </c>
    </row>
    <row r="44" spans="1:27">
      <c r="A44" s="117"/>
      <c r="B44" s="82"/>
      <c r="C44" s="83"/>
      <c r="D44" s="82"/>
      <c r="E44" s="84"/>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c r="AA54" s="85"/>
    </row>
    <row r="55" spans="1:27">
      <c r="A55" s="117"/>
      <c r="B55" s="82"/>
      <c r="C55" s="83"/>
      <c r="D55" s="82"/>
      <c r="E55" s="84"/>
      <c r="AA55" s="85"/>
    </row>
    <row r="56" spans="1:27">
      <c r="A56" s="117"/>
      <c r="B56" s="82"/>
      <c r="C56" s="83"/>
      <c r="D56" s="82"/>
      <c r="E56" s="84"/>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sheetData>
  <mergeCells count="13">
    <mergeCell ref="E29:E30"/>
    <mergeCell ref="F29:G30"/>
    <mergeCell ref="F7:G7"/>
    <mergeCell ref="F19:G19"/>
    <mergeCell ref="F9:G9"/>
    <mergeCell ref="F15:G15"/>
    <mergeCell ref="F17:G17"/>
    <mergeCell ref="F20:G20"/>
    <mergeCell ref="F28:G28"/>
    <mergeCell ref="F27:G27"/>
    <mergeCell ref="F25:G25"/>
    <mergeCell ref="F11:G11"/>
    <mergeCell ref="F21:G21"/>
  </mergeCells>
  <phoneticPr fontId="0" type="noConversion"/>
  <dataValidations count="1">
    <dataValidation type="list" allowBlank="1" showInputMessage="1" showErrorMessage="1" sqref="B5">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V523"/>
  <sheetViews>
    <sheetView zoomScale="85" zoomScaleNormal="85" workbookViewId="0">
      <pane ySplit="5" topLeftCell="A6" activePane="bottomLeft" state="frozen"/>
      <selection activeCell="C1" sqref="C1:E65536"/>
      <selection pane="bottomLeft" activeCell="S38" sqref="S38"/>
    </sheetView>
  </sheetViews>
  <sheetFormatPr defaultColWidth="8.85546875" defaultRowHeight="12.75"/>
  <cols>
    <col min="1" max="1" width="52.5703125" style="118" customWidth="1"/>
    <col min="2" max="2" width="16" style="119" bestFit="1" customWidth="1"/>
    <col min="3" max="3" width="16.28515625" style="120" customWidth="1"/>
    <col min="4" max="4" width="11.140625" style="119" hidden="1" customWidth="1"/>
    <col min="5" max="5" width="18.28515625" style="121" customWidth="1"/>
    <col min="6" max="6" width="9.42578125" style="26" bestFit="1" customWidth="1"/>
    <col min="7" max="7" width="8.7109375" style="26" customWidth="1"/>
    <col min="8" max="8" width="2.140625" style="21" customWidth="1"/>
    <col min="9" max="9" width="25.5703125" style="21" customWidth="1"/>
    <col min="10" max="10" width="15.140625" style="21" bestFit="1" customWidth="1"/>
    <col min="11" max="11" width="16.42578125" style="21" customWidth="1"/>
    <col min="12" max="12" width="12.7109375" style="45" customWidth="1"/>
    <col min="13" max="16384" width="8.85546875" style="45"/>
  </cols>
  <sheetData>
    <row r="1" spans="1:22" s="98" customFormat="1" ht="24.95" customHeight="1" thickBot="1">
      <c r="A1" s="89" t="s">
        <v>245</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43</v>
      </c>
      <c r="B3" s="2"/>
      <c r="C3" s="108" t="s">
        <v>166</v>
      </c>
      <c r="D3" s="101"/>
      <c r="E3" s="102"/>
      <c r="F3" s="103"/>
      <c r="G3" s="103"/>
      <c r="H3" s="104"/>
      <c r="K3" s="106"/>
    </row>
    <row r="4" spans="1:22" ht="15.75">
      <c r="A4" s="109"/>
      <c r="B4" s="110"/>
      <c r="C4" s="111"/>
      <c r="D4" s="112"/>
      <c r="E4" s="113"/>
      <c r="F4" s="114"/>
      <c r="G4" s="114"/>
      <c r="H4" s="45"/>
      <c r="I4" s="61" t="s">
        <v>27</v>
      </c>
      <c r="J4" s="115"/>
      <c r="K4" s="61"/>
      <c r="L4" s="117"/>
      <c r="M4" s="117"/>
      <c r="N4" s="117"/>
      <c r="O4" s="117"/>
      <c r="P4" s="117"/>
      <c r="Q4" s="117"/>
      <c r="R4" s="117"/>
      <c r="S4" s="117"/>
      <c r="T4" s="117"/>
      <c r="U4" s="117"/>
      <c r="V4" s="117"/>
    </row>
    <row r="5" spans="1:22" ht="13.5" thickBot="1">
      <c r="A5" s="4" t="s">
        <v>2</v>
      </c>
      <c r="B5" s="5" t="s">
        <v>3</v>
      </c>
      <c r="C5" s="6" t="s">
        <v>12</v>
      </c>
      <c r="D5" s="7" t="s">
        <v>14</v>
      </c>
      <c r="E5" s="8" t="s">
        <v>17</v>
      </c>
      <c r="F5" s="559" t="s">
        <v>13</v>
      </c>
      <c r="G5" s="560"/>
      <c r="H5" s="9"/>
      <c r="I5" s="10" t="s">
        <v>196</v>
      </c>
      <c r="J5" s="11" t="s">
        <v>164</v>
      </c>
      <c r="K5" s="116"/>
      <c r="L5" s="117"/>
      <c r="M5" s="117"/>
      <c r="N5" s="117"/>
      <c r="O5" s="117"/>
      <c r="P5" s="117"/>
      <c r="Q5" s="117"/>
      <c r="R5" s="117"/>
      <c r="S5" s="117"/>
      <c r="T5" s="117"/>
      <c r="U5" s="117"/>
      <c r="V5" s="117"/>
    </row>
    <row r="6" spans="1:22" ht="13.5" thickTop="1">
      <c r="A6" s="12"/>
      <c r="B6" s="13"/>
      <c r="C6" s="14"/>
      <c r="D6" s="13"/>
      <c r="E6" s="15"/>
      <c r="F6" s="16"/>
      <c r="G6" s="17"/>
      <c r="H6" s="18"/>
      <c r="I6" s="359" t="s">
        <v>20</v>
      </c>
      <c r="J6" s="319">
        <f>Summary!G78</f>
        <v>208</v>
      </c>
      <c r="K6" s="116"/>
      <c r="L6" s="117"/>
      <c r="M6" s="117"/>
      <c r="N6" s="117"/>
      <c r="O6" s="117"/>
      <c r="P6" s="117"/>
      <c r="Q6" s="117"/>
      <c r="R6" s="117"/>
      <c r="S6" s="117"/>
      <c r="T6" s="117"/>
      <c r="U6" s="117"/>
      <c r="V6" s="117"/>
    </row>
    <row r="7" spans="1:22">
      <c r="A7" s="12" t="s">
        <v>0</v>
      </c>
      <c r="B7" s="13" t="s">
        <v>34</v>
      </c>
      <c r="C7" s="14"/>
      <c r="D7" s="13"/>
      <c r="E7" s="3"/>
      <c r="F7" s="561">
        <f>E7/12</f>
        <v>0</v>
      </c>
      <c r="G7" s="562"/>
      <c r="I7" s="359" t="s">
        <v>24</v>
      </c>
      <c r="J7" s="319">
        <f>Summary!G79</f>
        <v>286</v>
      </c>
      <c r="K7" s="116"/>
      <c r="L7" s="117"/>
      <c r="M7" s="117"/>
      <c r="N7" s="117"/>
      <c r="O7" s="117"/>
      <c r="P7" s="117"/>
      <c r="Q7" s="117"/>
      <c r="R7" s="117"/>
      <c r="S7" s="117"/>
      <c r="T7" s="117"/>
      <c r="U7" s="117"/>
      <c r="V7" s="117"/>
    </row>
    <row r="8" spans="1:22">
      <c r="A8" s="22"/>
      <c r="B8" s="23"/>
      <c r="C8" s="24"/>
      <c r="D8" s="23"/>
      <c r="E8" s="25"/>
      <c r="G8" s="27"/>
      <c r="I8" s="359" t="s">
        <v>42</v>
      </c>
      <c r="J8" s="319">
        <f>Summary!G80</f>
        <v>416</v>
      </c>
      <c r="K8" s="116"/>
      <c r="L8" s="117"/>
      <c r="M8" s="117"/>
      <c r="N8" s="117"/>
      <c r="O8" s="117"/>
      <c r="P8" s="117"/>
      <c r="Q8" s="117"/>
      <c r="R8" s="117"/>
      <c r="S8" s="117"/>
      <c r="T8" s="117"/>
      <c r="U8" s="117"/>
      <c r="V8" s="117"/>
    </row>
    <row r="9" spans="1:22">
      <c r="A9" s="29" t="s">
        <v>146</v>
      </c>
      <c r="B9" s="30"/>
      <c r="C9" s="31"/>
      <c r="D9" s="30"/>
      <c r="E9" s="32"/>
      <c r="F9" s="33"/>
      <c r="G9" s="34"/>
      <c r="I9" s="360" t="s">
        <v>21</v>
      </c>
      <c r="J9" s="320">
        <f>Summary!G81</f>
        <v>629</v>
      </c>
      <c r="K9" s="116"/>
      <c r="L9" s="117"/>
      <c r="M9" s="117"/>
      <c r="N9" s="117"/>
      <c r="O9" s="117"/>
      <c r="P9" s="117"/>
      <c r="Q9" s="117"/>
      <c r="R9" s="117"/>
      <c r="S9" s="117"/>
      <c r="T9" s="117"/>
      <c r="U9" s="117"/>
      <c r="V9" s="117"/>
    </row>
    <row r="10" spans="1:22">
      <c r="A10" s="35"/>
      <c r="B10" s="36"/>
      <c r="C10" s="37"/>
      <c r="D10" s="36"/>
      <c r="E10" s="38"/>
      <c r="G10" s="27"/>
      <c r="L10" s="117"/>
      <c r="M10" s="117"/>
      <c r="N10" s="117"/>
      <c r="O10" s="117"/>
      <c r="P10" s="117"/>
      <c r="Q10" s="117"/>
      <c r="R10" s="117"/>
      <c r="S10" s="117"/>
      <c r="T10" s="117"/>
      <c r="U10" s="117"/>
      <c r="V10" s="117"/>
    </row>
    <row r="11" spans="1:22" ht="14.25">
      <c r="A11" s="12" t="s">
        <v>38</v>
      </c>
      <c r="B11" s="13">
        <v>1812</v>
      </c>
      <c r="C11" s="39" t="str">
        <f>CONCATENATE(Summary!$G$9*100,"% of Salary")</f>
        <v>6.2% of Salary</v>
      </c>
      <c r="D11" s="40"/>
      <c r="E11" s="15">
        <f>IF($E$7&gt;=Summary!$G$10,Summary!$G$9*Summary!$G$10,$E$7*Summary!$G$9)</f>
        <v>0</v>
      </c>
      <c r="F11" s="561">
        <f>E11/12</f>
        <v>0</v>
      </c>
      <c r="G11" s="562"/>
      <c r="L11" s="117"/>
      <c r="M11" s="117"/>
      <c r="N11" s="117"/>
      <c r="O11" s="117"/>
      <c r="P11" s="117"/>
      <c r="Q11" s="117"/>
      <c r="R11" s="117"/>
      <c r="S11" s="117"/>
      <c r="T11" s="117"/>
      <c r="U11" s="117"/>
      <c r="V11" s="117"/>
    </row>
    <row r="12" spans="1:22">
      <c r="A12" s="12"/>
      <c r="B12" s="13"/>
      <c r="C12" s="39"/>
      <c r="D12" s="13"/>
      <c r="E12" s="15"/>
      <c r="F12" s="20"/>
      <c r="G12" s="17"/>
      <c r="L12" s="117"/>
      <c r="M12" s="117"/>
      <c r="N12" s="117"/>
      <c r="O12" s="117"/>
      <c r="P12" s="117"/>
      <c r="Q12" s="117"/>
      <c r="R12" s="117"/>
      <c r="S12" s="117"/>
      <c r="T12" s="117"/>
      <c r="U12" s="117"/>
      <c r="V12" s="117"/>
    </row>
    <row r="13" spans="1:22">
      <c r="A13" s="35" t="s">
        <v>11</v>
      </c>
      <c r="B13" s="40">
        <v>1813</v>
      </c>
      <c r="C13" s="39" t="str">
        <f>CONCATENATE(Summary!$G$11*100,"% of Salary")</f>
        <v>1.45% of Salary</v>
      </c>
      <c r="D13" s="40"/>
      <c r="E13" s="15">
        <f>SUM($E$7*Summary!G11)</f>
        <v>0</v>
      </c>
      <c r="F13" s="561">
        <f>E13/12</f>
        <v>0</v>
      </c>
      <c r="G13" s="562"/>
      <c r="L13" s="117"/>
      <c r="M13" s="117"/>
      <c r="N13" s="117"/>
      <c r="O13" s="117"/>
      <c r="P13" s="117"/>
      <c r="Q13" s="117"/>
      <c r="R13" s="117"/>
      <c r="S13" s="117"/>
      <c r="T13" s="117"/>
      <c r="U13" s="117"/>
      <c r="V13" s="117"/>
    </row>
    <row r="14" spans="1:22">
      <c r="A14" s="12"/>
      <c r="B14" s="13"/>
      <c r="C14" s="39"/>
      <c r="D14" s="13"/>
      <c r="E14" s="15"/>
      <c r="G14" s="27"/>
      <c r="L14" s="117"/>
      <c r="M14" s="117"/>
      <c r="N14" s="117"/>
      <c r="O14" s="117"/>
      <c r="P14" s="117"/>
      <c r="Q14" s="117"/>
      <c r="R14" s="117"/>
      <c r="S14" s="117"/>
      <c r="T14" s="117"/>
      <c r="U14" s="117"/>
      <c r="V14" s="117"/>
    </row>
    <row r="15" spans="1:22">
      <c r="A15" s="35" t="s">
        <v>18</v>
      </c>
      <c r="B15" s="40">
        <v>1892</v>
      </c>
      <c r="C15" s="39" t="str">
        <f>CONCATENATE(Summary!$G$27*100,"% of Salary")</f>
        <v>0.35% of Salary</v>
      </c>
      <c r="D15" s="40"/>
      <c r="E15" s="15">
        <f>SUM($E$7*Summary!G27)</f>
        <v>0</v>
      </c>
      <c r="F15" s="561">
        <f>E15/12</f>
        <v>0</v>
      </c>
      <c r="G15" s="562"/>
      <c r="L15" s="117"/>
      <c r="M15" s="117"/>
      <c r="N15" s="117"/>
      <c r="O15" s="117"/>
      <c r="P15" s="117"/>
      <c r="Q15" s="117"/>
      <c r="R15" s="117"/>
      <c r="S15" s="117"/>
      <c r="T15" s="117"/>
      <c r="U15" s="117"/>
      <c r="V15" s="117"/>
    </row>
    <row r="16" spans="1:22">
      <c r="A16" s="35"/>
      <c r="B16" s="40"/>
      <c r="C16" s="47"/>
      <c r="D16" s="40"/>
      <c r="E16" s="15"/>
      <c r="G16" s="27"/>
      <c r="H16" s="45"/>
      <c r="L16" s="117"/>
      <c r="M16" s="117"/>
      <c r="N16" s="117"/>
      <c r="O16" s="117"/>
      <c r="P16" s="117"/>
      <c r="Q16" s="117"/>
      <c r="R16" s="117"/>
      <c r="S16" s="117"/>
      <c r="T16" s="117"/>
      <c r="U16" s="117"/>
      <c r="V16" s="117"/>
    </row>
    <row r="17" spans="1:22">
      <c r="A17" s="48" t="s">
        <v>6</v>
      </c>
      <c r="B17" s="40">
        <v>3914</v>
      </c>
      <c r="C17" s="39" t="str">
        <f>CONCATENATE(Summary!$G$76*100,"% of Salary")</f>
        <v>0.241% of Salary</v>
      </c>
      <c r="D17" s="40"/>
      <c r="E17" s="15">
        <f>SUM($E$7*Summary!G76)</f>
        <v>0</v>
      </c>
      <c r="F17" s="561">
        <f>E17/12</f>
        <v>0</v>
      </c>
      <c r="G17" s="562"/>
      <c r="K17" s="45"/>
      <c r="L17" s="117"/>
      <c r="M17" s="117"/>
      <c r="N17" s="117"/>
      <c r="O17" s="117"/>
      <c r="P17" s="117"/>
      <c r="Q17" s="117"/>
      <c r="R17" s="117"/>
      <c r="S17" s="117"/>
      <c r="T17" s="117"/>
      <c r="U17" s="117"/>
      <c r="V17" s="117"/>
    </row>
    <row r="18" spans="1:22">
      <c r="A18" s="48"/>
      <c r="B18" s="40"/>
      <c r="C18" s="39"/>
      <c r="D18" s="40"/>
      <c r="E18" s="15"/>
      <c r="F18" s="16"/>
      <c r="G18" s="496"/>
      <c r="K18" s="45"/>
      <c r="L18" s="117"/>
      <c r="M18" s="117"/>
      <c r="N18" s="117"/>
      <c r="O18" s="117"/>
      <c r="P18" s="117"/>
      <c r="Q18" s="117"/>
      <c r="R18" s="117"/>
      <c r="S18" s="117"/>
      <c r="T18" s="117"/>
      <c r="U18" s="117"/>
      <c r="V18" s="117"/>
    </row>
    <row r="19" spans="1:22">
      <c r="A19" s="48" t="s">
        <v>238</v>
      </c>
      <c r="B19" s="40">
        <v>3225</v>
      </c>
      <c r="C19" s="39" t="str">
        <f>CONCATENATE(Summary!$G$75*100,"% of Salary")</f>
        <v>0.54% of Salary</v>
      </c>
      <c r="D19" s="40"/>
      <c r="E19" s="15">
        <f>SUM($E$7)*Summary!G75</f>
        <v>0</v>
      </c>
      <c r="F19" s="561">
        <f>E19/12</f>
        <v>0</v>
      </c>
      <c r="G19" s="562"/>
    </row>
    <row r="20" spans="1:22">
      <c r="A20" s="48"/>
      <c r="B20" s="36"/>
      <c r="C20" s="37"/>
      <c r="D20" s="36"/>
      <c r="E20" s="38"/>
      <c r="F20" s="49"/>
      <c r="G20" s="50"/>
      <c r="L20" s="21"/>
    </row>
    <row r="21" spans="1:22" ht="13.5" thickBot="1">
      <c r="A21" s="52" t="s">
        <v>145</v>
      </c>
      <c r="B21" s="53"/>
      <c r="C21" s="54"/>
      <c r="D21" s="55"/>
      <c r="E21" s="56">
        <f>SUM(E11:E19)</f>
        <v>0</v>
      </c>
      <c r="F21" s="557">
        <f>SUM(F11:G19)</f>
        <v>0</v>
      </c>
      <c r="G21" s="558"/>
    </row>
    <row r="22" spans="1:22" ht="13.5" thickTop="1">
      <c r="A22" s="57" t="s">
        <v>147</v>
      </c>
      <c r="B22" s="58"/>
      <c r="C22" s="59"/>
      <c r="D22" s="58"/>
      <c r="E22" s="60"/>
      <c r="F22" s="565"/>
      <c r="G22" s="566"/>
      <c r="L22" s="21"/>
    </row>
    <row r="23" spans="1:22">
      <c r="A23" s="62"/>
      <c r="B23" s="63"/>
      <c r="C23" s="64"/>
      <c r="D23" s="63"/>
      <c r="E23" s="38"/>
      <c r="G23" s="27"/>
      <c r="L23" s="21"/>
    </row>
    <row r="24" spans="1:22">
      <c r="A24" s="12" t="s">
        <v>41</v>
      </c>
      <c r="B24" s="13">
        <v>1809</v>
      </c>
      <c r="C24" s="66" t="s">
        <v>35</v>
      </c>
      <c r="D24" s="13"/>
      <c r="E24" s="15">
        <f>IFERROR(INDEX(I6:J9,MATCH(B3,I6:I9,0),2)*12,)</f>
        <v>0</v>
      </c>
      <c r="F24" s="561">
        <f>E24/12</f>
        <v>0</v>
      </c>
      <c r="G24" s="562"/>
      <c r="L24" s="21"/>
    </row>
    <row r="25" spans="1:22">
      <c r="A25" s="67"/>
      <c r="B25" s="13"/>
      <c r="C25" s="14"/>
      <c r="D25" s="13"/>
      <c r="E25" s="15"/>
      <c r="F25" s="561"/>
      <c r="G25" s="562"/>
      <c r="L25" s="21"/>
    </row>
    <row r="26" spans="1:22" s="85" customFormat="1">
      <c r="A26" s="12" t="s">
        <v>89</v>
      </c>
      <c r="B26" s="13">
        <v>1809</v>
      </c>
      <c r="C26" s="66" t="str">
        <f>CONCATENATE("$",Summary!G83," per month")</f>
        <v>$11.33 per month</v>
      </c>
      <c r="D26" s="13"/>
      <c r="E26" s="15">
        <f>Summary!G83*12</f>
        <v>135.96</v>
      </c>
      <c r="F26" s="561">
        <f>E26/12</f>
        <v>11.33</v>
      </c>
      <c r="G26" s="562"/>
      <c r="H26" s="61"/>
      <c r="I26" s="21"/>
      <c r="J26" s="21"/>
      <c r="K26" s="61"/>
      <c r="L26" s="61"/>
    </row>
    <row r="27" spans="1:22">
      <c r="A27" s="67"/>
      <c r="B27" s="13"/>
      <c r="C27" s="14"/>
      <c r="D27" s="13"/>
      <c r="E27" s="15"/>
      <c r="F27" s="561"/>
      <c r="G27" s="562"/>
      <c r="H27" s="65"/>
    </row>
    <row r="28" spans="1:22" ht="14.25">
      <c r="A28" s="12" t="s">
        <v>90</v>
      </c>
      <c r="B28" s="13">
        <v>1803</v>
      </c>
      <c r="C28" s="14" t="s">
        <v>253</v>
      </c>
      <c r="D28" s="13"/>
      <c r="E28" s="3"/>
      <c r="F28" s="561">
        <f>E28/12</f>
        <v>0</v>
      </c>
      <c r="G28" s="562"/>
    </row>
    <row r="29" spans="1:22">
      <c r="A29" s="12"/>
      <c r="B29" s="13"/>
      <c r="C29" s="14"/>
      <c r="D29" s="13"/>
      <c r="E29" s="15"/>
      <c r="G29" s="27"/>
      <c r="L29" s="21"/>
    </row>
    <row r="30" spans="1:22" ht="18" customHeight="1" thickBot="1">
      <c r="A30" s="70" t="s">
        <v>148</v>
      </c>
      <c r="B30" s="71"/>
      <c r="C30" s="72"/>
      <c r="D30" s="73"/>
      <c r="E30" s="74">
        <f>SUM(E24:E29)</f>
        <v>135.96</v>
      </c>
      <c r="F30" s="563">
        <f>SUM(F23:F29)</f>
        <v>11.33</v>
      </c>
      <c r="G30" s="564"/>
      <c r="K30" s="45"/>
    </row>
    <row r="31" spans="1:22" ht="17.25" thickTop="1" thickBot="1">
      <c r="A31" s="76" t="s">
        <v>37</v>
      </c>
      <c r="B31" s="77"/>
      <c r="C31" s="78"/>
      <c r="D31" s="79"/>
      <c r="E31" s="80">
        <f>SUM(E7+E21+E30)</f>
        <v>135.96</v>
      </c>
      <c r="F31" s="555">
        <f>SUM(F7+F21+F30)</f>
        <v>11.33</v>
      </c>
      <c r="G31" s="556"/>
      <c r="L31" s="21"/>
    </row>
    <row r="32" spans="1:22" ht="13.5" thickTop="1">
      <c r="A32" s="81"/>
      <c r="B32" s="82"/>
      <c r="C32" s="83"/>
      <c r="D32" s="82"/>
      <c r="E32" s="551" t="s">
        <v>203</v>
      </c>
      <c r="F32" s="549" t="e">
        <f>(E30+E21)/E7</f>
        <v>#DIV/0!</v>
      </c>
      <c r="G32" s="549"/>
    </row>
    <row r="33" spans="1:12">
      <c r="A33" s="85" t="s">
        <v>7</v>
      </c>
      <c r="B33" s="86"/>
      <c r="C33" s="66"/>
      <c r="D33" s="86"/>
      <c r="E33" s="552"/>
      <c r="F33" s="550"/>
      <c r="G33" s="550"/>
      <c r="H33" s="45"/>
    </row>
    <row r="34" spans="1:12">
      <c r="A34" s="88" t="str">
        <f>'EPA Clinical Benefits'!A54</f>
        <v>1) Social Security:  CY2013 Salary maximum is $113,700</v>
      </c>
      <c r="B34" s="86"/>
      <c r="C34" s="66"/>
      <c r="D34" s="86"/>
      <c r="E34" s="87"/>
      <c r="L34" s="21"/>
    </row>
    <row r="35" spans="1:12">
      <c r="A35" s="88" t="s">
        <v>63</v>
      </c>
      <c r="B35" s="86"/>
      <c r="C35" s="66"/>
      <c r="D35" s="86"/>
      <c r="E35" s="87"/>
    </row>
    <row r="36" spans="1:12">
      <c r="A36" s="117"/>
      <c r="B36" s="82"/>
      <c r="C36" s="83"/>
      <c r="D36" s="82"/>
      <c r="E36" s="84"/>
      <c r="L36" s="21"/>
    </row>
    <row r="37" spans="1:12">
      <c r="A37" s="117"/>
      <c r="B37" s="82"/>
      <c r="C37" s="83"/>
      <c r="D37" s="82"/>
      <c r="E37" s="84"/>
      <c r="L37" s="21"/>
    </row>
    <row r="38" spans="1:12">
      <c r="A38" s="117"/>
      <c r="B38" s="82"/>
      <c r="C38" s="83"/>
      <c r="D38" s="82"/>
      <c r="E38" s="84"/>
      <c r="L38" s="21"/>
    </row>
    <row r="39" spans="1:12">
      <c r="A39" s="117"/>
      <c r="B39" s="82"/>
      <c r="C39" s="83"/>
      <c r="D39" s="82"/>
      <c r="E39" s="84"/>
    </row>
    <row r="40" spans="1:12">
      <c r="A40" s="117"/>
      <c r="B40" s="82"/>
      <c r="C40" s="83"/>
      <c r="D40" s="82"/>
      <c r="E40" s="84"/>
      <c r="L40" s="21"/>
    </row>
    <row r="41" spans="1:12">
      <c r="A41" s="117"/>
      <c r="B41" s="82"/>
      <c r="C41" s="83"/>
      <c r="D41" s="82"/>
      <c r="E41" s="84"/>
      <c r="L41" s="21"/>
    </row>
    <row r="42" spans="1:12" s="85" customFormat="1">
      <c r="A42" s="117"/>
      <c r="B42" s="82"/>
      <c r="C42" s="83"/>
      <c r="D42" s="82"/>
      <c r="E42" s="84"/>
      <c r="F42" s="26"/>
      <c r="G42" s="26"/>
      <c r="H42" s="61"/>
      <c r="I42" s="21"/>
      <c r="J42" s="21"/>
      <c r="K42" s="61"/>
    </row>
    <row r="43" spans="1:12" s="85" customFormat="1">
      <c r="A43" s="117"/>
      <c r="B43" s="82"/>
      <c r="C43" s="83"/>
      <c r="D43" s="82"/>
      <c r="E43" s="84"/>
      <c r="F43" s="26"/>
      <c r="G43" s="26"/>
      <c r="H43" s="61"/>
      <c r="I43" s="21"/>
      <c r="J43" s="21"/>
      <c r="K43" s="61"/>
      <c r="L43" s="61"/>
    </row>
    <row r="44" spans="1:12">
      <c r="A44" s="117"/>
      <c r="B44" s="82"/>
      <c r="C44" s="83"/>
      <c r="D44" s="82"/>
      <c r="E44" s="84"/>
      <c r="K44" s="45"/>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sheetData>
  <mergeCells count="18">
    <mergeCell ref="F5:G5"/>
    <mergeCell ref="F7:G7"/>
    <mergeCell ref="F11:G11"/>
    <mergeCell ref="F13:G13"/>
    <mergeCell ref="F30:G30"/>
    <mergeCell ref="F21:G21"/>
    <mergeCell ref="F22:G22"/>
    <mergeCell ref="F27:G27"/>
    <mergeCell ref="F28:G28"/>
    <mergeCell ref="F19:G19"/>
    <mergeCell ref="E32:E33"/>
    <mergeCell ref="F32:G33"/>
    <mergeCell ref="F15:G15"/>
    <mergeCell ref="F17:G17"/>
    <mergeCell ref="F26:G26"/>
    <mergeCell ref="F24:G24"/>
    <mergeCell ref="F25:G25"/>
    <mergeCell ref="F31:G31"/>
  </mergeCells>
  <phoneticPr fontId="0" type="noConversion"/>
  <dataValidations count="1">
    <dataValidation type="list" allowBlank="1" showInputMessage="1" showErrorMessage="1" sqref="B3">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43"/>
  </sheetPr>
  <dimension ref="A1:V510"/>
  <sheetViews>
    <sheetView zoomScale="85" zoomScaleNormal="85" workbookViewId="0">
      <pane ySplit="6" topLeftCell="A7" activePane="bottomLeft" state="frozen"/>
      <selection activeCell="C1" sqref="C1:E65536"/>
      <selection pane="bottomLeft" activeCell="E17" sqref="E17"/>
    </sheetView>
  </sheetViews>
  <sheetFormatPr defaultColWidth="8.85546875" defaultRowHeight="12.75"/>
  <cols>
    <col min="1" max="1" width="52.5703125" style="118" customWidth="1"/>
    <col min="2" max="2" width="16" style="119" bestFit="1" customWidth="1"/>
    <col min="3" max="3" width="16" style="120" customWidth="1"/>
    <col min="4" max="4" width="11.140625" style="119" hidden="1" customWidth="1"/>
    <col min="5" max="5" width="18.28515625" style="121" customWidth="1"/>
    <col min="6" max="6" width="9.42578125" style="26" bestFit="1" customWidth="1"/>
    <col min="7" max="7" width="8.7109375" style="26" customWidth="1"/>
    <col min="8" max="8" width="6" style="21" customWidth="1"/>
    <col min="9" max="9" width="21.28515625" style="21" bestFit="1" customWidth="1"/>
    <col min="10" max="10" width="15.140625" style="21" bestFit="1" customWidth="1"/>
    <col min="11" max="11" width="16.42578125" style="21" customWidth="1"/>
    <col min="12" max="12" width="12.7109375" style="45" customWidth="1"/>
    <col min="13" max="16384" width="8.85546875" style="45"/>
  </cols>
  <sheetData>
    <row r="1" spans="1:22" s="98" customFormat="1" ht="24.95" customHeight="1" thickBot="1">
      <c r="A1" s="89" t="s">
        <v>246</v>
      </c>
      <c r="B1" s="90"/>
      <c r="C1" s="91"/>
      <c r="D1" s="92"/>
      <c r="E1" s="93"/>
      <c r="F1" s="94"/>
      <c r="G1" s="95"/>
      <c r="H1" s="96"/>
      <c r="I1" s="96"/>
      <c r="J1" s="96"/>
      <c r="K1" s="97"/>
    </row>
    <row r="2" spans="1:22" s="105" customFormat="1" ht="16.5" thickTop="1">
      <c r="A2" s="99" t="s">
        <v>26</v>
      </c>
      <c r="B2" s="1"/>
      <c r="C2" s="100"/>
      <c r="D2" s="101"/>
      <c r="E2" s="102"/>
      <c r="F2" s="103"/>
      <c r="G2" s="103"/>
      <c r="H2" s="104"/>
      <c r="K2" s="106"/>
    </row>
    <row r="3" spans="1:22" s="105" customFormat="1" ht="15.75">
      <c r="A3" s="107" t="s">
        <v>47</v>
      </c>
      <c r="B3" s="131"/>
      <c r="C3" s="108" t="s">
        <v>166</v>
      </c>
      <c r="D3" s="101"/>
      <c r="E3" s="102"/>
      <c r="F3" s="103"/>
      <c r="G3" s="103"/>
      <c r="H3" s="104"/>
      <c r="K3" s="106"/>
    </row>
    <row r="4" spans="1:22" s="105" customFormat="1" ht="15.75">
      <c r="A4" s="107" t="s">
        <v>43</v>
      </c>
      <c r="B4" s="2"/>
      <c r="C4" s="108" t="s">
        <v>167</v>
      </c>
      <c r="D4" s="101"/>
      <c r="E4" s="102"/>
      <c r="F4" s="103"/>
      <c r="G4" s="103"/>
      <c r="H4" s="104"/>
      <c r="K4" s="106"/>
    </row>
    <row r="5" spans="1:22" ht="15.75">
      <c r="A5" s="109"/>
      <c r="B5" s="110"/>
      <c r="C5" s="111"/>
      <c r="D5" s="112"/>
      <c r="E5" s="113"/>
      <c r="F5" s="114"/>
      <c r="G5" s="114"/>
      <c r="H5" s="45"/>
      <c r="I5" s="126" t="s">
        <v>27</v>
      </c>
      <c r="J5" s="371" t="s">
        <v>230</v>
      </c>
      <c r="K5" s="61"/>
      <c r="L5" s="117"/>
      <c r="M5" s="117"/>
      <c r="N5" s="117"/>
      <c r="O5" s="117"/>
      <c r="P5" s="117"/>
      <c r="Q5" s="117"/>
      <c r="R5" s="117"/>
      <c r="S5" s="117"/>
      <c r="T5" s="117"/>
      <c r="U5" s="117"/>
      <c r="V5" s="117"/>
    </row>
    <row r="6" spans="1:22" ht="15" customHeight="1" thickBot="1">
      <c r="A6" s="4" t="s">
        <v>2</v>
      </c>
      <c r="B6" s="5" t="s">
        <v>3</v>
      </c>
      <c r="C6" s="6" t="s">
        <v>12</v>
      </c>
      <c r="D6" s="7" t="s">
        <v>14</v>
      </c>
      <c r="E6" s="8" t="s">
        <v>17</v>
      </c>
      <c r="F6" s="559" t="s">
        <v>13</v>
      </c>
      <c r="G6" s="560"/>
      <c r="H6" s="9"/>
      <c r="I6" s="127" t="s">
        <v>46</v>
      </c>
      <c r="J6" s="73" t="s">
        <v>171</v>
      </c>
      <c r="K6" s="116"/>
      <c r="L6" s="117"/>
      <c r="M6" s="117"/>
      <c r="N6" s="117"/>
      <c r="O6" s="117"/>
      <c r="P6" s="117"/>
      <c r="Q6" s="117"/>
      <c r="R6" s="117"/>
      <c r="S6" s="117"/>
      <c r="T6" s="117"/>
      <c r="U6" s="117"/>
      <c r="V6" s="117"/>
    </row>
    <row r="7" spans="1:22" ht="15" customHeight="1" thickTop="1">
      <c r="A7" s="12"/>
      <c r="B7" s="13"/>
      <c r="C7" s="14"/>
      <c r="D7" s="13"/>
      <c r="E7" s="15"/>
      <c r="F7" s="16"/>
      <c r="G7" s="17"/>
      <c r="H7" s="18"/>
      <c r="I7" s="136">
        <v>1</v>
      </c>
      <c r="J7" s="123">
        <v>46984</v>
      </c>
      <c r="K7" s="116"/>
      <c r="L7" s="117"/>
      <c r="M7" s="117"/>
      <c r="N7" s="117"/>
      <c r="O7" s="117"/>
      <c r="P7" s="117"/>
      <c r="Q7" s="117"/>
      <c r="R7" s="117"/>
      <c r="S7" s="117"/>
      <c r="T7" s="117"/>
      <c r="U7" s="117"/>
      <c r="V7" s="117"/>
    </row>
    <row r="8" spans="1:22" ht="15" customHeight="1">
      <c r="A8" s="12" t="s">
        <v>0</v>
      </c>
      <c r="B8" s="13">
        <v>1901</v>
      </c>
      <c r="C8" s="14"/>
      <c r="D8" s="321" t="s">
        <v>170</v>
      </c>
      <c r="E8" s="348">
        <f>IFERROR(INDEX(I7:J15,MATCH(B3,I7:I15,0),2),)</f>
        <v>0</v>
      </c>
      <c r="F8" s="561">
        <f>E8/12</f>
        <v>0</v>
      </c>
      <c r="G8" s="562"/>
      <c r="I8" s="136">
        <v>2</v>
      </c>
      <c r="J8" s="123">
        <v>48622</v>
      </c>
      <c r="K8" s="116"/>
      <c r="L8" s="117"/>
      <c r="M8" s="117"/>
      <c r="N8" s="117"/>
      <c r="O8" s="117"/>
      <c r="P8" s="117"/>
      <c r="Q8" s="117"/>
      <c r="R8" s="117"/>
      <c r="S8" s="117"/>
      <c r="T8" s="117"/>
      <c r="U8" s="117"/>
      <c r="V8" s="117"/>
    </row>
    <row r="9" spans="1:22" ht="15" customHeight="1">
      <c r="A9" s="22"/>
      <c r="B9" s="23"/>
      <c r="C9" s="24"/>
      <c r="D9" s="23"/>
      <c r="E9" s="25"/>
      <c r="G9" s="27"/>
      <c r="I9" s="136">
        <v>3</v>
      </c>
      <c r="J9" s="123">
        <v>50203</v>
      </c>
      <c r="K9" s="116"/>
      <c r="L9" s="117"/>
      <c r="M9" s="117"/>
      <c r="N9" s="117"/>
      <c r="O9" s="117"/>
      <c r="P9" s="117"/>
      <c r="Q9" s="117"/>
      <c r="R9" s="117"/>
      <c r="S9" s="117"/>
      <c r="T9" s="117"/>
      <c r="U9" s="117"/>
      <c r="V9" s="117"/>
    </row>
    <row r="10" spans="1:22" ht="15" customHeight="1">
      <c r="A10" s="29" t="s">
        <v>150</v>
      </c>
      <c r="B10" s="30"/>
      <c r="C10" s="31"/>
      <c r="D10" s="30"/>
      <c r="E10" s="32"/>
      <c r="F10" s="33"/>
      <c r="G10" s="34"/>
      <c r="I10" s="136">
        <v>4</v>
      </c>
      <c r="J10" s="123">
        <v>51306</v>
      </c>
      <c r="K10" s="116"/>
      <c r="L10" s="117"/>
      <c r="M10" s="117"/>
      <c r="N10" s="117"/>
      <c r="O10" s="117"/>
      <c r="P10" s="117"/>
      <c r="Q10" s="117"/>
      <c r="R10" s="117"/>
      <c r="S10" s="117"/>
      <c r="T10" s="117"/>
      <c r="U10" s="117"/>
      <c r="V10" s="117"/>
    </row>
    <row r="11" spans="1:22" ht="15" customHeight="1">
      <c r="A11" s="35"/>
      <c r="B11" s="36"/>
      <c r="C11" s="37"/>
      <c r="D11" s="36"/>
      <c r="E11" s="38"/>
      <c r="G11" s="27"/>
      <c r="I11" s="136">
        <v>5</v>
      </c>
      <c r="J11" s="123">
        <v>53427</v>
      </c>
      <c r="K11" s="117"/>
      <c r="L11" s="117"/>
      <c r="M11" s="117"/>
      <c r="N11" s="117"/>
      <c r="O11" s="117"/>
      <c r="P11" s="117"/>
      <c r="Q11" s="117"/>
      <c r="R11" s="117"/>
      <c r="S11" s="117"/>
      <c r="T11" s="117"/>
    </row>
    <row r="12" spans="1:22" ht="15" customHeight="1">
      <c r="A12" s="12" t="s">
        <v>38</v>
      </c>
      <c r="B12" s="13">
        <v>1902</v>
      </c>
      <c r="C12" s="39" t="str">
        <f>CONCATENATE(Summary!$G$9*100,"% of Salary")</f>
        <v>6.2% of Salary</v>
      </c>
      <c r="D12" s="40"/>
      <c r="E12" s="15">
        <f>IF($E$8&gt;=Summary!$G$10,Summary!$G$9*Summary!$G$10,$E$8*Summary!$G$9)</f>
        <v>0</v>
      </c>
      <c r="F12" s="561">
        <f>E12/12</f>
        <v>0</v>
      </c>
      <c r="G12" s="562"/>
      <c r="I12" s="136">
        <v>6</v>
      </c>
      <c r="J12" s="123">
        <v>54551</v>
      </c>
      <c r="K12" s="117"/>
      <c r="L12" s="117"/>
      <c r="M12" s="117"/>
      <c r="N12" s="117"/>
      <c r="O12" s="117"/>
      <c r="P12" s="117"/>
      <c r="Q12" s="117"/>
      <c r="R12" s="117"/>
      <c r="S12" s="117"/>
      <c r="T12" s="117"/>
    </row>
    <row r="13" spans="1:22" ht="15" customHeight="1">
      <c r="A13" s="12"/>
      <c r="B13" s="13"/>
      <c r="C13" s="39"/>
      <c r="D13" s="13"/>
      <c r="E13" s="15"/>
      <c r="F13" s="20"/>
      <c r="G13" s="17"/>
      <c r="I13" s="136">
        <v>7</v>
      </c>
      <c r="J13" s="123">
        <v>55676</v>
      </c>
      <c r="K13" s="117"/>
      <c r="L13" s="117"/>
      <c r="M13" s="117"/>
      <c r="N13" s="117"/>
      <c r="O13" s="117"/>
      <c r="P13" s="117"/>
      <c r="Q13" s="117"/>
      <c r="R13" s="117"/>
      <c r="S13" s="117"/>
      <c r="T13" s="117"/>
    </row>
    <row r="14" spans="1:22" ht="15" customHeight="1">
      <c r="A14" s="35" t="s">
        <v>11</v>
      </c>
      <c r="B14" s="40">
        <v>1903</v>
      </c>
      <c r="C14" s="39" t="str">
        <f>CONCATENATE(Summary!$G$11*100,"% of Salary")</f>
        <v>1.45% of Salary</v>
      </c>
      <c r="D14" s="40"/>
      <c r="E14" s="15">
        <f>SUM($E$8*Summary!G11)</f>
        <v>0</v>
      </c>
      <c r="F14" s="561">
        <f>E14/12</f>
        <v>0</v>
      </c>
      <c r="G14" s="562"/>
      <c r="I14" s="136">
        <v>8</v>
      </c>
      <c r="J14" s="123">
        <v>56801</v>
      </c>
      <c r="K14" s="117"/>
      <c r="L14" s="117"/>
      <c r="M14" s="117"/>
      <c r="N14" s="117"/>
      <c r="O14" s="117"/>
      <c r="P14" s="117"/>
      <c r="Q14" s="117"/>
      <c r="R14" s="117"/>
      <c r="S14" s="117"/>
      <c r="T14" s="117"/>
    </row>
    <row r="15" spans="1:22" ht="15" customHeight="1">
      <c r="A15" s="12"/>
      <c r="B15" s="13"/>
      <c r="C15" s="39"/>
      <c r="D15" s="13"/>
      <c r="E15" s="15"/>
      <c r="G15" s="27"/>
      <c r="I15" s="128">
        <v>9</v>
      </c>
      <c r="J15" s="124">
        <f>J14</f>
        <v>56801</v>
      </c>
      <c r="K15" s="117"/>
      <c r="L15" s="117"/>
      <c r="M15" s="117"/>
      <c r="N15" s="117"/>
      <c r="O15" s="117"/>
      <c r="P15" s="117"/>
      <c r="Q15" s="117"/>
      <c r="R15" s="117"/>
      <c r="S15" s="117"/>
      <c r="T15" s="117"/>
    </row>
    <row r="16" spans="1:22" ht="15" customHeight="1">
      <c r="A16" s="12" t="s">
        <v>1</v>
      </c>
      <c r="B16" s="13">
        <v>1904</v>
      </c>
      <c r="C16" s="66" t="s">
        <v>36</v>
      </c>
      <c r="D16" s="13"/>
      <c r="E16" s="15">
        <f>IFERROR(INDEX(I18:J21,MATCH(B4,I18:I21,0),2)*12,)</f>
        <v>0</v>
      </c>
      <c r="F16" s="561">
        <f>E16/12</f>
        <v>0</v>
      </c>
      <c r="G16" s="562"/>
      <c r="I16" s="51" t="s">
        <v>28</v>
      </c>
      <c r="J16" s="115"/>
      <c r="K16" s="117"/>
      <c r="L16" s="117"/>
      <c r="M16" s="117"/>
      <c r="N16" s="117"/>
      <c r="O16" s="117"/>
      <c r="P16" s="117"/>
      <c r="Q16" s="117"/>
      <c r="R16" s="117"/>
      <c r="S16" s="117"/>
      <c r="T16" s="117"/>
    </row>
    <row r="17" spans="1:20" ht="15" customHeight="1" thickBot="1">
      <c r="A17" s="67"/>
      <c r="B17" s="13"/>
      <c r="C17" s="14"/>
      <c r="D17" s="13"/>
      <c r="E17" s="15"/>
      <c r="F17" s="561"/>
      <c r="G17" s="562"/>
      <c r="H17" s="45"/>
      <c r="I17" s="10" t="s">
        <v>180</v>
      </c>
      <c r="J17" s="11" t="s">
        <v>169</v>
      </c>
      <c r="K17" s="117"/>
      <c r="L17" s="117"/>
      <c r="M17" s="117"/>
      <c r="N17" s="117"/>
      <c r="O17" s="117"/>
      <c r="P17" s="117"/>
      <c r="Q17" s="117"/>
      <c r="R17" s="117"/>
      <c r="S17" s="117"/>
      <c r="T17" s="117"/>
    </row>
    <row r="18" spans="1:20" ht="15" customHeight="1" thickTop="1" thickBot="1">
      <c r="A18" s="52" t="s">
        <v>149</v>
      </c>
      <c r="B18" s="53"/>
      <c r="C18" s="54"/>
      <c r="D18" s="55"/>
      <c r="E18" s="56">
        <f>SUM(E12:E17)</f>
        <v>0</v>
      </c>
      <c r="F18" s="557">
        <f>SUM(F12:G17)</f>
        <v>0</v>
      </c>
      <c r="G18" s="558"/>
      <c r="I18" s="359" t="s">
        <v>20</v>
      </c>
      <c r="J18" s="19">
        <f>Summary!G78</f>
        <v>208</v>
      </c>
      <c r="K18" s="117"/>
      <c r="L18" s="117"/>
      <c r="M18" s="117"/>
      <c r="N18" s="117"/>
      <c r="O18" s="117"/>
      <c r="P18" s="117"/>
      <c r="Q18" s="117"/>
      <c r="R18" s="117"/>
      <c r="S18" s="117"/>
      <c r="T18" s="117"/>
    </row>
    <row r="19" spans="1:20" ht="15" customHeight="1" thickTop="1" thickBot="1">
      <c r="A19" s="76" t="s">
        <v>37</v>
      </c>
      <c r="B19" s="77"/>
      <c r="C19" s="78"/>
      <c r="D19" s="79"/>
      <c r="E19" s="80">
        <f>E8+E18</f>
        <v>0</v>
      </c>
      <c r="F19" s="555">
        <f>F8+F18</f>
        <v>0</v>
      </c>
      <c r="G19" s="556"/>
      <c r="I19" s="359" t="s">
        <v>24</v>
      </c>
      <c r="J19" s="19">
        <f>Summary!G79</f>
        <v>286</v>
      </c>
      <c r="K19" s="117"/>
      <c r="L19" s="117"/>
      <c r="M19" s="117"/>
      <c r="N19" s="117"/>
      <c r="O19" s="117"/>
      <c r="P19" s="117"/>
      <c r="Q19" s="117"/>
      <c r="R19" s="117"/>
      <c r="S19" s="117"/>
      <c r="T19" s="117"/>
    </row>
    <row r="20" spans="1:20" ht="15" customHeight="1" thickTop="1">
      <c r="A20" s="81"/>
      <c r="B20" s="82"/>
      <c r="C20" s="83"/>
      <c r="D20" s="82"/>
      <c r="E20" s="551" t="s">
        <v>203</v>
      </c>
      <c r="F20" s="549" t="e">
        <f>E18/E8</f>
        <v>#DIV/0!</v>
      </c>
      <c r="G20" s="549"/>
      <c r="I20" s="359" t="s">
        <v>42</v>
      </c>
      <c r="J20" s="19">
        <f>Summary!G80</f>
        <v>416</v>
      </c>
      <c r="K20" s="45"/>
    </row>
    <row r="21" spans="1:20" ht="15" customHeight="1">
      <c r="A21" s="85" t="s">
        <v>7</v>
      </c>
      <c r="B21" s="86"/>
      <c r="C21" s="66"/>
      <c r="D21" s="86"/>
      <c r="E21" s="552"/>
      <c r="F21" s="550"/>
      <c r="G21" s="550"/>
      <c r="I21" s="360" t="s">
        <v>21</v>
      </c>
      <c r="J21" s="28">
        <f>Summary!G81</f>
        <v>629</v>
      </c>
      <c r="K21" s="45"/>
    </row>
    <row r="22" spans="1:20" ht="15" customHeight="1">
      <c r="A22" s="88" t="str">
        <f>'EPA Clinical Benefits'!A54</f>
        <v>1) Social Security:  CY2013 Salary maximum is $113,700</v>
      </c>
      <c r="B22" s="86"/>
      <c r="C22" s="66"/>
      <c r="D22" s="86"/>
      <c r="E22" s="87"/>
      <c r="I22" s="250"/>
      <c r="J22" s="250"/>
      <c r="K22" s="45"/>
    </row>
    <row r="23" spans="1:20">
      <c r="A23" s="117"/>
      <c r="B23" s="82"/>
      <c r="C23" s="83"/>
      <c r="D23" s="82"/>
      <c r="E23" s="84"/>
      <c r="I23" s="250"/>
      <c r="J23" s="250"/>
      <c r="K23" s="45"/>
    </row>
    <row r="24" spans="1:20">
      <c r="A24" s="117"/>
      <c r="B24" s="82"/>
      <c r="C24" s="83"/>
      <c r="D24" s="82"/>
      <c r="E24" s="84"/>
      <c r="I24" s="250"/>
      <c r="J24" s="250"/>
      <c r="K24" s="45"/>
    </row>
    <row r="25" spans="1:20">
      <c r="A25" s="117"/>
      <c r="B25" s="82"/>
      <c r="C25" s="83"/>
      <c r="D25" s="82"/>
      <c r="E25" s="84"/>
      <c r="I25" s="250"/>
      <c r="J25" s="250"/>
      <c r="K25" s="45"/>
    </row>
    <row r="26" spans="1:20" s="85" customFormat="1">
      <c r="A26" s="117"/>
      <c r="B26" s="82"/>
      <c r="C26" s="83"/>
      <c r="D26" s="82"/>
      <c r="E26" s="84"/>
      <c r="F26" s="26"/>
      <c r="G26" s="26"/>
      <c r="H26" s="61"/>
      <c r="I26" s="250"/>
      <c r="J26" s="250"/>
    </row>
    <row r="27" spans="1:20">
      <c r="A27" s="117"/>
      <c r="B27" s="82"/>
      <c r="C27" s="83"/>
      <c r="D27" s="82"/>
      <c r="E27" s="84"/>
      <c r="H27" s="65"/>
      <c r="I27" s="250"/>
      <c r="J27" s="250"/>
    </row>
    <row r="28" spans="1:20">
      <c r="A28" s="117"/>
      <c r="B28" s="82"/>
      <c r="C28" s="83"/>
      <c r="D28" s="82"/>
      <c r="E28" s="84"/>
      <c r="I28" s="250"/>
      <c r="J28" s="250"/>
    </row>
    <row r="29" spans="1:20">
      <c r="A29" s="117"/>
      <c r="B29" s="82"/>
      <c r="C29" s="83"/>
      <c r="D29" s="82"/>
      <c r="E29" s="84"/>
      <c r="L29" s="21"/>
    </row>
    <row r="30" spans="1:20">
      <c r="A30" s="117"/>
      <c r="B30" s="82"/>
      <c r="C30" s="83"/>
      <c r="D30" s="82"/>
      <c r="E30" s="84"/>
      <c r="K30" s="45"/>
    </row>
    <row r="31" spans="1:20">
      <c r="A31" s="117"/>
      <c r="B31" s="82"/>
      <c r="C31" s="83"/>
      <c r="D31" s="82"/>
      <c r="E31" s="84"/>
      <c r="L31" s="21"/>
    </row>
    <row r="32" spans="1:20">
      <c r="A32" s="117"/>
      <c r="B32" s="82"/>
      <c r="C32" s="83"/>
      <c r="D32" s="82"/>
      <c r="E32" s="84"/>
    </row>
    <row r="33" spans="1:12">
      <c r="A33" s="117"/>
      <c r="B33" s="82"/>
      <c r="C33" s="83"/>
      <c r="D33" s="82"/>
      <c r="E33" s="84"/>
      <c r="H33" s="45"/>
    </row>
    <row r="34" spans="1:12">
      <c r="A34" s="117"/>
      <c r="B34" s="82"/>
      <c r="C34" s="83"/>
      <c r="D34" s="82"/>
      <c r="E34" s="84"/>
      <c r="I34" s="69"/>
      <c r="L34" s="21"/>
    </row>
    <row r="35" spans="1:12">
      <c r="A35" s="117"/>
      <c r="B35" s="82"/>
      <c r="C35" s="83"/>
      <c r="D35" s="82"/>
      <c r="E35" s="84"/>
      <c r="I35" s="75"/>
      <c r="J35" s="61"/>
    </row>
    <row r="36" spans="1:12">
      <c r="A36" s="117"/>
      <c r="B36" s="82"/>
      <c r="C36" s="83"/>
      <c r="D36" s="82"/>
      <c r="E36" s="84"/>
      <c r="I36" s="69"/>
      <c r="L36" s="21"/>
    </row>
    <row r="37" spans="1:12">
      <c r="A37" s="117"/>
      <c r="B37" s="82"/>
      <c r="C37" s="83"/>
      <c r="D37" s="82"/>
      <c r="E37" s="84"/>
      <c r="L37" s="21"/>
    </row>
    <row r="38" spans="1:12">
      <c r="A38" s="117"/>
      <c r="B38" s="82"/>
      <c r="C38" s="83"/>
      <c r="D38" s="82"/>
      <c r="E38" s="84"/>
      <c r="L38" s="21"/>
    </row>
    <row r="39" spans="1:12">
      <c r="A39" s="117"/>
      <c r="B39" s="82"/>
      <c r="C39" s="83"/>
      <c r="D39" s="82"/>
      <c r="E39" s="84"/>
    </row>
    <row r="40" spans="1:12">
      <c r="A40" s="117"/>
      <c r="B40" s="82"/>
      <c r="C40" s="83"/>
      <c r="D40" s="82"/>
      <c r="E40" s="84"/>
      <c r="L40" s="21"/>
    </row>
    <row r="41" spans="1:12">
      <c r="A41" s="117"/>
      <c r="B41" s="82"/>
      <c r="C41" s="83"/>
      <c r="D41" s="82"/>
      <c r="E41" s="84"/>
      <c r="L41" s="21"/>
    </row>
    <row r="42" spans="1:12" s="85" customFormat="1">
      <c r="A42" s="117"/>
      <c r="B42" s="82"/>
      <c r="C42" s="83"/>
      <c r="D42" s="82"/>
      <c r="E42" s="84"/>
      <c r="F42" s="26"/>
      <c r="G42" s="26"/>
      <c r="H42" s="61"/>
      <c r="I42" s="21"/>
      <c r="J42" s="21"/>
      <c r="K42" s="61"/>
    </row>
    <row r="43" spans="1:12" s="85" customFormat="1">
      <c r="A43" s="117"/>
      <c r="B43" s="82"/>
      <c r="C43" s="83"/>
      <c r="D43" s="82"/>
      <c r="E43" s="84"/>
      <c r="F43" s="26"/>
      <c r="G43" s="26"/>
      <c r="H43" s="61"/>
      <c r="I43" s="21"/>
      <c r="J43" s="21"/>
      <c r="K43" s="61"/>
      <c r="L43" s="61"/>
    </row>
    <row r="44" spans="1:12">
      <c r="A44" s="117"/>
      <c r="B44" s="82"/>
      <c r="C44" s="83"/>
      <c r="D44" s="82"/>
      <c r="E44" s="84"/>
      <c r="K44" s="45"/>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sheetData>
  <mergeCells count="10">
    <mergeCell ref="E20:E21"/>
    <mergeCell ref="F20:G21"/>
    <mergeCell ref="F19:G19"/>
    <mergeCell ref="F18:G18"/>
    <mergeCell ref="F6:G6"/>
    <mergeCell ref="F8:G8"/>
    <mergeCell ref="F12:G12"/>
    <mergeCell ref="F14:G14"/>
    <mergeCell ref="F16:G16"/>
    <mergeCell ref="F17:G17"/>
  </mergeCells>
  <phoneticPr fontId="0" type="noConversion"/>
  <dataValidations count="2">
    <dataValidation type="list" allowBlank="1" showInputMessage="1" showErrorMessage="1" sqref="B3">
      <formula1>$I$7:$I$15</formula1>
    </dataValidation>
    <dataValidation type="list" allowBlank="1" showInputMessage="1" showErrorMessage="1" sqref="B4">
      <formula1>HlthIns</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PEDIATRICS&amp;"Arial,Regular"
</oddHeader>
    <oddFooter>&amp;L&amp;"Arial,Regular"&amp;Z&amp;F&amp;R&amp;"Arial,Regular"&amp;D, &amp;A</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S520"/>
  <sheetViews>
    <sheetView zoomScale="85" zoomScaleNormal="85" workbookViewId="0">
      <pane ySplit="9" topLeftCell="A10" activePane="bottomLeft" state="frozen"/>
      <selection activeCell="C1" sqref="C1:E65536"/>
      <selection pane="bottomLeft" activeCell="C21" sqref="C21"/>
    </sheetView>
  </sheetViews>
  <sheetFormatPr defaultColWidth="8.85546875" defaultRowHeight="12.75"/>
  <cols>
    <col min="1" max="1" width="52.5703125" style="118" customWidth="1"/>
    <col min="2" max="2" width="16" style="119" bestFit="1" customWidth="1"/>
    <col min="3" max="3" width="16" style="120" customWidth="1"/>
    <col min="4" max="4" width="11.140625" style="119" hidden="1" customWidth="1"/>
    <col min="5" max="5" width="18.28515625" style="121" customWidth="1"/>
    <col min="6" max="6" width="2.140625" style="21" customWidth="1"/>
    <col min="7" max="7" width="22.140625" style="21" bestFit="1" customWidth="1"/>
    <col min="8" max="8" width="16.42578125" style="21" customWidth="1"/>
    <col min="9" max="9" width="12.7109375" style="45" customWidth="1"/>
    <col min="10" max="16384" width="8.85546875" style="45"/>
  </cols>
  <sheetData>
    <row r="1" spans="1:19" s="98" customFormat="1" ht="24.95" customHeight="1" thickBot="1">
      <c r="A1" s="89" t="s">
        <v>247</v>
      </c>
      <c r="B1" s="90"/>
      <c r="C1" s="91"/>
      <c r="D1" s="92"/>
      <c r="E1" s="93"/>
      <c r="F1" s="96"/>
      <c r="G1" s="96"/>
      <c r="H1" s="97"/>
    </row>
    <row r="2" spans="1:19" s="105" customFormat="1" ht="16.5" thickTop="1">
      <c r="A2" s="99" t="s">
        <v>26</v>
      </c>
      <c r="B2" s="1"/>
      <c r="C2" s="100"/>
      <c r="D2" s="101"/>
      <c r="E2" s="102"/>
      <c r="F2" s="104"/>
      <c r="H2" s="106"/>
    </row>
    <row r="3" spans="1:19" s="105" customFormat="1" ht="15.75" hidden="1">
      <c r="A3" s="107" t="s">
        <v>10</v>
      </c>
      <c r="B3" s="2" t="s">
        <v>163</v>
      </c>
      <c r="C3" s="108" t="s">
        <v>30</v>
      </c>
      <c r="D3" s="101"/>
      <c r="E3" s="102"/>
      <c r="F3" s="104"/>
      <c r="H3" s="106"/>
    </row>
    <row r="4" spans="1:19" s="105" customFormat="1" ht="15.75">
      <c r="A4" s="107" t="s">
        <v>32</v>
      </c>
      <c r="B4" s="2" t="s">
        <v>33</v>
      </c>
      <c r="C4" s="108" t="s">
        <v>165</v>
      </c>
      <c r="D4" s="101"/>
      <c r="E4" s="102"/>
      <c r="F4" s="104"/>
      <c r="H4" s="106"/>
    </row>
    <row r="5" spans="1:19" s="250" customFormat="1"/>
    <row r="6" spans="1:19" s="250" customFormat="1" hidden="1"/>
    <row r="7" spans="1:19" s="250" customFormat="1" hidden="1"/>
    <row r="8" spans="1:19" ht="15.75" hidden="1">
      <c r="A8" s="109"/>
      <c r="B8" s="110"/>
      <c r="C8" s="111"/>
      <c r="D8" s="112"/>
      <c r="E8" s="113"/>
      <c r="F8" s="45"/>
      <c r="G8" s="250"/>
      <c r="H8" s="250"/>
      <c r="I8" s="117"/>
      <c r="J8" s="117"/>
      <c r="K8" s="117"/>
      <c r="L8" s="117"/>
      <c r="M8" s="117"/>
      <c r="N8" s="117"/>
      <c r="O8" s="117"/>
      <c r="P8" s="117"/>
      <c r="Q8" s="117"/>
      <c r="R8" s="117"/>
      <c r="S8" s="117"/>
    </row>
    <row r="9" spans="1:19" ht="13.5" thickBot="1">
      <c r="A9" s="4" t="s">
        <v>2</v>
      </c>
      <c r="B9" s="5" t="s">
        <v>3</v>
      </c>
      <c r="C9" s="6" t="s">
        <v>12</v>
      </c>
      <c r="D9" s="7" t="s">
        <v>14</v>
      </c>
      <c r="E9" s="342" t="s">
        <v>59</v>
      </c>
      <c r="F9" s="9"/>
      <c r="G9" s="250"/>
      <c r="H9" s="250"/>
      <c r="I9" s="117"/>
      <c r="J9" s="117"/>
      <c r="K9" s="117"/>
      <c r="L9" s="117"/>
      <c r="M9" s="117"/>
      <c r="N9" s="117"/>
      <c r="O9" s="117"/>
      <c r="P9" s="117"/>
      <c r="Q9" s="117"/>
      <c r="R9" s="117"/>
      <c r="S9" s="117"/>
    </row>
    <row r="10" spans="1:19" ht="13.5" thickTop="1">
      <c r="A10" s="12"/>
      <c r="B10" s="13"/>
      <c r="C10" s="14"/>
      <c r="D10" s="13"/>
      <c r="E10" s="15"/>
      <c r="F10" s="18"/>
      <c r="G10" s="250"/>
      <c r="H10" s="250"/>
      <c r="I10" s="117"/>
      <c r="J10" s="117"/>
      <c r="K10" s="117"/>
      <c r="L10" s="117"/>
      <c r="M10" s="117"/>
      <c r="N10" s="117"/>
      <c r="O10" s="117"/>
      <c r="P10" s="117"/>
      <c r="Q10" s="117"/>
      <c r="R10" s="117"/>
      <c r="S10" s="117"/>
    </row>
    <row r="11" spans="1:19">
      <c r="A11" s="12" t="s">
        <v>61</v>
      </c>
      <c r="B11" s="13">
        <v>1133</v>
      </c>
      <c r="C11" s="14"/>
      <c r="D11" s="13"/>
      <c r="E11" s="3"/>
      <c r="G11" s="250"/>
      <c r="H11" s="250"/>
      <c r="I11" s="117"/>
      <c r="J11" s="117"/>
      <c r="K11" s="117"/>
      <c r="L11" s="117"/>
      <c r="M11" s="117"/>
      <c r="N11" s="117"/>
      <c r="O11" s="117"/>
      <c r="P11" s="117"/>
      <c r="Q11" s="117"/>
      <c r="R11" s="117"/>
      <c r="S11" s="117"/>
    </row>
    <row r="12" spans="1:19">
      <c r="A12" s="22"/>
      <c r="B12" s="23"/>
      <c r="C12" s="24"/>
      <c r="D12" s="23"/>
      <c r="E12" s="25"/>
      <c r="G12" s="250"/>
      <c r="H12" s="250"/>
      <c r="I12" s="117"/>
      <c r="J12" s="117"/>
      <c r="K12" s="117"/>
      <c r="L12" s="117"/>
      <c r="M12" s="117"/>
      <c r="N12" s="117"/>
      <c r="O12" s="117"/>
      <c r="P12" s="117"/>
      <c r="Q12" s="117"/>
      <c r="R12" s="117"/>
      <c r="S12" s="117"/>
    </row>
    <row r="13" spans="1:19">
      <c r="A13" s="29" t="s">
        <v>150</v>
      </c>
      <c r="B13" s="30"/>
      <c r="C13" s="31"/>
      <c r="D13" s="30"/>
      <c r="E13" s="32"/>
      <c r="G13" s="250"/>
      <c r="H13" s="250"/>
      <c r="I13" s="117"/>
      <c r="J13" s="117"/>
      <c r="K13" s="117"/>
      <c r="L13" s="117"/>
      <c r="M13" s="117"/>
      <c r="N13" s="117"/>
      <c r="O13" s="117"/>
      <c r="P13" s="117"/>
      <c r="Q13" s="117"/>
      <c r="R13" s="117"/>
      <c r="S13" s="117"/>
    </row>
    <row r="14" spans="1:19">
      <c r="A14" s="35"/>
      <c r="B14" s="36"/>
      <c r="C14" s="37"/>
      <c r="D14" s="36"/>
      <c r="E14" s="38"/>
      <c r="G14" s="250"/>
      <c r="H14" s="250"/>
      <c r="I14" s="117"/>
      <c r="J14" s="117"/>
      <c r="K14" s="117"/>
      <c r="L14" s="117"/>
      <c r="M14" s="117"/>
      <c r="N14" s="117"/>
      <c r="O14" s="117"/>
      <c r="P14" s="117"/>
      <c r="Q14" s="117"/>
      <c r="R14" s="117"/>
      <c r="S14" s="117"/>
    </row>
    <row r="15" spans="1:19">
      <c r="A15" s="35" t="s">
        <v>11</v>
      </c>
      <c r="B15" s="40">
        <v>1813</v>
      </c>
      <c r="C15" s="39" t="str">
        <f>CONCATENATE(Summary!$G$11*100,"% of Salary")</f>
        <v>1.45% of Salary</v>
      </c>
      <c r="D15" s="40"/>
      <c r="E15" s="15">
        <f>SUM($E$11*Summary!G11)</f>
        <v>0</v>
      </c>
      <c r="G15" s="250"/>
      <c r="H15" s="250"/>
      <c r="I15" s="117"/>
      <c r="J15" s="117"/>
      <c r="K15" s="117"/>
      <c r="L15" s="117"/>
      <c r="M15" s="117"/>
      <c r="N15" s="117"/>
      <c r="O15" s="117"/>
      <c r="P15" s="117"/>
      <c r="Q15" s="117"/>
      <c r="R15" s="117"/>
      <c r="S15" s="117"/>
    </row>
    <row r="16" spans="1:19">
      <c r="A16" s="12"/>
      <c r="B16" s="13"/>
      <c r="C16" s="39"/>
      <c r="D16" s="13"/>
      <c r="E16" s="15"/>
      <c r="G16" s="250"/>
      <c r="H16" s="250"/>
      <c r="I16" s="117"/>
      <c r="J16" s="117"/>
      <c r="K16" s="117"/>
      <c r="L16" s="117"/>
      <c r="M16" s="117"/>
      <c r="N16" s="117"/>
      <c r="O16" s="117"/>
      <c r="P16" s="117"/>
      <c r="Q16" s="117"/>
      <c r="R16" s="117"/>
      <c r="S16" s="117"/>
    </row>
    <row r="17" spans="1:19">
      <c r="A17" s="12" t="s">
        <v>69</v>
      </c>
      <c r="B17" s="13">
        <v>1822</v>
      </c>
      <c r="C17" s="39" t="str">
        <f>CONCATENATE(Summary!$G$14*100,"%  of Salary")</f>
        <v>14.23%  of Salary</v>
      </c>
      <c r="D17" s="325">
        <f>IF($E$11&gt;=Summary!$G$15,Summary!$G$15,$E$11)*Summary!$G$14</f>
        <v>0</v>
      </c>
      <c r="E17" s="42" t="str">
        <f>IF(AND(B3="Yes",B4="State"),D17,(IF(AND(B3="No",B4="State"),D18,"-")))</f>
        <v>-</v>
      </c>
      <c r="G17" s="250"/>
      <c r="H17" s="250"/>
      <c r="I17" s="117"/>
      <c r="J17" s="117"/>
      <c r="K17" s="117"/>
      <c r="L17" s="117"/>
      <c r="M17" s="117"/>
      <c r="N17" s="117"/>
      <c r="O17" s="117"/>
      <c r="P17" s="117"/>
      <c r="Q17" s="117"/>
      <c r="R17" s="117"/>
      <c r="S17" s="117"/>
    </row>
    <row r="18" spans="1:19">
      <c r="A18" s="43"/>
      <c r="B18" s="13"/>
      <c r="C18" s="39"/>
      <c r="D18" s="325">
        <f>IF($E$11&gt;Summary!$G$16,Summary!$G$16,$E$11)*Summary!$G$14</f>
        <v>0</v>
      </c>
      <c r="E18" s="44"/>
      <c r="F18" s="45"/>
      <c r="G18" s="250"/>
      <c r="I18" s="117"/>
      <c r="J18" s="117"/>
      <c r="K18" s="117"/>
      <c r="L18" s="117"/>
      <c r="M18" s="117"/>
      <c r="N18" s="117"/>
      <c r="O18" s="117"/>
      <c r="P18" s="117"/>
      <c r="Q18" s="117"/>
      <c r="R18" s="117"/>
      <c r="S18" s="117"/>
    </row>
    <row r="19" spans="1:19">
      <c r="A19" s="12" t="s">
        <v>70</v>
      </c>
      <c r="B19" s="13" t="s">
        <v>5</v>
      </c>
      <c r="C19" s="39" t="str">
        <f>CONCATENATE(Summary!$G$20*100,"% of Salary")</f>
        <v>12.58% of Salary</v>
      </c>
      <c r="D19" s="325">
        <f>IF($E$11&gt;Summary!$G$21,Summary!$G$21,$E$11)*Summary!$G$20</f>
        <v>0</v>
      </c>
      <c r="E19" s="42">
        <f>IF(AND(B3="Yes",B4="Optional"),D19,(IF(AND(B3="No",B4="Optional"),D20,"-")))</f>
        <v>0</v>
      </c>
      <c r="G19" s="250"/>
      <c r="H19" s="45"/>
      <c r="I19" s="117"/>
      <c r="J19" s="117"/>
      <c r="K19" s="117"/>
      <c r="L19" s="117"/>
      <c r="M19" s="117"/>
      <c r="N19" s="117"/>
      <c r="O19" s="117"/>
      <c r="P19" s="117"/>
      <c r="Q19" s="117"/>
      <c r="R19" s="117"/>
      <c r="S19" s="117"/>
    </row>
    <row r="20" spans="1:19">
      <c r="A20" s="43"/>
      <c r="B20" s="13"/>
      <c r="C20" s="39"/>
      <c r="D20" s="325">
        <f>IF($E$11&gt;Summary!$G$22,Summary!$G$22,$E$11)*Summary!$G$20</f>
        <v>0</v>
      </c>
      <c r="E20" s="44"/>
      <c r="G20" s="250"/>
      <c r="H20" s="45"/>
      <c r="I20" s="117"/>
      <c r="J20" s="117"/>
      <c r="K20" s="117"/>
      <c r="L20" s="117"/>
      <c r="M20" s="117"/>
      <c r="N20" s="117"/>
      <c r="O20" s="117"/>
      <c r="P20" s="117"/>
      <c r="Q20" s="117"/>
      <c r="R20" s="117"/>
      <c r="S20" s="117"/>
    </row>
    <row r="21" spans="1:19">
      <c r="A21" s="35" t="s">
        <v>91</v>
      </c>
      <c r="B21" s="40">
        <v>1892</v>
      </c>
      <c r="C21" s="39" t="str">
        <f>CONCATENATE(Summary!$G$27*100,"% of Salary")</f>
        <v>0.35% of Salary</v>
      </c>
      <c r="D21" s="40"/>
      <c r="E21" s="15">
        <f>SUM($E$11*Summary!G27)</f>
        <v>0</v>
      </c>
      <c r="G21" s="250"/>
    </row>
    <row r="22" spans="1:19">
      <c r="A22" s="35"/>
      <c r="B22" s="40"/>
      <c r="C22" s="47"/>
      <c r="D22" s="40"/>
      <c r="E22" s="15"/>
      <c r="G22" s="250"/>
      <c r="I22" s="21"/>
    </row>
    <row r="23" spans="1:19">
      <c r="A23" s="48" t="s">
        <v>6</v>
      </c>
      <c r="B23" s="40">
        <v>3914</v>
      </c>
      <c r="C23" s="39" t="str">
        <f>CONCATENATE(Summary!$G$76*100,"% of Salary")</f>
        <v>0.241% of Salary</v>
      </c>
      <c r="D23" s="40"/>
      <c r="E23" s="15">
        <f>SUM($E$11*Summary!G76)</f>
        <v>0</v>
      </c>
      <c r="G23" s="250"/>
      <c r="I23" s="21"/>
    </row>
    <row r="24" spans="1:19">
      <c r="A24" s="48"/>
      <c r="B24" s="40"/>
      <c r="C24" s="39"/>
      <c r="D24" s="40"/>
      <c r="E24" s="15"/>
      <c r="G24" s="250"/>
      <c r="I24" s="21"/>
    </row>
    <row r="25" spans="1:19">
      <c r="A25" s="48" t="s">
        <v>238</v>
      </c>
      <c r="B25" s="40">
        <v>3225</v>
      </c>
      <c r="C25" s="39" t="str">
        <f>CONCATENATE(Summary!$G$75*100,"% of Salary")</f>
        <v>0.54% of Salary</v>
      </c>
      <c r="D25" s="40"/>
      <c r="E25" s="15">
        <f>SUM($E$11*Summary!G75)</f>
        <v>0</v>
      </c>
      <c r="F25" s="553">
        <f>IF(ISERROR(E25/12),"-",E25/12)</f>
        <v>0</v>
      </c>
      <c r="G25" s="554">
        <f>IF(ISERROR(F25/12),"-",F25/12)</f>
        <v>0</v>
      </c>
      <c r="I25" s="21"/>
    </row>
    <row r="26" spans="1:19">
      <c r="A26" s="48"/>
      <c r="B26" s="36"/>
      <c r="C26" s="37"/>
      <c r="D26" s="36"/>
      <c r="E26" s="38"/>
      <c r="G26" s="250"/>
      <c r="I26" s="21"/>
    </row>
    <row r="27" spans="1:19" ht="13.5" thickBot="1">
      <c r="A27" s="52" t="s">
        <v>149</v>
      </c>
      <c r="B27" s="53"/>
      <c r="C27" s="54"/>
      <c r="D27" s="55"/>
      <c r="E27" s="56">
        <f>SUM(E15:E25)</f>
        <v>0</v>
      </c>
      <c r="G27" s="250"/>
      <c r="I27" s="21"/>
    </row>
    <row r="28" spans="1:19" s="85" customFormat="1" ht="17.25" thickTop="1" thickBot="1">
      <c r="A28" s="76" t="s">
        <v>37</v>
      </c>
      <c r="B28" s="77"/>
      <c r="C28" s="78"/>
      <c r="D28" s="79"/>
      <c r="E28" s="80">
        <f>E11+E27</f>
        <v>0</v>
      </c>
      <c r="F28" s="61"/>
      <c r="G28" s="69"/>
      <c r="H28" s="61"/>
    </row>
    <row r="29" spans="1:19" s="85" customFormat="1" ht="13.5" thickTop="1">
      <c r="A29" s="81"/>
      <c r="B29" s="82"/>
      <c r="C29" s="83"/>
      <c r="D29" s="82"/>
      <c r="E29" s="84"/>
      <c r="F29" s="61"/>
      <c r="G29" s="21"/>
      <c r="H29" s="61"/>
      <c r="I29" s="61"/>
    </row>
    <row r="30" spans="1:19">
      <c r="A30" s="137" t="s">
        <v>62</v>
      </c>
      <c r="B30" s="86"/>
      <c r="C30" s="66"/>
      <c r="D30" s="86"/>
      <c r="E30" s="87"/>
      <c r="H30" s="45"/>
    </row>
    <row r="31" spans="1:19">
      <c r="A31" s="45" t="s">
        <v>181</v>
      </c>
      <c r="B31" s="86"/>
      <c r="C31" s="66"/>
      <c r="D31" s="86"/>
      <c r="E31" s="87"/>
      <c r="H31" s="45"/>
    </row>
    <row r="32" spans="1:19">
      <c r="A32" s="45"/>
      <c r="B32" s="82"/>
      <c r="C32" s="83"/>
      <c r="D32" s="82"/>
      <c r="E32" s="84"/>
      <c r="H32" s="45"/>
    </row>
    <row r="33" spans="1:5">
      <c r="A33" s="144"/>
      <c r="B33" s="82"/>
      <c r="C33" s="83"/>
      <c r="D33" s="82"/>
      <c r="E33" s="84"/>
    </row>
    <row r="34" spans="1:5">
      <c r="A34" s="117"/>
      <c r="B34" s="82"/>
      <c r="C34" s="83"/>
      <c r="D34" s="82"/>
      <c r="E34" s="84"/>
    </row>
    <row r="35" spans="1:5">
      <c r="A35" s="117"/>
      <c r="B35" s="82"/>
      <c r="C35" s="83"/>
      <c r="D35" s="82"/>
      <c r="E35" s="84"/>
    </row>
    <row r="36" spans="1:5">
      <c r="A36" s="117"/>
      <c r="B36" s="82"/>
      <c r="C36" s="83"/>
      <c r="D36" s="82"/>
      <c r="E36" s="84"/>
    </row>
    <row r="37" spans="1:5">
      <c r="A37" s="117"/>
      <c r="B37" s="82"/>
      <c r="C37" s="83"/>
      <c r="D37" s="82"/>
      <c r="E37" s="84"/>
    </row>
    <row r="38" spans="1:5">
      <c r="A38" s="117"/>
      <c r="B38" s="82"/>
      <c r="C38" s="83"/>
      <c r="D38" s="82"/>
      <c r="E38" s="84"/>
    </row>
    <row r="39" spans="1:5">
      <c r="A39" s="117"/>
      <c r="B39" s="82"/>
      <c r="C39" s="83"/>
      <c r="D39" s="82"/>
      <c r="E39" s="84"/>
    </row>
    <row r="40" spans="1:5">
      <c r="A40" s="117"/>
      <c r="B40" s="82"/>
      <c r="C40" s="83"/>
      <c r="D40" s="82"/>
      <c r="E40" s="84"/>
    </row>
    <row r="41" spans="1:5">
      <c r="A41" s="117"/>
      <c r="B41" s="82"/>
      <c r="C41" s="83"/>
      <c r="D41" s="82"/>
      <c r="E41" s="84"/>
    </row>
    <row r="42" spans="1:5">
      <c r="A42" s="117"/>
      <c r="B42" s="82"/>
      <c r="C42" s="83"/>
      <c r="D42" s="82"/>
      <c r="E42" s="84"/>
    </row>
    <row r="43" spans="1:5">
      <c r="A43" s="117"/>
      <c r="B43" s="82"/>
      <c r="C43" s="83"/>
      <c r="D43" s="82"/>
      <c r="E43" s="84"/>
    </row>
    <row r="44" spans="1:5">
      <c r="A44" s="117"/>
      <c r="B44" s="82"/>
      <c r="C44" s="83"/>
      <c r="D44" s="82"/>
      <c r="E44" s="84"/>
    </row>
    <row r="45" spans="1:5">
      <c r="A45" s="117"/>
      <c r="B45" s="82"/>
      <c r="C45" s="83"/>
      <c r="D45" s="82"/>
      <c r="E45" s="84"/>
    </row>
    <row r="46" spans="1:5">
      <c r="A46" s="117"/>
      <c r="B46" s="82"/>
      <c r="C46" s="83"/>
      <c r="D46" s="82"/>
      <c r="E46" s="84"/>
    </row>
    <row r="47" spans="1:5">
      <c r="A47" s="117"/>
      <c r="B47" s="82"/>
      <c r="C47" s="83"/>
      <c r="D47" s="82"/>
      <c r="E47" s="84"/>
    </row>
    <row r="48" spans="1:5">
      <c r="A48" s="117"/>
      <c r="B48" s="82"/>
      <c r="C48" s="83"/>
      <c r="D48" s="82"/>
      <c r="E48" s="84"/>
    </row>
    <row r="49" spans="1:5">
      <c r="A49" s="117"/>
      <c r="B49" s="82"/>
      <c r="C49" s="83"/>
      <c r="D49" s="82"/>
      <c r="E49" s="84"/>
    </row>
    <row r="50" spans="1:5">
      <c r="A50" s="117"/>
      <c r="B50" s="82"/>
      <c r="C50" s="83"/>
      <c r="D50" s="82"/>
      <c r="E50" s="84"/>
    </row>
    <row r="51" spans="1:5">
      <c r="A51" s="117"/>
      <c r="B51" s="82"/>
      <c r="C51" s="83"/>
      <c r="D51" s="82"/>
      <c r="E51" s="84"/>
    </row>
    <row r="52" spans="1:5">
      <c r="A52" s="117"/>
      <c r="B52" s="82"/>
      <c r="C52" s="83"/>
      <c r="D52" s="82"/>
      <c r="E52" s="84"/>
    </row>
    <row r="53" spans="1:5">
      <c r="A53" s="117"/>
      <c r="B53" s="82"/>
      <c r="C53" s="83"/>
      <c r="D53" s="82"/>
      <c r="E53" s="84"/>
    </row>
    <row r="54" spans="1:5">
      <c r="A54" s="117"/>
      <c r="B54" s="82"/>
      <c r="C54" s="83"/>
      <c r="D54" s="82"/>
      <c r="E54" s="84"/>
    </row>
    <row r="55" spans="1:5">
      <c r="A55" s="117"/>
      <c r="B55" s="82"/>
      <c r="C55" s="83"/>
      <c r="D55" s="82"/>
      <c r="E55" s="84"/>
    </row>
    <row r="56" spans="1:5">
      <c r="A56" s="117"/>
      <c r="B56" s="82"/>
      <c r="C56" s="83"/>
      <c r="D56" s="82"/>
      <c r="E56" s="84"/>
    </row>
    <row r="57" spans="1:5">
      <c r="A57" s="117"/>
      <c r="B57" s="82"/>
      <c r="C57" s="83"/>
      <c r="D57" s="82"/>
      <c r="E57" s="84"/>
    </row>
    <row r="58" spans="1:5">
      <c r="A58" s="117"/>
      <c r="B58" s="82"/>
      <c r="C58" s="83"/>
      <c r="D58" s="82"/>
      <c r="E58" s="84"/>
    </row>
    <row r="59" spans="1:5">
      <c r="A59" s="117"/>
      <c r="B59" s="82"/>
      <c r="C59" s="83"/>
      <c r="D59" s="82"/>
      <c r="E59" s="84"/>
    </row>
    <row r="60" spans="1:5">
      <c r="A60" s="117"/>
      <c r="B60" s="82"/>
      <c r="C60" s="83"/>
      <c r="D60" s="82"/>
      <c r="E60" s="84"/>
    </row>
    <row r="61" spans="1:5">
      <c r="A61" s="117"/>
      <c r="B61" s="82"/>
      <c r="C61" s="83"/>
      <c r="D61" s="82"/>
      <c r="E61" s="84"/>
    </row>
    <row r="62" spans="1:5">
      <c r="A62" s="117"/>
      <c r="B62" s="82"/>
      <c r="C62" s="83"/>
      <c r="D62" s="82"/>
      <c r="E62" s="84"/>
    </row>
    <row r="63" spans="1:5">
      <c r="A63" s="117"/>
      <c r="B63" s="82"/>
      <c r="C63" s="83"/>
      <c r="D63" s="82"/>
      <c r="E63" s="84"/>
    </row>
    <row r="64" spans="1: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sheetData>
  <mergeCells count="1">
    <mergeCell ref="F25:G25"/>
  </mergeCells>
  <phoneticPr fontId="0" type="noConversion"/>
  <dataValidations count="1">
    <dataValidation type="list" allowBlank="1" showInputMessage="1" showErrorMessage="1" sqref="B4">
      <formula1>Retire</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
&amp;"Arial,Regular"
</oddHeader>
    <oddFooter>&amp;L&amp;"Arial,Regular"&amp;Z&amp;F&amp;R&amp;"Arial,Regular"&amp;D,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vt:i4>
      </vt:variant>
    </vt:vector>
  </HeadingPairs>
  <TitlesOfParts>
    <vt:vector size="30" baseType="lpstr">
      <vt:lpstr>Summary</vt:lpstr>
      <vt:lpstr>EPA Clinical Benefits</vt:lpstr>
      <vt:lpstr>EPA Clin Bfts - Allocation</vt:lpstr>
      <vt:lpstr>EPA</vt:lpstr>
      <vt:lpstr>SPA</vt:lpstr>
      <vt:lpstr>HCS</vt:lpstr>
      <vt:lpstr>Fellow - Univ Payroll</vt:lpstr>
      <vt:lpstr>Resident</vt:lpstr>
      <vt:lpstr>ECC</vt:lpstr>
      <vt:lpstr>Hired</vt:lpstr>
      <vt:lpstr>HlthIns</vt:lpstr>
      <vt:lpstr>ECC!Print_Area</vt:lpstr>
      <vt:lpstr>EPA!Print_Area</vt:lpstr>
      <vt:lpstr>'EPA Clin Bfts - Allocation'!Print_Area</vt:lpstr>
      <vt:lpstr>'EPA Clinical Benefits'!Print_Area</vt:lpstr>
      <vt:lpstr>'Fellow - Univ Payroll'!Print_Area</vt:lpstr>
      <vt:lpstr>HCS!Print_Area</vt:lpstr>
      <vt:lpstr>Resident!Print_Area</vt:lpstr>
      <vt:lpstr>SPA!Print_Area</vt:lpstr>
      <vt:lpstr>Summary!Print_Area</vt:lpstr>
      <vt:lpstr>ECC!Print_Titles</vt:lpstr>
      <vt:lpstr>EPA!Print_Titles</vt:lpstr>
      <vt:lpstr>'EPA Clin Bfts - Allocation'!Print_Titles</vt:lpstr>
      <vt:lpstr>'EPA Clinical Benefits'!Print_Titles</vt:lpstr>
      <vt:lpstr>'Fellow - Univ Payroll'!Print_Titles</vt:lpstr>
      <vt:lpstr>HCS!Print_Titles</vt:lpstr>
      <vt:lpstr>Resident!Print_Titles</vt:lpstr>
      <vt:lpstr>SPA!Print_Titles</vt:lpstr>
      <vt:lpstr>Summary!Print_Titles</vt:lpstr>
      <vt:lpstr>Retire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Fringe Benefits Worksheet</dc:title>
  <dc:creator>Ruth Anne Storaasli</dc:creator>
  <cp:lastModifiedBy>Lenovo User</cp:lastModifiedBy>
  <cp:lastPrinted>2011-09-02T17:38:39Z</cp:lastPrinted>
  <dcterms:created xsi:type="dcterms:W3CDTF">2000-09-28T14:04:43Z</dcterms:created>
  <dcterms:modified xsi:type="dcterms:W3CDTF">2013-07-12T18:51:50Z</dcterms:modified>
</cp:coreProperties>
</file>