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8430" yWindow="-45" windowWidth="19800" windowHeight="12375"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K27" i="8"/>
  <c r="K26"/>
  <c r="K25"/>
  <c r="K24"/>
  <c r="K23"/>
  <c r="J27"/>
  <c r="J26"/>
  <c r="J25"/>
  <c r="J24"/>
  <c r="J23"/>
  <c r="D27"/>
  <c r="D26"/>
  <c r="D25"/>
  <c r="D24"/>
  <c r="D23"/>
  <c r="D22"/>
  <c r="J22"/>
  <c r="K22"/>
  <c r="J21"/>
  <c r="K21"/>
  <c r="D21"/>
  <c r="D20" l="1"/>
  <c r="J20"/>
  <c r="K20"/>
  <c r="J18"/>
  <c r="J17"/>
  <c r="J16"/>
  <c r="J14"/>
  <c r="J13"/>
  <c r="J12"/>
  <c r="J11"/>
  <c r="J10"/>
  <c r="J9"/>
  <c r="J8"/>
  <c r="J6"/>
  <c r="J5"/>
  <c r="J4"/>
  <c r="J3"/>
  <c r="J7"/>
  <c r="J19"/>
  <c r="K19"/>
  <c r="D19"/>
  <c r="J18" i="4" l="1"/>
  <c r="H18" i="3"/>
  <c r="D18" i="8"/>
  <c r="K18"/>
  <c r="H29" i="6" l="1"/>
  <c r="J17" i="4"/>
  <c r="H17" i="3"/>
  <c r="H28" i="6"/>
  <c r="D17" i="8"/>
  <c r="K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i="1"/>
  <c r="D14" i="8"/>
  <c r="D14" i="1" s="1"/>
  <c r="K13" i="8"/>
  <c r="J13" i="1"/>
  <c r="D13" i="8"/>
  <c r="D13" i="1" s="1"/>
  <c r="K12" i="8"/>
  <c r="J12" i="1"/>
  <c r="D12" i="8"/>
  <c r="D12" i="1" s="1"/>
  <c r="K11" i="8"/>
  <c r="J11" i="1"/>
  <c r="D11" i="8"/>
  <c r="D11" i="1" s="1"/>
  <c r="K10" i="8"/>
  <c r="J10" i="1"/>
  <c r="D10" i="8"/>
  <c r="D10" i="1" s="1"/>
  <c r="K9" i="8"/>
  <c r="J9" i="1"/>
  <c r="D9" i="8"/>
  <c r="D9" i="1" s="1"/>
  <c r="K8" i="8"/>
  <c r="J8" i="1"/>
  <c r="D8" i="8"/>
  <c r="D8" i="1" s="1"/>
  <c r="K7" i="8"/>
  <c r="J7" i="1"/>
  <c r="D7" i="8"/>
  <c r="D7" i="1" s="1"/>
  <c r="K6" i="8"/>
  <c r="J6" i="1"/>
  <c r="D6" i="8"/>
  <c r="D6" i="1" s="1"/>
  <c r="K5" i="8"/>
  <c r="J5" i="1"/>
  <c r="D5" i="8"/>
  <c r="D5" i="1" s="1"/>
  <c r="K4" i="8"/>
  <c r="J4" i="1"/>
  <c r="D4" i="8"/>
  <c r="D4" i="1" s="1"/>
  <c r="K3" i="8"/>
  <c r="J3" i="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<sst xmlns="http://schemas.openxmlformats.org/spreadsheetml/2006/main" count="161" uniqueCount="108">
  <si>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</si>
  <si>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</si>
  <si>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</si>
  <si>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</si>
  <si>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</si>
  <si>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</si>
  <si>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</si>
  <si>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</si>
  <si>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</si>
  <si>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</si>
  <si>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</si>
  <si>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</si>
  <si>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</si>
  <si>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</si>
  <si>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</si>
  <si>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</si>
  <si>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</si>
  <si>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</si>
  <si>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</si>
  <si>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</si>
  <si>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</si>
  <si>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</si>
  <si>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</si>
  <si>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</si>
  <si>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</si>
  <si>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</si>
  <si>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</si>
  <si>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</si>
  <si>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</si>
  <si>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</si>
  <si>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</si>
  <si>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</si>
  <si>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</si>
  <si>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</si>
  <si>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</si>
  <si>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</si>
  <si>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</si>
  <si>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</si>
  <si>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</si>
  <si>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</si>
  <si>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</si>
  <si>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</si>
  <si>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</si>
  <si>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</si>
  <si>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</si>
  <si>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</si>
  <si>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</si>
  <si>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</si>
  <si>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</si>
  <si>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</si>
  <si>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</si>
  <si>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</si>
  <si>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</si>
  <si>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</si>
  <si>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</si>
  <si>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</si>
  <si>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</si>
  <si>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</si>
  <si>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</si>
  <si>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</si>
  <si>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</si>
  <si>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</si>
  <si>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</si>
  <si>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</si>
  <si>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</si>
  <si>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</si>
  <si>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</si>
  <si>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</si>
  <si>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</si>
  <si>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</si>
  <si>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</si>
  <si>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</si>
  <si>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</si>
  <si>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</si>
  <si>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</si>
  <si>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</si>
  <si>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</si>
  <si>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</si>
  <si>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</si>
  <si>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</si>
  <si>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08-0L5904</t>
  </si>
  <si>
    <t>There were eight bidders on this project.  The 1st and 5th bidder were found to be nonresponsive.  All other bidders did not return the bid extension requests within the required timeframe.  Therefore, there are no qualified bidders.</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</si>
  <si>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</si>
  <si>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</si>
  <si>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</si>
  <si>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</si>
  <si>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</si>
  <si>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</si>
  <si>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</si>
  <si>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</si>
  <si>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</si>
  <si>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</si>
  <si>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</si>
  <si>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</si>
  <si>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</si>
  <si>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</si>
  <si>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</si>
  <si>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</si>
  <si>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t xml:space="preserve"> Aug-13</t>
  </si>
  <si>
    <t xml:space="preserve"> Sept-13</t>
  </si>
  <si>
    <t>Oct-13</t>
  </si>
  <si>
    <t>Nov-13</t>
  </si>
  <si>
    <t xml:space="preserve"> Jan-14</t>
  </si>
  <si>
    <t>Jul 13 to Jun 14</t>
  </si>
  <si>
    <t>Jul 14 - Jun 15</t>
  </si>
  <si>
    <t>* Jun-14</t>
  </si>
  <si>
    <r>
      <t xml:space="preserve">Combined Bidder Activity Summary Report - September 2014
</t>
    </r>
    <r>
      <rPr>
        <sz val="12"/>
        <color indexed="8"/>
        <rFont val="Arial"/>
        <family val="2"/>
      </rPr>
      <t xml:space="preserve"> (Projects bid opened from July 2013 to September 2014, as of 10/08/2014)</t>
    </r>
  </si>
  <si>
    <t>* Aug-14</t>
  </si>
</sst>
</file>

<file path=xl/styles.xml><?xml version="1.0" encoding="utf-8"?>
<styleSheet xmlns="http://schemas.openxmlformats.org/spreadsheetml/2006/main">
  <numFmts count="5">
    <numFmt numFmtId="164" formatCode="0.0"/>
    <numFmt numFmtId="165" formatCode="0.0%"/>
    <numFmt numFmtId="166" formatCode="&quot;$&quot;#,##0"/>
    <numFmt numFmtId="167" formatCode="#,##0.0"/>
    <numFmt numFmtId="168" formatCode="[$-409]mmm\-yy;@"/>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9">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0" fontId="2" fillId="0" borderId="13" xfId="0" applyFont="1" applyFill="1" applyBorder="1" applyAlignment="1">
      <alignment horizontal="center" wrapText="1"/>
    </xf>
    <xf numFmtId="0" fontId="0" fillId="0" borderId="0" xfId="0" applyFill="1"/>
    <xf numFmtId="168" fontId="10" fillId="0" borderId="16" xfId="0" applyNumberFormat="1" applyFont="1" applyFill="1" applyBorder="1" applyAlignment="1">
      <alignment horizontal="center" vertical="center" wrapText="1"/>
    </xf>
    <xf numFmtId="49" fontId="10" fillId="0" borderId="16" xfId="0"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1578456817298505E-2"/>
          <c:y val="1.6680736862600083E-2"/>
          <c:w val="0.9136566598176975"/>
          <c:h val="0.85708269675245818"/>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 Jun-14</c:v>
                </c:pt>
                <c:pt idx="12">
                  <c:v>Jul 13 to Jun 14</c:v>
                </c:pt>
                <c:pt idx="13">
                  <c:v>Jul-14</c:v>
                </c:pt>
                <c:pt idx="14">
                  <c:v>* 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WithPerformance!$B$3:$B$29</c:f>
              <c:numCache>
                <c:formatCode>"$"#,##0</c:formatCode>
                <c:ptCount val="27"/>
                <c:pt idx="0">
                  <c:v>101578652.05</c:v>
                </c:pt>
                <c:pt idx="1">
                  <c:v>67879300.280000001</c:v>
                </c:pt>
                <c:pt idx="2">
                  <c:v>204165819.49000001</c:v>
                </c:pt>
                <c:pt idx="3">
                  <c:v>162182345.53</c:v>
                </c:pt>
                <c:pt idx="4">
                  <c:v>165502932.37</c:v>
                </c:pt>
                <c:pt idx="5">
                  <c:v>124415660.37</c:v>
                </c:pt>
                <c:pt idx="6">
                  <c:v>140813434.81999999</c:v>
                </c:pt>
                <c:pt idx="7">
                  <c:v>92385807</c:v>
                </c:pt>
                <c:pt idx="8">
                  <c:v>210853414</c:v>
                </c:pt>
                <c:pt idx="9">
                  <c:v>231265534</c:v>
                </c:pt>
                <c:pt idx="10">
                  <c:v>140508630</c:v>
                </c:pt>
                <c:pt idx="11">
                  <c:v>231614414</c:v>
                </c:pt>
                <c:pt idx="12">
                  <c:v>1873165943.9100001</c:v>
                </c:pt>
                <c:pt idx="13">
                  <c:v>139737164</c:v>
                </c:pt>
                <c:pt idx="14">
                  <c:v>124065598</c:v>
                </c:pt>
                <c:pt idx="15">
                  <c:v>156181404.87</c:v>
                </c:pt>
                <c:pt idx="25">
                  <c:v>419984166.87</c:v>
                </c:pt>
                <c:pt idx="26">
                  <c:v>2293150110.7800002</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 Jun-14</c:v>
                </c:pt>
                <c:pt idx="12">
                  <c:v>Jul 13 to Jun 14</c:v>
                </c:pt>
                <c:pt idx="13">
                  <c:v>Jul-14</c:v>
                </c:pt>
                <c:pt idx="14">
                  <c:v>* 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WithPerformance!$C$3:$C$29</c:f>
              <c:numCache>
                <c:formatCode>"$"#,##0</c:formatCode>
                <c:ptCount val="27"/>
                <c:pt idx="0">
                  <c:v>102192668.34999999</c:v>
                </c:pt>
                <c:pt idx="1">
                  <c:v>61238911.229999997</c:v>
                </c:pt>
                <c:pt idx="2">
                  <c:v>173258066.06</c:v>
                </c:pt>
                <c:pt idx="3">
                  <c:v>146432319.91999999</c:v>
                </c:pt>
                <c:pt idx="4">
                  <c:v>144277480.63</c:v>
                </c:pt>
                <c:pt idx="5">
                  <c:v>119060555.56999999</c:v>
                </c:pt>
                <c:pt idx="6">
                  <c:v>137191609</c:v>
                </c:pt>
                <c:pt idx="7">
                  <c:v>83500057</c:v>
                </c:pt>
                <c:pt idx="8">
                  <c:v>184251324</c:v>
                </c:pt>
                <c:pt idx="9">
                  <c:v>205255562</c:v>
                </c:pt>
                <c:pt idx="10">
                  <c:v>134448039</c:v>
                </c:pt>
                <c:pt idx="11">
                  <c:v>221901164</c:v>
                </c:pt>
                <c:pt idx="12">
                  <c:v>1713007756.76</c:v>
                </c:pt>
                <c:pt idx="13">
                  <c:v>127414388</c:v>
                </c:pt>
                <c:pt idx="14">
                  <c:v>126398804.09999999</c:v>
                </c:pt>
                <c:pt idx="15">
                  <c:v>137995636.24000001</c:v>
                </c:pt>
                <c:pt idx="25">
                  <c:v>391808828.34000003</c:v>
                </c:pt>
                <c:pt idx="26">
                  <c:v>2104816585.0999999</c:v>
                </c:pt>
              </c:numCache>
            </c:numRef>
          </c:val>
        </c:ser>
        <c:dLbls>
          <c:showVal val="1"/>
        </c:dLbls>
        <c:axId val="110305280"/>
        <c:axId val="110306816"/>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1.9583386383307234E-2"/>
                  <c:y val="0.67666346898753305"/>
                </c:manualLayout>
              </c:layout>
              <c:dLblPos val="r"/>
              <c:showVal val="1"/>
              <c:separator> </c:separator>
            </c:dLbl>
            <c:dLbl>
              <c:idx val="1"/>
              <c:layout>
                <c:manualLayout>
                  <c:x val="-2.5171224316352551E-2"/>
                  <c:y val="0.20591963432991911"/>
                </c:manualLayout>
              </c:layout>
              <c:dLblPos val="r"/>
              <c:showVal val="1"/>
              <c:separator> </c:separator>
            </c:dLbl>
            <c:dLbl>
              <c:idx val="2"/>
              <c:layout>
                <c:manualLayout>
                  <c:x val="-2.611722212256401E-2"/>
                  <c:y val="-2.1278071961874496E-2"/>
                </c:manualLayout>
              </c:layout>
              <c:dLblPos val="r"/>
              <c:showVal val="1"/>
              <c:separator> </c:separator>
            </c:dLbl>
            <c:dLbl>
              <c:idx val="3"/>
              <c:layout>
                <c:manualLayout>
                  <c:x val="-2.4968037882552887E-2"/>
                  <c:y val="0.18464971328647434"/>
                </c:manualLayout>
              </c:layout>
              <c:dLblPos val="r"/>
              <c:showVal val="1"/>
              <c:separator> </c:separator>
            </c:dLbl>
            <c:dLbl>
              <c:idx val="4"/>
              <c:layout>
                <c:manualLayout>
                  <c:x val="-2.7525742462160142E-2"/>
                  <c:y val="9.2918482068377051E-2"/>
                </c:manualLayout>
              </c:layout>
              <c:dLblPos val="r"/>
              <c:showVal val="1"/>
              <c:separator> </c:separator>
            </c:dLbl>
            <c:dLbl>
              <c:idx val="5"/>
              <c:layout>
                <c:manualLayout>
                  <c:x val="-2.4795729170036238E-2"/>
                  <c:y val="0.45267179154006237"/>
                </c:manualLayout>
              </c:layout>
              <c:dLblPos val="r"/>
              <c:showVal val="1"/>
              <c:separator> </c:separator>
            </c:dLbl>
            <c:dLbl>
              <c:idx val="6"/>
              <c:layout>
                <c:manualLayout>
                  <c:x val="-2.4933069551283851E-2"/>
                  <c:y val="0.5054900857875444"/>
                </c:manualLayout>
              </c:layout>
              <c:dLblPos val="r"/>
              <c:showVal val="1"/>
              <c:separator> </c:separator>
            </c:dLbl>
            <c:dLbl>
              <c:idx val="7"/>
              <c:layout>
                <c:manualLayout>
                  <c:x val="-2.6026243122355203E-2"/>
                  <c:y val="0.20371073543550164"/>
                </c:manualLayout>
              </c:layout>
              <c:dLblPos val="r"/>
              <c:showVal val="1"/>
              <c:separator> </c:separator>
            </c:dLbl>
            <c:dLbl>
              <c:idx val="8"/>
              <c:layout>
                <c:manualLayout>
                  <c:x val="-2.8358521957000567E-2"/>
                  <c:y val="9.3766972796608075E-2"/>
                </c:manualLayout>
              </c:layout>
              <c:dLblPos val="r"/>
              <c:showVal val="1"/>
              <c:separator> </c:separator>
            </c:dLbl>
            <c:dLbl>
              <c:idx val="9"/>
              <c:layout>
                <c:manualLayout>
                  <c:x val="-2.6049952801197446E-2"/>
                  <c:y val="0.12110893046431599"/>
                </c:manualLayout>
              </c:layout>
              <c:dLblPos val="r"/>
              <c:showVal val="1"/>
              <c:separator> </c:separator>
            </c:dLbl>
            <c:dLbl>
              <c:idx val="10"/>
              <c:layout>
                <c:manualLayout>
                  <c:x val="-2.7012219958144269E-2"/>
                  <c:y val="0.44676366293372383"/>
                </c:manualLayout>
              </c:layout>
              <c:dLblPos val="r"/>
              <c:showVal val="1"/>
              <c:separator> </c:separator>
            </c:dLbl>
            <c:dLbl>
              <c:idx val="11"/>
              <c:layout>
                <c:manualLayout>
                  <c:x val="-2.2459767918030983E-2"/>
                  <c:y val="0.42953621726503449"/>
                </c:manualLayout>
              </c:layout>
              <c:dLblPos val="r"/>
              <c:showVal val="1"/>
              <c:separator> </c:separator>
            </c:dLbl>
            <c:dLbl>
              <c:idx val="12"/>
              <c:layout>
                <c:manualLayout>
                  <c:x val="-2.7020487368071271E-2"/>
                  <c:y val="-1.4843617671827325E-2"/>
                </c:manualLayout>
              </c:layout>
              <c:dLblPos val="r"/>
              <c:showVal val="1"/>
              <c:separator> </c:separator>
            </c:dLbl>
            <c:dLbl>
              <c:idx val="13"/>
              <c:layout>
                <c:manualLayout>
                  <c:x val="-2.6709045113821203E-2"/>
                  <c:y val="0.26436490031625598"/>
                </c:manualLayout>
              </c:layout>
              <c:dLblPos val="r"/>
              <c:showVal val="1"/>
              <c:separator> </c:separator>
            </c:dLbl>
            <c:dLbl>
              <c:idx val="14"/>
              <c:layout>
                <c:manualLayout>
                  <c:x val="-2.5912381525124199E-2"/>
                  <c:y val="0.68828283607429563"/>
                </c:manualLayout>
              </c:layout>
              <c:dLblPos val="r"/>
              <c:showVal val="1"/>
              <c:separator> </c:separator>
            </c:dLbl>
            <c:dLbl>
              <c:idx val="15"/>
              <c:layout>
                <c:manualLayout>
                  <c:x val="-2.5970310998594849E-2"/>
                  <c:y val="0.11487718033311775"/>
                </c:manualLayout>
              </c:layout>
              <c:dLblPos val="r"/>
              <c:showVal val="1"/>
              <c:separator> </c:separator>
            </c:dLbl>
            <c:dLbl>
              <c:idx val="16"/>
              <c:layout>
                <c:manualLayout>
                  <c:x val="-2.3028654887226462E-2"/>
                  <c:y val="0.66563701259011954"/>
                </c:manualLayout>
              </c:layout>
              <c:dLblPos val="r"/>
              <c:showVal val="1"/>
              <c:separator> </c:separator>
            </c:dLbl>
            <c:dLbl>
              <c:idx val="17"/>
              <c:layout>
                <c:manualLayout>
                  <c:x val="-2.3072252692141464E-2"/>
                  <c:y val="0.66522738210499965"/>
                </c:manualLayout>
              </c:layout>
              <c:dLblPos val="r"/>
              <c:showVal val="1"/>
              <c:separator> </c:separator>
            </c:dLbl>
            <c:dLbl>
              <c:idx val="18"/>
              <c:layout>
                <c:manualLayout>
                  <c:x val="-2.2486257723548897E-2"/>
                  <c:y val="0.66257760325261872"/>
                </c:manualLayout>
              </c:layout>
              <c:dLblPos val="r"/>
              <c:showVal val="1"/>
              <c:separator> </c:separator>
            </c:dLbl>
            <c:dLbl>
              <c:idx val="19"/>
              <c:layout>
                <c:manualLayout>
                  <c:x val="-2.3284447071758956E-2"/>
                  <c:y val="0.65998242875061919"/>
                </c:manualLayout>
              </c:layout>
              <c:dLblPos val="r"/>
              <c:showVal val="1"/>
              <c:separator> </c:separator>
            </c:dLbl>
            <c:dLbl>
              <c:idx val="20"/>
              <c:layout>
                <c:manualLayout>
                  <c:x val="-2.424185118855067E-2"/>
                  <c:y val="0.65727941554947955"/>
                </c:manualLayout>
              </c:layout>
              <c:dLblPos val="r"/>
              <c:showVal val="1"/>
              <c:separator> </c:separator>
            </c:dLbl>
            <c:dLbl>
              <c:idx val="21"/>
              <c:layout>
                <c:manualLayout>
                  <c:x val="-2.192380924875004E-2"/>
                  <c:y val="0.65547297055298948"/>
                </c:manualLayout>
              </c:layout>
              <c:dLblPos val="r"/>
              <c:showVal val="1"/>
              <c:separator> </c:separator>
            </c:dLbl>
            <c:dLbl>
              <c:idx val="22"/>
              <c:layout>
                <c:manualLayout>
                  <c:x val="-2.3082830218650353E-2"/>
                  <c:y val="0.65296625901289829"/>
                </c:manualLayout>
              </c:layout>
              <c:dLblPos val="r"/>
              <c:showVal val="1"/>
              <c:separator> </c:separator>
            </c:dLbl>
            <c:dLbl>
              <c:idx val="23"/>
              <c:layout>
                <c:manualLayout>
                  <c:x val="-2.5433892436857002E-2"/>
                  <c:y val="0.65355027113310693"/>
                </c:manualLayout>
              </c:layout>
              <c:dLblPos val="r"/>
              <c:showVal val="1"/>
              <c:separator> </c:separator>
            </c:dLbl>
            <c:dLbl>
              <c:idx val="24"/>
              <c:layout>
                <c:manualLayout>
                  <c:x val="-2.8940480442291448E-2"/>
                  <c:y val="0.64555063594496753"/>
                </c:manualLayout>
              </c:layout>
              <c:dLblPos val="r"/>
              <c:showVal val="1"/>
              <c:separator> </c:separator>
            </c:dLbl>
            <c:dLbl>
              <c:idx val="25"/>
              <c:layout>
                <c:manualLayout>
                  <c:x val="-3.1191644782694396E-2"/>
                  <c:y val="0.25544898837162161"/>
                </c:manualLayout>
              </c:layout>
              <c:dLblPos val="r"/>
              <c:showVal val="1"/>
              <c:separator> </c:separator>
            </c:dLbl>
            <c:dLbl>
              <c:idx val="26"/>
              <c:layout>
                <c:manualLayout>
                  <c:x val="-2.1499256729137689E-2"/>
                  <c:y val="-3.4253737693107208E-3"/>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 Jun-14</c:v>
                </c:pt>
                <c:pt idx="12">
                  <c:v>Jul 13 to Jun 14</c:v>
                </c:pt>
                <c:pt idx="13">
                  <c:v>Jul-14</c:v>
                </c:pt>
                <c:pt idx="14">
                  <c:v>* 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WithPerformance!$D$3:$D$29</c:f>
              <c:numCache>
                <c:formatCode>0.0%</c:formatCode>
                <c:ptCount val="27"/>
                <c:pt idx="0">
                  <c:v>6.0447376255569939E-3</c:v>
                </c:pt>
                <c:pt idx="1">
                  <c:v>-9.7826421642659936E-2</c:v>
                </c:pt>
                <c:pt idx="2">
                  <c:v>-0.15138554292391662</c:v>
                </c:pt>
                <c:pt idx="3">
                  <c:v>-9.7113070837211574E-2</c:v>
                </c:pt>
                <c:pt idx="4">
                  <c:v>-0.12824819135257481</c:v>
                </c:pt>
                <c:pt idx="5">
                  <c:v>-4.3042047794260414E-2</c:v>
                </c:pt>
                <c:pt idx="6">
                  <c:v>-2.5720740528982381E-2</c:v>
                </c:pt>
                <c:pt idx="7">
                  <c:v>-9.6180899301989101E-2</c:v>
                </c:pt>
                <c:pt idx="8">
                  <c:v>-0.12616390455978105</c:v>
                </c:pt>
                <c:pt idx="9">
                  <c:v>-0.11246799966310587</c:v>
                </c:pt>
                <c:pt idx="10">
                  <c:v>-4.3133229610167002E-2</c:v>
                </c:pt>
                <c:pt idx="11">
                  <c:v>-4.1937156812701645E-2</c:v>
                </c:pt>
                <c:pt idx="12">
                  <c:v>-8.5501334075981469E-2</c:v>
                </c:pt>
                <c:pt idx="13">
                  <c:v>-8.8185387818519062E-2</c:v>
                </c:pt>
                <c:pt idx="14">
                  <c:v>1.8806229427113179E-2</c:v>
                </c:pt>
                <c:pt idx="15">
                  <c:v>-0.11644003743683315</c:v>
                </c:pt>
                <c:pt idx="16">
                  <c:v>0</c:v>
                </c:pt>
                <c:pt idx="17">
                  <c:v>0</c:v>
                </c:pt>
                <c:pt idx="18">
                  <c:v>0</c:v>
                </c:pt>
                <c:pt idx="19">
                  <c:v>0</c:v>
                </c:pt>
                <c:pt idx="20">
                  <c:v>0</c:v>
                </c:pt>
                <c:pt idx="21">
                  <c:v>0</c:v>
                </c:pt>
                <c:pt idx="22">
                  <c:v>0</c:v>
                </c:pt>
                <c:pt idx="23">
                  <c:v>0</c:v>
                </c:pt>
                <c:pt idx="24">
                  <c:v>0</c:v>
                </c:pt>
                <c:pt idx="25">
                  <c:v>-6.7086668385575685E-2</c:v>
                </c:pt>
                <c:pt idx="26">
                  <c:v>-8.2128738452250674E-2</c:v>
                </c:pt>
              </c:numCache>
            </c:numRef>
          </c:val>
        </c:ser>
        <c:dLbls>
          <c:showVal val="1"/>
        </c:dLbls>
        <c:marker val="1"/>
        <c:axId val="110347776"/>
        <c:axId val="110346240"/>
      </c:lineChart>
      <c:catAx>
        <c:axId val="110305280"/>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110306816"/>
        <c:crosses val="autoZero"/>
        <c:lblAlgn val="ctr"/>
        <c:lblOffset val="100"/>
        <c:tickLblSkip val="1"/>
        <c:tickMarkSkip val="1"/>
      </c:catAx>
      <c:valAx>
        <c:axId val="110306816"/>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123"/>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110305280"/>
        <c:crosses val="autoZero"/>
        <c:crossBetween val="between"/>
        <c:majorUnit val="250000000"/>
        <c:minorUnit val="100000000"/>
        <c:dispUnits>
          <c:builtInUnit val="millions"/>
        </c:dispUnits>
      </c:valAx>
      <c:valAx>
        <c:axId val="110346240"/>
        <c:scaling>
          <c:orientation val="minMax"/>
        </c:scaling>
        <c:axPos val="r"/>
        <c:numFmt formatCode="0%" sourceLinked="0"/>
        <c:majorTickMark val="none"/>
        <c:tickLblPos val="none"/>
        <c:crossAx val="110347776"/>
        <c:crosses val="max"/>
        <c:crossBetween val="between"/>
      </c:valAx>
      <c:catAx>
        <c:axId val="110347776"/>
        <c:scaling>
          <c:orientation val="minMax"/>
        </c:scaling>
        <c:delete val="1"/>
        <c:axPos val="b"/>
        <c:tickLblPos val="none"/>
        <c:crossAx val="110346240"/>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13420661932445366"/>
          <c:y val="0.19335716540165618"/>
          <c:w val="0.16074176807444523"/>
          <c:h val="6.9384683350228002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6803</xdr:rowOff>
    </xdr:from>
    <xdr:to>
      <xdr:col>10</xdr:col>
      <xdr:colOff>928007</xdr:colOff>
      <xdr:row>60</xdr:row>
      <xdr:rowOff>68036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zoomScaleNormal="100" workbookViewId="0">
      <selection activeCell="A17" sqref="A17"/>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style="131" customWidth="1"/>
    <col min="7" max="7" width="12.5703125" style="131" customWidth="1"/>
    <col min="8" max="9" width="12.7109375" style="131" customWidth="1"/>
    <col min="10" max="10" width="13.7109375" style="131"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4" t="s">
        <v>106</v>
      </c>
      <c r="B1" s="135"/>
      <c r="C1" s="135"/>
      <c r="D1" s="135"/>
      <c r="E1" s="135"/>
      <c r="F1" s="135"/>
      <c r="G1" s="135"/>
      <c r="H1" s="135"/>
      <c r="I1" s="135"/>
      <c r="J1" s="135"/>
      <c r="K1" s="136"/>
    </row>
    <row r="2" spans="1:13" s="2" customFormat="1" ht="54.75" customHeight="1" thickBot="1">
      <c r="A2" s="12" t="s">
        <v>3</v>
      </c>
      <c r="B2" s="44" t="s">
        <v>4</v>
      </c>
      <c r="C2" s="14" t="s">
        <v>2</v>
      </c>
      <c r="D2" s="15" t="s">
        <v>6</v>
      </c>
      <c r="E2" s="16" t="s">
        <v>7</v>
      </c>
      <c r="F2" s="15" t="s">
        <v>1</v>
      </c>
      <c r="G2" s="130" t="s">
        <v>5</v>
      </c>
      <c r="H2" s="55" t="s">
        <v>33</v>
      </c>
      <c r="I2" s="55" t="s">
        <v>8</v>
      </c>
      <c r="J2" s="55" t="s">
        <v>9</v>
      </c>
      <c r="K2" s="19" t="s">
        <v>40</v>
      </c>
    </row>
    <row r="3" spans="1:13" s="6" customFormat="1" ht="21.95" customHeight="1">
      <c r="A3" s="20">
        <v>41468</v>
      </c>
      <c r="B3" s="78">
        <v>101578652.05</v>
      </c>
      <c r="C3" s="79">
        <v>102192668.34999999</v>
      </c>
      <c r="D3" s="21">
        <f t="shared" ref="D3:D14" si="0">(C3-B3)/B3</f>
        <v>6.0447376255569939E-3</v>
      </c>
      <c r="E3" s="22">
        <v>4.8571428570000004</v>
      </c>
      <c r="F3" s="23">
        <v>14</v>
      </c>
      <c r="G3" s="23">
        <v>7</v>
      </c>
      <c r="H3" s="23">
        <v>3</v>
      </c>
      <c r="I3" s="23">
        <v>4</v>
      </c>
      <c r="J3" s="23">
        <f t="shared" ref="J3:J6" si="1">SUM(G3:H3)</f>
        <v>10</v>
      </c>
      <c r="K3" s="101">
        <f t="shared" ref="K3:K14" si="2">H3/F3</f>
        <v>0.21428571428571427</v>
      </c>
      <c r="M3" s="5"/>
    </row>
    <row r="4" spans="1:13" s="6" customFormat="1" ht="21.95" customHeight="1">
      <c r="A4" s="25" t="s">
        <v>98</v>
      </c>
      <c r="B4" s="82">
        <v>67879300.280000001</v>
      </c>
      <c r="C4" s="81">
        <v>61238911.229999997</v>
      </c>
      <c r="D4" s="26">
        <f t="shared" si="0"/>
        <v>-9.7826421642659936E-2</v>
      </c>
      <c r="E4" s="27">
        <v>6</v>
      </c>
      <c r="F4" s="28">
        <v>20</v>
      </c>
      <c r="G4" s="28">
        <v>9</v>
      </c>
      <c r="H4" s="28">
        <v>8</v>
      </c>
      <c r="I4" s="28">
        <v>3</v>
      </c>
      <c r="J4" s="28">
        <f t="shared" si="1"/>
        <v>17</v>
      </c>
      <c r="K4" s="102">
        <f t="shared" si="2"/>
        <v>0.4</v>
      </c>
      <c r="M4" s="5"/>
    </row>
    <row r="5" spans="1:13" s="6" customFormat="1" ht="21.95" customHeight="1">
      <c r="A5" s="25" t="s">
        <v>99</v>
      </c>
      <c r="B5" s="82">
        <v>204165819.49000001</v>
      </c>
      <c r="C5" s="81">
        <v>173258066.06</v>
      </c>
      <c r="D5" s="26">
        <f t="shared" si="0"/>
        <v>-0.15138554292391662</v>
      </c>
      <c r="E5" s="27">
        <v>6.8845999999999998</v>
      </c>
      <c r="F5" s="28">
        <v>26</v>
      </c>
      <c r="G5" s="28">
        <v>18</v>
      </c>
      <c r="H5" s="28">
        <v>5</v>
      </c>
      <c r="I5" s="28">
        <v>3</v>
      </c>
      <c r="J5" s="28">
        <f t="shared" si="1"/>
        <v>23</v>
      </c>
      <c r="K5" s="102">
        <f t="shared" si="2"/>
        <v>0.19230769230769232</v>
      </c>
      <c r="M5" s="5"/>
    </row>
    <row r="6" spans="1:13" s="6" customFormat="1" ht="21.95" customHeight="1">
      <c r="A6" s="133" t="s">
        <v>100</v>
      </c>
      <c r="B6" s="124">
        <v>162182345.53</v>
      </c>
      <c r="C6" s="125">
        <v>146432319.91999999</v>
      </c>
      <c r="D6" s="26">
        <f t="shared" si="0"/>
        <v>-9.7113070837211574E-2</v>
      </c>
      <c r="E6" s="27">
        <v>5.3102999999999998</v>
      </c>
      <c r="F6" s="28">
        <v>29</v>
      </c>
      <c r="G6" s="28">
        <v>10</v>
      </c>
      <c r="H6" s="28">
        <v>16</v>
      </c>
      <c r="I6" s="28">
        <v>3</v>
      </c>
      <c r="J6" s="28">
        <f t="shared" si="1"/>
        <v>26</v>
      </c>
      <c r="K6" s="102">
        <f t="shared" si="2"/>
        <v>0.55172413793103448</v>
      </c>
      <c r="M6" s="5"/>
    </row>
    <row r="7" spans="1:13" s="6" customFormat="1" ht="21.95" customHeight="1">
      <c r="A7" s="133" t="s">
        <v>101</v>
      </c>
      <c r="B7" s="124">
        <v>165502932.37</v>
      </c>
      <c r="C7" s="125">
        <v>144277480.63</v>
      </c>
      <c r="D7" s="26">
        <f t="shared" si="0"/>
        <v>-0.12824819135257481</v>
      </c>
      <c r="E7" s="27">
        <v>7.4669999999999996</v>
      </c>
      <c r="F7" s="28">
        <v>15</v>
      </c>
      <c r="G7" s="28">
        <v>8</v>
      </c>
      <c r="H7" s="28">
        <v>6</v>
      </c>
      <c r="I7" s="28">
        <v>1</v>
      </c>
      <c r="J7" s="28">
        <f>SUM(G7:H7)</f>
        <v>14</v>
      </c>
      <c r="K7" s="102">
        <f t="shared" si="2"/>
        <v>0.4</v>
      </c>
      <c r="M7" s="5"/>
    </row>
    <row r="8" spans="1:13" s="6" customFormat="1" ht="21.95" customHeight="1">
      <c r="A8" s="25">
        <v>41620</v>
      </c>
      <c r="B8" s="82">
        <v>124415660.37</v>
      </c>
      <c r="C8" s="81">
        <v>119060555.56999999</v>
      </c>
      <c r="D8" s="26">
        <f t="shared" si="0"/>
        <v>-4.3042047794260414E-2</v>
      </c>
      <c r="E8" s="27">
        <v>6.9230999999999998</v>
      </c>
      <c r="F8" s="28">
        <v>13</v>
      </c>
      <c r="G8" s="28">
        <v>4</v>
      </c>
      <c r="H8" s="28">
        <v>6</v>
      </c>
      <c r="I8" s="28">
        <v>3</v>
      </c>
      <c r="J8" s="28">
        <f t="shared" ref="J8:J14" si="3">SUM(G8:H8)</f>
        <v>10</v>
      </c>
      <c r="K8" s="102">
        <f t="shared" si="2"/>
        <v>0.46153846153846156</v>
      </c>
      <c r="M8" s="5"/>
    </row>
    <row r="9" spans="1:13" s="6" customFormat="1" ht="21.95" customHeight="1">
      <c r="A9" s="133" t="s">
        <v>102</v>
      </c>
      <c r="B9" s="82">
        <v>140813434.81999999</v>
      </c>
      <c r="C9" s="81">
        <v>137191609</v>
      </c>
      <c r="D9" s="26">
        <f t="shared" si="0"/>
        <v>-2.5720740528982381E-2</v>
      </c>
      <c r="E9" s="27">
        <v>7.5714285710000002</v>
      </c>
      <c r="F9" s="28">
        <v>28</v>
      </c>
      <c r="G9" s="28">
        <v>13</v>
      </c>
      <c r="H9" s="28">
        <v>9</v>
      </c>
      <c r="I9" s="28">
        <v>6</v>
      </c>
      <c r="J9" s="28">
        <f t="shared" si="3"/>
        <v>22</v>
      </c>
      <c r="K9" s="102">
        <f t="shared" si="2"/>
        <v>0.32142857142857145</v>
      </c>
      <c r="M9" s="5"/>
    </row>
    <row r="10" spans="1:13" s="6" customFormat="1" ht="21.95" customHeight="1">
      <c r="A10" s="25">
        <v>41684</v>
      </c>
      <c r="B10" s="82">
        <v>92385807</v>
      </c>
      <c r="C10" s="81">
        <v>83500057</v>
      </c>
      <c r="D10" s="26">
        <f t="shared" si="0"/>
        <v>-9.6180899301989101E-2</v>
      </c>
      <c r="E10" s="27">
        <v>6.6</v>
      </c>
      <c r="F10" s="28">
        <v>27</v>
      </c>
      <c r="G10" s="28">
        <v>10</v>
      </c>
      <c r="H10" s="28">
        <v>13</v>
      </c>
      <c r="I10" s="28">
        <v>4</v>
      </c>
      <c r="J10" s="28">
        <f t="shared" si="3"/>
        <v>23</v>
      </c>
      <c r="K10" s="102">
        <f t="shared" si="2"/>
        <v>0.48148148148148145</v>
      </c>
      <c r="M10" s="5"/>
    </row>
    <row r="11" spans="1:13" s="6" customFormat="1" ht="21.95" customHeight="1">
      <c r="A11" s="25">
        <v>41712</v>
      </c>
      <c r="B11" s="82">
        <v>210853414</v>
      </c>
      <c r="C11" s="81">
        <v>184251324</v>
      </c>
      <c r="D11" s="26">
        <f t="shared" si="0"/>
        <v>-0.12616390455978105</v>
      </c>
      <c r="E11" s="27">
        <v>6.4</v>
      </c>
      <c r="F11" s="28">
        <v>56</v>
      </c>
      <c r="G11" s="28">
        <v>29</v>
      </c>
      <c r="H11" s="28">
        <v>23</v>
      </c>
      <c r="I11" s="28">
        <v>4</v>
      </c>
      <c r="J11" s="28">
        <f t="shared" si="3"/>
        <v>52</v>
      </c>
      <c r="K11" s="102">
        <f t="shared" si="2"/>
        <v>0.4107142857142857</v>
      </c>
      <c r="M11" s="5"/>
    </row>
    <row r="12" spans="1:13" s="6" customFormat="1" ht="21.95" customHeight="1">
      <c r="A12" s="25">
        <v>41730</v>
      </c>
      <c r="B12" s="82">
        <v>231265534</v>
      </c>
      <c r="C12" s="81">
        <v>205255562</v>
      </c>
      <c r="D12" s="26">
        <f t="shared" si="0"/>
        <v>-0.11246799966310587</v>
      </c>
      <c r="E12" s="27">
        <v>5.5</v>
      </c>
      <c r="F12" s="28">
        <v>62</v>
      </c>
      <c r="G12" s="28">
        <v>31</v>
      </c>
      <c r="H12" s="28">
        <v>25</v>
      </c>
      <c r="I12" s="28">
        <v>6</v>
      </c>
      <c r="J12" s="28">
        <f t="shared" si="3"/>
        <v>56</v>
      </c>
      <c r="K12" s="102">
        <f t="shared" si="2"/>
        <v>0.40322580645161288</v>
      </c>
      <c r="M12" s="5"/>
    </row>
    <row r="13" spans="1:13" s="6" customFormat="1" ht="21.95" customHeight="1">
      <c r="A13" s="25">
        <v>41760</v>
      </c>
      <c r="B13" s="82">
        <v>140508630</v>
      </c>
      <c r="C13" s="81">
        <v>134448039</v>
      </c>
      <c r="D13" s="26">
        <f t="shared" si="0"/>
        <v>-4.3133229610167002E-2</v>
      </c>
      <c r="E13" s="27">
        <v>4.8</v>
      </c>
      <c r="F13" s="28">
        <v>57</v>
      </c>
      <c r="G13" s="28">
        <v>31</v>
      </c>
      <c r="H13" s="28">
        <v>18</v>
      </c>
      <c r="I13" s="28">
        <v>8</v>
      </c>
      <c r="J13" s="28">
        <f t="shared" si="3"/>
        <v>49</v>
      </c>
      <c r="K13" s="102">
        <f t="shared" si="2"/>
        <v>0.31578947368421051</v>
      </c>
      <c r="M13" s="5"/>
    </row>
    <row r="14" spans="1:13" s="6" customFormat="1" ht="21.95" customHeight="1" thickBot="1">
      <c r="A14" s="30" t="s">
        <v>105</v>
      </c>
      <c r="B14" s="83">
        <v>231614414</v>
      </c>
      <c r="C14" s="84">
        <v>221901164</v>
      </c>
      <c r="D14" s="31">
        <f t="shared" si="0"/>
        <v>-4.1937156812701645E-2</v>
      </c>
      <c r="E14" s="32">
        <v>5</v>
      </c>
      <c r="F14" s="33">
        <v>20</v>
      </c>
      <c r="G14" s="33">
        <v>5</v>
      </c>
      <c r="H14" s="33">
        <v>12</v>
      </c>
      <c r="I14" s="33">
        <v>3</v>
      </c>
      <c r="J14" s="33">
        <f t="shared" si="3"/>
        <v>17</v>
      </c>
      <c r="K14" s="99">
        <f t="shared" si="2"/>
        <v>0.6</v>
      </c>
      <c r="M14" s="5"/>
    </row>
    <row r="15" spans="1:13" s="5" customFormat="1" ht="24" customHeight="1" thickBot="1">
      <c r="A15" s="13" t="s">
        <v>103</v>
      </c>
      <c r="B15" s="85">
        <f>SUM(B3:B14)</f>
        <v>1873165943.9100001</v>
      </c>
      <c r="C15" s="86">
        <f>SUM(C3:C14)</f>
        <v>1713007756.76</v>
      </c>
      <c r="D15" s="35">
        <f t="shared" ref="D15:D27" si="4">(C15-B15)/B15</f>
        <v>-8.5501334075981469E-2</v>
      </c>
      <c r="E15" s="36">
        <f>(E3*F3+E4*F4+E5*F5+E6*F6+E7*F7+E8*F8+E9*F9+E10*F10+E11*F11+E12*F12+E13*F13+E14*F14)/F15</f>
        <v>5.9569580381089917</v>
      </c>
      <c r="F15" s="37">
        <f>SUM(F3:F14)</f>
        <v>367</v>
      </c>
      <c r="G15" s="37">
        <f>SUM(G3:G14)</f>
        <v>175</v>
      </c>
      <c r="H15" s="37">
        <f>SUM(H3:H14)</f>
        <v>144</v>
      </c>
      <c r="I15" s="37">
        <f>SUM(I3:I14)</f>
        <v>48</v>
      </c>
      <c r="J15" s="37">
        <f>SUM(J3:J14)</f>
        <v>319</v>
      </c>
      <c r="K15" s="100">
        <f t="shared" ref="K15:K29" si="5">H15/F15</f>
        <v>0.39237057220708449</v>
      </c>
    </row>
    <row r="16" spans="1:13" s="5" customFormat="1" ht="21.95" customHeight="1">
      <c r="A16" s="20">
        <v>41821</v>
      </c>
      <c r="B16" s="78">
        <v>139737164</v>
      </c>
      <c r="C16" s="79">
        <v>127414388</v>
      </c>
      <c r="D16" s="21">
        <f t="shared" si="4"/>
        <v>-8.8185387818519062E-2</v>
      </c>
      <c r="E16" s="22">
        <v>5.6</v>
      </c>
      <c r="F16" s="23">
        <v>24</v>
      </c>
      <c r="G16" s="23">
        <v>11</v>
      </c>
      <c r="H16" s="23">
        <v>12</v>
      </c>
      <c r="I16" s="23">
        <v>2</v>
      </c>
      <c r="J16" s="23">
        <f>SUM(G16:H16)</f>
        <v>23</v>
      </c>
      <c r="K16" s="101">
        <f t="shared" si="5"/>
        <v>0.5</v>
      </c>
    </row>
    <row r="17" spans="1:11" s="5" customFormat="1" ht="21.95" customHeight="1">
      <c r="A17" s="25" t="s">
        <v>107</v>
      </c>
      <c r="B17" s="82">
        <v>124065598</v>
      </c>
      <c r="C17" s="81">
        <v>126398804.09999999</v>
      </c>
      <c r="D17" s="26">
        <f t="shared" si="4"/>
        <v>1.8806229427113179E-2</v>
      </c>
      <c r="E17" s="27">
        <v>4.9130434779999996</v>
      </c>
      <c r="F17" s="28">
        <v>23</v>
      </c>
      <c r="G17" s="28">
        <v>8</v>
      </c>
      <c r="H17" s="28">
        <v>11</v>
      </c>
      <c r="I17" s="28">
        <v>4</v>
      </c>
      <c r="J17" s="28">
        <f>SUM(G17:H17)</f>
        <v>19</v>
      </c>
      <c r="K17" s="102">
        <f t="shared" ref="K17" si="6">H17/F17</f>
        <v>0.47826086956521741</v>
      </c>
    </row>
    <row r="18" spans="1:11" s="5" customFormat="1" ht="21.95" customHeight="1">
      <c r="A18" s="25">
        <v>41883</v>
      </c>
      <c r="B18" s="82">
        <v>156181404.87</v>
      </c>
      <c r="C18" s="81">
        <v>137995636.24000001</v>
      </c>
      <c r="D18" s="26">
        <f t="shared" si="4"/>
        <v>-0.11644003743683315</v>
      </c>
      <c r="E18" s="27">
        <v>7.0909090910000003</v>
      </c>
      <c r="F18" s="28">
        <v>22</v>
      </c>
      <c r="G18" s="28">
        <v>12</v>
      </c>
      <c r="H18" s="28">
        <v>8</v>
      </c>
      <c r="I18" s="28">
        <v>2</v>
      </c>
      <c r="J18" s="28">
        <f>SUM(G18:H18)</f>
        <v>20</v>
      </c>
      <c r="K18" s="102">
        <f t="shared" ref="K18:K27" si="7">H18/F18</f>
        <v>0.36363636363636365</v>
      </c>
    </row>
    <row r="19" spans="1:11" s="5" customFormat="1" ht="21.95" customHeight="1">
      <c r="A19" s="132">
        <v>41913</v>
      </c>
      <c r="B19" s="124"/>
      <c r="C19" s="125"/>
      <c r="D19" s="126" t="e">
        <f t="shared" si="4"/>
        <v>#DIV/0!</v>
      </c>
      <c r="E19" s="127"/>
      <c r="F19" s="128"/>
      <c r="G19" s="128"/>
      <c r="H19" s="128"/>
      <c r="I19" s="128"/>
      <c r="J19" s="128">
        <f t="shared" ref="J19:J27" si="8">SUM(G19:H19)</f>
        <v>0</v>
      </c>
      <c r="K19" s="129" t="e">
        <f t="shared" si="7"/>
        <v>#DIV/0!</v>
      </c>
    </row>
    <row r="20" spans="1:11" s="5" customFormat="1" ht="21.95" customHeight="1">
      <c r="A20" s="132">
        <v>41944</v>
      </c>
      <c r="B20" s="124"/>
      <c r="C20" s="125"/>
      <c r="D20" s="126" t="e">
        <f t="shared" si="4"/>
        <v>#DIV/0!</v>
      </c>
      <c r="E20" s="127"/>
      <c r="F20" s="128"/>
      <c r="G20" s="128"/>
      <c r="H20" s="128"/>
      <c r="I20" s="128"/>
      <c r="J20" s="128">
        <f t="shared" si="8"/>
        <v>0</v>
      </c>
      <c r="K20" s="129" t="e">
        <f t="shared" si="7"/>
        <v>#DIV/0!</v>
      </c>
    </row>
    <row r="21" spans="1:11" s="5" customFormat="1" ht="21.95" customHeight="1">
      <c r="A21" s="25">
        <v>41974</v>
      </c>
      <c r="B21" s="82"/>
      <c r="C21" s="81"/>
      <c r="D21" s="26" t="e">
        <f t="shared" si="4"/>
        <v>#DIV/0!</v>
      </c>
      <c r="E21" s="27"/>
      <c r="F21" s="28"/>
      <c r="G21" s="28"/>
      <c r="H21" s="28"/>
      <c r="I21" s="28"/>
      <c r="J21" s="28">
        <f t="shared" si="8"/>
        <v>0</v>
      </c>
      <c r="K21" s="102" t="e">
        <f t="shared" si="7"/>
        <v>#DIV/0!</v>
      </c>
    </row>
    <row r="22" spans="1:11" s="5" customFormat="1" ht="21.95" customHeight="1">
      <c r="A22" s="132">
        <v>42005</v>
      </c>
      <c r="B22" s="82"/>
      <c r="C22" s="81"/>
      <c r="D22" s="26" t="e">
        <f t="shared" si="4"/>
        <v>#DIV/0!</v>
      </c>
      <c r="E22" s="27"/>
      <c r="F22" s="28"/>
      <c r="G22" s="28"/>
      <c r="H22" s="28"/>
      <c r="I22" s="28"/>
      <c r="J22" s="28">
        <f t="shared" si="8"/>
        <v>0</v>
      </c>
      <c r="K22" s="102" t="e">
        <f t="shared" si="7"/>
        <v>#DIV/0!</v>
      </c>
    </row>
    <row r="23" spans="1:11" s="5" customFormat="1" ht="21.95" customHeight="1">
      <c r="A23" s="25">
        <v>42036</v>
      </c>
      <c r="B23" s="82"/>
      <c r="C23" s="81"/>
      <c r="D23" s="26" t="e">
        <f t="shared" si="4"/>
        <v>#DIV/0!</v>
      </c>
      <c r="E23" s="27"/>
      <c r="F23" s="28"/>
      <c r="G23" s="28"/>
      <c r="H23" s="28"/>
      <c r="I23" s="28"/>
      <c r="J23" s="28">
        <f t="shared" si="8"/>
        <v>0</v>
      </c>
      <c r="K23" s="102" t="e">
        <f t="shared" si="7"/>
        <v>#DIV/0!</v>
      </c>
    </row>
    <row r="24" spans="1:11" s="5" customFormat="1" ht="21.95" customHeight="1">
      <c r="A24" s="25">
        <v>42064</v>
      </c>
      <c r="B24" s="82"/>
      <c r="C24" s="81"/>
      <c r="D24" s="26" t="e">
        <f t="shared" si="4"/>
        <v>#DIV/0!</v>
      </c>
      <c r="E24" s="27"/>
      <c r="F24" s="28"/>
      <c r="G24" s="28"/>
      <c r="H24" s="28"/>
      <c r="I24" s="28"/>
      <c r="J24" s="28">
        <f t="shared" si="8"/>
        <v>0</v>
      </c>
      <c r="K24" s="102" t="e">
        <f t="shared" si="7"/>
        <v>#DIV/0!</v>
      </c>
    </row>
    <row r="25" spans="1:11" s="5" customFormat="1" ht="21.95" customHeight="1">
      <c r="A25" s="25">
        <v>42095</v>
      </c>
      <c r="B25" s="82"/>
      <c r="C25" s="81"/>
      <c r="D25" s="26" t="e">
        <f t="shared" si="4"/>
        <v>#DIV/0!</v>
      </c>
      <c r="E25" s="27"/>
      <c r="F25" s="28"/>
      <c r="G25" s="28"/>
      <c r="H25" s="28"/>
      <c r="I25" s="28"/>
      <c r="J25" s="28">
        <f t="shared" si="8"/>
        <v>0</v>
      </c>
      <c r="K25" s="102" t="e">
        <f t="shared" si="7"/>
        <v>#DIV/0!</v>
      </c>
    </row>
    <row r="26" spans="1:11" s="5" customFormat="1" ht="21.95" customHeight="1">
      <c r="A26" s="25">
        <v>42125</v>
      </c>
      <c r="B26" s="82"/>
      <c r="C26" s="81"/>
      <c r="D26" s="26" t="e">
        <f t="shared" si="4"/>
        <v>#DIV/0!</v>
      </c>
      <c r="E26" s="27"/>
      <c r="F26" s="28"/>
      <c r="G26" s="28"/>
      <c r="H26" s="28"/>
      <c r="I26" s="28"/>
      <c r="J26" s="28">
        <f t="shared" si="8"/>
        <v>0</v>
      </c>
      <c r="K26" s="102" t="e">
        <f t="shared" si="7"/>
        <v>#DIV/0!</v>
      </c>
    </row>
    <row r="27" spans="1:11" s="5" customFormat="1" ht="21.95" customHeight="1" thickBot="1">
      <c r="A27" s="30">
        <v>42156</v>
      </c>
      <c r="B27" s="83"/>
      <c r="C27" s="84"/>
      <c r="D27" s="26" t="e">
        <f t="shared" si="4"/>
        <v>#DIV/0!</v>
      </c>
      <c r="E27" s="32"/>
      <c r="F27" s="33"/>
      <c r="G27" s="33"/>
      <c r="H27" s="33"/>
      <c r="I27" s="33"/>
      <c r="J27" s="33">
        <f t="shared" si="8"/>
        <v>0</v>
      </c>
      <c r="K27" s="99" t="e">
        <f t="shared" si="7"/>
        <v>#DIV/0!</v>
      </c>
    </row>
    <row r="28" spans="1:11" s="5" customFormat="1" ht="24" customHeight="1" thickBot="1">
      <c r="A28" s="13" t="s">
        <v>104</v>
      </c>
      <c r="B28" s="85">
        <f>SUM(B16:B27)</f>
        <v>419984166.87</v>
      </c>
      <c r="C28" s="86">
        <f>SUM(C16:C27)</f>
        <v>391808828.34000003</v>
      </c>
      <c r="D28" s="35">
        <f>(C28-B28)/B28</f>
        <v>-6.7086668385575685E-2</v>
      </c>
      <c r="E28" s="42">
        <f>(F16*E16+F17*E17+F18*E18+F19*E19+F20*E20+F21*E21+F22*E22+F23*E23+F24*E24+F25*E25+F26*E26+F27*E27)/F28</f>
        <v>5.8463768115362322</v>
      </c>
      <c r="F28" s="37">
        <f>SUM(F16:F27)</f>
        <v>69</v>
      </c>
      <c r="G28" s="37">
        <f>SUM(G16:G27)</f>
        <v>31</v>
      </c>
      <c r="H28" s="37">
        <f>SUM(H16:H27)</f>
        <v>31</v>
      </c>
      <c r="I28" s="37">
        <f>SUM(I16:I27)</f>
        <v>8</v>
      </c>
      <c r="J28" s="37">
        <f>SUM(J16:J27)</f>
        <v>62</v>
      </c>
      <c r="K28" s="100">
        <f t="shared" si="5"/>
        <v>0.44927536231884058</v>
      </c>
    </row>
    <row r="29" spans="1:11" s="5" customFormat="1" ht="24" customHeight="1" thickBot="1">
      <c r="A29" s="43" t="s">
        <v>0</v>
      </c>
      <c r="B29" s="85">
        <f>B15+B28</f>
        <v>2293150110.7800002</v>
      </c>
      <c r="C29" s="86">
        <f>C15+C28</f>
        <v>2104816585.0999999</v>
      </c>
      <c r="D29" s="35">
        <f>(C29-B29)/B29</f>
        <v>-8.2128738452250674E-2</v>
      </c>
      <c r="E29" s="42">
        <f>(F28*E28+F15*E15)/F29</f>
        <v>5.9394577981238532</v>
      </c>
      <c r="F29" s="37">
        <f>F15+F28</f>
        <v>436</v>
      </c>
      <c r="G29" s="37">
        <f>G15+G28</f>
        <v>206</v>
      </c>
      <c r="H29" s="37">
        <f>H15+H28</f>
        <v>175</v>
      </c>
      <c r="I29" s="37">
        <f>I15+I28</f>
        <v>56</v>
      </c>
      <c r="J29" s="37">
        <f>J15+J28</f>
        <v>381</v>
      </c>
      <c r="K29" s="100">
        <f t="shared" si="5"/>
        <v>0.40137614678899081</v>
      </c>
    </row>
    <row r="30" spans="1:11" ht="21.95" customHeight="1" thickBot="1">
      <c r="A30" s="137" t="s">
        <v>85</v>
      </c>
      <c r="B30" s="138"/>
      <c r="C30" s="138"/>
      <c r="D30" s="138"/>
      <c r="E30" s="138"/>
      <c r="F30" s="138"/>
      <c r="G30" s="138"/>
      <c r="H30" s="138"/>
      <c r="I30" s="138"/>
      <c r="J30" s="138"/>
      <c r="K30" s="139"/>
    </row>
    <row r="31" spans="1:11" ht="15" customHeight="1"/>
    <row r="56" spans="1:11" ht="16.5" customHeight="1"/>
    <row r="57" spans="1:11" ht="13.5" customHeight="1">
      <c r="A57" s="140"/>
      <c r="B57" s="140"/>
      <c r="C57" s="140"/>
      <c r="D57" s="140"/>
      <c r="E57" s="140"/>
      <c r="F57" s="140"/>
    </row>
    <row r="58" spans="1:11" ht="22.5" customHeight="1">
      <c r="A58" s="141"/>
      <c r="B58" s="141"/>
      <c r="C58" s="141"/>
      <c r="D58" s="141"/>
      <c r="E58" s="141"/>
      <c r="F58" s="141"/>
      <c r="G58" s="141"/>
      <c r="H58" s="141"/>
      <c r="I58" s="141"/>
      <c r="J58" s="141"/>
      <c r="K58" s="141"/>
    </row>
    <row r="59" spans="1:11" ht="11.25" customHeight="1">
      <c r="A59" s="142"/>
      <c r="B59" s="142"/>
      <c r="C59" s="142"/>
      <c r="D59" s="142"/>
      <c r="E59" s="142"/>
      <c r="F59" s="142"/>
      <c r="G59" s="142"/>
      <c r="H59" s="142"/>
      <c r="I59" s="142"/>
      <c r="J59" s="142"/>
    </row>
  </sheetData>
  <mergeCells count="5">
    <mergeCell ref="A1:K1"/>
    <mergeCell ref="A30:K30"/>
    <mergeCell ref="A57:F57"/>
    <mergeCell ref="A58:K58"/>
    <mergeCell ref="A59:J59"/>
  </mergeCells>
  <printOptions horizontalCentered="1" verticalCentered="1"/>
  <pageMargins left="0.25" right="0.25" top="0.75" bottom="0.75" header="0.3" footer="0.3"/>
  <pageSetup scale="61" orientation="portrait" r:id="rId1"/>
  <ignoredErrors>
    <ignoredError sqref="J7 J3 J8:J14 J4:J6 J16 J17:J18" formulaRange="1"/>
    <ignoredError sqref="J15" formula="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C25" sqref="C25"/>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4" t="str">
        <f>WithPerformance!A1</f>
        <v>Combined Bidder Activity Summary Report - September 2014
 (Projects bid opened from July 2013 to September 2014, as of 10/08/2014)</v>
      </c>
      <c r="B1" s="135"/>
      <c r="C1" s="135"/>
      <c r="D1" s="135"/>
      <c r="E1" s="135"/>
      <c r="F1" s="135"/>
      <c r="G1" s="135"/>
      <c r="H1" s="135"/>
      <c r="I1" s="135"/>
      <c r="J1" s="136"/>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41468</v>
      </c>
      <c r="B3" s="78">
        <f>IF(WithPerformance!B3="","",WithPerformance!B3)</f>
        <v>101578652.05</v>
      </c>
      <c r="C3" s="79">
        <f>IF(WithPerformance!C3="","",WithPerformance!C3)</f>
        <v>102192668.34999999</v>
      </c>
      <c r="D3" s="21">
        <f>IF(WithPerformance!D3="","",WithPerformance!D3)</f>
        <v>6.0447376255569939E-3</v>
      </c>
      <c r="E3" s="22">
        <f>IF(WithPerformance!E3="","",WithPerformance!E3)</f>
        <v>4.8571428570000004</v>
      </c>
      <c r="F3" s="23">
        <f>IF(WithPerformance!F3="","",WithPerformance!F3)</f>
        <v>14</v>
      </c>
      <c r="G3" s="23">
        <f>IF(WithPerformance!G3="","",WithPerformance!G3)</f>
        <v>7</v>
      </c>
      <c r="H3" s="23">
        <f>IF(WithPerformance!H3="","",WithPerformance!H3)</f>
        <v>3</v>
      </c>
      <c r="I3" s="23">
        <f>IF(WithPerformance!I3="","",WithPerformance!I3)</f>
        <v>4</v>
      </c>
      <c r="J3" s="24">
        <f>IF(WithPerformance!J3="","",WithPerformance!J3)</f>
        <v>10</v>
      </c>
      <c r="L3" s="5"/>
    </row>
    <row r="4" spans="1:12" s="6" customFormat="1" ht="21.95" customHeight="1">
      <c r="A4" s="25" t="str">
        <f>IF(WithPerformance!A4="","",WithPerformance!A4)</f>
        <v xml:space="preserve"> Aug-13</v>
      </c>
      <c r="B4" s="80">
        <f>IF(WithPerformance!B4="","",WithPerformance!B4)</f>
        <v>67879300.280000001</v>
      </c>
      <c r="C4" s="81">
        <f>IF(WithPerformance!C4="","",WithPerformance!C4)</f>
        <v>61238911.229999997</v>
      </c>
      <c r="D4" s="26">
        <f>IF(WithPerformance!D4="","",WithPerformance!D4)</f>
        <v>-9.7826421642659936E-2</v>
      </c>
      <c r="E4" s="27">
        <f>IF(WithPerformance!E4="","",WithPerformance!E4)</f>
        <v>6</v>
      </c>
      <c r="F4" s="28">
        <f>IF(WithPerformance!F4="","",WithPerformance!F4)</f>
        <v>20</v>
      </c>
      <c r="G4" s="28">
        <f>IF(WithPerformance!G4="","",WithPerformance!G4)</f>
        <v>9</v>
      </c>
      <c r="H4" s="28">
        <f>IF(WithPerformance!H4="","",WithPerformance!H4)</f>
        <v>8</v>
      </c>
      <c r="I4" s="28">
        <f>IF(WithPerformance!I4="","",WithPerformance!I4)</f>
        <v>3</v>
      </c>
      <c r="J4" s="29">
        <f>IF(WithPerformance!J4="","",WithPerformance!J4)</f>
        <v>17</v>
      </c>
      <c r="L4" s="5"/>
    </row>
    <row r="5" spans="1:12" s="6" customFormat="1" ht="21.95" customHeight="1">
      <c r="A5" s="25" t="str">
        <f>IF(WithPerformance!A5="","",WithPerformance!A5)</f>
        <v xml:space="preserve"> Sept-13</v>
      </c>
      <c r="B5" s="82">
        <f>IF(WithPerformance!B5="","",WithPerformance!B5)</f>
        <v>204165819.49000001</v>
      </c>
      <c r="C5" s="81">
        <f>IF(WithPerformance!C5="","",WithPerformance!C5)</f>
        <v>173258066.06</v>
      </c>
      <c r="D5" s="26">
        <f>IF(WithPerformance!D5="","",WithPerformance!D5)</f>
        <v>-0.15138554292391662</v>
      </c>
      <c r="E5" s="27">
        <f>IF(WithPerformance!E5="","",WithPerformance!E5)</f>
        <v>6.8845999999999998</v>
      </c>
      <c r="F5" s="28">
        <f>IF(WithPerformance!F5="","",WithPerformance!F5)</f>
        <v>26</v>
      </c>
      <c r="G5" s="28">
        <f>IF(WithPerformance!G5="","",WithPerformance!G5)</f>
        <v>18</v>
      </c>
      <c r="H5" s="28">
        <f>IF(WithPerformance!H5="","",WithPerformance!H5)</f>
        <v>5</v>
      </c>
      <c r="I5" s="28">
        <f>IF(WithPerformance!I5="","",WithPerformance!I5)</f>
        <v>3</v>
      </c>
      <c r="J5" s="29">
        <f>IF(WithPerformance!J5="","",WithPerformance!J5)</f>
        <v>23</v>
      </c>
      <c r="L5" s="5"/>
    </row>
    <row r="6" spans="1:12" s="6" customFormat="1" ht="21.95" customHeight="1">
      <c r="A6" s="25" t="str">
        <f>IF(WithPerformance!A6="","",WithPerformance!A6)</f>
        <v>Oct-13</v>
      </c>
      <c r="B6" s="82">
        <f>IF(WithPerformance!B6="","",WithPerformance!B6)</f>
        <v>162182345.53</v>
      </c>
      <c r="C6" s="81">
        <f>IF(WithPerformance!C6="","",WithPerformance!C6)</f>
        <v>146432319.91999999</v>
      </c>
      <c r="D6" s="26">
        <f>IF(WithPerformance!D6="","",WithPerformance!D6)</f>
        <v>-9.7113070837211574E-2</v>
      </c>
      <c r="E6" s="27">
        <f>IF(WithPerformance!E6="","",WithPerformance!E6)</f>
        <v>5.3102999999999998</v>
      </c>
      <c r="F6" s="28">
        <f>IF(WithPerformance!F6="","",WithPerformance!F6)</f>
        <v>29</v>
      </c>
      <c r="G6" s="28">
        <f>IF(WithPerformance!G6="","",WithPerformance!G6)</f>
        <v>10</v>
      </c>
      <c r="H6" s="28">
        <f>IF(WithPerformance!H6="","",WithPerformance!H6)</f>
        <v>16</v>
      </c>
      <c r="I6" s="28">
        <f>IF(WithPerformance!I6="","",WithPerformance!I6)</f>
        <v>3</v>
      </c>
      <c r="J6" s="29">
        <f>IF(WithPerformance!J6="","",WithPerformance!J6)</f>
        <v>26</v>
      </c>
      <c r="L6" s="5"/>
    </row>
    <row r="7" spans="1:12" s="6" customFormat="1" ht="21.95" customHeight="1">
      <c r="A7" s="25" t="str">
        <f>IF(WithPerformance!A7="","",WithPerformance!A7)</f>
        <v>Nov-13</v>
      </c>
      <c r="B7" s="82">
        <f>IF(WithPerformance!B7="","",WithPerformance!B7)</f>
        <v>165502932.37</v>
      </c>
      <c r="C7" s="81">
        <f>IF(WithPerformance!C7="","",WithPerformance!C7)</f>
        <v>144277480.63</v>
      </c>
      <c r="D7" s="26">
        <f>IF(WithPerformance!D7="","",WithPerformance!D7)</f>
        <v>-0.12824819135257481</v>
      </c>
      <c r="E7" s="27">
        <f>IF(WithPerformance!E7="","",WithPerformance!E7)</f>
        <v>7.4669999999999996</v>
      </c>
      <c r="F7" s="28">
        <f>IF(WithPerformance!F7="","",WithPerformance!F7)</f>
        <v>15</v>
      </c>
      <c r="G7" s="28">
        <f>IF(WithPerformance!G7="","",WithPerformance!G7)</f>
        <v>8</v>
      </c>
      <c r="H7" s="28">
        <f>IF(WithPerformance!H7="","",WithPerformance!H7)</f>
        <v>6</v>
      </c>
      <c r="I7" s="28">
        <f>IF(WithPerformance!I7="","",WithPerformance!I7)</f>
        <v>1</v>
      </c>
      <c r="J7" s="29">
        <f>IF(WithPerformance!J7="","",WithPerformance!J7)</f>
        <v>14</v>
      </c>
      <c r="L7" s="5"/>
    </row>
    <row r="8" spans="1:12" s="6" customFormat="1" ht="21.95" customHeight="1">
      <c r="A8" s="25">
        <f>IF(WithPerformance!A8="","",WithPerformance!A8)</f>
        <v>41620</v>
      </c>
      <c r="B8" s="82">
        <f>IF(WithPerformance!B8="","",WithPerformance!B8)</f>
        <v>124415660.37</v>
      </c>
      <c r="C8" s="81">
        <f>IF(WithPerformance!C8="","",WithPerformance!C8)</f>
        <v>119060555.56999999</v>
      </c>
      <c r="D8" s="26">
        <f>IF(WithPerformance!D8="","",WithPerformance!D8)</f>
        <v>-4.3042047794260414E-2</v>
      </c>
      <c r="E8" s="27">
        <f>IF(WithPerformance!E8="","",WithPerformance!E8)</f>
        <v>6.9230999999999998</v>
      </c>
      <c r="F8" s="28">
        <f>IF(WithPerformance!F8="","",WithPerformance!F8)</f>
        <v>13</v>
      </c>
      <c r="G8" s="28">
        <f>IF(WithPerformance!G8="","",WithPerformance!G8)</f>
        <v>4</v>
      </c>
      <c r="H8" s="28">
        <f>IF(WithPerformance!H8="","",WithPerformance!H8)</f>
        <v>6</v>
      </c>
      <c r="I8" s="28">
        <f>IF(WithPerformance!I8="","",WithPerformance!I8)</f>
        <v>3</v>
      </c>
      <c r="J8" s="29">
        <f>IF(WithPerformance!J8="","",WithPerformance!J8)</f>
        <v>10</v>
      </c>
      <c r="L8" s="5"/>
    </row>
    <row r="9" spans="1:12" s="6" customFormat="1" ht="21.95" customHeight="1">
      <c r="A9" s="25" t="str">
        <f>IF(WithPerformance!A9="","",WithPerformance!A9)</f>
        <v xml:space="preserve"> Jan-14</v>
      </c>
      <c r="B9" s="82">
        <f>IF(WithPerformance!B9="","",WithPerformance!B9)</f>
        <v>140813434.81999999</v>
      </c>
      <c r="C9" s="81">
        <f>IF(WithPerformance!C9="","",WithPerformance!C9)</f>
        <v>137191609</v>
      </c>
      <c r="D9" s="26">
        <f>IF(WithPerformance!D9="","",WithPerformance!D9)</f>
        <v>-2.5720740528982381E-2</v>
      </c>
      <c r="E9" s="27">
        <f>IF(WithPerformance!E9="","",WithPerformance!E9)</f>
        <v>7.5714285710000002</v>
      </c>
      <c r="F9" s="28">
        <f>IF(WithPerformance!F9="","",WithPerformance!F9)</f>
        <v>28</v>
      </c>
      <c r="G9" s="28">
        <f>IF(WithPerformance!G9="","",WithPerformance!G9)</f>
        <v>13</v>
      </c>
      <c r="H9" s="28">
        <f>IF(WithPerformance!H9="","",WithPerformance!H9)</f>
        <v>9</v>
      </c>
      <c r="I9" s="28">
        <f>IF(WithPerformance!I9="","",WithPerformance!I9)</f>
        <v>6</v>
      </c>
      <c r="J9" s="29">
        <f>IF(WithPerformance!J9="","",WithPerformance!J9)</f>
        <v>22</v>
      </c>
      <c r="L9" s="5"/>
    </row>
    <row r="10" spans="1:12" s="6" customFormat="1" ht="21.95" customHeight="1">
      <c r="A10" s="25">
        <f>IF(WithPerformance!A10="","",WithPerformance!A10)</f>
        <v>41684</v>
      </c>
      <c r="B10" s="82">
        <f>IF(WithPerformance!B10="","",WithPerformance!B10)</f>
        <v>92385807</v>
      </c>
      <c r="C10" s="81">
        <f>IF(WithPerformance!C10="","",WithPerformance!C10)</f>
        <v>83500057</v>
      </c>
      <c r="D10" s="26">
        <f>IF(WithPerformance!D10="","",WithPerformance!D10)</f>
        <v>-9.6180899301989101E-2</v>
      </c>
      <c r="E10" s="27">
        <f>IF(WithPerformance!E10="","",WithPerformance!E10)</f>
        <v>6.6</v>
      </c>
      <c r="F10" s="28">
        <f>IF(WithPerformance!F10="","",WithPerformance!F10)</f>
        <v>27</v>
      </c>
      <c r="G10" s="28">
        <f>IF(WithPerformance!G10="","",WithPerformance!G10)</f>
        <v>10</v>
      </c>
      <c r="H10" s="28">
        <f>IF(WithPerformance!H10="","",WithPerformance!H10)</f>
        <v>13</v>
      </c>
      <c r="I10" s="28">
        <f>IF(WithPerformance!I10="","",WithPerformance!I10)</f>
        <v>4</v>
      </c>
      <c r="J10" s="29">
        <f>IF(WithPerformance!J10="","",WithPerformance!J10)</f>
        <v>23</v>
      </c>
      <c r="L10" s="5"/>
    </row>
    <row r="11" spans="1:12" s="6" customFormat="1" ht="21.95" customHeight="1">
      <c r="A11" s="25">
        <f>IF(WithPerformance!A11="","",WithPerformance!A11)</f>
        <v>41712</v>
      </c>
      <c r="B11" s="82">
        <f>IF(WithPerformance!B11="","",WithPerformance!B11)</f>
        <v>210853414</v>
      </c>
      <c r="C11" s="81">
        <f>IF(WithPerformance!C11="","",WithPerformance!C11)</f>
        <v>184251324</v>
      </c>
      <c r="D11" s="26">
        <f>IF(WithPerformance!D11="","",WithPerformance!D11)</f>
        <v>-0.12616390455978105</v>
      </c>
      <c r="E11" s="27">
        <f>IF(WithPerformance!E11="","",WithPerformance!E11)</f>
        <v>6.4</v>
      </c>
      <c r="F11" s="28">
        <f>IF(WithPerformance!F11="","",WithPerformance!F11)</f>
        <v>56</v>
      </c>
      <c r="G11" s="28">
        <f>IF(WithPerformance!G11="","",WithPerformance!G11)</f>
        <v>29</v>
      </c>
      <c r="H11" s="28">
        <f>IF(WithPerformance!H11="","",WithPerformance!H11)</f>
        <v>23</v>
      </c>
      <c r="I11" s="28">
        <f>IF(WithPerformance!I11="","",WithPerformance!I11)</f>
        <v>4</v>
      </c>
      <c r="J11" s="29">
        <f>IF(WithPerformance!J11="","",WithPerformance!J11)</f>
        <v>52</v>
      </c>
      <c r="L11" s="5"/>
    </row>
    <row r="12" spans="1:12" s="6" customFormat="1" ht="21.95" customHeight="1">
      <c r="A12" s="25">
        <f>IF(WithPerformance!A12="","",WithPerformance!A12)</f>
        <v>41730</v>
      </c>
      <c r="B12" s="82">
        <f>IF(WithPerformance!B12="","",WithPerformance!B12)</f>
        <v>231265534</v>
      </c>
      <c r="C12" s="81">
        <f>IF(WithPerformance!C12="","",WithPerformance!C12)</f>
        <v>205255562</v>
      </c>
      <c r="D12" s="26">
        <f>IF(WithPerformance!D12="","",WithPerformance!D12)</f>
        <v>-0.11246799966310587</v>
      </c>
      <c r="E12" s="27">
        <f>IF(WithPerformance!E12="","",WithPerformance!E12)</f>
        <v>5.5</v>
      </c>
      <c r="F12" s="28">
        <f>IF(WithPerformance!F12="","",WithPerformance!F12)</f>
        <v>62</v>
      </c>
      <c r="G12" s="28">
        <f>IF(WithPerformance!G12="","",WithPerformance!G12)</f>
        <v>31</v>
      </c>
      <c r="H12" s="28">
        <f>IF(WithPerformance!H12="","",WithPerformance!H12)</f>
        <v>25</v>
      </c>
      <c r="I12" s="28">
        <f>IF(WithPerformance!I12="","",WithPerformance!I12)</f>
        <v>6</v>
      </c>
      <c r="J12" s="29">
        <f>IF(WithPerformance!J12="","",WithPerformance!J12)</f>
        <v>56</v>
      </c>
      <c r="L12" s="5"/>
    </row>
    <row r="13" spans="1:12" s="6" customFormat="1" ht="21.95" customHeight="1">
      <c r="A13" s="25">
        <f>IF(WithPerformance!A13="","",WithPerformance!A13)</f>
        <v>41760</v>
      </c>
      <c r="B13" s="82">
        <f>IF(WithPerformance!B13="","",WithPerformance!B13)</f>
        <v>140508630</v>
      </c>
      <c r="C13" s="81">
        <f>IF(WithPerformance!C13="","",WithPerformance!C13)</f>
        <v>134448039</v>
      </c>
      <c r="D13" s="26">
        <f>IF(WithPerformance!D13="","",WithPerformance!D13)</f>
        <v>-4.3133229610167002E-2</v>
      </c>
      <c r="E13" s="27">
        <f>IF(WithPerformance!E13="","",WithPerformance!E13)</f>
        <v>4.8</v>
      </c>
      <c r="F13" s="28">
        <f>IF(WithPerformance!F13="","",WithPerformance!F13)</f>
        <v>57</v>
      </c>
      <c r="G13" s="28">
        <f>IF(WithPerformance!G13="","",WithPerformance!G13)</f>
        <v>31</v>
      </c>
      <c r="H13" s="28">
        <f>IF(WithPerformance!H13="","",WithPerformance!H13)</f>
        <v>18</v>
      </c>
      <c r="I13" s="28">
        <f>IF(WithPerformance!I13="","",WithPerformance!I13)</f>
        <v>8</v>
      </c>
      <c r="J13" s="29">
        <f>IF(WithPerformance!J13="","",WithPerformance!J13)</f>
        <v>49</v>
      </c>
      <c r="L13" s="5"/>
    </row>
    <row r="14" spans="1:12" s="6" customFormat="1" ht="21.95" customHeight="1" thickBot="1">
      <c r="A14" s="30" t="str">
        <f>IF(WithPerformance!A14="","",WithPerformance!A14)</f>
        <v>* Jun-14</v>
      </c>
      <c r="B14" s="83">
        <f>IF(WithPerformance!B14="","",WithPerformance!B14)</f>
        <v>231614414</v>
      </c>
      <c r="C14" s="84">
        <f>IF(WithPerformance!C14="","",WithPerformance!C14)</f>
        <v>221901164</v>
      </c>
      <c r="D14" s="31">
        <f>IF(WithPerformance!D14="","",WithPerformance!D14)</f>
        <v>-4.1937156812701645E-2</v>
      </c>
      <c r="E14" s="32">
        <f>IF(WithPerformance!E14="","",WithPerformance!E14)</f>
        <v>5</v>
      </c>
      <c r="F14" s="33">
        <f>IF(WithPerformance!F14="","",WithPerformance!F14)</f>
        <v>20</v>
      </c>
      <c r="G14" s="33">
        <f>IF(WithPerformance!G14="","",WithPerformance!G14)</f>
        <v>5</v>
      </c>
      <c r="H14" s="33">
        <f>IF(WithPerformance!H14="","",WithPerformance!H14)</f>
        <v>12</v>
      </c>
      <c r="I14" s="33">
        <f>IF(WithPerformance!I14="","",WithPerformance!I14)</f>
        <v>3</v>
      </c>
      <c r="J14" s="34">
        <f>IF(WithPerformance!J14="","",WithPerformance!J14)</f>
        <v>17</v>
      </c>
      <c r="L14" s="5"/>
    </row>
    <row r="15" spans="1:12" s="5" customFormat="1" ht="24" customHeight="1" thickBot="1">
      <c r="A15" s="13" t="s">
        <v>79</v>
      </c>
      <c r="B15" s="85">
        <f>SUM(B3:B14)</f>
        <v>1873165943.9100001</v>
      </c>
      <c r="C15" s="86">
        <f>SUM(C3:C14)</f>
        <v>1713007756.76</v>
      </c>
      <c r="D15" s="35">
        <f t="shared" ref="D15" si="0">(C15-B15)/B15</f>
        <v>-8.5501334075981469E-2</v>
      </c>
      <c r="E15" s="36">
        <f>(E3*F3+E4*F4+E5*F5+E6*F6+E7*F7+E8*F8+E9*F9+E10*F10+E11*F11+E12*F12+E13*F13+E14*F14)/F15</f>
        <v>5.9569580381089917</v>
      </c>
      <c r="F15" s="37">
        <f>SUM(F3:F14)</f>
        <v>367</v>
      </c>
      <c r="G15" s="37">
        <f>SUM(G3:G14)</f>
        <v>175</v>
      </c>
      <c r="H15" s="37">
        <f>SUM(H3:H14)</f>
        <v>144</v>
      </c>
      <c r="I15" s="37">
        <f>SUM(I3:I14)</f>
        <v>48</v>
      </c>
      <c r="J15" s="38">
        <f>SUM(J3:J14)</f>
        <v>319</v>
      </c>
    </row>
    <row r="16" spans="1:12" s="5" customFormat="1" ht="21.95" customHeight="1">
      <c r="A16" s="20">
        <f>IF(WithPerformance!A16="","",WithPerformance!A16)</f>
        <v>41821</v>
      </c>
      <c r="B16" s="78">
        <f>IF(WithPerformance!B16="","",WithPerformance!B16)</f>
        <v>139737164</v>
      </c>
      <c r="C16" s="79">
        <f>IF(WithPerformance!C16="","",WithPerformance!C16)</f>
        <v>127414388</v>
      </c>
      <c r="D16" s="21">
        <f>IF(WithPerformance!D16="","",WithPerformance!D16)</f>
        <v>-8.8185387818519062E-2</v>
      </c>
      <c r="E16" s="22">
        <f>IF(WithPerformance!E16="","",WithPerformance!E16)</f>
        <v>5.6</v>
      </c>
      <c r="F16" s="23">
        <f>IF(WithPerformance!F16="","",WithPerformance!F16)</f>
        <v>24</v>
      </c>
      <c r="G16" s="23">
        <f>IF(WithPerformance!G16="","",WithPerformance!G16)</f>
        <v>11</v>
      </c>
      <c r="H16" s="23">
        <f>IF(WithPerformance!H16="","",WithPerformance!H16)</f>
        <v>12</v>
      </c>
      <c r="I16" s="23">
        <f>IF(WithPerformance!I16="","",WithPerformance!I16)</f>
        <v>2</v>
      </c>
      <c r="J16" s="39">
        <f>IF(WithPerformance!J16="","",WithPerformance!J16)</f>
        <v>23</v>
      </c>
    </row>
    <row r="17" spans="1:10" s="5" customFormat="1" ht="21.95" customHeight="1">
      <c r="A17" s="25" t="str">
        <f>IF(WithPerformance!A17="","",WithPerformance!A17)</f>
        <v>* Aug-14</v>
      </c>
      <c r="B17" s="82">
        <f>IF(WithPerformance!B17="","",WithPerformance!B17)</f>
        <v>124065598</v>
      </c>
      <c r="C17" s="81">
        <f>IF(WithPerformance!C17="","",WithPerformance!C17)</f>
        <v>126398804.09999999</v>
      </c>
      <c r="D17" s="26">
        <f>IF(WithPerformance!D17="","",WithPerformance!D17)</f>
        <v>1.8806229427113179E-2</v>
      </c>
      <c r="E17" s="27">
        <f>IF(WithPerformance!E17="","",WithPerformance!E17)</f>
        <v>4.9130434779999996</v>
      </c>
      <c r="F17" s="28">
        <f>IF(WithPerformance!F17="","",WithPerformance!F17)</f>
        <v>23</v>
      </c>
      <c r="G17" s="28">
        <f>IF(WithPerformance!G17="","",WithPerformance!G17)</f>
        <v>8</v>
      </c>
      <c r="H17" s="28">
        <f>IF(WithPerformance!H17="","",WithPerformance!H17)</f>
        <v>11</v>
      </c>
      <c r="I17" s="28">
        <f>IF(WithPerformance!I17="","",WithPerformance!I17)</f>
        <v>4</v>
      </c>
      <c r="J17" s="40">
        <f>IF(WithPerformance!J17="","",WithPerformance!J17)</f>
        <v>19</v>
      </c>
    </row>
    <row r="18" spans="1:10" s="5" customFormat="1" ht="21.95" customHeight="1">
      <c r="A18" s="25">
        <f>IF(WithPerformance!A18="","",WithPerformance!A18)</f>
        <v>41883</v>
      </c>
      <c r="B18" s="82">
        <f>IF(WithPerformance!B18="","",WithPerformance!B18)</f>
        <v>156181404.87</v>
      </c>
      <c r="C18" s="81">
        <f>IF(WithPerformance!C18="","",WithPerformance!C18)</f>
        <v>137995636.24000001</v>
      </c>
      <c r="D18" s="26">
        <f>IF(WithPerformance!D18="","",WithPerformance!D18)</f>
        <v>-0.11644003743683315</v>
      </c>
      <c r="E18" s="27">
        <f>IF(WithPerformance!E18="","",WithPerformance!E18)</f>
        <v>7.0909090910000003</v>
      </c>
      <c r="F18" s="28">
        <f>IF(WithPerformance!F18="","",WithPerformance!F18)</f>
        <v>22</v>
      </c>
      <c r="G18" s="28">
        <f>IF(WithPerformance!G18="","",WithPerformance!G18)</f>
        <v>12</v>
      </c>
      <c r="H18" s="28">
        <f>IF(WithPerformance!H18="","",WithPerformance!H18)</f>
        <v>8</v>
      </c>
      <c r="I18" s="28">
        <f>IF(WithPerformance!I18="","",WithPerformance!I18)</f>
        <v>2</v>
      </c>
      <c r="J18" s="40">
        <f>IF(WithPerformance!J18="","",WithPerformance!J18)</f>
        <v>20</v>
      </c>
    </row>
    <row r="19" spans="1:10" s="5" customFormat="1" ht="21.95" customHeight="1">
      <c r="A19" s="25">
        <f>IF(WithPerformance!A19="","",WithPerformance!A19)</f>
        <v>41913</v>
      </c>
      <c r="B19" s="82" t="str">
        <f>IF(WithPerformance!B19="","",WithPerformance!B19)</f>
        <v/>
      </c>
      <c r="C19" s="81" t="str">
        <f>IF(WithPerformance!C19="","",WithPerformance!C19)</f>
        <v/>
      </c>
      <c r="D19" s="26" t="e">
        <f>IF(WithPerformance!D19="","",WithPerformance!D19)</f>
        <v>#DIV/0!</v>
      </c>
      <c r="E19" s="27" t="str">
        <f>IF(WithPerformance!E19="","",WithPerformance!E19)</f>
        <v/>
      </c>
      <c r="F19" s="28" t="str">
        <f>IF(WithPerformance!F19="","",WithPerformance!F19)</f>
        <v/>
      </c>
      <c r="G19" s="28" t="str">
        <f>IF(WithPerformance!G19="","",WithPerformance!G19)</f>
        <v/>
      </c>
      <c r="H19" s="28" t="str">
        <f>IF(WithPerformance!H19="","",WithPerformance!H19)</f>
        <v/>
      </c>
      <c r="I19" s="28" t="str">
        <f>IF(WithPerformance!I19="","",WithPerformance!I19)</f>
        <v/>
      </c>
      <c r="J19" s="40">
        <f>IF(WithPerformance!J19="","",WithPerformance!J19)</f>
        <v>0</v>
      </c>
    </row>
    <row r="20" spans="1:10" s="5" customFormat="1" ht="21.95" customHeight="1">
      <c r="A20" s="25">
        <f>IF(WithPerformance!A20="","",WithPerformance!A20)</f>
        <v>41944</v>
      </c>
      <c r="B20" s="82" t="str">
        <f>IF(WithPerformance!B20="","",WithPerformance!B20)</f>
        <v/>
      </c>
      <c r="C20" s="81" t="str">
        <f>IF(WithPerformance!C20="","",WithPerformance!C20)</f>
        <v/>
      </c>
      <c r="D20" s="26" t="e">
        <f>IF(WithPerformance!D20="","",WithPerformance!D20)</f>
        <v>#DIV/0!</v>
      </c>
      <c r="E20" s="27" t="str">
        <f>IF(WithPerformance!E20="","",WithPerformance!E20)</f>
        <v/>
      </c>
      <c r="F20" s="28" t="str">
        <f>IF(WithPerformance!F20="","",WithPerformance!F20)</f>
        <v/>
      </c>
      <c r="G20" s="28" t="str">
        <f>IF(WithPerformance!G20="","",WithPerformance!G20)</f>
        <v/>
      </c>
      <c r="H20" s="28" t="str">
        <f>IF(WithPerformance!H20="","",WithPerformance!H20)</f>
        <v/>
      </c>
      <c r="I20" s="28" t="str">
        <f>IF(WithPerformance!I20="","",WithPerformance!I20)</f>
        <v/>
      </c>
      <c r="J20" s="40">
        <f>IF(WithPerformance!J20="","",WithPerformance!J20)</f>
        <v>0</v>
      </c>
    </row>
    <row r="21" spans="1:10" s="5" customFormat="1" ht="21.95" customHeight="1">
      <c r="A21" s="25">
        <f>IF(WithPerformance!A21="","",WithPerformance!A21)</f>
        <v>41974</v>
      </c>
      <c r="B21" s="82" t="str">
        <f>IF(WithPerformance!B21="","",WithPerformance!B21)</f>
        <v/>
      </c>
      <c r="C21" s="81" t="str">
        <f>IF(WithPerformance!C21="","",WithPerformance!C21)</f>
        <v/>
      </c>
      <c r="D21" s="26" t="e">
        <f>IF(WithPerformance!D21="","",WithPerformance!D21)</f>
        <v>#DIV/0!</v>
      </c>
      <c r="E21" s="27" t="str">
        <f>IF(WithPerformance!E21="","",WithPerformance!E21)</f>
        <v/>
      </c>
      <c r="F21" s="28" t="str">
        <f>IF(WithPerformance!F21="","",WithPerformance!F21)</f>
        <v/>
      </c>
      <c r="G21" s="28" t="str">
        <f>IF(WithPerformance!G21="","",WithPerformance!G21)</f>
        <v/>
      </c>
      <c r="H21" s="28" t="str">
        <f>IF(WithPerformance!H21="","",WithPerformance!H21)</f>
        <v/>
      </c>
      <c r="I21" s="28" t="str">
        <f>IF(WithPerformance!I21="","",WithPerformance!I21)</f>
        <v/>
      </c>
      <c r="J21" s="40">
        <f>IF(WithPerformance!J21="","",WithPerformance!J21)</f>
        <v>0</v>
      </c>
    </row>
    <row r="22" spans="1:10" s="5" customFormat="1" ht="21.95" customHeight="1">
      <c r="A22" s="25">
        <f>IF(WithPerformance!A22="","",WithPerformance!A22)</f>
        <v>42005</v>
      </c>
      <c r="B22" s="82" t="str">
        <f>IF(WithPerformance!B22="","",WithPerformance!B22)</f>
        <v/>
      </c>
      <c r="C22" s="81" t="str">
        <f>IF(WithPerformance!C22="","",WithPerformance!C22)</f>
        <v/>
      </c>
      <c r="D22" s="26" t="e">
        <f>IF(WithPerformance!D22="","",WithPerformance!D22)</f>
        <v>#DIV/0!</v>
      </c>
      <c r="E22" s="27" t="str">
        <f>IF(WithPerformance!E22="","",WithPerformance!E22)</f>
        <v/>
      </c>
      <c r="F22" s="28" t="str">
        <f>IF(WithPerformance!F22="","",WithPerformance!F22)</f>
        <v/>
      </c>
      <c r="G22" s="28" t="str">
        <f>IF(WithPerformance!G22="","",WithPerformance!G22)</f>
        <v/>
      </c>
      <c r="H22" s="28" t="str">
        <f>IF(WithPerformance!H22="","",WithPerformance!H22)</f>
        <v/>
      </c>
      <c r="I22" s="28" t="str">
        <f>IF(WithPerformance!I22="","",WithPerformance!I22)</f>
        <v/>
      </c>
      <c r="J22" s="40">
        <f>IF(WithPerformance!J22="","",WithPerformance!J22)</f>
        <v>0</v>
      </c>
    </row>
    <row r="23" spans="1:10" s="5" customFormat="1" ht="21.95" customHeight="1">
      <c r="A23" s="25">
        <f>IF(WithPerformance!A23="","",WithPerformance!A23)</f>
        <v>42036</v>
      </c>
      <c r="B23" s="82" t="str">
        <f>IF(WithPerformance!B23="","",WithPerformance!B23)</f>
        <v/>
      </c>
      <c r="C23" s="81" t="str">
        <f>IF(WithPerformance!C23="","",WithPerformance!C23)</f>
        <v/>
      </c>
      <c r="D23" s="26" t="e">
        <f>IF(WithPerformance!D23="","",WithPerformance!D23)</f>
        <v>#DIV/0!</v>
      </c>
      <c r="E23" s="27" t="str">
        <f>IF(WithPerformance!E23="","",WithPerformance!E23)</f>
        <v/>
      </c>
      <c r="F23" s="28" t="str">
        <f>IF(WithPerformance!F23="","",WithPerformance!F23)</f>
        <v/>
      </c>
      <c r="G23" s="28" t="str">
        <f>IF(WithPerformance!G23="","",WithPerformance!G23)</f>
        <v/>
      </c>
      <c r="H23" s="28" t="str">
        <f>IF(WithPerformance!H23="","",WithPerformance!H23)</f>
        <v/>
      </c>
      <c r="I23" s="28" t="str">
        <f>IF(WithPerformance!I23="","",WithPerformance!I23)</f>
        <v/>
      </c>
      <c r="J23" s="40">
        <f>IF(WithPerformance!J23="","",WithPerformance!J23)</f>
        <v>0</v>
      </c>
    </row>
    <row r="24" spans="1:10" s="5" customFormat="1" ht="21.95" customHeight="1">
      <c r="A24" s="25">
        <f>IF(WithPerformance!A24="","",WithPerformance!A24)</f>
        <v>42064</v>
      </c>
      <c r="B24" s="82" t="str">
        <f>IF(WithPerformance!B24="","",WithPerformance!B24)</f>
        <v/>
      </c>
      <c r="C24" s="81" t="str">
        <f>IF(WithPerformance!C24="","",WithPerformance!C24)</f>
        <v/>
      </c>
      <c r="D24" s="26" t="e">
        <f>IF(WithPerformance!D24="","",WithPerformance!D24)</f>
        <v>#DIV/0!</v>
      </c>
      <c r="E24" s="27" t="str">
        <f>IF(WithPerformance!E24="","",WithPerformance!E24)</f>
        <v/>
      </c>
      <c r="F24" s="28" t="str">
        <f>IF(WithPerformance!F24="","",WithPerformance!F24)</f>
        <v/>
      </c>
      <c r="G24" s="28" t="str">
        <f>IF(WithPerformance!G24="","",WithPerformance!G24)</f>
        <v/>
      </c>
      <c r="H24" s="28" t="str">
        <f>IF(WithPerformance!H24="","",WithPerformance!H24)</f>
        <v/>
      </c>
      <c r="I24" s="28" t="str">
        <f>IF(WithPerformance!I24="","",WithPerformance!I24)</f>
        <v/>
      </c>
      <c r="J24" s="40">
        <f>IF(WithPerformance!J24="","",WithPerformance!J24)</f>
        <v>0</v>
      </c>
    </row>
    <row r="25" spans="1:10" s="5" customFormat="1" ht="21.95" customHeight="1">
      <c r="A25" s="25">
        <f>IF(WithPerformance!A25="","",WithPerformance!A25)</f>
        <v>42095</v>
      </c>
      <c r="B25" s="82" t="str">
        <f>IF(WithPerformance!B25="","",WithPerformance!B25)</f>
        <v/>
      </c>
      <c r="C25" s="81" t="str">
        <f>IF(WithPerformance!C25="","",WithPerformance!C25)</f>
        <v/>
      </c>
      <c r="D25" s="26" t="e">
        <f>IF(WithPerformance!D25="","",WithPerformance!D25)</f>
        <v>#DIV/0!</v>
      </c>
      <c r="E25" s="27" t="str">
        <f>IF(WithPerformance!E25="","",WithPerformance!E25)</f>
        <v/>
      </c>
      <c r="F25" s="28" t="str">
        <f>IF(WithPerformance!F25="","",WithPerformance!F25)</f>
        <v/>
      </c>
      <c r="G25" s="28" t="str">
        <f>IF(WithPerformance!G25="","",WithPerformance!G25)</f>
        <v/>
      </c>
      <c r="H25" s="28" t="str">
        <f>IF(WithPerformance!H25="","",WithPerformance!H25)</f>
        <v/>
      </c>
      <c r="I25" s="28" t="str">
        <f>IF(WithPerformance!I25="","",WithPerformance!I25)</f>
        <v/>
      </c>
      <c r="J25" s="40">
        <f>IF(WithPerformance!J25="","",WithPerformance!J25)</f>
        <v>0</v>
      </c>
    </row>
    <row r="26" spans="1:10" s="5" customFormat="1" ht="21.95" customHeight="1">
      <c r="A26" s="25">
        <f>IF(WithPerformance!A26="","",WithPerformance!A26)</f>
        <v>42125</v>
      </c>
      <c r="B26" s="82" t="str">
        <f>IF(WithPerformance!B26="","",WithPerformance!B26)</f>
        <v/>
      </c>
      <c r="C26" s="81" t="str">
        <f>IF(WithPerformance!C26="","",WithPerformance!C26)</f>
        <v/>
      </c>
      <c r="D26" s="26" t="e">
        <f>IF(WithPerformance!D26="","",WithPerformance!D26)</f>
        <v>#DIV/0!</v>
      </c>
      <c r="E26" s="27" t="str">
        <f>IF(WithPerformance!E26="","",WithPerformance!E26)</f>
        <v/>
      </c>
      <c r="F26" s="28" t="str">
        <f>IF(WithPerformance!F26="","",WithPerformance!F26)</f>
        <v/>
      </c>
      <c r="G26" s="28" t="str">
        <f>IF(WithPerformance!G26="","",WithPerformance!G26)</f>
        <v/>
      </c>
      <c r="H26" s="28" t="str">
        <f>IF(WithPerformance!H26="","",WithPerformance!H26)</f>
        <v/>
      </c>
      <c r="I26" s="28" t="str">
        <f>IF(WithPerformance!I26="","",WithPerformance!I26)</f>
        <v/>
      </c>
      <c r="J26" s="40">
        <f>IF(WithPerformance!J26="","",WithPerformance!J26)</f>
        <v>0</v>
      </c>
    </row>
    <row r="27" spans="1:10" s="5" customFormat="1" ht="21.95" customHeight="1" thickBot="1">
      <c r="A27" s="30">
        <f>IF(WithPerformance!A27="","",WithPerformance!A27)</f>
        <v>42156</v>
      </c>
      <c r="B27" s="83" t="str">
        <f>IF(WithPerformance!B27="","",WithPerformance!B27)</f>
        <v/>
      </c>
      <c r="C27" s="84" t="str">
        <f>IF(WithPerformance!C27="","",WithPerformance!C27)</f>
        <v/>
      </c>
      <c r="D27" s="31" t="e">
        <f>IF(WithPerformance!D27="","",WithPerformance!D27)</f>
        <v>#DIV/0!</v>
      </c>
      <c r="E27" s="32" t="str">
        <f>IF(WithPerformance!E27="","",WithPerformance!E27)</f>
        <v/>
      </c>
      <c r="F27" s="33" t="str">
        <f>IF(WithPerformance!F27="","",WithPerformance!F27)</f>
        <v/>
      </c>
      <c r="G27" s="33" t="str">
        <f>IF(WithPerformance!G27="","",WithPerformance!G27)</f>
        <v/>
      </c>
      <c r="H27" s="33" t="str">
        <f>IF(WithPerformance!H27="","",WithPerformance!H27)</f>
        <v/>
      </c>
      <c r="I27" s="33" t="str">
        <f>IF(WithPerformance!I27="","",WithPerformance!I27)</f>
        <v/>
      </c>
      <c r="J27" s="41">
        <f>IF(WithPerformance!J27="","",WithPerformance!J27)</f>
        <v>0</v>
      </c>
    </row>
    <row r="28" spans="1:10" s="5" customFormat="1" ht="24" customHeight="1" thickBot="1">
      <c r="A28" s="20" t="str">
        <f>IF(WithPerformance!A28="","",WithPerformance!A28)</f>
        <v>Jul 14 - Jun 15</v>
      </c>
      <c r="B28" s="85">
        <f>IF(WithPerformance!B28="","",WithPerformance!B28)</f>
        <v>419984166.87</v>
      </c>
      <c r="C28" s="86">
        <f>IF(WithPerformance!C28="","",WithPerformance!C28)</f>
        <v>391808828.34000003</v>
      </c>
      <c r="D28" s="35">
        <f>IF(WithPerformance!D28="","",WithPerformance!D28)</f>
        <v>-6.7086668385575685E-2</v>
      </c>
      <c r="E28" s="42">
        <f>IF(WithPerformance!E28="","",WithPerformance!E28)</f>
        <v>5.8463768115362322</v>
      </c>
      <c r="F28" s="37">
        <f>IF(WithPerformance!F28="","",WithPerformance!F28)</f>
        <v>69</v>
      </c>
      <c r="G28" s="37">
        <f>IF(WithPerformance!G28="","",WithPerformance!G28)</f>
        <v>31</v>
      </c>
      <c r="H28" s="37">
        <f>IF(WithPerformance!H28="","",WithPerformance!H28)</f>
        <v>31</v>
      </c>
      <c r="I28" s="37">
        <f>IF(WithPerformance!I28="","",WithPerformance!I28)</f>
        <v>8</v>
      </c>
      <c r="J28" s="38">
        <f>IF(WithPerformance!J28="","",WithPerformance!J28)</f>
        <v>62</v>
      </c>
    </row>
    <row r="29" spans="1:10" s="5" customFormat="1" ht="24" customHeight="1" thickBot="1">
      <c r="A29" s="43" t="s">
        <v>0</v>
      </c>
      <c r="B29" s="85">
        <f>B15+B28</f>
        <v>2293150110.7800002</v>
      </c>
      <c r="C29" s="86">
        <f>C15+C28</f>
        <v>2104816585.0999999</v>
      </c>
      <c r="D29" s="35">
        <f>(C29-B29)/B29</f>
        <v>-8.2128738452250674E-2</v>
      </c>
      <c r="E29" s="42">
        <f>(F28*E28+F15*E15)/F29</f>
        <v>5.9394577981238532</v>
      </c>
      <c r="F29" s="37">
        <f>F15+F28</f>
        <v>436</v>
      </c>
      <c r="G29" s="37">
        <f>G15+G28</f>
        <v>206</v>
      </c>
      <c r="H29" s="37">
        <f>H15+H28</f>
        <v>175</v>
      </c>
      <c r="I29" s="37">
        <f>I15+I28</f>
        <v>56</v>
      </c>
      <c r="J29" s="38">
        <f>J15+J28</f>
        <v>381</v>
      </c>
    </row>
    <row r="30" spans="1:10" ht="21.95" customHeight="1" thickBot="1">
      <c r="A30" s="137" t="s">
        <v>85</v>
      </c>
      <c r="B30" s="138"/>
      <c r="C30" s="138"/>
      <c r="D30" s="138"/>
      <c r="E30" s="138"/>
      <c r="F30" s="138"/>
      <c r="G30" s="138"/>
      <c r="H30" s="138"/>
      <c r="I30" s="138"/>
      <c r="J30" s="139"/>
    </row>
    <row r="31" spans="1:10" ht="15" customHeight="1"/>
    <row r="56" spans="1:10" ht="16.5" customHeight="1"/>
    <row r="57" spans="1:10" ht="13.5" customHeight="1">
      <c r="A57" s="140"/>
      <c r="B57" s="140"/>
      <c r="C57" s="140"/>
      <c r="D57" s="140"/>
      <c r="E57" s="140"/>
      <c r="F57" s="140"/>
    </row>
    <row r="58" spans="1:10" ht="22.5" customHeight="1">
      <c r="A58" s="141"/>
      <c r="B58" s="141"/>
      <c r="C58" s="141"/>
      <c r="D58" s="141"/>
      <c r="E58" s="141"/>
      <c r="F58" s="141"/>
      <c r="G58" s="141"/>
      <c r="H58" s="141"/>
      <c r="I58" s="141"/>
      <c r="J58" s="141"/>
    </row>
    <row r="59" spans="1:10" ht="11.25" customHeight="1">
      <c r="A59" s="142"/>
      <c r="B59" s="142"/>
      <c r="C59" s="142"/>
      <c r="D59" s="142"/>
      <c r="E59" s="142"/>
      <c r="F59" s="142"/>
      <c r="G59" s="142"/>
      <c r="H59" s="142"/>
      <c r="I59" s="142"/>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6"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3" t="s">
        <v>93</v>
      </c>
      <c r="B1" s="144"/>
      <c r="C1" s="144"/>
      <c r="D1" s="144"/>
      <c r="E1" s="144"/>
      <c r="F1" s="144"/>
      <c r="G1" s="144"/>
      <c r="H1" s="145"/>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82</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91</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92</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6"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6" t="s">
        <v>94</v>
      </c>
      <c r="B1" s="147"/>
      <c r="C1" s="147"/>
      <c r="D1" s="147"/>
      <c r="E1" s="147"/>
      <c r="F1" s="147"/>
      <c r="G1" s="147"/>
      <c r="H1" s="147"/>
      <c r="I1" s="147"/>
      <c r="J1" s="148"/>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82</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91</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92</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7"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4" t="s">
        <v>95</v>
      </c>
      <c r="B1" s="135"/>
      <c r="C1" s="135"/>
      <c r="D1" s="135"/>
      <c r="E1" s="135"/>
      <c r="F1" s="135"/>
      <c r="G1" s="135"/>
      <c r="H1" s="135"/>
      <c r="I1" s="135"/>
      <c r="J1" s="136"/>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80</v>
      </c>
      <c r="C26" s="89">
        <v>41018</v>
      </c>
      <c r="D26" s="89">
        <v>41114</v>
      </c>
      <c r="E26" s="90">
        <v>8</v>
      </c>
      <c r="F26" s="91">
        <v>591556</v>
      </c>
      <c r="G26" s="92">
        <v>925000</v>
      </c>
      <c r="H26" s="26">
        <f>(G26-F26)/F26</f>
        <v>0.56367275456592447</v>
      </c>
      <c r="I26" s="53" t="s">
        <v>12</v>
      </c>
      <c r="J26" s="113" t="s">
        <v>81</v>
      </c>
    </row>
    <row r="27" spans="1:10" s="6" customFormat="1" ht="69" customHeight="1">
      <c r="A27" s="49">
        <v>25</v>
      </c>
      <c r="B27" s="47" t="s">
        <v>83</v>
      </c>
      <c r="C27" s="51">
        <v>41093</v>
      </c>
      <c r="D27" s="51">
        <v>41114</v>
      </c>
      <c r="E27" s="53">
        <v>2</v>
      </c>
      <c r="F27" s="82">
        <v>1515103</v>
      </c>
      <c r="G27" s="81">
        <v>2077777</v>
      </c>
      <c r="H27" s="26">
        <f>(G27-F27)/F27</f>
        <v>0.37137673148294209</v>
      </c>
      <c r="I27" s="53" t="s">
        <v>13</v>
      </c>
      <c r="J27" s="114" t="s">
        <v>84</v>
      </c>
    </row>
    <row r="28" spans="1:10" s="6" customFormat="1" ht="69" customHeight="1">
      <c r="A28" s="49" t="s">
        <v>86</v>
      </c>
      <c r="B28" s="47" t="s">
        <v>87</v>
      </c>
      <c r="C28" s="51">
        <v>41116</v>
      </c>
      <c r="D28" s="51">
        <v>41142</v>
      </c>
      <c r="E28" s="53">
        <v>7</v>
      </c>
      <c r="F28" s="82">
        <v>642790</v>
      </c>
      <c r="G28" s="81">
        <v>444242</v>
      </c>
      <c r="H28" s="26">
        <f>(G28-F28)/F28</f>
        <v>-0.30888470573593241</v>
      </c>
      <c r="I28" s="53" t="s">
        <v>13</v>
      </c>
      <c r="J28" s="114" t="s">
        <v>88</v>
      </c>
    </row>
    <row r="29" spans="1:10" s="6" customFormat="1" ht="81" customHeight="1">
      <c r="A29" s="49">
        <v>27</v>
      </c>
      <c r="B29" s="47" t="s">
        <v>89</v>
      </c>
      <c r="C29" s="51">
        <v>41129</v>
      </c>
      <c r="D29" s="51">
        <v>41166</v>
      </c>
      <c r="E29" s="53">
        <v>5</v>
      </c>
      <c r="F29" s="82">
        <v>25087733.699999999</v>
      </c>
      <c r="G29" s="82">
        <v>29988888</v>
      </c>
      <c r="H29" s="26">
        <f>(G29-F29)/F29</f>
        <v>0.19536058372622159</v>
      </c>
      <c r="I29" s="53" t="s">
        <v>14</v>
      </c>
      <c r="J29" s="114" t="s">
        <v>90</v>
      </c>
    </row>
    <row r="30" spans="1:10" s="6" customFormat="1" ht="81" customHeight="1">
      <c r="A30" s="103">
        <v>28</v>
      </c>
      <c r="B30" s="98" t="s">
        <v>96</v>
      </c>
      <c r="C30" s="93">
        <v>41221</v>
      </c>
      <c r="D30" s="93">
        <v>41262</v>
      </c>
      <c r="E30" s="104"/>
      <c r="F30" s="95"/>
      <c r="G30" s="82"/>
      <c r="H30" s="26"/>
      <c r="I30" s="53"/>
      <c r="J30" s="109" t="s">
        <v>97</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41"/>
      <c r="B35" s="141"/>
      <c r="C35" s="141"/>
      <c r="D35" s="141"/>
      <c r="E35" s="141"/>
      <c r="F35" s="141"/>
      <c r="G35" s="141"/>
      <c r="H35" s="141"/>
      <c r="I35" s="141"/>
      <c r="J35" s="141"/>
    </row>
    <row r="36" spans="1:10" ht="11.25" customHeight="1">
      <c r="A36" s="142"/>
      <c r="B36" s="142"/>
      <c r="C36" s="142"/>
      <c r="D36" s="142"/>
      <c r="E36" s="142"/>
      <c r="F36" s="142"/>
      <c r="G36" s="142"/>
      <c r="H36" s="142"/>
      <c r="I36" s="142"/>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2014-10-08T19:29:11Z</cp:lastPrinted>
  <dcterms:created xsi:type="dcterms:W3CDTF">2006-09-01T17:28:45Z</dcterms:created>
  <dcterms:modified xsi:type="dcterms:W3CDTF">2014-10-14T22:21:46Z</dcterms:modified>
</cp:coreProperties>
</file>