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8810" windowHeight="6555"/>
  </bookViews>
  <sheets>
    <sheet name="CPI-based on Jun14" sheetId="1" r:id="rId1"/>
    <sheet name="CPI-Jun2014" sheetId="2" r:id="rId2"/>
  </sheets>
  <definedNames>
    <definedName name="_Regression_Int" localSheetId="0" hidden="1">1</definedName>
    <definedName name="Print_Area_MI">'CPI-based on Jun14'!$A$3:$K$45</definedName>
    <definedName name="_xlnm.Print_Titles" localSheetId="1">'CPI-Jun2014'!$1:$1</definedName>
    <definedName name="TitleRegion1.a1.g261.2">'CPI-Jun2014'!$G$261</definedName>
    <definedName name="TitleRegion1.a3.r47.1">'CPI-based on Jun14'!$R$47</definedName>
  </definedNames>
  <calcPr calcId="145621"/>
</workbook>
</file>

<file path=xl/calcChain.xml><?xml version="1.0" encoding="utf-8"?>
<calcChain xmlns="http://schemas.openxmlformats.org/spreadsheetml/2006/main">
  <c r="R34" i="1" l="1"/>
  <c r="F3" i="2" l="1"/>
  <c r="G3" i="2"/>
  <c r="N43" i="1" l="1"/>
  <c r="G43" i="1"/>
  <c r="F43" i="1"/>
  <c r="E43" i="1"/>
  <c r="D43" i="1"/>
  <c r="N31" i="1"/>
  <c r="H207" i="2"/>
  <c r="F33" i="1" l="1"/>
  <c r="G33" i="1"/>
  <c r="R35" i="1" l="1"/>
  <c r="G41" i="1"/>
  <c r="F41" i="1"/>
  <c r="E41" i="1"/>
  <c r="D41" i="1"/>
  <c r="G40" i="1"/>
  <c r="F40" i="1"/>
  <c r="E40" i="1"/>
  <c r="D40" i="1"/>
  <c r="G261" i="2"/>
  <c r="F261" i="2"/>
  <c r="E261" i="2"/>
  <c r="G260" i="2"/>
  <c r="F260" i="2"/>
  <c r="E260" i="2"/>
  <c r="G259" i="2"/>
  <c r="F259" i="2"/>
  <c r="E259" i="2"/>
  <c r="G258" i="2"/>
  <c r="F258" i="2"/>
  <c r="E258" i="2"/>
  <c r="G257" i="2"/>
  <c r="F257" i="2"/>
  <c r="E257" i="2"/>
  <c r="G256" i="2"/>
  <c r="F256" i="2"/>
  <c r="E256" i="2"/>
  <c r="G255" i="2"/>
  <c r="F255" i="2"/>
  <c r="E255" i="2"/>
  <c r="G254" i="2"/>
  <c r="F254" i="2"/>
  <c r="E254" i="2"/>
  <c r="G216" i="2"/>
  <c r="O28" i="1"/>
  <c r="G39" i="1"/>
  <c r="F39" i="1"/>
  <c r="E39" i="1"/>
  <c r="D39" i="1"/>
  <c r="G253" i="2"/>
  <c r="F253" i="2"/>
  <c r="E253" i="2"/>
  <c r="G252" i="2"/>
  <c r="F252" i="2"/>
  <c r="E252" i="2"/>
  <c r="G251" i="2"/>
  <c r="F251" i="2"/>
  <c r="E251" i="2"/>
  <c r="G250" i="2"/>
  <c r="F250" i="2"/>
  <c r="E250" i="2"/>
  <c r="F249" i="2"/>
  <c r="E249" i="2"/>
  <c r="R25" i="1"/>
  <c r="N30" i="1"/>
  <c r="N29" i="1"/>
  <c r="G189" i="2"/>
  <c r="F189" i="2"/>
  <c r="G249" i="2"/>
  <c r="F232" i="2"/>
  <c r="G231" i="2"/>
  <c r="O26" i="1"/>
  <c r="G38" i="1"/>
  <c r="F38" i="1"/>
  <c r="E38" i="1"/>
  <c r="D38" i="1"/>
  <c r="E248" i="2"/>
  <c r="E247" i="2"/>
  <c r="E246" i="2"/>
  <c r="F246" i="2"/>
  <c r="F247" i="2"/>
  <c r="F248" i="2"/>
  <c r="G248" i="2"/>
  <c r="G247" i="2"/>
  <c r="G246" i="2"/>
  <c r="G245" i="2"/>
  <c r="F213" i="2"/>
  <c r="G213" i="2"/>
  <c r="F206" i="2"/>
  <c r="E3" i="2"/>
  <c r="R24" i="1"/>
  <c r="O24" i="1"/>
  <c r="G37" i="1"/>
  <c r="F37" i="1"/>
  <c r="E37" i="1"/>
  <c r="D37" i="1"/>
  <c r="F36" i="1"/>
  <c r="G36" i="1"/>
  <c r="F20" i="1"/>
  <c r="G20" i="1"/>
  <c r="D21" i="1"/>
  <c r="E21" i="1"/>
  <c r="F35" i="1"/>
  <c r="G35" i="1"/>
  <c r="D36" i="1"/>
  <c r="E36" i="1"/>
  <c r="F245" i="2"/>
  <c r="E245" i="2"/>
  <c r="G244" i="2"/>
  <c r="F244" i="2"/>
  <c r="E244" i="2"/>
  <c r="G243" i="2"/>
  <c r="F243" i="2"/>
  <c r="E243" i="2"/>
  <c r="G242" i="2"/>
  <c r="F242" i="2"/>
  <c r="E242" i="2"/>
  <c r="F11" i="2"/>
  <c r="G11" i="2"/>
  <c r="G203" i="2"/>
  <c r="F203" i="2"/>
  <c r="H199" i="2"/>
  <c r="H203" i="2"/>
  <c r="I199" i="2"/>
  <c r="I203" i="2"/>
  <c r="F4" i="2"/>
  <c r="F5" i="2"/>
  <c r="F6" i="2"/>
  <c r="F7" i="2"/>
  <c r="F8" i="2"/>
  <c r="F9" i="2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4" i="2"/>
  <c r="F205" i="2"/>
  <c r="F207" i="2"/>
  <c r="F208" i="2"/>
  <c r="F209" i="2"/>
  <c r="F210" i="2"/>
  <c r="F211" i="2"/>
  <c r="F212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3" i="2"/>
  <c r="F234" i="2"/>
  <c r="F235" i="2"/>
  <c r="F236" i="2"/>
  <c r="F237" i="2"/>
  <c r="F238" i="2"/>
  <c r="F239" i="2"/>
  <c r="F240" i="2"/>
  <c r="F241" i="2"/>
  <c r="G201" i="2"/>
  <c r="I211" i="2"/>
  <c r="I207" i="2"/>
  <c r="H211" i="2"/>
  <c r="G4" i="2"/>
  <c r="G5" i="2"/>
  <c r="G6" i="2"/>
  <c r="G7" i="2"/>
  <c r="G8" i="2"/>
  <c r="G9" i="2"/>
  <c r="G10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90" i="2"/>
  <c r="G191" i="2"/>
  <c r="G192" i="2"/>
  <c r="G193" i="2"/>
  <c r="G194" i="2"/>
  <c r="G195" i="2"/>
  <c r="G196" i="2"/>
  <c r="G197" i="2"/>
  <c r="G198" i="2"/>
  <c r="G199" i="2"/>
  <c r="G200" i="2"/>
  <c r="G202" i="2"/>
  <c r="G204" i="2"/>
  <c r="G205" i="2"/>
  <c r="G206" i="2"/>
  <c r="G207" i="2"/>
  <c r="G208" i="2"/>
  <c r="G209" i="2"/>
  <c r="G210" i="2"/>
  <c r="G211" i="2"/>
  <c r="G212" i="2"/>
  <c r="G214" i="2"/>
  <c r="G215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2" i="2"/>
  <c r="G233" i="2"/>
  <c r="G234" i="2"/>
  <c r="G235" i="2"/>
  <c r="G236" i="2"/>
  <c r="G237" i="2"/>
  <c r="G238" i="2"/>
  <c r="G239" i="2"/>
  <c r="G240" i="2"/>
  <c r="G241" i="2"/>
  <c r="F24" i="1"/>
  <c r="G24" i="1"/>
  <c r="D25" i="1"/>
  <c r="E25" i="1"/>
  <c r="E241" i="2"/>
  <c r="E240" i="2"/>
  <c r="E239" i="2"/>
  <c r="E238" i="2"/>
  <c r="F34" i="1"/>
  <c r="G34" i="1"/>
  <c r="D35" i="1"/>
  <c r="E35" i="1"/>
  <c r="F21" i="1"/>
  <c r="G21" i="1"/>
  <c r="D22" i="1"/>
  <c r="E22" i="1"/>
  <c r="F22" i="1"/>
  <c r="G22" i="1"/>
  <c r="D23" i="1"/>
  <c r="E23" i="1"/>
  <c r="F23" i="1"/>
  <c r="G23" i="1"/>
  <c r="D24" i="1"/>
  <c r="E24" i="1"/>
  <c r="F25" i="1"/>
  <c r="G25" i="1"/>
  <c r="D26" i="1"/>
  <c r="E26" i="1"/>
  <c r="F26" i="1"/>
  <c r="G26" i="1"/>
  <c r="D27" i="1"/>
  <c r="E27" i="1"/>
  <c r="F27" i="1"/>
  <c r="G27" i="1"/>
  <c r="D28" i="1"/>
  <c r="E28" i="1"/>
  <c r="F28" i="1"/>
  <c r="G28" i="1"/>
  <c r="D29" i="1"/>
  <c r="E29" i="1"/>
  <c r="F29" i="1"/>
  <c r="G29" i="1"/>
  <c r="D30" i="1"/>
  <c r="E30" i="1"/>
  <c r="F30" i="1"/>
  <c r="G30" i="1"/>
  <c r="D31" i="1"/>
  <c r="E31" i="1"/>
  <c r="F31" i="1"/>
  <c r="G31" i="1"/>
  <c r="D33" i="1"/>
  <c r="E33" i="1"/>
  <c r="D34" i="1"/>
  <c r="E34" i="1"/>
  <c r="E237" i="2"/>
  <c r="E236" i="2"/>
  <c r="E235" i="2"/>
  <c r="E234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R22" i="1"/>
  <c r="R23" i="1"/>
  <c r="N28" i="1"/>
  <c r="N27" i="1"/>
  <c r="N26" i="1"/>
  <c r="N25" i="1"/>
  <c r="O25" i="1"/>
  <c r="E20" i="1"/>
  <c r="D20" i="1"/>
  <c r="C26" i="1"/>
  <c r="C27" i="1" s="1"/>
  <c r="C28" i="1" s="1"/>
  <c r="C29" i="1" s="1"/>
  <c r="C30" i="1" s="1"/>
  <c r="N23" i="1"/>
  <c r="O23" i="1"/>
  <c r="N24" i="1"/>
  <c r="N22" i="1"/>
  <c r="O22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O27" i="1"/>
  <c r="O29" i="1"/>
  <c r="R31" i="1" l="1"/>
  <c r="R30" i="1"/>
  <c r="R43" i="1"/>
  <c r="P22" i="1"/>
  <c r="Q22" i="1" s="1"/>
  <c r="P25" i="1"/>
  <c r="Q25" i="1" s="1"/>
  <c r="P24" i="1"/>
  <c r="Q24" i="1" s="1"/>
  <c r="R26" i="1"/>
  <c r="R27" i="1" s="1"/>
  <c r="R28" i="1" s="1"/>
  <c r="H34" i="1"/>
  <c r="H43" i="1"/>
  <c r="H33" i="1"/>
  <c r="H29" i="1"/>
  <c r="R36" i="1"/>
  <c r="R37" i="1" s="1"/>
  <c r="R38" i="1" s="1"/>
  <c r="R39" i="1" s="1"/>
  <c r="R40" i="1" s="1"/>
  <c r="R41" i="1" s="1"/>
  <c r="H39" i="1"/>
  <c r="H31" i="1"/>
  <c r="P27" i="1"/>
  <c r="Q27" i="1" s="1"/>
  <c r="H24" i="1"/>
  <c r="P23" i="1"/>
  <c r="Q23" i="1" s="1"/>
  <c r="P28" i="1"/>
  <c r="Q28" i="1" s="1"/>
  <c r="H38" i="1"/>
  <c r="H27" i="1"/>
  <c r="H35" i="1"/>
  <c r="H25" i="1"/>
  <c r="H30" i="1"/>
  <c r="I30" i="1" s="1"/>
  <c r="L30" i="1" s="1"/>
  <c r="H28" i="1"/>
  <c r="H26" i="1"/>
  <c r="H23" i="1"/>
  <c r="H22" i="1"/>
  <c r="H36" i="1"/>
  <c r="H21" i="1"/>
  <c r="H37" i="1"/>
  <c r="H41" i="1"/>
  <c r="P29" i="1"/>
  <c r="Q29" i="1" s="1"/>
  <c r="R29" i="1"/>
  <c r="H20" i="1"/>
  <c r="P26" i="1"/>
  <c r="Q26" i="1" s="1"/>
  <c r="H40" i="1"/>
  <c r="I39" i="1" l="1"/>
  <c r="L39" i="1" s="1"/>
  <c r="M40" i="1"/>
  <c r="O40" i="1" s="1"/>
  <c r="P40" i="1" s="1"/>
  <c r="Q40" i="1" s="1"/>
  <c r="I24" i="1"/>
  <c r="I43" i="1"/>
  <c r="L43" i="1" s="1"/>
  <c r="I29" i="1"/>
  <c r="I27" i="1"/>
  <c r="I35" i="1"/>
  <c r="L35" i="1" s="1"/>
  <c r="I33" i="1"/>
  <c r="L33" i="1" s="1"/>
  <c r="M43" i="1"/>
  <c r="O43" i="1" s="1"/>
  <c r="P43" i="1" s="1"/>
  <c r="Q43" i="1" s="1"/>
  <c r="J43" i="1"/>
  <c r="M31" i="1"/>
  <c r="O31" i="1" s="1"/>
  <c r="P31" i="1" s="1"/>
  <c r="Q31" i="1" s="1"/>
  <c r="J33" i="1"/>
  <c r="J31" i="1"/>
  <c r="J34" i="1"/>
  <c r="M33" i="1"/>
  <c r="O33" i="1" s="1"/>
  <c r="P33" i="1" s="1"/>
  <c r="Q33" i="1" s="1"/>
  <c r="M34" i="1"/>
  <c r="O34" i="1" s="1"/>
  <c r="P34" i="1" s="1"/>
  <c r="Q34" i="1" s="1"/>
  <c r="I38" i="1"/>
  <c r="L38" i="1" s="1"/>
  <c r="I40" i="1"/>
  <c r="L40" i="1" s="1"/>
  <c r="I37" i="1"/>
  <c r="L37" i="1" s="1"/>
  <c r="I23" i="1"/>
  <c r="J37" i="1"/>
  <c r="I31" i="1"/>
  <c r="L31" i="1" s="1"/>
  <c r="J41" i="1"/>
  <c r="I28" i="1"/>
  <c r="I25" i="1"/>
  <c r="J23" i="1"/>
  <c r="J36" i="1"/>
  <c r="J28" i="1"/>
  <c r="I41" i="1"/>
  <c r="L41" i="1" s="1"/>
  <c r="J22" i="1"/>
  <c r="J24" i="1"/>
  <c r="I22" i="1"/>
  <c r="J30" i="1"/>
  <c r="I26" i="1"/>
  <c r="M39" i="1"/>
  <c r="O39" i="1" s="1"/>
  <c r="P39" i="1" s="1"/>
  <c r="Q39" i="1" s="1"/>
  <c r="J40" i="1"/>
  <c r="J35" i="1"/>
  <c r="J25" i="1"/>
  <c r="M36" i="1"/>
  <c r="J26" i="1"/>
  <c r="M38" i="1"/>
  <c r="O38" i="1" s="1"/>
  <c r="P38" i="1" s="1"/>
  <c r="Q38" i="1" s="1"/>
  <c r="J27" i="1"/>
  <c r="M35" i="1"/>
  <c r="J39" i="1"/>
  <c r="M30" i="1"/>
  <c r="M41" i="1"/>
  <c r="O41" i="1" s="1"/>
  <c r="P41" i="1" s="1"/>
  <c r="Q41" i="1" s="1"/>
  <c r="I21" i="1"/>
  <c r="M37" i="1"/>
  <c r="O37" i="1" s="1"/>
  <c r="P37" i="1" s="1"/>
  <c r="Q37" i="1" s="1"/>
  <c r="I36" i="1"/>
  <c r="L36" i="1" s="1"/>
  <c r="J29" i="1"/>
  <c r="I34" i="1"/>
  <c r="L34" i="1" s="1"/>
  <c r="J38" i="1"/>
  <c r="O35" i="1" l="1"/>
  <c r="P35" i="1" s="1"/>
  <c r="Q35" i="1" s="1"/>
  <c r="O36" i="1"/>
  <c r="P36" i="1" s="1"/>
  <c r="Q36" i="1" s="1"/>
  <c r="O30" i="1"/>
  <c r="P30" i="1" s="1"/>
  <c r="Q30" i="1" s="1"/>
</calcChain>
</file>

<file path=xl/sharedStrings.xml><?xml version="1.0" encoding="utf-8"?>
<sst xmlns="http://schemas.openxmlformats.org/spreadsheetml/2006/main" count="1030" uniqueCount="324">
  <si>
    <t>CALENDAR</t>
  </si>
  <si>
    <t>FISCAL</t>
  </si>
  <si>
    <t>RATE OF</t>
  </si>
  <si>
    <t>CUMMULATIVE</t>
  </si>
  <si>
    <t>QUARTER</t>
  </si>
  <si>
    <t>YEAR</t>
  </si>
  <si>
    <t>INCREASE</t>
  </si>
  <si>
    <t>1</t>
  </si>
  <si>
    <t>2</t>
  </si>
  <si>
    <t>3</t>
  </si>
  <si>
    <t>4</t>
  </si>
  <si>
    <t>AVERAGE</t>
  </si>
  <si>
    <t>CPI - Urban Consumers</t>
  </si>
  <si>
    <t>(CY % / BASE YR %)</t>
  </si>
  <si>
    <t>Ratio</t>
  </si>
  <si>
    <t xml:space="preserve">Projected </t>
  </si>
  <si>
    <t>Inflation</t>
  </si>
  <si>
    <t>Std. Cap</t>
  </si>
  <si>
    <t>Projected</t>
  </si>
  <si>
    <t>Increase</t>
  </si>
  <si>
    <t>over</t>
  </si>
  <si>
    <t>Alt. Cap*</t>
  </si>
  <si>
    <t>Annual</t>
  </si>
  <si>
    <t>Fiscal</t>
  </si>
  <si>
    <t>Year</t>
  </si>
  <si>
    <t>Source of CPI Data: DOF- John Peloquin</t>
  </si>
  <si>
    <t>Formula</t>
  </si>
  <si>
    <t>Allow Based</t>
  </si>
  <si>
    <t>Based</t>
  </si>
  <si>
    <t>A</t>
  </si>
  <si>
    <t>B</t>
  </si>
  <si>
    <t>C</t>
  </si>
  <si>
    <t>D</t>
  </si>
  <si>
    <t>E</t>
  </si>
  <si>
    <t>F</t>
  </si>
  <si>
    <t>G</t>
  </si>
  <si>
    <t>Gtr of C or D</t>
  </si>
  <si>
    <t>obs</t>
  </si>
  <si>
    <t>Calendar</t>
  </si>
  <si>
    <t>1st</t>
  </si>
  <si>
    <t>2nd</t>
  </si>
  <si>
    <t>3rd</t>
  </si>
  <si>
    <t>4th</t>
  </si>
  <si>
    <t>previous</t>
  </si>
  <si>
    <t>diff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</si>
  <si>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</si>
  <si>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</si>
  <si>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</si>
  <si>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</si>
  <si>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</si>
  <si>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</si>
  <si>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</si>
  <si>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</si>
  <si>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</si>
  <si>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</si>
  <si>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</si>
  <si>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</si>
  <si>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</si>
  <si>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</si>
  <si>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</si>
  <si>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</si>
  <si>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</si>
  <si>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</si>
  <si>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</si>
  <si>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</si>
  <si>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</si>
  <si>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</si>
  <si>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</si>
  <si>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</si>
  <si>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</si>
  <si>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</si>
  <si>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</si>
  <si>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</si>
  <si>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</si>
  <si>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</si>
  <si>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</si>
  <si>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</si>
  <si>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</si>
  <si>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</si>
  <si>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</si>
  <si>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</si>
  <si>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</si>
  <si>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</si>
  <si>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</si>
  <si>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</si>
  <si>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</si>
  <si>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</si>
  <si>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</si>
  <si>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</si>
  <si>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</si>
  <si>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</si>
  <si>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</si>
  <si>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</si>
  <si>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</si>
  <si>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</si>
  <si>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</si>
  <si>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</si>
  <si>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</si>
  <si>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</si>
  <si>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</si>
  <si>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</si>
  <si>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</si>
  <si>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</si>
  <si>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</si>
  <si>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</si>
  <si>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</si>
  <si>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</si>
  <si>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</si>
  <si>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</si>
  <si>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</si>
  <si>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</si>
  <si>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</si>
  <si>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</si>
  <si>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</si>
  <si>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</si>
  <si>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</si>
  <si>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</si>
  <si>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</si>
  <si>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</si>
  <si>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</si>
  <si>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</si>
  <si>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</si>
  <si>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</si>
  <si>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</si>
  <si>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</si>
  <si>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</si>
  <si>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</si>
  <si>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</si>
  <si>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</si>
  <si>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</si>
  <si>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</si>
  <si>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</si>
  <si>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</si>
  <si>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</si>
  <si>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</si>
  <si>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</si>
  <si>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</si>
  <si>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</si>
  <si>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</si>
  <si>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</si>
  <si>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</si>
  <si>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</si>
  <si>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</si>
  <si>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</si>
  <si>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</si>
  <si>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</si>
  <si>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</si>
  <si>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</si>
  <si>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</si>
  <si>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</si>
  <si>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</si>
  <si>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</si>
  <si>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</si>
  <si>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</si>
  <si>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</si>
  <si>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</si>
  <si>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</si>
  <si>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</si>
  <si>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</si>
  <si>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</si>
  <si>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</si>
  <si>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</si>
  <si>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</si>
  <si>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</si>
  <si>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</si>
  <si>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</si>
  <si>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</si>
  <si>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</si>
  <si>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</si>
  <si>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</si>
  <si>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</si>
  <si>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</si>
  <si>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</si>
  <si>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</si>
  <si>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</si>
  <si>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</si>
  <si>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</si>
  <si>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</si>
  <si>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</si>
  <si>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</si>
  <si>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</si>
  <si>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</si>
  <si>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</si>
  <si>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</si>
  <si>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</si>
  <si>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</si>
  <si>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</si>
  <si>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</si>
  <si>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</si>
  <si>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</si>
  <si>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</si>
  <si>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</si>
  <si>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</si>
  <si>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</si>
  <si>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</si>
  <si>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</si>
  <si>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</si>
  <si>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</si>
  <si>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</si>
  <si>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</si>
  <si>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</si>
  <si>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</si>
  <si>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</si>
  <si>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</si>
  <si>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</si>
  <si>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</si>
  <si>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</si>
  <si>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</si>
  <si>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</si>
  <si>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</si>
  <si>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</si>
  <si>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</si>
  <si>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</si>
  <si>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</si>
  <si>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</si>
  <si>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</si>
  <si>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</si>
  <si>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</si>
  <si>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</si>
  <si>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</si>
  <si>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</si>
  <si>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</si>
  <si>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</si>
  <si>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</si>
  <si>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</si>
  <si>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</si>
  <si>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</si>
  <si>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</si>
  <si>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</si>
  <si>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</si>
  <si>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</si>
  <si>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</si>
  <si>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</si>
  <si>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</si>
  <si>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</si>
  <si>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</si>
  <si>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</si>
  <si>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</si>
  <si>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</si>
  <si>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</si>
  <si>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</si>
  <si>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</si>
  <si>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</si>
  <si>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</si>
  <si>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</si>
  <si>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</si>
  <si>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</si>
  <si>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</si>
  <si>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</si>
  <si>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</si>
  <si>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</si>
  <si>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</si>
  <si>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</si>
  <si>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</si>
  <si>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</si>
  <si>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</si>
  <si>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</si>
  <si>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</si>
  <si>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</si>
  <si>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</si>
  <si>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</si>
  <si>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</si>
  <si>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</si>
  <si>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</si>
  <si>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</si>
  <si>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</si>
  <si>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</si>
  <si>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</si>
  <si>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</si>
  <si>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</si>
  <si>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</si>
  <si>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</si>
  <si>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</si>
  <si>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</si>
  <si>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</si>
  <si>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</si>
  <si>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</si>
  <si>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</si>
  <si>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</si>
  <si>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</si>
  <si>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</si>
  <si>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</si>
  <si>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</si>
  <si>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</si>
  <si>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</si>
  <si>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df-current</t>
  </si>
  <si>
    <t>df-previous</t>
  </si>
  <si>
    <t>2019Q1</t>
  </si>
  <si>
    <t>2019Q2</t>
  </si>
  <si>
    <t>2019Q3</t>
  </si>
  <si>
    <t>2019Q4</t>
  </si>
  <si>
    <t>Notes:</t>
  </si>
  <si>
    <t>2020Q1</t>
  </si>
  <si>
    <t>2020Q2</t>
  </si>
  <si>
    <t>2020Q3</t>
  </si>
  <si>
    <t>2020Q4</t>
  </si>
  <si>
    <t>e</t>
  </si>
  <si>
    <t>Revised Referendum Cap Inflation Estimates</t>
  </si>
  <si>
    <t>CPI</t>
  </si>
  <si>
    <t>2021Q1</t>
  </si>
  <si>
    <t>2021Q2</t>
  </si>
  <si>
    <t>2021Q3</t>
  </si>
  <si>
    <t>2021Q4</t>
  </si>
  <si>
    <t>FY 2005 - FY 2023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</si>
  <si>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</si>
  <si>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</si>
  <si>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</si>
  <si>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</si>
  <si>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</si>
  <si>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</si>
  <si>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</si>
  <si>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</si>
  <si>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 xml:space="preserve">na </t>
  </si>
  <si>
    <t>FY 2004 or</t>
  </si>
  <si>
    <t>FY 2015</t>
  </si>
  <si>
    <t>Old Law Formula Calculation for FY 2015</t>
  </si>
  <si>
    <t>New Law Formula for FY 2015 and Out</t>
  </si>
  <si>
    <t>2.  FY015 Old Law Calculation reverts back to the FY 2013 formula allowance of $5,224.</t>
  </si>
  <si>
    <t>1.  FY 2014 formula allowance uses new law value of $5,302.</t>
  </si>
  <si>
    <t>3.  Finalized calculation through FY 2012 based on actual Bureau of Labor Statistics data.</t>
  </si>
  <si>
    <t>June 2014 Update</t>
  </si>
  <si>
    <t>Date: June 30, 2014</t>
  </si>
  <si>
    <t>n/a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</si>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</sst>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\(#,##0.0000\)"/>
    <numFmt numFmtId="165" formatCode="0.0%"/>
    <numFmt numFmtId="166" formatCode="0.0000_)"/>
    <numFmt numFmtId="167" formatCode="0.0000%"/>
    <numFmt numFmtId="168" formatCode="0.00000000000000%"/>
    <numFmt numFmtId="169" formatCode="_(* #,##0.0000_);_(* \(#,##0.0000\);_(* &quot;-&quot;??_);_(@_)"/>
    <numFmt numFmtId="170" formatCode="0.0000"/>
    <numFmt numFmtId="171" formatCode="0.0000_);[Red]\(0.0000\)"/>
  </numFmts>
  <fonts count="12" x14ac:knownFonts="1">
    <font>
      <sz val="8"/>
      <name val="Times New Roman"/>
    </font>
    <font>
      <sz val="8"/>
      <name val="Courier"/>
      <family val="3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8" fillId="0" borderId="1" applyNumberFormat="0" applyFill="0" applyAlignment="0" applyProtection="0"/>
    <xf numFmtId="0" fontId="9" fillId="0" borderId="2" applyNumberFormat="0" applyFill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3" applyFont="1"/>
    <xf numFmtId="46" fontId="5" fillId="0" borderId="0" xfId="0" applyNumberFormat="1" applyFont="1"/>
    <xf numFmtId="0" fontId="5" fillId="0" borderId="0" xfId="0" applyFont="1"/>
    <xf numFmtId="170" fontId="4" fillId="0" borderId="0" xfId="3" applyNumberFormat="1" applyFont="1"/>
    <xf numFmtId="0" fontId="4" fillId="0" borderId="0" xfId="3" applyFont="1" applyAlignment="1">
      <alignment horizontal="right"/>
    </xf>
    <xf numFmtId="46" fontId="5" fillId="0" borderId="0" xfId="0" applyNumberFormat="1" applyFont="1" applyAlignment="1">
      <alignment horizontal="right"/>
    </xf>
    <xf numFmtId="171" fontId="4" fillId="0" borderId="0" xfId="3" applyNumberFormat="1" applyFont="1"/>
    <xf numFmtId="0" fontId="4" fillId="0" borderId="0" xfId="0" applyFont="1"/>
    <xf numFmtId="0" fontId="2" fillId="0" borderId="0" xfId="0" applyFont="1" applyAlignment="1" applyProtection="1">
      <alignment horizontal="left"/>
    </xf>
    <xf numFmtId="0" fontId="2" fillId="0" borderId="0" xfId="0" applyFont="1"/>
    <xf numFmtId="0" fontId="2" fillId="0" borderId="0" xfId="0" applyFont="1" applyAlignment="1" applyProtection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 applyProtection="1">
      <alignment horizontal="left"/>
    </xf>
    <xf numFmtId="0" fontId="2" fillId="0" borderId="0" xfId="0" applyFont="1" applyAlignment="1" applyProtection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Protection="1"/>
    <xf numFmtId="164" fontId="2" fillId="0" borderId="0" xfId="0" applyNumberFormat="1" applyFont="1" applyProtection="1"/>
    <xf numFmtId="167" fontId="2" fillId="0" borderId="0" xfId="0" applyNumberFormat="1" applyFont="1" applyProtection="1"/>
    <xf numFmtId="10" fontId="2" fillId="0" borderId="0" xfId="0" applyNumberFormat="1" applyFont="1"/>
    <xf numFmtId="169" fontId="2" fillId="0" borderId="0" xfId="1" applyNumberFormat="1" applyFont="1"/>
    <xf numFmtId="44" fontId="2" fillId="0" borderId="0" xfId="2" applyFont="1"/>
    <xf numFmtId="169" fontId="2" fillId="0" borderId="0" xfId="0" applyNumberFormat="1" applyFont="1"/>
    <xf numFmtId="168" fontId="2" fillId="0" borderId="0" xfId="0" applyNumberFormat="1" applyFont="1"/>
    <xf numFmtId="44" fontId="2" fillId="0" borderId="0" xfId="2" applyFont="1" applyAlignment="1">
      <alignment horizontal="right"/>
    </xf>
    <xf numFmtId="166" fontId="2" fillId="0" borderId="0" xfId="0" applyNumberFormat="1" applyFont="1" applyProtection="1"/>
    <xf numFmtId="165" fontId="2" fillId="0" borderId="0" xfId="0" applyNumberFormat="1" applyFont="1" applyProtection="1"/>
    <xf numFmtId="166" fontId="4" fillId="0" borderId="0" xfId="0" applyNumberFormat="1" applyFont="1" applyProtection="1"/>
    <xf numFmtId="165" fontId="4" fillId="0" borderId="0" xfId="0" applyNumberFormat="1" applyFont="1" applyProtection="1"/>
    <xf numFmtId="0" fontId="6" fillId="0" borderId="0" xfId="0" applyFont="1" applyAlignment="1">
      <alignment horizontal="centerContinuous"/>
    </xf>
    <xf numFmtId="0" fontId="2" fillId="0" borderId="0" xfId="0" applyFont="1" applyFill="1" applyAlignment="1" applyProtection="1">
      <alignment horizontal="left"/>
    </xf>
    <xf numFmtId="0" fontId="2" fillId="0" borderId="0" xfId="0" applyFont="1" applyFill="1" applyAlignment="1">
      <alignment horizontal="right"/>
    </xf>
    <xf numFmtId="0" fontId="4" fillId="0" borderId="0" xfId="0" applyFont="1" applyFill="1"/>
    <xf numFmtId="164" fontId="2" fillId="0" borderId="0" xfId="0" applyNumberFormat="1" applyFont="1" applyFill="1" applyProtection="1"/>
    <xf numFmtId="167" fontId="2" fillId="0" borderId="0" xfId="0" applyNumberFormat="1" applyFont="1" applyFill="1" applyProtection="1"/>
    <xf numFmtId="168" fontId="2" fillId="0" borderId="0" xfId="0" applyNumberFormat="1" applyFont="1" applyFill="1"/>
    <xf numFmtId="10" fontId="2" fillId="0" borderId="0" xfId="0" applyNumberFormat="1" applyFont="1" applyFill="1"/>
    <xf numFmtId="169" fontId="2" fillId="0" borderId="0" xfId="1" applyNumberFormat="1" applyFont="1" applyFill="1"/>
    <xf numFmtId="44" fontId="2" fillId="0" borderId="0" xfId="2" applyFont="1" applyFill="1"/>
    <xf numFmtId="169" fontId="2" fillId="0" borderId="0" xfId="0" applyNumberFormat="1" applyFont="1" applyFill="1"/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4" applyBorder="1" applyAlignment="1">
      <alignment horizontal="left"/>
    </xf>
    <xf numFmtId="0" fontId="9" fillId="0" borderId="0" xfId="5" applyBorder="1" applyAlignment="1">
      <alignment horizontal="left"/>
    </xf>
    <xf numFmtId="0" fontId="10" fillId="0" borderId="0" xfId="0" applyFont="1"/>
    <xf numFmtId="0" fontId="11" fillId="0" borderId="0" xfId="3" applyFont="1"/>
  </cellXfs>
  <cellStyles count="6">
    <cellStyle name="Comma" xfId="1" builtinId="3"/>
    <cellStyle name="Currency" xfId="2" builtinId="4"/>
    <cellStyle name="Heading 1" xfId="4" builtinId="16"/>
    <cellStyle name="Heading 3" xfId="5" builtinId="18"/>
    <cellStyle name="Normal" xfId="0" builtinId="0"/>
    <cellStyle name="Normal_CPI-Oct 2005 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1">
    <pageSetUpPr fitToPage="1"/>
  </sheetPr>
  <dimension ref="A1:R56"/>
  <sheetViews>
    <sheetView tabSelected="1" workbookViewId="0"/>
  </sheetViews>
  <sheetFormatPr defaultColWidth="0" defaultRowHeight="11.25" zeroHeight="1" x14ac:dyDescent="0.2"/>
  <cols>
    <col min="1" max="1" width="13.83203125" style="9" customWidth="1"/>
    <col min="2" max="2" width="2.1640625" style="9" bestFit="1" customWidth="1"/>
    <col min="3" max="3" width="12" style="9" customWidth="1"/>
    <col min="4" max="10" width="12.83203125" style="9" hidden="1" customWidth="1"/>
    <col min="11" max="11" width="2.1640625" style="9" customWidth="1"/>
    <col min="12" max="12" width="15.1640625" style="9" customWidth="1"/>
    <col min="13" max="18" width="16.83203125" style="9" customWidth="1"/>
    <col min="19" max="16384" width="9.83203125" style="9" hidden="1"/>
  </cols>
  <sheetData>
    <row r="1" spans="1:18" ht="19.5" x14ac:dyDescent="0.3">
      <c r="A1" s="43" t="s">
        <v>297</v>
      </c>
      <c r="N1" s="30"/>
      <c r="O1" s="45" t="s">
        <v>322</v>
      </c>
      <c r="P1" s="45" t="s">
        <v>322</v>
      </c>
      <c r="Q1" s="45" t="s">
        <v>322</v>
      </c>
      <c r="R1" s="45" t="s">
        <v>322</v>
      </c>
    </row>
    <row r="2" spans="1:18" ht="15" x14ac:dyDescent="0.25">
      <c r="A2" s="44" t="s">
        <v>303</v>
      </c>
      <c r="K2" s="45" t="s">
        <v>322</v>
      </c>
      <c r="L2" s="45" t="s">
        <v>322</v>
      </c>
      <c r="M2" s="45" t="s">
        <v>322</v>
      </c>
      <c r="N2" s="45" t="s">
        <v>322</v>
      </c>
      <c r="O2" s="45" t="s">
        <v>322</v>
      </c>
      <c r="P2" s="45" t="s">
        <v>322</v>
      </c>
      <c r="Q2" s="45" t="s">
        <v>322</v>
      </c>
      <c r="R2" s="45" t="s">
        <v>322</v>
      </c>
    </row>
    <row r="3" spans="1:18" ht="12.75" x14ac:dyDescent="0.2">
      <c r="A3" s="10" t="s">
        <v>12</v>
      </c>
      <c r="B3" s="10"/>
      <c r="C3" s="11"/>
      <c r="D3" s="11"/>
      <c r="E3" s="11"/>
      <c r="F3" s="11"/>
      <c r="G3" s="11"/>
      <c r="H3" s="11"/>
      <c r="I3" s="11"/>
      <c r="J3" s="11"/>
      <c r="K3" s="45" t="s">
        <v>322</v>
      </c>
      <c r="L3" s="45" t="s">
        <v>322</v>
      </c>
      <c r="M3" s="45" t="s">
        <v>322</v>
      </c>
      <c r="N3" s="45" t="s">
        <v>322</v>
      </c>
      <c r="O3" s="45" t="s">
        <v>322</v>
      </c>
      <c r="P3" s="45" t="s">
        <v>322</v>
      </c>
      <c r="Q3" s="45" t="s">
        <v>322</v>
      </c>
      <c r="R3" s="45" t="s">
        <v>322</v>
      </c>
    </row>
    <row r="4" spans="1:18" ht="12.75" x14ac:dyDescent="0.2">
      <c r="A4" s="10" t="s">
        <v>320</v>
      </c>
      <c r="B4" s="10"/>
      <c r="C4" s="11"/>
      <c r="D4" s="11"/>
      <c r="E4" s="11"/>
      <c r="F4" s="11"/>
      <c r="G4" s="11"/>
      <c r="H4" s="11"/>
      <c r="I4" s="11"/>
      <c r="J4" s="11"/>
      <c r="K4" s="45" t="s">
        <v>322</v>
      </c>
      <c r="L4" s="45" t="s">
        <v>322</v>
      </c>
      <c r="M4" s="45" t="s">
        <v>322</v>
      </c>
      <c r="N4" s="45" t="s">
        <v>322</v>
      </c>
      <c r="O4" s="45" t="s">
        <v>322</v>
      </c>
      <c r="P4" s="45" t="s">
        <v>322</v>
      </c>
      <c r="Q4" s="45" t="s">
        <v>322</v>
      </c>
      <c r="R4" s="45" t="s">
        <v>322</v>
      </c>
    </row>
    <row r="5" spans="1:18" ht="12.75" x14ac:dyDescent="0.2">
      <c r="A5" s="10" t="s">
        <v>25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45" t="s">
        <v>322</v>
      </c>
      <c r="M5" s="45" t="s">
        <v>322</v>
      </c>
      <c r="N5" s="45" t="s">
        <v>322</v>
      </c>
      <c r="O5" s="45" t="s">
        <v>322</v>
      </c>
      <c r="P5" s="45" t="s">
        <v>322</v>
      </c>
      <c r="Q5" s="45" t="s">
        <v>322</v>
      </c>
      <c r="R5" s="45" t="s">
        <v>322</v>
      </c>
    </row>
    <row r="6" spans="1:18" ht="12.75" x14ac:dyDescent="0.2">
      <c r="A6" s="10" t="s">
        <v>321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2.75" hidden="1" x14ac:dyDescent="0.2">
      <c r="A7" s="10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2.75" hidden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ht="12.75" hidden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ht="12.75" hidden="1" x14ac:dyDescent="0.2">
      <c r="A10" s="10"/>
      <c r="B10" s="10"/>
      <c r="C10" s="11"/>
      <c r="D10" s="10" t="s">
        <v>0</v>
      </c>
      <c r="E10" s="10" t="s">
        <v>0</v>
      </c>
      <c r="F10" s="10" t="s">
        <v>0</v>
      </c>
      <c r="G10" s="10" t="s">
        <v>0</v>
      </c>
      <c r="H10" s="10" t="s">
        <v>1</v>
      </c>
      <c r="I10" s="10" t="s">
        <v>2</v>
      </c>
      <c r="J10" s="10" t="s">
        <v>3</v>
      </c>
      <c r="K10" s="11"/>
      <c r="L10" s="11"/>
      <c r="M10" s="11"/>
      <c r="N10" s="11"/>
      <c r="O10" s="11"/>
      <c r="P10" s="11"/>
      <c r="Q10" s="11"/>
      <c r="R10" s="11"/>
    </row>
    <row r="11" spans="1:18" ht="12.75" hidden="1" x14ac:dyDescent="0.2">
      <c r="A11" s="11"/>
      <c r="B11" s="11"/>
      <c r="C11" s="11"/>
      <c r="D11" s="10" t="s">
        <v>4</v>
      </c>
      <c r="E11" s="10" t="s">
        <v>4</v>
      </c>
      <c r="F11" s="10" t="s">
        <v>4</v>
      </c>
      <c r="G11" s="10" t="s">
        <v>4</v>
      </c>
      <c r="H11" s="10" t="s">
        <v>5</v>
      </c>
      <c r="I11" s="10" t="s">
        <v>6</v>
      </c>
      <c r="J11" s="10" t="s">
        <v>2</v>
      </c>
      <c r="K11" s="11"/>
      <c r="L11" s="11"/>
      <c r="M11" s="11"/>
      <c r="N11" s="11"/>
      <c r="O11" s="11"/>
      <c r="P11" s="11"/>
      <c r="Q11" s="11"/>
      <c r="R11" s="11"/>
    </row>
    <row r="12" spans="1:18" ht="12.75" hidden="1" x14ac:dyDescent="0.2">
      <c r="A12" s="11"/>
      <c r="B12" s="11"/>
      <c r="C12" s="11"/>
      <c r="D12" s="12" t="s">
        <v>7</v>
      </c>
      <c r="E12" s="12" t="s">
        <v>8</v>
      </c>
      <c r="F12" s="12" t="s">
        <v>9</v>
      </c>
      <c r="G12" s="12" t="s">
        <v>10</v>
      </c>
      <c r="H12" s="10" t="s">
        <v>11</v>
      </c>
      <c r="I12" s="11"/>
      <c r="J12" s="10" t="s">
        <v>6</v>
      </c>
      <c r="K12" s="11"/>
      <c r="L12" s="11"/>
      <c r="M12" s="11"/>
      <c r="N12" s="11"/>
      <c r="O12" s="11"/>
      <c r="P12" s="11"/>
      <c r="Q12" s="11"/>
      <c r="R12" s="11"/>
    </row>
    <row r="13" spans="1:18" ht="12.75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2.75" x14ac:dyDescent="0.2">
      <c r="A14" s="45" t="s">
        <v>322</v>
      </c>
      <c r="B14" s="45" t="s">
        <v>322</v>
      </c>
      <c r="C14" s="45" t="s">
        <v>322</v>
      </c>
      <c r="D14" s="45" t="s">
        <v>322</v>
      </c>
      <c r="E14" s="45" t="s">
        <v>322</v>
      </c>
      <c r="F14" s="45" t="s">
        <v>322</v>
      </c>
      <c r="G14" s="45" t="s">
        <v>322</v>
      </c>
      <c r="H14" s="45" t="s">
        <v>322</v>
      </c>
      <c r="I14" s="45" t="s">
        <v>322</v>
      </c>
      <c r="J14" s="45" t="s">
        <v>322</v>
      </c>
      <c r="K14" s="45" t="s">
        <v>322</v>
      </c>
      <c r="L14" s="13" t="s">
        <v>29</v>
      </c>
      <c r="M14" s="13" t="s">
        <v>30</v>
      </c>
      <c r="N14" s="13" t="s">
        <v>31</v>
      </c>
      <c r="O14" s="13" t="s">
        <v>32</v>
      </c>
      <c r="P14" s="13" t="s">
        <v>33</v>
      </c>
      <c r="Q14" s="13" t="s">
        <v>34</v>
      </c>
      <c r="R14" s="13" t="s">
        <v>35</v>
      </c>
    </row>
    <row r="15" spans="1:18" ht="12.75" x14ac:dyDescent="0.2">
      <c r="A15" s="45" t="s">
        <v>322</v>
      </c>
      <c r="B15" s="45" t="s">
        <v>322</v>
      </c>
      <c r="C15" s="45" t="s">
        <v>322</v>
      </c>
      <c r="D15" s="45" t="s">
        <v>322</v>
      </c>
      <c r="E15" s="45" t="s">
        <v>322</v>
      </c>
      <c r="F15" s="45" t="s">
        <v>322</v>
      </c>
      <c r="G15" s="45" t="s">
        <v>322</v>
      </c>
      <c r="H15" s="45" t="s">
        <v>322</v>
      </c>
      <c r="I15" s="45" t="s">
        <v>322</v>
      </c>
      <c r="J15" s="45" t="s">
        <v>322</v>
      </c>
      <c r="K15" s="45" t="s">
        <v>322</v>
      </c>
      <c r="L15" s="13"/>
      <c r="M15" s="13" t="s">
        <v>15</v>
      </c>
      <c r="N15" s="13"/>
      <c r="O15" s="13" t="s">
        <v>15</v>
      </c>
      <c r="P15" s="13"/>
      <c r="Q15" s="13" t="s">
        <v>17</v>
      </c>
      <c r="R15" s="13" t="s">
        <v>18</v>
      </c>
    </row>
    <row r="16" spans="1:18" ht="12.75" x14ac:dyDescent="0.2">
      <c r="A16" s="45" t="s">
        <v>322</v>
      </c>
      <c r="B16" s="45" t="s">
        <v>322</v>
      </c>
      <c r="C16" s="45" t="s">
        <v>322</v>
      </c>
      <c r="D16" s="45" t="s">
        <v>322</v>
      </c>
      <c r="E16" s="45" t="s">
        <v>322</v>
      </c>
      <c r="F16" s="45" t="s">
        <v>322</v>
      </c>
      <c r="G16" s="45" t="s">
        <v>322</v>
      </c>
      <c r="H16" s="45" t="s">
        <v>322</v>
      </c>
      <c r="I16" s="45" t="s">
        <v>322</v>
      </c>
      <c r="J16" s="45" t="s">
        <v>322</v>
      </c>
      <c r="K16" s="45" t="s">
        <v>322</v>
      </c>
      <c r="L16" s="13" t="s">
        <v>22</v>
      </c>
      <c r="M16" s="13" t="s">
        <v>16</v>
      </c>
      <c r="N16" s="13" t="s">
        <v>26</v>
      </c>
      <c r="O16" s="13" t="s">
        <v>16</v>
      </c>
      <c r="P16" s="13" t="s">
        <v>18</v>
      </c>
      <c r="Q16" s="13" t="s">
        <v>19</v>
      </c>
      <c r="R16" s="13" t="s">
        <v>16</v>
      </c>
    </row>
    <row r="17" spans="1:18" ht="12.75" x14ac:dyDescent="0.2">
      <c r="A17" s="15" t="s">
        <v>23</v>
      </c>
      <c r="B17" s="15"/>
      <c r="C17" s="16" t="s">
        <v>38</v>
      </c>
      <c r="D17" s="16" t="s">
        <v>39</v>
      </c>
      <c r="E17" s="16" t="s">
        <v>40</v>
      </c>
      <c r="F17" s="16" t="s">
        <v>41</v>
      </c>
      <c r="G17" s="16" t="s">
        <v>42</v>
      </c>
      <c r="H17" s="11"/>
      <c r="I17" s="11"/>
      <c r="J17" s="14" t="s">
        <v>13</v>
      </c>
      <c r="K17" s="45" t="s">
        <v>322</v>
      </c>
      <c r="L17" s="13" t="s">
        <v>18</v>
      </c>
      <c r="M17" s="13" t="s">
        <v>14</v>
      </c>
      <c r="N17" s="13" t="s">
        <v>27</v>
      </c>
      <c r="O17" s="13" t="s">
        <v>28</v>
      </c>
      <c r="P17" s="13" t="s">
        <v>17</v>
      </c>
      <c r="Q17" s="13" t="s">
        <v>20</v>
      </c>
      <c r="R17" s="13" t="s">
        <v>14</v>
      </c>
    </row>
    <row r="18" spans="1:18" ht="12.75" x14ac:dyDescent="0.2">
      <c r="A18" s="16" t="s">
        <v>24</v>
      </c>
      <c r="B18" s="16"/>
      <c r="C18" s="16" t="s">
        <v>24</v>
      </c>
      <c r="D18" s="11"/>
      <c r="E18" s="11"/>
      <c r="F18" s="11"/>
      <c r="G18" s="11"/>
      <c r="H18" s="11"/>
      <c r="I18" s="11"/>
      <c r="J18" s="11"/>
      <c r="K18" s="45" t="s">
        <v>322</v>
      </c>
      <c r="L18" s="13" t="s">
        <v>16</v>
      </c>
      <c r="M18" s="13" t="s">
        <v>17</v>
      </c>
      <c r="N18" s="13" t="s">
        <v>17</v>
      </c>
      <c r="O18" s="13" t="s">
        <v>17</v>
      </c>
      <c r="P18" s="13" t="s">
        <v>36</v>
      </c>
      <c r="Q18" s="13" t="s">
        <v>313</v>
      </c>
      <c r="R18" s="13" t="s">
        <v>21</v>
      </c>
    </row>
    <row r="19" spans="1:18" ht="12" customHeight="1" x14ac:dyDescent="0.2">
      <c r="A19" s="45" t="s">
        <v>322</v>
      </c>
      <c r="B19" s="45" t="s">
        <v>322</v>
      </c>
      <c r="C19" s="45" t="s">
        <v>322</v>
      </c>
      <c r="D19" s="45" t="s">
        <v>322</v>
      </c>
      <c r="E19" s="45" t="s">
        <v>322</v>
      </c>
      <c r="F19" s="45" t="s">
        <v>322</v>
      </c>
      <c r="G19" s="45" t="s">
        <v>322</v>
      </c>
      <c r="H19" s="45" t="s">
        <v>322</v>
      </c>
      <c r="I19" s="45" t="s">
        <v>322</v>
      </c>
      <c r="J19" s="45" t="s">
        <v>322</v>
      </c>
      <c r="K19" s="45" t="s">
        <v>322</v>
      </c>
      <c r="L19" s="45" t="s">
        <v>322</v>
      </c>
      <c r="M19" s="45" t="s">
        <v>322</v>
      </c>
      <c r="N19" s="45" t="s">
        <v>322</v>
      </c>
      <c r="O19" s="45" t="s">
        <v>322</v>
      </c>
      <c r="P19" s="45" t="s">
        <v>322</v>
      </c>
      <c r="Q19" s="13" t="s">
        <v>314</v>
      </c>
      <c r="R19" s="45" t="s">
        <v>322</v>
      </c>
    </row>
    <row r="20" spans="1:18" ht="12.75" hidden="1" x14ac:dyDescent="0.2">
      <c r="A20" s="17">
        <v>2003</v>
      </c>
      <c r="B20" s="17"/>
      <c r="C20" s="11">
        <v>2003</v>
      </c>
      <c r="D20" s="9">
        <f>'CPI-Jun2014'!C178</f>
        <v>1.8336669999999999</v>
      </c>
      <c r="E20" s="9">
        <f>'CPI-Jun2014'!C179</f>
        <v>1.830667</v>
      </c>
      <c r="F20" s="9">
        <f>'CPI-Jun2014'!C180</f>
        <v>1.844333</v>
      </c>
      <c r="G20" s="9">
        <f>'CPI-Jun2014'!C181</f>
        <v>1.8513329999999999</v>
      </c>
      <c r="H20" s="18">
        <f>(F19+G19+D20+E20)/4</f>
        <v>0.91608350000000005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12.75" hidden="1" x14ac:dyDescent="0.2">
      <c r="A21" s="17">
        <f>A20+1</f>
        <v>2004</v>
      </c>
      <c r="B21" s="17"/>
      <c r="C21" s="11">
        <v>2004</v>
      </c>
      <c r="D21" s="9">
        <f>'CPI-Jun2014'!C182</f>
        <v>1.867</v>
      </c>
      <c r="E21" s="9">
        <f>'CPI-Jun2014'!C183</f>
        <v>1.881667</v>
      </c>
      <c r="F21" s="9">
        <f>'CPI-Jun2014'!C184</f>
        <v>1.893667</v>
      </c>
      <c r="G21" s="9">
        <f>'CPI-Jun2014'!C185</f>
        <v>1.9139999999999999</v>
      </c>
      <c r="H21" s="18">
        <f>(F20+G20+D21+E21)/4</f>
        <v>1.8610832500000001</v>
      </c>
      <c r="I21" s="19">
        <f>ROUND((H21/H20)-1,4)</f>
        <v>1.0316000000000001</v>
      </c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12.75" x14ac:dyDescent="0.2">
      <c r="A22" s="17">
        <f t="shared" ref="A22:C30" si="0">A21+1</f>
        <v>2005</v>
      </c>
      <c r="B22" s="17"/>
      <c r="C22" s="11">
        <v>2005</v>
      </c>
      <c r="D22" s="9">
        <f>'CPI-Jun2014'!C186</f>
        <v>1.923667</v>
      </c>
      <c r="E22" s="9">
        <f>'CPI-Jun2014'!C187</f>
        <v>1.9366669999999999</v>
      </c>
      <c r="F22" s="9">
        <f>'CPI-Jun2014'!C188</f>
        <v>1.966</v>
      </c>
      <c r="G22" s="9">
        <f>'CPI-Jun2014'!C189</f>
        <v>1.9843329999999999</v>
      </c>
      <c r="H22" s="18">
        <f>(F21+G21+D22+E22)/4</f>
        <v>1.9170002500000001</v>
      </c>
      <c r="I22" s="19">
        <f t="shared" ref="I22:I34" si="1">(H22/H21)-1</f>
        <v>3.0045405008078063E-2</v>
      </c>
      <c r="J22" s="19">
        <f>(H22/$H$21)-1</f>
        <v>3.0045405008078063E-2</v>
      </c>
      <c r="K22" s="11"/>
      <c r="L22" s="20">
        <v>3.0099999999999998E-2</v>
      </c>
      <c r="M22" s="21">
        <v>1.0301</v>
      </c>
      <c r="N22" s="22">
        <f>ROUND(4601*0.186,2)</f>
        <v>855.79</v>
      </c>
      <c r="O22" s="22">
        <f>M22*855.79</f>
        <v>881.54927899999996</v>
      </c>
      <c r="P22" s="22">
        <f>IF(N22&gt;O22,N22,O22)</f>
        <v>881.54927899999996</v>
      </c>
      <c r="Q22" s="22">
        <f>P22-855.79</f>
        <v>25.759278999999992</v>
      </c>
      <c r="R22" s="23">
        <f>M22</f>
        <v>1.0301</v>
      </c>
    </row>
    <row r="23" spans="1:18" ht="12.75" x14ac:dyDescent="0.2">
      <c r="A23" s="17">
        <f t="shared" si="0"/>
        <v>2006</v>
      </c>
      <c r="B23" s="17"/>
      <c r="C23" s="11">
        <v>2006</v>
      </c>
      <c r="D23" s="9">
        <f>'CPI-Jun2014'!C190</f>
        <v>1.994667</v>
      </c>
      <c r="E23" s="9">
        <f>'CPI-Jun2014'!C191</f>
        <v>2.012667</v>
      </c>
      <c r="F23" s="9">
        <f>'CPI-Jun2014'!C192</f>
        <v>2.0316670000000001</v>
      </c>
      <c r="G23" s="9">
        <f>'CPI-Jun2014'!C193</f>
        <v>2.023333</v>
      </c>
      <c r="H23" s="18">
        <f t="shared" ref="H23:H28" si="2">(F22+G22+D23+E23)/4</f>
        <v>1.9894167499999997</v>
      </c>
      <c r="I23" s="19">
        <f t="shared" si="1"/>
        <v>3.7775947081905459E-2</v>
      </c>
      <c r="J23" s="19">
        <f t="shared" ref="J23:J28" si="3">(H23/$H$21)-1</f>
        <v>6.8956345719622947E-2</v>
      </c>
      <c r="K23" s="11"/>
      <c r="L23" s="20">
        <v>3.8100000000000002E-2</v>
      </c>
      <c r="M23" s="21">
        <v>1.0692999999999999</v>
      </c>
      <c r="N23" s="22">
        <f>ROUND(4783*0.186,2)</f>
        <v>889.64</v>
      </c>
      <c r="O23" s="22">
        <f>M23*855.79</f>
        <v>915.09624699999983</v>
      </c>
      <c r="P23" s="22">
        <f t="shared" ref="P23:P31" si="4">IF(N23&gt;O23,N23,O23)</f>
        <v>915.09624699999983</v>
      </c>
      <c r="Q23" s="22">
        <f t="shared" ref="Q23:Q30" si="5">P23-855.79</f>
        <v>59.306246999999871</v>
      </c>
      <c r="R23" s="23">
        <f>M23</f>
        <v>1.0692999999999999</v>
      </c>
    </row>
    <row r="24" spans="1:18" ht="12.75" x14ac:dyDescent="0.2">
      <c r="A24" s="17">
        <f t="shared" si="0"/>
        <v>2007</v>
      </c>
      <c r="B24" s="17"/>
      <c r="C24" s="11">
        <v>2007</v>
      </c>
      <c r="D24" s="9">
        <f>'CPI-Jun2014'!C194</f>
        <v>2.0431699999999999</v>
      </c>
      <c r="E24" s="9">
        <f>'CPI-Jun2014'!C195</f>
        <v>2.0663100000000001</v>
      </c>
      <c r="F24" s="9">
        <f>'CPI-Jun2014'!C196</f>
        <v>2.0793900000000001</v>
      </c>
      <c r="G24" s="9">
        <f>'CPI-Jun2014'!C197</f>
        <v>2.1048969999999998</v>
      </c>
      <c r="H24" s="18">
        <f t="shared" si="2"/>
        <v>2.0411199999999998</v>
      </c>
      <c r="I24" s="19">
        <f t="shared" si="1"/>
        <v>2.5989149834995562E-2</v>
      </c>
      <c r="J24" s="19">
        <f t="shared" si="3"/>
        <v>9.6737612355599856E-2</v>
      </c>
      <c r="K24" s="11"/>
      <c r="L24" s="20">
        <v>2.6100000000000002E-2</v>
      </c>
      <c r="M24" s="21">
        <v>1.0972999999999999</v>
      </c>
      <c r="N24" s="22">
        <f>ROUND(4974*0.26,2)</f>
        <v>1293.24</v>
      </c>
      <c r="O24" s="22">
        <f>M24*1294</f>
        <v>1419.9061999999999</v>
      </c>
      <c r="P24" s="22">
        <f t="shared" si="4"/>
        <v>1419.9061999999999</v>
      </c>
      <c r="Q24" s="22">
        <f t="shared" si="5"/>
        <v>564.11619999999994</v>
      </c>
      <c r="R24" s="23">
        <f>M24</f>
        <v>1.0972999999999999</v>
      </c>
    </row>
    <row r="25" spans="1:18" ht="12.75" x14ac:dyDescent="0.2">
      <c r="A25" s="17">
        <f t="shared" si="0"/>
        <v>2008</v>
      </c>
      <c r="B25" s="17"/>
      <c r="C25" s="11">
        <v>2008</v>
      </c>
      <c r="D25" s="9">
        <f>'CPI-Jun2014'!C198</f>
        <v>2.1276969999999999</v>
      </c>
      <c r="E25" s="9">
        <f>'CPI-Jun2014'!C199</f>
        <v>2.1553770000000001</v>
      </c>
      <c r="F25" s="9">
        <f>'CPI-Jun2014'!C200</f>
        <v>2.1886100000000002</v>
      </c>
      <c r="G25" s="9">
        <f>'CPI-Jun2014'!C201</f>
        <v>2.138487</v>
      </c>
      <c r="H25" s="18">
        <f t="shared" si="2"/>
        <v>2.1168402499999996</v>
      </c>
      <c r="I25" s="19">
        <f t="shared" si="1"/>
        <v>3.7097402406521818E-2</v>
      </c>
      <c r="J25" s="19">
        <f t="shared" si="3"/>
        <v>0.13742372889552334</v>
      </c>
      <c r="K25" s="11"/>
      <c r="L25" s="20">
        <v>3.6700000000000003E-2</v>
      </c>
      <c r="M25" s="21">
        <v>1.1375999999999999</v>
      </c>
      <c r="N25" s="22">
        <f>ROUND(5074*0.26,2)</f>
        <v>1319.24</v>
      </c>
      <c r="O25" s="22">
        <f>M25*1294</f>
        <v>1472.0544</v>
      </c>
      <c r="P25" s="22">
        <f t="shared" si="4"/>
        <v>1472.0544</v>
      </c>
      <c r="Q25" s="22">
        <f t="shared" si="5"/>
        <v>616.26440000000002</v>
      </c>
      <c r="R25" s="23">
        <f>M25</f>
        <v>1.1375999999999999</v>
      </c>
    </row>
    <row r="26" spans="1:18" ht="12.75" x14ac:dyDescent="0.2">
      <c r="A26" s="17">
        <f t="shared" si="0"/>
        <v>2009</v>
      </c>
      <c r="B26" s="17"/>
      <c r="C26" s="17">
        <f t="shared" si="0"/>
        <v>2009</v>
      </c>
      <c r="D26" s="9">
        <f>'CPI-Jun2014'!C202</f>
        <v>2.123777</v>
      </c>
      <c r="E26" s="9">
        <f>'CPI-Jun2014'!C203</f>
        <v>2.1350699999999998</v>
      </c>
      <c r="F26" s="9">
        <f>'CPI-Jun2014'!C204</f>
        <v>2.1534399999999998</v>
      </c>
      <c r="G26" s="9">
        <f>'CPI-Jun2014'!C205</f>
        <v>2.1703000000000001</v>
      </c>
      <c r="H26" s="18">
        <f t="shared" si="2"/>
        <v>2.1464860000000003</v>
      </c>
      <c r="I26" s="19">
        <f t="shared" si="1"/>
        <v>1.4004717644612308E-2</v>
      </c>
      <c r="J26" s="19">
        <f t="shared" si="3"/>
        <v>0.1533530270609873</v>
      </c>
      <c r="K26" s="11"/>
      <c r="L26" s="20">
        <v>1.4200000000000001E-2</v>
      </c>
      <c r="M26" s="21">
        <v>1.1536999999999999</v>
      </c>
      <c r="N26" s="22">
        <f>ROUND(5124*0.26,2)</f>
        <v>1332.24</v>
      </c>
      <c r="O26" s="22">
        <f>M26*1294</f>
        <v>1492.8878</v>
      </c>
      <c r="P26" s="22">
        <f t="shared" si="4"/>
        <v>1492.8878</v>
      </c>
      <c r="Q26" s="22">
        <f t="shared" si="5"/>
        <v>637.09780000000001</v>
      </c>
      <c r="R26" s="23">
        <f>R$25+(0.25*(5124/5074-1))</f>
        <v>1.1400635396137169</v>
      </c>
    </row>
    <row r="27" spans="1:18" ht="12.75" x14ac:dyDescent="0.2">
      <c r="A27" s="17">
        <f t="shared" si="0"/>
        <v>2010</v>
      </c>
      <c r="B27" s="10"/>
      <c r="C27" s="17">
        <f t="shared" si="0"/>
        <v>2010</v>
      </c>
      <c r="D27" s="9">
        <f>'CPI-Jun2014'!C206</f>
        <v>2.1734070000000001</v>
      </c>
      <c r="E27" s="9">
        <f>'CPI-Jun2014'!C207</f>
        <v>2.1732</v>
      </c>
      <c r="F27" s="9">
        <f>'CPI-Jun2014'!C208</f>
        <v>2.1798999999999999</v>
      </c>
      <c r="G27" s="9">
        <f>'CPI-Jun2014'!C209</f>
        <v>2.1966830000000002</v>
      </c>
      <c r="H27" s="18">
        <f>(F26+G26+D27+E27)/4</f>
        <v>2.1675867499999999</v>
      </c>
      <c r="I27" s="19">
        <f>(H27/H26)-1</f>
        <v>9.8303692639969409E-3</v>
      </c>
      <c r="J27" s="19">
        <f t="shared" si="3"/>
        <v>0.16469091320874529</v>
      </c>
      <c r="K27" s="11"/>
      <c r="L27" s="20">
        <v>9.2999999999999992E-3</v>
      </c>
      <c r="M27" s="21">
        <v>1.1644000000000001</v>
      </c>
      <c r="N27" s="22">
        <f>ROUND(5124*0.26,2)</f>
        <v>1332.24</v>
      </c>
      <c r="O27" s="22">
        <f t="shared" ref="O27:O29" si="6">M27*1294</f>
        <v>1506.7336</v>
      </c>
      <c r="P27" s="22">
        <f t="shared" si="4"/>
        <v>1506.7336</v>
      </c>
      <c r="Q27" s="22">
        <f t="shared" si="5"/>
        <v>650.94360000000006</v>
      </c>
      <c r="R27" s="23">
        <f>R26</f>
        <v>1.1400635396137169</v>
      </c>
    </row>
    <row r="28" spans="1:18" ht="12.75" x14ac:dyDescent="0.2">
      <c r="A28" s="17">
        <f t="shared" si="0"/>
        <v>2011</v>
      </c>
      <c r="B28" s="10"/>
      <c r="C28" s="17">
        <f t="shared" si="0"/>
        <v>2011</v>
      </c>
      <c r="D28" s="9">
        <f>'CPI-Jun2014'!C210</f>
        <v>2.2195100000000001</v>
      </c>
      <c r="E28" s="9">
        <f>'CPI-Jun2014'!C211</f>
        <v>2.2465470000000001</v>
      </c>
      <c r="F28" s="9">
        <f>'CPI-Jun2014'!C212</f>
        <v>2.261253</v>
      </c>
      <c r="G28" s="9">
        <f>'CPI-Jun2014'!C213</f>
        <v>2.2699669999999998</v>
      </c>
      <c r="H28" s="18">
        <f t="shared" si="2"/>
        <v>2.2106599999999998</v>
      </c>
      <c r="I28" s="19">
        <f t="shared" si="1"/>
        <v>1.9871523019782122E-2</v>
      </c>
      <c r="J28" s="19">
        <f t="shared" si="3"/>
        <v>0.18783509550150423</v>
      </c>
      <c r="K28" s="11"/>
      <c r="L28" s="20">
        <v>2.0299999999999999E-2</v>
      </c>
      <c r="M28" s="21">
        <v>1.1880999999999999</v>
      </c>
      <c r="N28" s="22">
        <f>ROUND(5124*0.26,2)</f>
        <v>1332.24</v>
      </c>
      <c r="O28" s="22">
        <f>M28*1294</f>
        <v>1537.4014</v>
      </c>
      <c r="P28" s="22">
        <f>IF(N28&gt;O28,N28,O28)</f>
        <v>1537.4014</v>
      </c>
      <c r="Q28" s="22">
        <f t="shared" si="5"/>
        <v>681.6114</v>
      </c>
      <c r="R28" s="23">
        <f>R27</f>
        <v>1.1400635396137169</v>
      </c>
    </row>
    <row r="29" spans="1:18" ht="12.75" x14ac:dyDescent="0.2">
      <c r="A29" s="17">
        <f t="shared" si="0"/>
        <v>2012</v>
      </c>
      <c r="B29" s="10"/>
      <c r="C29" s="17">
        <f t="shared" si="0"/>
        <v>2012</v>
      </c>
      <c r="D29" s="9">
        <f>'CPI-Jun2014'!C214</f>
        <v>2.281787</v>
      </c>
      <c r="E29" s="9">
        <f>'CPI-Jun2014'!C215</f>
        <v>2.2896429999999999</v>
      </c>
      <c r="F29" s="9">
        <f>'CPI-Jun2014'!C216</f>
        <v>2.2993899999999998</v>
      </c>
      <c r="G29" s="9">
        <f>'CPI-Jun2014'!C217</f>
        <v>2.3131370000000002</v>
      </c>
      <c r="H29" s="18">
        <f>(F28+G28+D29+E29)/4</f>
        <v>2.2756624999999997</v>
      </c>
      <c r="I29" s="19">
        <f>(H29/H28)-1</f>
        <v>2.9404114608307053E-2</v>
      </c>
      <c r="J29" s="19">
        <f>(H29/$H$21)-1</f>
        <v>0.22276233478539953</v>
      </c>
      <c r="K29" s="11"/>
      <c r="L29" s="20">
        <v>2.9399999999999999E-2</v>
      </c>
      <c r="M29" s="21">
        <v>1.2230000000000001</v>
      </c>
      <c r="N29" s="22">
        <f>ROUND(5174*0.26,2)</f>
        <v>1345.24</v>
      </c>
      <c r="O29" s="22">
        <f t="shared" si="6"/>
        <v>1582.5620000000001</v>
      </c>
      <c r="P29" s="22">
        <f t="shared" si="4"/>
        <v>1582.5620000000001</v>
      </c>
      <c r="Q29" s="22">
        <f t="shared" si="5"/>
        <v>726.77200000000016</v>
      </c>
      <c r="R29" s="23">
        <f>R$25+(0.25*(5174/5074-1))</f>
        <v>1.1425270792274338</v>
      </c>
    </row>
    <row r="30" spans="1:18" ht="12.75" x14ac:dyDescent="0.2">
      <c r="A30" s="17">
        <f t="shared" si="0"/>
        <v>2013</v>
      </c>
      <c r="B30" s="10"/>
      <c r="C30" s="17">
        <f t="shared" si="0"/>
        <v>2013</v>
      </c>
      <c r="D30" s="9">
        <f>'CPI-Jun2014'!C218</f>
        <v>2.3199830000000001</v>
      </c>
      <c r="E30" s="9">
        <f>'CPI-Jun2014'!C219</f>
        <v>2.3223029999999998</v>
      </c>
      <c r="F30" s="9">
        <f>'CPI-Jun2014'!C220</f>
        <v>2.3347600000000002</v>
      </c>
      <c r="G30" s="9">
        <f>'CPI-Jun2014'!C221</f>
        <v>2.3413629999999999</v>
      </c>
      <c r="H30" s="18">
        <f t="shared" ref="H30:H35" si="7">(F29+G29+D30+E30)/4</f>
        <v>2.3137032500000001</v>
      </c>
      <c r="I30" s="19">
        <f>(H30/H29)-1</f>
        <v>1.6716340845797761E-2</v>
      </c>
      <c r="J30" s="19">
        <f t="shared" ref="J30:J35" si="8">(H30/$H$21)-1</f>
        <v>0.24320244674707592</v>
      </c>
      <c r="K30" s="24"/>
      <c r="L30" s="20">
        <f>ROUND(I30,4)</f>
        <v>1.67E-2</v>
      </c>
      <c r="M30" s="21">
        <f t="shared" ref="M30" si="9">ROUND(H30/H$21,4)</f>
        <v>1.2432000000000001</v>
      </c>
      <c r="N30" s="22">
        <f>ROUND(5224*0.26,2)</f>
        <v>1358.24</v>
      </c>
      <c r="O30" s="22">
        <f>M30*1294</f>
        <v>1608.7008000000001</v>
      </c>
      <c r="P30" s="22">
        <f t="shared" si="4"/>
        <v>1608.7008000000001</v>
      </c>
      <c r="Q30" s="22">
        <f t="shared" si="5"/>
        <v>752.91080000000011</v>
      </c>
      <c r="R30" s="23">
        <f>R$25+(0.25*(5224/5074-1))</f>
        <v>1.1449906188411509</v>
      </c>
    </row>
    <row r="31" spans="1:18" ht="12.75" x14ac:dyDescent="0.2">
      <c r="A31" s="16">
        <v>2014</v>
      </c>
      <c r="B31" s="10" t="s">
        <v>296</v>
      </c>
      <c r="C31" s="16">
        <v>2014</v>
      </c>
      <c r="D31" s="9">
        <f>'CPI-Jun2014'!C222</f>
        <v>2.3524729999999998</v>
      </c>
      <c r="E31" s="9">
        <f>'CPI-Jun2014'!C223</f>
        <v>2.3676560000000002</v>
      </c>
      <c r="F31" s="9">
        <f>'CPI-Jun2014'!C224</f>
        <v>2.3791440000000001</v>
      </c>
      <c r="G31" s="9">
        <f>'CPI-Jun2014'!C225</f>
        <v>2.3926400000000001</v>
      </c>
      <c r="H31" s="18">
        <f>(F30+G30+D31+E31)/4</f>
        <v>2.3490630000000001</v>
      </c>
      <c r="I31" s="19">
        <f t="shared" si="1"/>
        <v>1.5282750715762683E-2</v>
      </c>
      <c r="J31" s="19">
        <f>(H31/$H$21)-1</f>
        <v>0.26220199982993786</v>
      </c>
      <c r="K31" s="24"/>
      <c r="L31" s="20">
        <f>ROUND(I31,4)</f>
        <v>1.5299999999999999E-2</v>
      </c>
      <c r="M31" s="21">
        <f>ROUND(H31/H$21,4)</f>
        <v>1.2622</v>
      </c>
      <c r="N31" s="22">
        <f>ROUND(5302*0.26,2)</f>
        <v>1378.52</v>
      </c>
      <c r="O31" s="22">
        <f>M31*1294</f>
        <v>1633.2868000000001</v>
      </c>
      <c r="P31" s="22">
        <f t="shared" si="4"/>
        <v>1633.2868000000001</v>
      </c>
      <c r="Q31" s="22">
        <f>P31-855.79</f>
        <v>777.49680000000012</v>
      </c>
      <c r="R31" s="23">
        <f>R$25+(0.25*(5302/5074-1))</f>
        <v>1.1488337406385494</v>
      </c>
    </row>
    <row r="32" spans="1:18" s="33" customFormat="1" ht="12.75" x14ac:dyDescent="0.2">
      <c r="A32" s="42" t="s">
        <v>316</v>
      </c>
      <c r="B32" s="31"/>
      <c r="C32" s="32"/>
      <c r="H32" s="34"/>
      <c r="I32" s="35"/>
      <c r="J32" s="35"/>
      <c r="K32" s="36"/>
      <c r="L32" s="37"/>
      <c r="M32" s="45" t="s">
        <v>322</v>
      </c>
      <c r="N32" s="45" t="s">
        <v>322</v>
      </c>
      <c r="O32" s="45" t="s">
        <v>322</v>
      </c>
      <c r="P32" s="45" t="s">
        <v>322</v>
      </c>
      <c r="Q32" s="45" t="s">
        <v>322</v>
      </c>
      <c r="R32" s="45" t="s">
        <v>322</v>
      </c>
    </row>
    <row r="33" spans="1:18" ht="12.75" x14ac:dyDescent="0.2">
      <c r="A33" s="16">
        <v>2015</v>
      </c>
      <c r="B33" s="10" t="s">
        <v>296</v>
      </c>
      <c r="C33" s="16">
        <v>2015</v>
      </c>
      <c r="D33" s="9">
        <f>'CPI-Jun2014'!C226</f>
        <v>2.4021750000000002</v>
      </c>
      <c r="E33" s="9">
        <f>'CPI-Jun2014'!C227</f>
        <v>2.4078469999999998</v>
      </c>
      <c r="F33" s="9">
        <f>'CPI-Jun2014'!C228</f>
        <v>2.416604</v>
      </c>
      <c r="G33" s="9">
        <f>'CPI-Jun2014'!C229</f>
        <v>2.4214349999999998</v>
      </c>
      <c r="H33" s="18">
        <f>(F31+G31+D33+E33)/4</f>
        <v>2.3954515000000001</v>
      </c>
      <c r="I33" s="19">
        <f>(H33/H31)-1</f>
        <v>1.9747661088697965E-2</v>
      </c>
      <c r="J33" s="19">
        <f>(H33/$H$21)-1</f>
        <v>0.28712753714805617</v>
      </c>
      <c r="K33" s="11"/>
      <c r="L33" s="20">
        <f t="shared" ref="L33:L39" si="10">ROUND(I33,4)</f>
        <v>1.9699999999999999E-2</v>
      </c>
      <c r="M33" s="21">
        <f>ROUND(H33/H$33,4)</f>
        <v>1</v>
      </c>
      <c r="N33" s="25" t="s">
        <v>312</v>
      </c>
      <c r="O33" s="22">
        <f>M33*1845</f>
        <v>1845</v>
      </c>
      <c r="P33" s="22">
        <f>O33</f>
        <v>1845</v>
      </c>
      <c r="Q33" s="22">
        <f>P33-1845</f>
        <v>0</v>
      </c>
      <c r="R33" s="23">
        <v>1</v>
      </c>
    </row>
    <row r="34" spans="1:18" ht="12.75" x14ac:dyDescent="0.2">
      <c r="A34" s="16">
        <v>2016</v>
      </c>
      <c r="B34" s="10" t="s">
        <v>296</v>
      </c>
      <c r="C34" s="16">
        <v>2016</v>
      </c>
      <c r="D34" s="9">
        <f>'CPI-Jun2014'!C230</f>
        <v>2.4320949999999999</v>
      </c>
      <c r="E34" s="9">
        <f>'CPI-Jun2014'!C231</f>
        <v>2.4413960000000001</v>
      </c>
      <c r="F34" s="9">
        <f>'CPI-Jun2014'!C232</f>
        <v>2.4520379999999999</v>
      </c>
      <c r="G34" s="9">
        <f>'CPI-Jun2014'!C233</f>
        <v>2.4644560000000002</v>
      </c>
      <c r="H34" s="18">
        <f t="shared" si="7"/>
        <v>2.4278824999999999</v>
      </c>
      <c r="I34" s="19">
        <f t="shared" si="1"/>
        <v>1.3538575086992966E-2</v>
      </c>
      <c r="J34" s="19">
        <f>(H34/$H$21)-1</f>
        <v>0.30455340995627145</v>
      </c>
      <c r="K34" s="11"/>
      <c r="L34" s="20">
        <f t="shared" si="10"/>
        <v>1.35E-2</v>
      </c>
      <c r="M34" s="21">
        <f>ROUND(H34/H$33,4)</f>
        <v>1.0135000000000001</v>
      </c>
      <c r="N34" s="25" t="s">
        <v>312</v>
      </c>
      <c r="O34" s="22">
        <f>M34*1845</f>
        <v>1869.9075</v>
      </c>
      <c r="P34" s="22">
        <f t="shared" ref="P34:P41" si="11">O34</f>
        <v>1869.9075</v>
      </c>
      <c r="Q34" s="22">
        <f t="shared" ref="Q34:Q41" si="12">P34-1845</f>
        <v>24.907500000000027</v>
      </c>
      <c r="R34" s="23">
        <f>R$33+(0.25*(5831/5831-1))</f>
        <v>1</v>
      </c>
    </row>
    <row r="35" spans="1:18" ht="12.75" x14ac:dyDescent="0.2">
      <c r="A35" s="16">
        <v>2017</v>
      </c>
      <c r="B35" s="10" t="s">
        <v>296</v>
      </c>
      <c r="C35" s="16">
        <v>2017</v>
      </c>
      <c r="D35" s="9">
        <f>'CPI-Jun2014'!C234</f>
        <v>2.4750909999999999</v>
      </c>
      <c r="E35" s="9">
        <f>'CPI-Jun2014'!C235</f>
        <v>2.4868459999999999</v>
      </c>
      <c r="F35" s="9">
        <f>'CPI-Jun2014'!C236</f>
        <v>2.4994269999999998</v>
      </c>
      <c r="G35" s="9">
        <f>'CPI-Jun2014'!C237</f>
        <v>2.511317</v>
      </c>
      <c r="H35" s="18">
        <f t="shared" si="7"/>
        <v>2.4696077499999998</v>
      </c>
      <c r="I35" s="19">
        <f t="shared" ref="I35:I41" si="13">(H35/H34)-1</f>
        <v>1.7185860518373453E-2</v>
      </c>
      <c r="J35" s="19">
        <f t="shared" si="8"/>
        <v>0.32697328289854832</v>
      </c>
      <c r="K35" s="11"/>
      <c r="L35" s="20">
        <f t="shared" si="10"/>
        <v>1.72E-2</v>
      </c>
      <c r="M35" s="21">
        <f t="shared" ref="M35:M41" si="14">ROUND(H35/H$33,4)</f>
        <v>1.0309999999999999</v>
      </c>
      <c r="N35" s="25" t="s">
        <v>312</v>
      </c>
      <c r="O35" s="22">
        <f>M35*1845</f>
        <v>1902.1949999999999</v>
      </c>
      <c r="P35" s="22">
        <f t="shared" si="11"/>
        <v>1902.1949999999999</v>
      </c>
      <c r="Q35" s="22">
        <f t="shared" si="12"/>
        <v>57.194999999999936</v>
      </c>
      <c r="R35" s="23">
        <f t="shared" ref="R35:R41" si="15">R34</f>
        <v>1</v>
      </c>
    </row>
    <row r="36" spans="1:18" ht="12.75" x14ac:dyDescent="0.2">
      <c r="A36" s="16">
        <v>2018</v>
      </c>
      <c r="B36" s="10" t="s">
        <v>296</v>
      </c>
      <c r="C36" s="16">
        <v>2018</v>
      </c>
      <c r="D36" s="9">
        <f>'CPI-Jun2014'!C238</f>
        <v>2.524419</v>
      </c>
      <c r="E36" s="9">
        <f>'CPI-Jun2014'!C239</f>
        <v>2.5359500000000001</v>
      </c>
      <c r="F36" s="9">
        <f>'CPI-Jun2014'!C240</f>
        <v>2.5482610000000001</v>
      </c>
      <c r="G36" s="9">
        <f>'CPI-Jun2014'!C241</f>
        <v>2.56</v>
      </c>
      <c r="H36" s="18">
        <f t="shared" ref="H36:H41" si="16">(F35+G35+D36+E36)/4</f>
        <v>2.5177782500000001</v>
      </c>
      <c r="I36" s="19">
        <f t="shared" si="13"/>
        <v>1.9505324276699598E-2</v>
      </c>
      <c r="J36" s="19">
        <f t="shared" ref="J36:J41" si="17">(H36/$H$21)-1</f>
        <v>0.35285632708800097</v>
      </c>
      <c r="K36" s="11"/>
      <c r="L36" s="20">
        <f t="shared" si="10"/>
        <v>1.95E-2</v>
      </c>
      <c r="M36" s="21">
        <f t="shared" si="14"/>
        <v>1.0510999999999999</v>
      </c>
      <c r="N36" s="25" t="s">
        <v>312</v>
      </c>
      <c r="O36" s="22">
        <f>M36*1845</f>
        <v>1939.2794999999999</v>
      </c>
      <c r="P36" s="22">
        <f t="shared" si="11"/>
        <v>1939.2794999999999</v>
      </c>
      <c r="Q36" s="22">
        <f t="shared" si="12"/>
        <v>94.279499999999871</v>
      </c>
      <c r="R36" s="23">
        <f>R35</f>
        <v>1</v>
      </c>
    </row>
    <row r="37" spans="1:18" ht="12.75" x14ac:dyDescent="0.2">
      <c r="A37" s="16">
        <v>2019</v>
      </c>
      <c r="B37" s="10" t="s">
        <v>296</v>
      </c>
      <c r="C37" s="16">
        <v>2019</v>
      </c>
      <c r="D37" s="9">
        <f>'CPI-Jun2014'!C242</f>
        <v>2.5728970000000002</v>
      </c>
      <c r="E37" s="9">
        <f>'CPI-Jun2014'!C243</f>
        <v>2.5833490000000001</v>
      </c>
      <c r="F37" s="9">
        <f>'CPI-Jun2014'!C244</f>
        <v>2.5949499999999999</v>
      </c>
      <c r="G37" s="9">
        <f>'CPI-Jun2014'!C245</f>
        <v>2.6071840000000002</v>
      </c>
      <c r="H37" s="18">
        <f t="shared" si="16"/>
        <v>2.5661267500000005</v>
      </c>
      <c r="I37" s="19">
        <f t="shared" si="13"/>
        <v>1.9202842823827115E-2</v>
      </c>
      <c r="J37" s="19">
        <f t="shared" si="17"/>
        <v>0.37883501450029189</v>
      </c>
      <c r="K37" s="11"/>
      <c r="L37" s="20">
        <f t="shared" si="10"/>
        <v>1.9199999999999998E-2</v>
      </c>
      <c r="M37" s="21">
        <f t="shared" si="14"/>
        <v>1.0711999999999999</v>
      </c>
      <c r="N37" s="25" t="s">
        <v>312</v>
      </c>
      <c r="O37" s="22">
        <f t="shared" ref="O37:O41" si="18">M37*1845</f>
        <v>1976.3639999999998</v>
      </c>
      <c r="P37" s="22">
        <f t="shared" si="11"/>
        <v>1976.3639999999998</v>
      </c>
      <c r="Q37" s="22">
        <f t="shared" si="12"/>
        <v>131.36399999999981</v>
      </c>
      <c r="R37" s="23">
        <f t="shared" si="15"/>
        <v>1</v>
      </c>
    </row>
    <row r="38" spans="1:18" ht="12.75" x14ac:dyDescent="0.2">
      <c r="A38" s="16">
        <v>2020</v>
      </c>
      <c r="B38" s="10" t="s">
        <v>296</v>
      </c>
      <c r="C38" s="16">
        <v>2020</v>
      </c>
      <c r="D38" s="9">
        <f>'CPI-Jun2014'!C246</f>
        <v>2.6220240000000001</v>
      </c>
      <c r="E38" s="9">
        <f>'CPI-Jun2014'!C247</f>
        <v>2.6345969999999999</v>
      </c>
      <c r="F38" s="9">
        <f>'CPI-Jun2014'!C248</f>
        <v>2.647675</v>
      </c>
      <c r="G38" s="9">
        <f>'CPI-Jun2014'!C249</f>
        <v>2.6606809999999999</v>
      </c>
      <c r="H38" s="18">
        <f t="shared" si="16"/>
        <v>2.61468875</v>
      </c>
      <c r="I38" s="19">
        <f t="shared" si="13"/>
        <v>1.8924240589440755E-2</v>
      </c>
      <c r="J38" s="19">
        <f t="shared" si="17"/>
        <v>0.40492842004784046</v>
      </c>
      <c r="K38" s="11"/>
      <c r="L38" s="20">
        <f t="shared" si="10"/>
        <v>1.89E-2</v>
      </c>
      <c r="M38" s="21">
        <f t="shared" si="14"/>
        <v>1.0914999999999999</v>
      </c>
      <c r="N38" s="25" t="s">
        <v>312</v>
      </c>
      <c r="O38" s="22">
        <f t="shared" si="18"/>
        <v>2013.8174999999999</v>
      </c>
      <c r="P38" s="22">
        <f t="shared" si="11"/>
        <v>2013.8174999999999</v>
      </c>
      <c r="Q38" s="22">
        <f t="shared" si="12"/>
        <v>168.81749999999988</v>
      </c>
      <c r="R38" s="23">
        <f t="shared" si="15"/>
        <v>1</v>
      </c>
    </row>
    <row r="39" spans="1:18" ht="12.75" x14ac:dyDescent="0.2">
      <c r="A39" s="16">
        <v>2021</v>
      </c>
      <c r="B39" s="10" t="s">
        <v>296</v>
      </c>
      <c r="C39" s="16">
        <v>2021</v>
      </c>
      <c r="D39" s="9">
        <f>'CPI-Jun2014'!C250</f>
        <v>2.6753870000000002</v>
      </c>
      <c r="E39" s="9">
        <f>'CPI-Jun2014'!C251</f>
        <v>2.689257</v>
      </c>
      <c r="F39" s="9">
        <f>'CPI-Jun2014'!C252</f>
        <v>2.7035999999999998</v>
      </c>
      <c r="G39" s="9">
        <f>'CPI-Jun2014'!C253</f>
        <v>2.717428</v>
      </c>
      <c r="H39" s="18">
        <f t="shared" si="16"/>
        <v>2.66825</v>
      </c>
      <c r="I39" s="19">
        <f t="shared" si="13"/>
        <v>2.048475177016762E-2</v>
      </c>
      <c r="J39" s="19">
        <f t="shared" si="17"/>
        <v>0.43370802998737434</v>
      </c>
      <c r="K39" s="11"/>
      <c r="L39" s="20">
        <f t="shared" si="10"/>
        <v>2.0500000000000001E-2</v>
      </c>
      <c r="M39" s="21">
        <f t="shared" si="14"/>
        <v>1.1138999999999999</v>
      </c>
      <c r="N39" s="25" t="s">
        <v>312</v>
      </c>
      <c r="O39" s="22">
        <f t="shared" si="18"/>
        <v>2055.1454999999996</v>
      </c>
      <c r="P39" s="22">
        <f t="shared" si="11"/>
        <v>2055.1454999999996</v>
      </c>
      <c r="Q39" s="22">
        <f t="shared" si="12"/>
        <v>210.14549999999963</v>
      </c>
      <c r="R39" s="23">
        <f t="shared" si="15"/>
        <v>1</v>
      </c>
    </row>
    <row r="40" spans="1:18" ht="12.75" x14ac:dyDescent="0.2">
      <c r="A40" s="16">
        <v>2022</v>
      </c>
      <c r="B40" s="10" t="s">
        <v>296</v>
      </c>
      <c r="C40" s="16">
        <v>2022</v>
      </c>
      <c r="D40" s="9">
        <f>'CPI-Jun2014'!C254</f>
        <v>2.7317230000000001</v>
      </c>
      <c r="E40" s="9">
        <f>'CPI-Jun2014'!C255</f>
        <v>2.7455720000000001</v>
      </c>
      <c r="F40" s="9">
        <f>'CPI-Jun2014'!C256</f>
        <v>2.760068</v>
      </c>
      <c r="G40" s="9">
        <f>'CPI-Jun2014'!C257</f>
        <v>2.7744</v>
      </c>
      <c r="H40" s="18">
        <f t="shared" si="16"/>
        <v>2.7245807500000003</v>
      </c>
      <c r="I40" s="19">
        <f t="shared" si="13"/>
        <v>2.1111496299072607E-2</v>
      </c>
      <c r="J40" s="19">
        <f t="shared" si="17"/>
        <v>0.46397575175640338</v>
      </c>
      <c r="K40" s="11"/>
      <c r="L40" s="20">
        <f>ROUND(I40,4)</f>
        <v>2.1100000000000001E-2</v>
      </c>
      <c r="M40" s="21">
        <f t="shared" si="14"/>
        <v>1.1374</v>
      </c>
      <c r="N40" s="25" t="s">
        <v>312</v>
      </c>
      <c r="O40" s="22">
        <f t="shared" si="18"/>
        <v>2098.5030000000002</v>
      </c>
      <c r="P40" s="22">
        <f t="shared" si="11"/>
        <v>2098.5030000000002</v>
      </c>
      <c r="Q40" s="22">
        <f t="shared" si="12"/>
        <v>253.50300000000016</v>
      </c>
      <c r="R40" s="23">
        <f>R39</f>
        <v>1</v>
      </c>
    </row>
    <row r="41" spans="1:18" ht="12.75" x14ac:dyDescent="0.2">
      <c r="A41" s="16">
        <v>2023</v>
      </c>
      <c r="B41" s="10" t="s">
        <v>296</v>
      </c>
      <c r="C41" s="16">
        <v>2023</v>
      </c>
      <c r="D41" s="9">
        <f>'CPI-Jun2014'!C258</f>
        <v>2.7892960000000002</v>
      </c>
      <c r="E41" s="9">
        <f>'CPI-Jun2014'!C259</f>
        <v>2.8036859999999999</v>
      </c>
      <c r="F41" s="9">
        <f>'CPI-Jun2014'!C260</f>
        <v>2.81873</v>
      </c>
      <c r="G41" s="9">
        <f>'CPI-Jun2014'!C261</f>
        <v>2.8344100000000001</v>
      </c>
      <c r="H41" s="18">
        <f t="shared" si="16"/>
        <v>2.7818624999999999</v>
      </c>
      <c r="I41" s="19">
        <f t="shared" si="13"/>
        <v>2.1024060307260006E-2</v>
      </c>
      <c r="J41" s="19">
        <f t="shared" si="17"/>
        <v>0.4947544662496961</v>
      </c>
      <c r="K41" s="11"/>
      <c r="L41" s="20">
        <f>ROUND(I41,4)</f>
        <v>2.1000000000000001E-2</v>
      </c>
      <c r="M41" s="21">
        <f t="shared" si="14"/>
        <v>1.1613</v>
      </c>
      <c r="N41" s="25" t="s">
        <v>312</v>
      </c>
      <c r="O41" s="22">
        <f t="shared" si="18"/>
        <v>2142.5985000000001</v>
      </c>
      <c r="P41" s="22">
        <f t="shared" si="11"/>
        <v>2142.5985000000001</v>
      </c>
      <c r="Q41" s="22">
        <f t="shared" si="12"/>
        <v>297.59850000000006</v>
      </c>
      <c r="R41" s="23">
        <f t="shared" si="15"/>
        <v>1</v>
      </c>
    </row>
    <row r="42" spans="1:18" ht="12.75" x14ac:dyDescent="0.2">
      <c r="A42" s="41" t="s">
        <v>315</v>
      </c>
      <c r="B42" s="10"/>
      <c r="C42" s="16"/>
      <c r="H42" s="18"/>
      <c r="I42" s="19"/>
      <c r="J42" s="19"/>
      <c r="K42" s="11"/>
      <c r="L42" s="20"/>
      <c r="M42" s="45" t="s">
        <v>322</v>
      </c>
      <c r="N42" s="45" t="s">
        <v>322</v>
      </c>
      <c r="O42" s="45" t="s">
        <v>322</v>
      </c>
      <c r="P42" s="45" t="s">
        <v>322</v>
      </c>
      <c r="Q42" s="45" t="s">
        <v>322</v>
      </c>
      <c r="R42" s="45" t="s">
        <v>322</v>
      </c>
    </row>
    <row r="43" spans="1:18" s="33" customFormat="1" ht="12.75" x14ac:dyDescent="0.2">
      <c r="A43" s="16">
        <v>2015</v>
      </c>
      <c r="B43" s="31" t="s">
        <v>296</v>
      </c>
      <c r="C43" s="32">
        <v>2015</v>
      </c>
      <c r="D43" s="33">
        <f>+'CPI-Jun2014'!C226</f>
        <v>2.4021750000000002</v>
      </c>
      <c r="E43" s="33">
        <f>+'CPI-Jun2014'!C227</f>
        <v>2.4078469999999998</v>
      </c>
      <c r="F43" s="33">
        <f>+'CPI-Jun2014'!C228</f>
        <v>2.416604</v>
      </c>
      <c r="G43" s="33">
        <f>+'CPI-Jun2014'!C229</f>
        <v>2.4214349999999998</v>
      </c>
      <c r="H43" s="34">
        <f>(F31+G31+D43+E43)/4</f>
        <v>2.3954515000000001</v>
      </c>
      <c r="I43" s="35">
        <f>(H43/H31)-1</f>
        <v>1.9747661088697965E-2</v>
      </c>
      <c r="J43" s="35">
        <f>(H43/$H$21)-1</f>
        <v>0.28712753714805617</v>
      </c>
      <c r="K43" s="36"/>
      <c r="L43" s="37">
        <f>ROUND(I43,4)</f>
        <v>1.9699999999999999E-2</v>
      </c>
      <c r="M43" s="38">
        <f>ROUND(H43/H$21,4)</f>
        <v>1.2870999999999999</v>
      </c>
      <c r="N43" s="39">
        <f>ROUND(5224*0.26,2)</f>
        <v>1358.24</v>
      </c>
      <c r="O43" s="39">
        <f>M43*1294</f>
        <v>1665.5074</v>
      </c>
      <c r="P43" s="39">
        <f>IF(N43&gt;O43,N43,O43)</f>
        <v>1665.5074</v>
      </c>
      <c r="Q43" s="39">
        <f>P43-855.79</f>
        <v>809.7174</v>
      </c>
      <c r="R43" s="40">
        <f>R$25+(0.25*(5224/5074-1))</f>
        <v>1.1449906188411509</v>
      </c>
    </row>
    <row r="44" spans="1:18" ht="12.75" x14ac:dyDescent="0.2">
      <c r="A44" s="11" t="s">
        <v>291</v>
      </c>
      <c r="B44" s="45" t="s">
        <v>322</v>
      </c>
      <c r="C44" s="45" t="s">
        <v>322</v>
      </c>
      <c r="D44" s="45" t="s">
        <v>322</v>
      </c>
      <c r="E44" s="45" t="s">
        <v>322</v>
      </c>
      <c r="F44" s="45" t="s">
        <v>322</v>
      </c>
      <c r="G44" s="45" t="s">
        <v>322</v>
      </c>
      <c r="H44" s="45" t="s">
        <v>322</v>
      </c>
      <c r="I44" s="45" t="s">
        <v>322</v>
      </c>
      <c r="J44" s="45" t="s">
        <v>322</v>
      </c>
      <c r="K44" s="45" t="s">
        <v>322</v>
      </c>
      <c r="L44" s="45" t="s">
        <v>322</v>
      </c>
      <c r="M44" s="45" t="s">
        <v>322</v>
      </c>
      <c r="N44" s="45" t="s">
        <v>322</v>
      </c>
      <c r="O44" s="45" t="s">
        <v>322</v>
      </c>
      <c r="P44" s="45" t="s">
        <v>322</v>
      </c>
      <c r="Q44" s="45" t="s">
        <v>322</v>
      </c>
      <c r="R44" s="45" t="s">
        <v>322</v>
      </c>
    </row>
    <row r="45" spans="1:18" ht="12.75" x14ac:dyDescent="0.2">
      <c r="A45" s="11" t="s">
        <v>318</v>
      </c>
      <c r="B45" s="11"/>
      <c r="C45" s="11"/>
      <c r="D45" s="26"/>
      <c r="E45" s="26"/>
      <c r="F45" s="26"/>
      <c r="G45" s="26"/>
      <c r="H45" s="11"/>
      <c r="I45" s="11"/>
      <c r="J45" s="27"/>
      <c r="K45" s="11"/>
      <c r="L45" s="11"/>
      <c r="M45" s="11"/>
      <c r="N45" s="11"/>
      <c r="O45" s="11"/>
      <c r="P45" s="45" t="s">
        <v>322</v>
      </c>
      <c r="Q45" s="45" t="s">
        <v>322</v>
      </c>
      <c r="R45" s="45" t="s">
        <v>322</v>
      </c>
    </row>
    <row r="46" spans="1:18" ht="12.75" x14ac:dyDescent="0.2">
      <c r="A46" s="11" t="s">
        <v>317</v>
      </c>
      <c r="B46" s="11"/>
      <c r="C46" s="11"/>
      <c r="D46" s="26"/>
      <c r="E46" s="26"/>
      <c r="F46" s="26"/>
      <c r="G46" s="26"/>
      <c r="H46" s="11"/>
      <c r="I46" s="11"/>
      <c r="J46" s="27"/>
      <c r="K46" s="11"/>
      <c r="L46" s="11"/>
      <c r="M46" s="11"/>
      <c r="N46" s="11"/>
      <c r="O46" s="11"/>
      <c r="P46" s="45" t="s">
        <v>322</v>
      </c>
      <c r="Q46" s="45" t="s">
        <v>322</v>
      </c>
      <c r="R46" s="45" t="s">
        <v>322</v>
      </c>
    </row>
    <row r="47" spans="1:18" ht="12.75" x14ac:dyDescent="0.2">
      <c r="A47" s="11" t="s">
        <v>319</v>
      </c>
      <c r="B47" s="11"/>
      <c r="D47" s="28"/>
      <c r="E47" s="28"/>
      <c r="F47" s="28"/>
      <c r="G47" s="28"/>
      <c r="J47" s="29"/>
      <c r="P47" s="45" t="s">
        <v>322</v>
      </c>
      <c r="Q47" s="45" t="s">
        <v>322</v>
      </c>
      <c r="R47" s="45" t="s">
        <v>322</v>
      </c>
    </row>
    <row r="48" spans="1:18" x14ac:dyDescent="0.2">
      <c r="A48" s="9" t="s">
        <v>323</v>
      </c>
      <c r="D48" s="28"/>
      <c r="E48" s="28"/>
      <c r="F48" s="28"/>
      <c r="G48" s="28"/>
      <c r="J48" s="29"/>
    </row>
    <row r="49" spans="10:10" hidden="1" x14ac:dyDescent="0.2">
      <c r="J49" s="29"/>
    </row>
    <row r="50" spans="10:10" hidden="1" x14ac:dyDescent="0.2">
      <c r="J50" s="29"/>
    </row>
    <row r="51" spans="10:10" hidden="1" x14ac:dyDescent="0.2"/>
    <row r="52" spans="10:10" hidden="1" x14ac:dyDescent="0.2"/>
    <row r="53" spans="10:10" hidden="1" x14ac:dyDescent="0.2"/>
    <row r="54" spans="10:10" hidden="1" x14ac:dyDescent="0.2"/>
    <row r="55" spans="10:10" hidden="1" x14ac:dyDescent="0.2"/>
    <row r="56" spans="10:10" hidden="1" x14ac:dyDescent="0.2"/>
  </sheetData>
  <phoneticPr fontId="0" type="noConversion"/>
  <pageMargins left="0.75" right="0.75" top="1.79" bottom="1" header="1.03" footer="0.5"/>
  <pageSetup scale="88" orientation="landscape" r:id="rId1"/>
  <headerFooter alignWithMargins="0">
    <oddHeader>&amp;L&amp;10MDE / School Finance&amp;C&amp;12Revised Referendum Cap Inflation Estimates,
 FY 2005 - FY 2023
&amp;R&amp;10&amp;D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0" defaultRowHeight="11.25" zeroHeight="1" x14ac:dyDescent="0.2"/>
  <cols>
    <col min="1" max="1" width="21.1640625" style="2" customWidth="1"/>
    <col min="2" max="2" width="11" style="2" customWidth="1"/>
    <col min="3" max="9" width="10.6640625" style="2" customWidth="1"/>
    <col min="10" max="16384" width="10.6640625" style="2" hidden="1"/>
  </cols>
  <sheetData>
    <row r="1" spans="1:9" x14ac:dyDescent="0.2">
      <c r="A1" s="1" t="s">
        <v>37</v>
      </c>
      <c r="B1" s="1" t="s">
        <v>37</v>
      </c>
      <c r="C1" s="1" t="s">
        <v>298</v>
      </c>
      <c r="D1" s="6" t="s">
        <v>43</v>
      </c>
      <c r="E1" s="6" t="s">
        <v>44</v>
      </c>
      <c r="F1" s="6" t="s">
        <v>285</v>
      </c>
      <c r="G1" s="6" t="s">
        <v>286</v>
      </c>
      <c r="H1" s="46" t="s">
        <v>322</v>
      </c>
      <c r="I1" s="46" t="s">
        <v>322</v>
      </c>
    </row>
    <row r="2" spans="1:9" x14ac:dyDescent="0.2">
      <c r="A2" s="3">
        <v>81.625694444444449</v>
      </c>
      <c r="B2" s="7" t="s">
        <v>45</v>
      </c>
      <c r="C2" s="4">
        <v>0.289933</v>
      </c>
      <c r="D2" s="4">
        <v>0.289933</v>
      </c>
      <c r="E2" s="5">
        <f>C2-D2</f>
        <v>0</v>
      </c>
      <c r="F2" s="5"/>
      <c r="H2" s="46" t="s">
        <v>322</v>
      </c>
      <c r="I2" s="46" t="s">
        <v>322</v>
      </c>
    </row>
    <row r="3" spans="1:9" x14ac:dyDescent="0.2">
      <c r="A3" s="3">
        <v>81.626388888888883</v>
      </c>
      <c r="B3" s="7" t="s">
        <v>46</v>
      </c>
      <c r="C3" s="4">
        <v>0.290433</v>
      </c>
      <c r="D3" s="4">
        <v>0.290433</v>
      </c>
      <c r="E3" s="5">
        <f>C3-D3</f>
        <v>0</v>
      </c>
      <c r="F3" s="8">
        <f>C3-C2</f>
        <v>5.0000000000000044E-4</v>
      </c>
      <c r="G3" s="8">
        <f>D3-D2</f>
        <v>5.0000000000000044E-4</v>
      </c>
      <c r="H3" s="46" t="s">
        <v>322</v>
      </c>
      <c r="I3" s="46" t="s">
        <v>322</v>
      </c>
    </row>
    <row r="4" spans="1:9" x14ac:dyDescent="0.2">
      <c r="A4" s="3">
        <v>81.627083333333331</v>
      </c>
      <c r="B4" s="7" t="s">
        <v>47</v>
      </c>
      <c r="C4" s="4">
        <v>0.291933</v>
      </c>
      <c r="D4" s="4">
        <v>0.291933</v>
      </c>
      <c r="E4" s="5">
        <f t="shared" ref="E4:E66" si="0">C4-D4</f>
        <v>0</v>
      </c>
      <c r="F4" s="8">
        <f t="shared" ref="F4:F67" si="1">C4-C3</f>
        <v>1.5000000000000013E-3</v>
      </c>
      <c r="G4" s="8">
        <f t="shared" ref="G4:G67" si="2">D4-D3</f>
        <v>1.5000000000000013E-3</v>
      </c>
      <c r="H4" s="46" t="s">
        <v>322</v>
      </c>
      <c r="I4" s="46" t="s">
        <v>322</v>
      </c>
    </row>
    <row r="5" spans="1:9" x14ac:dyDescent="0.2">
      <c r="A5" s="3">
        <v>81.62777777777778</v>
      </c>
      <c r="B5" s="7" t="s">
        <v>48</v>
      </c>
      <c r="C5" s="4">
        <v>0.29370000000000002</v>
      </c>
      <c r="D5" s="4">
        <v>0.29370000000000002</v>
      </c>
      <c r="E5" s="5">
        <f t="shared" si="0"/>
        <v>0</v>
      </c>
      <c r="F5" s="8">
        <f t="shared" si="1"/>
        <v>1.7670000000000186E-3</v>
      </c>
      <c r="G5" s="8">
        <f t="shared" si="2"/>
        <v>1.7670000000000186E-3</v>
      </c>
      <c r="H5" s="46" t="s">
        <v>322</v>
      </c>
      <c r="I5" s="46" t="s">
        <v>322</v>
      </c>
    </row>
    <row r="6" spans="1:9" x14ac:dyDescent="0.2">
      <c r="A6" s="3">
        <v>81.667361111111106</v>
      </c>
      <c r="B6" s="7" t="s">
        <v>49</v>
      </c>
      <c r="C6" s="4">
        <v>0.29396699999999998</v>
      </c>
      <c r="D6" s="4">
        <v>0.29396699999999998</v>
      </c>
      <c r="E6" s="5">
        <f t="shared" si="0"/>
        <v>0</v>
      </c>
      <c r="F6" s="8">
        <f t="shared" si="1"/>
        <v>2.6699999999996171E-4</v>
      </c>
      <c r="G6" s="8">
        <f t="shared" si="2"/>
        <v>2.6699999999996171E-4</v>
      </c>
      <c r="H6" s="46" t="s">
        <v>322</v>
      </c>
      <c r="I6" s="46" t="s">
        <v>322</v>
      </c>
    </row>
    <row r="7" spans="1:9" x14ac:dyDescent="0.2">
      <c r="A7" s="3">
        <v>81.668055555555554</v>
      </c>
      <c r="B7" s="7" t="s">
        <v>50</v>
      </c>
      <c r="C7" s="4">
        <v>0.29573300000000002</v>
      </c>
      <c r="D7" s="4">
        <v>0.29573300000000002</v>
      </c>
      <c r="E7" s="5">
        <f>C7-D7</f>
        <v>0</v>
      </c>
      <c r="F7" s="8">
        <f t="shared" si="1"/>
        <v>1.7660000000000453E-3</v>
      </c>
      <c r="G7" s="8">
        <f t="shared" si="2"/>
        <v>1.7660000000000453E-3</v>
      </c>
      <c r="H7" s="46" t="s">
        <v>322</v>
      </c>
      <c r="I7" s="46" t="s">
        <v>322</v>
      </c>
    </row>
    <row r="8" spans="1:9" x14ac:dyDescent="0.2">
      <c r="A8" s="3">
        <v>81.668750000000003</v>
      </c>
      <c r="B8" s="7" t="s">
        <v>51</v>
      </c>
      <c r="C8" s="4">
        <v>0.2959</v>
      </c>
      <c r="D8" s="4">
        <v>0.2959</v>
      </c>
      <c r="E8" s="5">
        <f t="shared" si="0"/>
        <v>0</v>
      </c>
      <c r="F8" s="8">
        <f t="shared" si="1"/>
        <v>1.6699999999997273E-4</v>
      </c>
      <c r="G8" s="8">
        <f t="shared" si="2"/>
        <v>1.6699999999997273E-4</v>
      </c>
      <c r="H8" s="46" t="s">
        <v>322</v>
      </c>
      <c r="I8" s="46" t="s">
        <v>322</v>
      </c>
    </row>
    <row r="9" spans="1:9" x14ac:dyDescent="0.2">
      <c r="A9" s="3">
        <v>81.669444444444437</v>
      </c>
      <c r="B9" s="7" t="s">
        <v>52</v>
      </c>
      <c r="C9" s="4">
        <v>0.29780000000000001</v>
      </c>
      <c r="D9" s="4">
        <v>0.29780000000000001</v>
      </c>
      <c r="E9" s="5">
        <f t="shared" si="0"/>
        <v>0</v>
      </c>
      <c r="F9" s="8">
        <f t="shared" si="1"/>
        <v>1.9000000000000128E-3</v>
      </c>
      <c r="G9" s="8">
        <f t="shared" si="2"/>
        <v>1.9000000000000128E-3</v>
      </c>
      <c r="H9" s="46" t="s">
        <v>322</v>
      </c>
      <c r="I9" s="46" t="s">
        <v>322</v>
      </c>
    </row>
    <row r="10" spans="1:9" x14ac:dyDescent="0.2">
      <c r="A10" s="3">
        <v>81.709027777777777</v>
      </c>
      <c r="B10" s="7" t="s">
        <v>53</v>
      </c>
      <c r="C10" s="4">
        <v>0.2984</v>
      </c>
      <c r="D10" s="4">
        <v>0.2984</v>
      </c>
      <c r="E10" s="5">
        <f t="shared" si="0"/>
        <v>0</v>
      </c>
      <c r="F10" s="8">
        <f t="shared" si="1"/>
        <v>5.9999999999998943E-4</v>
      </c>
      <c r="G10" s="8">
        <f t="shared" si="2"/>
        <v>5.9999999999998943E-4</v>
      </c>
      <c r="H10" s="46" t="s">
        <v>322</v>
      </c>
      <c r="I10" s="46" t="s">
        <v>322</v>
      </c>
    </row>
    <row r="11" spans="1:9" x14ac:dyDescent="0.2">
      <c r="A11" s="3">
        <v>81.709722222222226</v>
      </c>
      <c r="B11" s="7" t="s">
        <v>54</v>
      </c>
      <c r="C11" s="4">
        <v>0.29830000000000001</v>
      </c>
      <c r="D11" s="4">
        <v>0.29830000000000001</v>
      </c>
      <c r="E11" s="5">
        <f t="shared" si="0"/>
        <v>0</v>
      </c>
      <c r="F11" s="8">
        <f>C11-C10</f>
        <v>-9.9999999999988987E-5</v>
      </c>
      <c r="G11" s="8">
        <f>D11-D10</f>
        <v>-9.9999999999988987E-5</v>
      </c>
      <c r="H11" s="46" t="s">
        <v>322</v>
      </c>
      <c r="I11" s="46" t="s">
        <v>322</v>
      </c>
    </row>
    <row r="12" spans="1:9" x14ac:dyDescent="0.2">
      <c r="A12" s="3">
        <v>81.71041666666666</v>
      </c>
      <c r="B12" s="7" t="s">
        <v>55</v>
      </c>
      <c r="C12" s="4">
        <v>0.29946699999999998</v>
      </c>
      <c r="D12" s="4">
        <v>0.29946699999999998</v>
      </c>
      <c r="E12" s="5">
        <f t="shared" si="0"/>
        <v>0</v>
      </c>
      <c r="F12" s="8">
        <f t="shared" si="1"/>
        <v>1.1669999999999736E-3</v>
      </c>
      <c r="G12" s="8">
        <f t="shared" si="2"/>
        <v>1.1669999999999736E-3</v>
      </c>
      <c r="H12" s="46" t="s">
        <v>322</v>
      </c>
      <c r="I12" s="46" t="s">
        <v>322</v>
      </c>
    </row>
    <row r="13" spans="1:9" x14ac:dyDescent="0.2">
      <c r="A13" s="3">
        <v>81.711111111111109</v>
      </c>
      <c r="B13" s="7" t="s">
        <v>56</v>
      </c>
      <c r="C13" s="4">
        <v>0.2999</v>
      </c>
      <c r="D13" s="4">
        <v>0.2999</v>
      </c>
      <c r="E13" s="5">
        <f t="shared" si="0"/>
        <v>0</v>
      </c>
      <c r="F13" s="8">
        <f t="shared" si="1"/>
        <v>4.330000000000167E-4</v>
      </c>
      <c r="G13" s="8">
        <f t="shared" si="2"/>
        <v>4.330000000000167E-4</v>
      </c>
      <c r="H13" s="46" t="s">
        <v>322</v>
      </c>
      <c r="I13" s="46" t="s">
        <v>322</v>
      </c>
    </row>
    <row r="14" spans="1:9" x14ac:dyDescent="0.2">
      <c r="A14" s="3">
        <v>81.750694444444449</v>
      </c>
      <c r="B14" s="7" t="s">
        <v>57</v>
      </c>
      <c r="C14" s="4">
        <v>0.30106699999999997</v>
      </c>
      <c r="D14" s="4">
        <v>0.30106699999999997</v>
      </c>
      <c r="E14" s="5">
        <f t="shared" si="0"/>
        <v>0</v>
      </c>
      <c r="F14" s="8">
        <f t="shared" si="1"/>
        <v>1.1669999999999736E-3</v>
      </c>
      <c r="G14" s="8">
        <f t="shared" si="2"/>
        <v>1.1669999999999736E-3</v>
      </c>
      <c r="H14" s="46" t="s">
        <v>322</v>
      </c>
      <c r="I14" s="46" t="s">
        <v>322</v>
      </c>
    </row>
    <row r="15" spans="1:9" x14ac:dyDescent="0.2">
      <c r="A15" s="3">
        <v>81.751388888888883</v>
      </c>
      <c r="B15" s="7" t="s">
        <v>58</v>
      </c>
      <c r="C15" s="4">
        <v>0.30220000000000002</v>
      </c>
      <c r="D15" s="4">
        <v>0.30220000000000002</v>
      </c>
      <c r="E15" s="5">
        <f t="shared" si="0"/>
        <v>0</v>
      </c>
      <c r="F15" s="8">
        <f t="shared" si="1"/>
        <v>1.1330000000000506E-3</v>
      </c>
      <c r="G15" s="8">
        <f t="shared" si="2"/>
        <v>1.1330000000000506E-3</v>
      </c>
      <c r="H15" s="46" t="s">
        <v>322</v>
      </c>
      <c r="I15" s="46" t="s">
        <v>322</v>
      </c>
    </row>
    <row r="16" spans="1:9" x14ac:dyDescent="0.2">
      <c r="A16" s="3">
        <v>81.752083333333331</v>
      </c>
      <c r="B16" s="7" t="s">
        <v>59</v>
      </c>
      <c r="C16" s="4">
        <v>0.30306699999999998</v>
      </c>
      <c r="D16" s="4">
        <v>0.30306699999999998</v>
      </c>
      <c r="E16" s="5">
        <f t="shared" si="0"/>
        <v>0</v>
      </c>
      <c r="F16" s="8">
        <f t="shared" si="1"/>
        <v>8.6699999999995114E-4</v>
      </c>
      <c r="G16" s="8">
        <f t="shared" si="2"/>
        <v>8.6699999999995114E-4</v>
      </c>
      <c r="H16" s="46" t="s">
        <v>322</v>
      </c>
      <c r="I16" s="46" t="s">
        <v>322</v>
      </c>
    </row>
    <row r="17" spans="1:9" x14ac:dyDescent="0.2">
      <c r="A17" s="3">
        <v>81.75277777777778</v>
      </c>
      <c r="B17" s="7" t="s">
        <v>60</v>
      </c>
      <c r="C17" s="4">
        <v>0.30380000000000001</v>
      </c>
      <c r="D17" s="4">
        <v>0.30380000000000001</v>
      </c>
      <c r="E17" s="5">
        <f t="shared" si="0"/>
        <v>0</v>
      </c>
      <c r="F17" s="8">
        <f t="shared" si="1"/>
        <v>7.3300000000003918E-4</v>
      </c>
      <c r="G17" s="8">
        <f t="shared" si="2"/>
        <v>7.3300000000003918E-4</v>
      </c>
      <c r="H17" s="46" t="s">
        <v>322</v>
      </c>
      <c r="I17" s="46" t="s">
        <v>322</v>
      </c>
    </row>
    <row r="18" spans="1:9" x14ac:dyDescent="0.2">
      <c r="A18" s="3">
        <v>81.792361111111106</v>
      </c>
      <c r="B18" s="7" t="s">
        <v>61</v>
      </c>
      <c r="C18" s="4">
        <v>0.30476700000000001</v>
      </c>
      <c r="D18" s="4">
        <v>0.30476700000000001</v>
      </c>
      <c r="E18" s="5">
        <f t="shared" si="0"/>
        <v>0</v>
      </c>
      <c r="F18" s="8">
        <f t="shared" si="1"/>
        <v>9.6699999999999564E-4</v>
      </c>
      <c r="G18" s="8">
        <f t="shared" si="2"/>
        <v>9.6699999999999564E-4</v>
      </c>
      <c r="H18" s="46" t="s">
        <v>322</v>
      </c>
      <c r="I18" s="46" t="s">
        <v>322</v>
      </c>
    </row>
    <row r="19" spans="1:9" x14ac:dyDescent="0.2">
      <c r="A19" s="3">
        <v>81.793055555555554</v>
      </c>
      <c r="B19" s="7" t="s">
        <v>62</v>
      </c>
      <c r="C19" s="4">
        <v>0.30533300000000002</v>
      </c>
      <c r="D19" s="4">
        <v>0.30533300000000002</v>
      </c>
      <c r="E19" s="5">
        <f t="shared" si="0"/>
        <v>0</v>
      </c>
      <c r="F19" s="8">
        <f t="shared" si="1"/>
        <v>5.6600000000001094E-4</v>
      </c>
      <c r="G19" s="8">
        <f t="shared" si="2"/>
        <v>5.6600000000001094E-4</v>
      </c>
      <c r="H19" s="46" t="s">
        <v>322</v>
      </c>
      <c r="I19" s="46" t="s">
        <v>322</v>
      </c>
    </row>
    <row r="20" spans="1:9" x14ac:dyDescent="0.2">
      <c r="A20" s="3">
        <v>81.793750000000003</v>
      </c>
      <c r="B20" s="7" t="s">
        <v>63</v>
      </c>
      <c r="C20" s="4">
        <v>0.30719999999999997</v>
      </c>
      <c r="D20" s="4">
        <v>0.30719999999999997</v>
      </c>
      <c r="E20" s="5">
        <f t="shared" si="0"/>
        <v>0</v>
      </c>
      <c r="F20" s="8">
        <f t="shared" si="1"/>
        <v>1.866999999999952E-3</v>
      </c>
      <c r="G20" s="8">
        <f t="shared" si="2"/>
        <v>1.866999999999952E-3</v>
      </c>
      <c r="H20" s="46" t="s">
        <v>322</v>
      </c>
      <c r="I20" s="46" t="s">
        <v>322</v>
      </c>
    </row>
    <row r="21" spans="1:9" x14ac:dyDescent="0.2">
      <c r="A21" s="3">
        <v>81.794444444444437</v>
      </c>
      <c r="B21" s="7" t="s">
        <v>64</v>
      </c>
      <c r="C21" s="4">
        <v>0.308033</v>
      </c>
      <c r="D21" s="4">
        <v>0.308033</v>
      </c>
      <c r="E21" s="5">
        <f t="shared" si="0"/>
        <v>0</v>
      </c>
      <c r="F21" s="8">
        <f t="shared" si="1"/>
        <v>8.3300000000002816E-4</v>
      </c>
      <c r="G21" s="8">
        <f t="shared" si="2"/>
        <v>8.3300000000002816E-4</v>
      </c>
      <c r="H21" s="46" t="s">
        <v>322</v>
      </c>
      <c r="I21" s="46" t="s">
        <v>322</v>
      </c>
    </row>
    <row r="22" spans="1:9" x14ac:dyDescent="0.2">
      <c r="A22" s="3">
        <v>81.834027777777777</v>
      </c>
      <c r="B22" s="7" t="s">
        <v>65</v>
      </c>
      <c r="C22" s="4">
        <v>0.30930000000000002</v>
      </c>
      <c r="D22" s="4">
        <v>0.30930000000000002</v>
      </c>
      <c r="E22" s="5">
        <f t="shared" si="0"/>
        <v>0</v>
      </c>
      <c r="F22" s="8">
        <f t="shared" si="1"/>
        <v>1.2670000000000181E-3</v>
      </c>
      <c r="G22" s="8">
        <f t="shared" si="2"/>
        <v>1.2670000000000181E-3</v>
      </c>
      <c r="H22" s="46" t="s">
        <v>322</v>
      </c>
      <c r="I22" s="46" t="s">
        <v>322</v>
      </c>
    </row>
    <row r="23" spans="1:9" x14ac:dyDescent="0.2">
      <c r="A23" s="3">
        <v>81.834722222222226</v>
      </c>
      <c r="B23" s="7" t="s">
        <v>66</v>
      </c>
      <c r="C23" s="4">
        <v>0.30980000000000002</v>
      </c>
      <c r="D23" s="4">
        <v>0.30980000000000002</v>
      </c>
      <c r="E23" s="5">
        <f t="shared" si="0"/>
        <v>0</v>
      </c>
      <c r="F23" s="8">
        <f t="shared" si="1"/>
        <v>5.0000000000000044E-4</v>
      </c>
      <c r="G23" s="8">
        <f t="shared" si="2"/>
        <v>5.0000000000000044E-4</v>
      </c>
      <c r="H23" s="46" t="s">
        <v>322</v>
      </c>
      <c r="I23" s="46" t="s">
        <v>322</v>
      </c>
    </row>
    <row r="24" spans="1:9" x14ac:dyDescent="0.2">
      <c r="A24" s="3">
        <v>81.83541666666666</v>
      </c>
      <c r="B24" s="7" t="s">
        <v>67</v>
      </c>
      <c r="C24" s="4">
        <v>0.3105</v>
      </c>
      <c r="D24" s="4">
        <v>0.3105</v>
      </c>
      <c r="E24" s="5">
        <f t="shared" si="0"/>
        <v>0</v>
      </c>
      <c r="F24" s="8">
        <f t="shared" si="1"/>
        <v>6.9999999999997842E-4</v>
      </c>
      <c r="G24" s="8">
        <f t="shared" si="2"/>
        <v>6.9999999999997842E-4</v>
      </c>
      <c r="H24" s="46" t="s">
        <v>322</v>
      </c>
      <c r="I24" s="46" t="s">
        <v>322</v>
      </c>
    </row>
    <row r="25" spans="1:9" x14ac:dyDescent="0.2">
      <c r="A25" s="3">
        <v>81.836111111111109</v>
      </c>
      <c r="B25" s="7" t="s">
        <v>68</v>
      </c>
      <c r="C25" s="4">
        <v>0.31193300000000002</v>
      </c>
      <c r="D25" s="4">
        <v>0.31193300000000002</v>
      </c>
      <c r="E25" s="5">
        <f t="shared" si="0"/>
        <v>0</v>
      </c>
      <c r="F25" s="8">
        <f t="shared" si="1"/>
        <v>1.4330000000000176E-3</v>
      </c>
      <c r="G25" s="8">
        <f t="shared" si="2"/>
        <v>1.4330000000000176E-3</v>
      </c>
      <c r="H25" s="46" t="s">
        <v>322</v>
      </c>
      <c r="I25" s="46" t="s">
        <v>322</v>
      </c>
    </row>
    <row r="26" spans="1:9" x14ac:dyDescent="0.2">
      <c r="A26" s="3">
        <v>81.875694444444449</v>
      </c>
      <c r="B26" s="7" t="s">
        <v>69</v>
      </c>
      <c r="C26" s="4">
        <v>0.31290000000000001</v>
      </c>
      <c r="D26" s="4">
        <v>0.31290000000000001</v>
      </c>
      <c r="E26" s="5">
        <f t="shared" si="0"/>
        <v>0</v>
      </c>
      <c r="F26" s="8">
        <f t="shared" si="1"/>
        <v>9.6699999999999564E-4</v>
      </c>
      <c r="G26" s="8">
        <f t="shared" si="2"/>
        <v>9.6699999999999564E-4</v>
      </c>
      <c r="H26" s="46" t="s">
        <v>322</v>
      </c>
      <c r="I26" s="46" t="s">
        <v>322</v>
      </c>
    </row>
    <row r="27" spans="1:9" x14ac:dyDescent="0.2">
      <c r="A27" s="3">
        <v>81.876388888888883</v>
      </c>
      <c r="B27" s="7" t="s">
        <v>70</v>
      </c>
      <c r="C27" s="4">
        <v>0.31490000000000001</v>
      </c>
      <c r="D27" s="4">
        <v>0.31490000000000001</v>
      </c>
      <c r="E27" s="5">
        <f t="shared" si="0"/>
        <v>0</v>
      </c>
      <c r="F27" s="8">
        <f t="shared" si="1"/>
        <v>2.0000000000000018E-3</v>
      </c>
      <c r="G27" s="8">
        <f t="shared" si="2"/>
        <v>2.0000000000000018E-3</v>
      </c>
      <c r="H27" s="46" t="s">
        <v>322</v>
      </c>
      <c r="I27" s="46" t="s">
        <v>322</v>
      </c>
    </row>
    <row r="28" spans="1:9" x14ac:dyDescent="0.2">
      <c r="A28" s="3">
        <v>81.877083333333331</v>
      </c>
      <c r="B28" s="7" t="s">
        <v>71</v>
      </c>
      <c r="C28" s="4">
        <v>0.31583299999999997</v>
      </c>
      <c r="D28" s="4">
        <v>0.31583299999999997</v>
      </c>
      <c r="E28" s="5">
        <f t="shared" si="0"/>
        <v>0</v>
      </c>
      <c r="F28" s="8">
        <f t="shared" si="1"/>
        <v>9.3299999999996164E-4</v>
      </c>
      <c r="G28" s="8">
        <f t="shared" si="2"/>
        <v>9.3299999999996164E-4</v>
      </c>
      <c r="H28" s="46" t="s">
        <v>322</v>
      </c>
      <c r="I28" s="46" t="s">
        <v>322</v>
      </c>
    </row>
    <row r="29" spans="1:9" x14ac:dyDescent="0.2">
      <c r="A29" s="3">
        <v>81.87777777777778</v>
      </c>
      <c r="B29" s="7" t="s">
        <v>72</v>
      </c>
      <c r="C29" s="4">
        <v>0.3175</v>
      </c>
      <c r="D29" s="4">
        <v>0.3175</v>
      </c>
      <c r="E29" s="5">
        <f t="shared" si="0"/>
        <v>0</v>
      </c>
      <c r="F29" s="8">
        <f t="shared" si="1"/>
        <v>1.6670000000000296E-3</v>
      </c>
      <c r="G29" s="8">
        <f t="shared" si="2"/>
        <v>1.6670000000000296E-3</v>
      </c>
      <c r="H29" s="46" t="s">
        <v>322</v>
      </c>
      <c r="I29" s="46" t="s">
        <v>322</v>
      </c>
    </row>
    <row r="30" spans="1:9" x14ac:dyDescent="0.2">
      <c r="A30" s="3">
        <v>81.917361111111106</v>
      </c>
      <c r="B30" s="7" t="s">
        <v>73</v>
      </c>
      <c r="C30" s="4">
        <v>0.320467</v>
      </c>
      <c r="D30" s="4">
        <v>0.320467</v>
      </c>
      <c r="E30" s="5">
        <f t="shared" si="0"/>
        <v>0</v>
      </c>
      <c r="F30" s="8">
        <f t="shared" si="1"/>
        <v>2.9669999999999974E-3</v>
      </c>
      <c r="G30" s="8">
        <f t="shared" si="2"/>
        <v>2.9669999999999974E-3</v>
      </c>
      <c r="H30" s="46" t="s">
        <v>322</v>
      </c>
      <c r="I30" s="46" t="s">
        <v>322</v>
      </c>
    </row>
    <row r="31" spans="1:9" x14ac:dyDescent="0.2">
      <c r="A31" s="3">
        <v>81.918055555555554</v>
      </c>
      <c r="B31" s="7" t="s">
        <v>74</v>
      </c>
      <c r="C31" s="4">
        <v>0.32336700000000002</v>
      </c>
      <c r="D31" s="4">
        <v>0.32336700000000002</v>
      </c>
      <c r="E31" s="5">
        <f t="shared" si="0"/>
        <v>0</v>
      </c>
      <c r="F31" s="8">
        <f t="shared" si="1"/>
        <v>2.9000000000000137E-3</v>
      </c>
      <c r="G31" s="8">
        <f t="shared" si="2"/>
        <v>2.9000000000000137E-3</v>
      </c>
      <c r="H31" s="46" t="s">
        <v>322</v>
      </c>
      <c r="I31" s="46" t="s">
        <v>322</v>
      </c>
    </row>
    <row r="32" spans="1:9" x14ac:dyDescent="0.2">
      <c r="A32" s="3">
        <v>81.918750000000003</v>
      </c>
      <c r="B32" s="7" t="s">
        <v>75</v>
      </c>
      <c r="C32" s="4">
        <v>0.32616699999999998</v>
      </c>
      <c r="D32" s="4">
        <v>0.32616699999999998</v>
      </c>
      <c r="E32" s="5">
        <f t="shared" si="0"/>
        <v>0</v>
      </c>
      <c r="F32" s="8">
        <f t="shared" si="1"/>
        <v>2.7999999999999692E-3</v>
      </c>
      <c r="G32" s="8">
        <f t="shared" si="2"/>
        <v>2.7999999999999692E-3</v>
      </c>
      <c r="H32" s="46" t="s">
        <v>322</v>
      </c>
      <c r="I32" s="46" t="s">
        <v>322</v>
      </c>
    </row>
    <row r="33" spans="1:9" x14ac:dyDescent="0.2">
      <c r="A33" s="3">
        <v>81.919444444444437</v>
      </c>
      <c r="B33" s="7" t="s">
        <v>76</v>
      </c>
      <c r="C33" s="4">
        <v>0.32883299999999999</v>
      </c>
      <c r="D33" s="4">
        <v>0.32883299999999999</v>
      </c>
      <c r="E33" s="5">
        <f t="shared" si="0"/>
        <v>0</v>
      </c>
      <c r="F33" s="8">
        <f t="shared" si="1"/>
        <v>2.6660000000000017E-3</v>
      </c>
      <c r="G33" s="8">
        <f t="shared" si="2"/>
        <v>2.6660000000000017E-3</v>
      </c>
      <c r="H33" s="46" t="s">
        <v>322</v>
      </c>
      <c r="I33" s="46" t="s">
        <v>322</v>
      </c>
    </row>
    <row r="34" spans="1:9" x14ac:dyDescent="0.2">
      <c r="A34" s="3">
        <v>81.959027777777777</v>
      </c>
      <c r="B34" s="7" t="s">
        <v>77</v>
      </c>
      <c r="C34" s="4">
        <v>0.32966699999999999</v>
      </c>
      <c r="D34" s="4">
        <v>0.32966699999999999</v>
      </c>
      <c r="E34" s="5">
        <f t="shared" si="0"/>
        <v>0</v>
      </c>
      <c r="F34" s="8">
        <f t="shared" si="1"/>
        <v>8.3400000000000141E-4</v>
      </c>
      <c r="G34" s="8">
        <f t="shared" si="2"/>
        <v>8.3400000000000141E-4</v>
      </c>
      <c r="H34" s="46" t="s">
        <v>322</v>
      </c>
      <c r="I34" s="46" t="s">
        <v>322</v>
      </c>
    </row>
    <row r="35" spans="1:9" x14ac:dyDescent="0.2">
      <c r="A35" s="3">
        <v>81.959722222222226</v>
      </c>
      <c r="B35" s="7" t="s">
        <v>78</v>
      </c>
      <c r="C35" s="4">
        <v>0.33166699999999999</v>
      </c>
      <c r="D35" s="4">
        <v>0.33166699999999999</v>
      </c>
      <c r="E35" s="5">
        <f t="shared" si="0"/>
        <v>0</v>
      </c>
      <c r="F35" s="8">
        <f t="shared" si="1"/>
        <v>2.0000000000000018E-3</v>
      </c>
      <c r="G35" s="8">
        <f t="shared" si="2"/>
        <v>2.0000000000000018E-3</v>
      </c>
      <c r="H35" s="46" t="s">
        <v>322</v>
      </c>
      <c r="I35" s="46" t="s">
        <v>322</v>
      </c>
    </row>
    <row r="36" spans="1:9" x14ac:dyDescent="0.2">
      <c r="A36" s="3">
        <v>81.96041666666666</v>
      </c>
      <c r="B36" s="7" t="s">
        <v>79</v>
      </c>
      <c r="C36" s="4">
        <v>0.33500000000000002</v>
      </c>
      <c r="D36" s="4">
        <v>0.33500000000000002</v>
      </c>
      <c r="E36" s="5">
        <f t="shared" si="0"/>
        <v>0</v>
      </c>
      <c r="F36" s="8">
        <f t="shared" si="1"/>
        <v>3.3330000000000304E-3</v>
      </c>
      <c r="G36" s="8">
        <f t="shared" si="2"/>
        <v>3.3330000000000304E-3</v>
      </c>
      <c r="H36" s="46" t="s">
        <v>322</v>
      </c>
      <c r="I36" s="46" t="s">
        <v>322</v>
      </c>
    </row>
    <row r="37" spans="1:9" x14ac:dyDescent="0.2">
      <c r="A37" s="3">
        <v>81.961111111111109</v>
      </c>
      <c r="B37" s="7" t="s">
        <v>80</v>
      </c>
      <c r="C37" s="4">
        <v>0.338667</v>
      </c>
      <c r="D37" s="4">
        <v>0.338667</v>
      </c>
      <c r="E37" s="5">
        <f t="shared" si="0"/>
        <v>0</v>
      </c>
      <c r="F37" s="8">
        <f t="shared" si="1"/>
        <v>3.6669999999999758E-3</v>
      </c>
      <c r="G37" s="8">
        <f t="shared" si="2"/>
        <v>3.6669999999999758E-3</v>
      </c>
      <c r="H37" s="46" t="s">
        <v>322</v>
      </c>
      <c r="I37" s="46" t="s">
        <v>322</v>
      </c>
    </row>
    <row r="38" spans="1:9" x14ac:dyDescent="0.2">
      <c r="A38" s="3">
        <v>82.000694444444449</v>
      </c>
      <c r="B38" s="7" t="s">
        <v>81</v>
      </c>
      <c r="C38" s="4">
        <v>0.34200000000000003</v>
      </c>
      <c r="D38" s="4">
        <v>0.34200000000000003</v>
      </c>
      <c r="E38" s="5">
        <f t="shared" si="0"/>
        <v>0</v>
      </c>
      <c r="F38" s="8">
        <f t="shared" si="1"/>
        <v>3.3330000000000304E-3</v>
      </c>
      <c r="G38" s="8">
        <f t="shared" si="2"/>
        <v>3.3330000000000304E-3</v>
      </c>
      <c r="H38" s="46" t="s">
        <v>322</v>
      </c>
      <c r="I38" s="46" t="s">
        <v>322</v>
      </c>
    </row>
    <row r="39" spans="1:9" x14ac:dyDescent="0.2">
      <c r="A39" s="3">
        <v>82.001388888888883</v>
      </c>
      <c r="B39" s="7" t="s">
        <v>82</v>
      </c>
      <c r="C39" s="4">
        <v>0.345333</v>
      </c>
      <c r="D39" s="4">
        <v>0.345333</v>
      </c>
      <c r="E39" s="5">
        <f t="shared" si="0"/>
        <v>0</v>
      </c>
      <c r="F39" s="8">
        <f t="shared" si="1"/>
        <v>3.3329999999999749E-3</v>
      </c>
      <c r="G39" s="8">
        <f t="shared" si="2"/>
        <v>3.3329999999999749E-3</v>
      </c>
      <c r="H39" s="46" t="s">
        <v>322</v>
      </c>
      <c r="I39" s="46" t="s">
        <v>322</v>
      </c>
    </row>
    <row r="40" spans="1:9" x14ac:dyDescent="0.2">
      <c r="A40" s="3">
        <v>82.002083333333331</v>
      </c>
      <c r="B40" s="7" t="s">
        <v>83</v>
      </c>
      <c r="C40" s="4">
        <v>0.35</v>
      </c>
      <c r="D40" s="4">
        <v>0.35</v>
      </c>
      <c r="E40" s="5">
        <f t="shared" si="0"/>
        <v>0</v>
      </c>
      <c r="F40" s="8">
        <f t="shared" si="1"/>
        <v>4.6669999999999767E-3</v>
      </c>
      <c r="G40" s="8">
        <f t="shared" si="2"/>
        <v>4.6669999999999767E-3</v>
      </c>
      <c r="H40" s="46" t="s">
        <v>322</v>
      </c>
      <c r="I40" s="46" t="s">
        <v>322</v>
      </c>
    </row>
    <row r="41" spans="1:9" x14ac:dyDescent="0.2">
      <c r="A41" s="3">
        <v>82.00277777777778</v>
      </c>
      <c r="B41" s="7" t="s">
        <v>84</v>
      </c>
      <c r="C41" s="4">
        <v>0.35433300000000001</v>
      </c>
      <c r="D41" s="4">
        <v>0.35433300000000001</v>
      </c>
      <c r="E41" s="5">
        <f t="shared" si="0"/>
        <v>0</v>
      </c>
      <c r="F41" s="8">
        <f t="shared" si="1"/>
        <v>4.3330000000000313E-3</v>
      </c>
      <c r="G41" s="8">
        <f t="shared" si="2"/>
        <v>4.3330000000000313E-3</v>
      </c>
      <c r="H41" s="46" t="s">
        <v>322</v>
      </c>
      <c r="I41" s="46" t="s">
        <v>322</v>
      </c>
    </row>
    <row r="42" spans="1:9" x14ac:dyDescent="0.2">
      <c r="A42" s="3">
        <v>82.042361111111106</v>
      </c>
      <c r="B42" s="7" t="s">
        <v>85</v>
      </c>
      <c r="C42" s="4">
        <v>0.35866700000000001</v>
      </c>
      <c r="D42" s="4">
        <v>0.35866700000000001</v>
      </c>
      <c r="E42" s="5">
        <f t="shared" si="0"/>
        <v>0</v>
      </c>
      <c r="F42" s="8">
        <f t="shared" si="1"/>
        <v>4.3340000000000045E-3</v>
      </c>
      <c r="G42" s="8">
        <f t="shared" si="2"/>
        <v>4.3340000000000045E-3</v>
      </c>
      <c r="H42" s="46" t="s">
        <v>322</v>
      </c>
      <c r="I42" s="46" t="s">
        <v>322</v>
      </c>
    </row>
    <row r="43" spans="1:9" x14ac:dyDescent="0.2">
      <c r="A43" s="3">
        <v>82.043055555555554</v>
      </c>
      <c r="B43" s="7" t="s">
        <v>86</v>
      </c>
      <c r="C43" s="4">
        <v>0.36433300000000002</v>
      </c>
      <c r="D43" s="4">
        <v>0.36433300000000002</v>
      </c>
      <c r="E43" s="5">
        <f t="shared" si="0"/>
        <v>0</v>
      </c>
      <c r="F43" s="8">
        <f t="shared" si="1"/>
        <v>5.6660000000000044E-3</v>
      </c>
      <c r="G43" s="8">
        <f t="shared" si="2"/>
        <v>5.6660000000000044E-3</v>
      </c>
      <c r="H43" s="46" t="s">
        <v>322</v>
      </c>
      <c r="I43" s="46" t="s">
        <v>322</v>
      </c>
    </row>
    <row r="44" spans="1:9" x14ac:dyDescent="0.2">
      <c r="A44" s="3">
        <v>82.043750000000003</v>
      </c>
      <c r="B44" s="7" t="s">
        <v>87</v>
      </c>
      <c r="C44" s="4">
        <v>0.36933300000000002</v>
      </c>
      <c r="D44" s="4">
        <v>0.36933300000000002</v>
      </c>
      <c r="E44" s="5">
        <f t="shared" si="0"/>
        <v>0</v>
      </c>
      <c r="F44" s="8">
        <f t="shared" si="1"/>
        <v>5.0000000000000044E-3</v>
      </c>
      <c r="G44" s="8">
        <f t="shared" si="2"/>
        <v>5.0000000000000044E-3</v>
      </c>
      <c r="H44" s="46" t="s">
        <v>322</v>
      </c>
      <c r="I44" s="46" t="s">
        <v>322</v>
      </c>
    </row>
    <row r="45" spans="1:9" x14ac:dyDescent="0.2">
      <c r="A45" s="3">
        <v>82.044444444444437</v>
      </c>
      <c r="B45" s="7" t="s">
        <v>88</v>
      </c>
      <c r="C45" s="4">
        <v>0.375</v>
      </c>
      <c r="D45" s="4">
        <v>0.375</v>
      </c>
      <c r="E45" s="5">
        <f t="shared" si="0"/>
        <v>0</v>
      </c>
      <c r="F45" s="8">
        <f t="shared" si="1"/>
        <v>5.6669999999999776E-3</v>
      </c>
      <c r="G45" s="8">
        <f t="shared" si="2"/>
        <v>5.6669999999999776E-3</v>
      </c>
      <c r="H45" s="46" t="s">
        <v>322</v>
      </c>
      <c r="I45" s="46" t="s">
        <v>322</v>
      </c>
    </row>
    <row r="46" spans="1:9" x14ac:dyDescent="0.2">
      <c r="A46" s="3">
        <v>82.084027777777777</v>
      </c>
      <c r="B46" s="7" t="s">
        <v>89</v>
      </c>
      <c r="C46" s="4">
        <v>0.38100000000000001</v>
      </c>
      <c r="D46" s="4">
        <v>0.38100000000000001</v>
      </c>
      <c r="E46" s="5">
        <f t="shared" si="0"/>
        <v>0</v>
      </c>
      <c r="F46" s="8">
        <f t="shared" si="1"/>
        <v>6.0000000000000053E-3</v>
      </c>
      <c r="G46" s="8">
        <f t="shared" si="2"/>
        <v>6.0000000000000053E-3</v>
      </c>
      <c r="H46" s="46" t="s">
        <v>322</v>
      </c>
      <c r="I46" s="46" t="s">
        <v>322</v>
      </c>
    </row>
    <row r="47" spans="1:9" x14ac:dyDescent="0.2">
      <c r="A47" s="3">
        <v>82.084722222222226</v>
      </c>
      <c r="B47" s="7" t="s">
        <v>90</v>
      </c>
      <c r="C47" s="4">
        <v>0.38633299999999998</v>
      </c>
      <c r="D47" s="4">
        <v>0.38633299999999998</v>
      </c>
      <c r="E47" s="5">
        <f t="shared" si="0"/>
        <v>0</v>
      </c>
      <c r="F47" s="8">
        <f t="shared" si="1"/>
        <v>5.3329999999999766E-3</v>
      </c>
      <c r="G47" s="8">
        <f t="shared" si="2"/>
        <v>5.3329999999999766E-3</v>
      </c>
      <c r="H47" s="46" t="s">
        <v>322</v>
      </c>
      <c r="I47" s="46" t="s">
        <v>322</v>
      </c>
    </row>
    <row r="48" spans="1:9" x14ac:dyDescent="0.2">
      <c r="A48" s="3">
        <v>82.08541666666666</v>
      </c>
      <c r="B48" s="7" t="s">
        <v>91</v>
      </c>
      <c r="C48" s="4">
        <v>0.39033299999999999</v>
      </c>
      <c r="D48" s="4">
        <v>0.39033299999999999</v>
      </c>
      <c r="E48" s="5">
        <f t="shared" si="0"/>
        <v>0</v>
      </c>
      <c r="F48" s="8">
        <f t="shared" si="1"/>
        <v>4.0000000000000036E-3</v>
      </c>
      <c r="G48" s="8">
        <f t="shared" si="2"/>
        <v>4.0000000000000036E-3</v>
      </c>
      <c r="H48" s="46" t="s">
        <v>322</v>
      </c>
      <c r="I48" s="46" t="s">
        <v>322</v>
      </c>
    </row>
    <row r="49" spans="1:9" x14ac:dyDescent="0.2">
      <c r="A49" s="3">
        <v>82.086111111111109</v>
      </c>
      <c r="B49" s="7" t="s">
        <v>92</v>
      </c>
      <c r="C49" s="4">
        <v>0.39600000000000002</v>
      </c>
      <c r="D49" s="4">
        <v>0.39600000000000002</v>
      </c>
      <c r="E49" s="5">
        <f t="shared" si="0"/>
        <v>0</v>
      </c>
      <c r="F49" s="8">
        <f t="shared" si="1"/>
        <v>5.6670000000000331E-3</v>
      </c>
      <c r="G49" s="8">
        <f t="shared" si="2"/>
        <v>5.6670000000000331E-3</v>
      </c>
      <c r="H49" s="46" t="s">
        <v>322</v>
      </c>
      <c r="I49" s="46" t="s">
        <v>322</v>
      </c>
    </row>
    <row r="50" spans="1:9" x14ac:dyDescent="0.2">
      <c r="A50" s="3">
        <v>82.125694444444449</v>
      </c>
      <c r="B50" s="7" t="s">
        <v>93</v>
      </c>
      <c r="C50" s="4">
        <v>0.39933299999999999</v>
      </c>
      <c r="D50" s="4">
        <v>0.39933299999999999</v>
      </c>
      <c r="E50" s="5">
        <f t="shared" si="0"/>
        <v>0</v>
      </c>
      <c r="F50" s="8">
        <f t="shared" si="1"/>
        <v>3.3329999999999749E-3</v>
      </c>
      <c r="G50" s="8">
        <f t="shared" si="2"/>
        <v>3.3329999999999749E-3</v>
      </c>
      <c r="H50" s="46" t="s">
        <v>322</v>
      </c>
      <c r="I50" s="46" t="s">
        <v>322</v>
      </c>
    </row>
    <row r="51" spans="1:9" x14ac:dyDescent="0.2">
      <c r="A51" s="3">
        <v>82.126388888888883</v>
      </c>
      <c r="B51" s="7" t="s">
        <v>94</v>
      </c>
      <c r="C51" s="4">
        <v>0.40300000000000002</v>
      </c>
      <c r="D51" s="4">
        <v>0.40300000000000002</v>
      </c>
      <c r="E51" s="5">
        <f t="shared" si="0"/>
        <v>0</v>
      </c>
      <c r="F51" s="8">
        <f t="shared" si="1"/>
        <v>3.6670000000000313E-3</v>
      </c>
      <c r="G51" s="8">
        <f t="shared" si="2"/>
        <v>3.6670000000000313E-3</v>
      </c>
      <c r="H51" s="46" t="s">
        <v>322</v>
      </c>
      <c r="I51" s="46" t="s">
        <v>322</v>
      </c>
    </row>
    <row r="52" spans="1:9" x14ac:dyDescent="0.2">
      <c r="A52" s="3">
        <v>82.127083333333331</v>
      </c>
      <c r="B52" s="7" t="s">
        <v>95</v>
      </c>
      <c r="C52" s="4">
        <v>0.40699999999999997</v>
      </c>
      <c r="D52" s="4">
        <v>0.40699999999999997</v>
      </c>
      <c r="E52" s="5">
        <f t="shared" si="0"/>
        <v>0</v>
      </c>
      <c r="F52" s="8">
        <f t="shared" si="1"/>
        <v>3.999999999999948E-3</v>
      </c>
      <c r="G52" s="8">
        <f t="shared" si="2"/>
        <v>3.999999999999948E-3</v>
      </c>
      <c r="H52" s="46" t="s">
        <v>322</v>
      </c>
      <c r="I52" s="46" t="s">
        <v>322</v>
      </c>
    </row>
    <row r="53" spans="1:9" x14ac:dyDescent="0.2">
      <c r="A53" s="3">
        <v>82.12777777777778</v>
      </c>
      <c r="B53" s="7" t="s">
        <v>96</v>
      </c>
      <c r="C53" s="4">
        <v>0.41</v>
      </c>
      <c r="D53" s="4">
        <v>0.41</v>
      </c>
      <c r="E53" s="5">
        <f t="shared" si="0"/>
        <v>0</v>
      </c>
      <c r="F53" s="8">
        <f t="shared" si="1"/>
        <v>3.0000000000000027E-3</v>
      </c>
      <c r="G53" s="8">
        <f t="shared" si="2"/>
        <v>3.0000000000000027E-3</v>
      </c>
      <c r="H53" s="46" t="s">
        <v>322</v>
      </c>
      <c r="I53" s="46" t="s">
        <v>322</v>
      </c>
    </row>
    <row r="54" spans="1:9" x14ac:dyDescent="0.2">
      <c r="A54" s="3">
        <v>82.167361111111106</v>
      </c>
      <c r="B54" s="7" t="s">
        <v>97</v>
      </c>
      <c r="C54" s="4">
        <v>0.41333300000000001</v>
      </c>
      <c r="D54" s="4">
        <v>0.41333300000000001</v>
      </c>
      <c r="E54" s="5">
        <f t="shared" si="0"/>
        <v>0</v>
      </c>
      <c r="F54" s="8">
        <f t="shared" si="1"/>
        <v>3.3330000000000304E-3</v>
      </c>
      <c r="G54" s="8">
        <f t="shared" si="2"/>
        <v>3.3330000000000304E-3</v>
      </c>
      <c r="H54" s="46" t="s">
        <v>322</v>
      </c>
      <c r="I54" s="46" t="s">
        <v>322</v>
      </c>
    </row>
    <row r="55" spans="1:9" x14ac:dyDescent="0.2">
      <c r="A55" s="3">
        <v>82.168055555555554</v>
      </c>
      <c r="B55" s="7" t="s">
        <v>98</v>
      </c>
      <c r="C55" s="4">
        <v>0.41599999999999998</v>
      </c>
      <c r="D55" s="4">
        <v>0.41599999999999998</v>
      </c>
      <c r="E55" s="5">
        <f t="shared" si="0"/>
        <v>0</v>
      </c>
      <c r="F55" s="8">
        <f t="shared" si="1"/>
        <v>2.6669999999999749E-3</v>
      </c>
      <c r="G55" s="8">
        <f t="shared" si="2"/>
        <v>2.6669999999999749E-3</v>
      </c>
      <c r="H55" s="46" t="s">
        <v>322</v>
      </c>
      <c r="I55" s="46" t="s">
        <v>322</v>
      </c>
    </row>
    <row r="56" spans="1:9" x14ac:dyDescent="0.2">
      <c r="A56" s="3">
        <v>82.168750000000003</v>
      </c>
      <c r="B56" s="7" t="s">
        <v>99</v>
      </c>
      <c r="C56" s="4">
        <v>0.41933300000000001</v>
      </c>
      <c r="D56" s="4">
        <v>0.41933300000000001</v>
      </c>
      <c r="E56" s="5">
        <f t="shared" si="0"/>
        <v>0</v>
      </c>
      <c r="F56" s="8">
        <f t="shared" si="1"/>
        <v>3.3330000000000304E-3</v>
      </c>
      <c r="G56" s="8">
        <f t="shared" si="2"/>
        <v>3.3330000000000304E-3</v>
      </c>
      <c r="H56" s="46" t="s">
        <v>322</v>
      </c>
      <c r="I56" s="46" t="s">
        <v>322</v>
      </c>
    </row>
    <row r="57" spans="1:9" x14ac:dyDescent="0.2">
      <c r="A57" s="3">
        <v>82.169444444444437</v>
      </c>
      <c r="B57" s="7" t="s">
        <v>100</v>
      </c>
      <c r="C57" s="4">
        <v>0.42366700000000002</v>
      </c>
      <c r="D57" s="4">
        <v>0.42366700000000002</v>
      </c>
      <c r="E57" s="5">
        <f t="shared" si="0"/>
        <v>0</v>
      </c>
      <c r="F57" s="8">
        <f t="shared" si="1"/>
        <v>4.3340000000000045E-3</v>
      </c>
      <c r="G57" s="8">
        <f t="shared" si="2"/>
        <v>4.3340000000000045E-3</v>
      </c>
      <c r="H57" s="46" t="s">
        <v>322</v>
      </c>
      <c r="I57" s="46" t="s">
        <v>322</v>
      </c>
    </row>
    <row r="58" spans="1:9" x14ac:dyDescent="0.2">
      <c r="A58" s="3">
        <v>82.209027777777777</v>
      </c>
      <c r="B58" s="7" t="s">
        <v>101</v>
      </c>
      <c r="C58" s="4">
        <v>0.43033300000000002</v>
      </c>
      <c r="D58" s="4">
        <v>0.43033300000000002</v>
      </c>
      <c r="E58" s="5">
        <f t="shared" si="0"/>
        <v>0</v>
      </c>
      <c r="F58" s="8">
        <f t="shared" si="1"/>
        <v>6.6660000000000053E-3</v>
      </c>
      <c r="G58" s="8">
        <f t="shared" si="2"/>
        <v>6.6660000000000053E-3</v>
      </c>
      <c r="H58" s="46" t="s">
        <v>322</v>
      </c>
      <c r="I58" s="46" t="s">
        <v>322</v>
      </c>
    </row>
    <row r="59" spans="1:9" x14ac:dyDescent="0.2">
      <c r="A59" s="3">
        <v>82.209722222222226</v>
      </c>
      <c r="B59" s="7" t="s">
        <v>102</v>
      </c>
      <c r="C59" s="4">
        <v>0.43933299999999997</v>
      </c>
      <c r="D59" s="4">
        <v>0.43933299999999997</v>
      </c>
      <c r="E59" s="5">
        <f t="shared" si="0"/>
        <v>0</v>
      </c>
      <c r="F59" s="8">
        <f t="shared" si="1"/>
        <v>8.9999999999999525E-3</v>
      </c>
      <c r="G59" s="8">
        <f t="shared" si="2"/>
        <v>8.9999999999999525E-3</v>
      </c>
      <c r="H59" s="46" t="s">
        <v>322</v>
      </c>
      <c r="I59" s="46" t="s">
        <v>322</v>
      </c>
    </row>
    <row r="60" spans="1:9" x14ac:dyDescent="0.2">
      <c r="A60" s="3">
        <v>82.21041666666666</v>
      </c>
      <c r="B60" s="7" t="s">
        <v>103</v>
      </c>
      <c r="C60" s="4">
        <v>0.44800000000000001</v>
      </c>
      <c r="D60" s="4">
        <v>0.44800000000000001</v>
      </c>
      <c r="E60" s="5">
        <f t="shared" si="0"/>
        <v>0</v>
      </c>
      <c r="F60" s="8">
        <f t="shared" si="1"/>
        <v>8.6670000000000358E-3</v>
      </c>
      <c r="G60" s="8">
        <f t="shared" si="2"/>
        <v>8.6670000000000358E-3</v>
      </c>
      <c r="H60" s="46" t="s">
        <v>322</v>
      </c>
      <c r="I60" s="46" t="s">
        <v>322</v>
      </c>
    </row>
    <row r="61" spans="1:9" x14ac:dyDescent="0.2">
      <c r="A61" s="3">
        <v>82.211111111111109</v>
      </c>
      <c r="B61" s="7" t="s">
        <v>104</v>
      </c>
      <c r="C61" s="4">
        <v>0.45933299999999999</v>
      </c>
      <c r="D61" s="4">
        <v>0.45933299999999999</v>
      </c>
      <c r="E61" s="5">
        <f t="shared" si="0"/>
        <v>0</v>
      </c>
      <c r="F61" s="8">
        <f t="shared" si="1"/>
        <v>1.1332999999999982E-2</v>
      </c>
      <c r="G61" s="8">
        <f t="shared" si="2"/>
        <v>1.1332999999999982E-2</v>
      </c>
      <c r="H61" s="46" t="s">
        <v>322</v>
      </c>
      <c r="I61" s="46" t="s">
        <v>322</v>
      </c>
    </row>
    <row r="62" spans="1:9" x14ac:dyDescent="0.2">
      <c r="A62" s="3">
        <v>82.250694444444449</v>
      </c>
      <c r="B62" s="7" t="s">
        <v>105</v>
      </c>
      <c r="C62" s="4">
        <v>0.47299999999999998</v>
      </c>
      <c r="D62" s="4">
        <v>0.47299999999999998</v>
      </c>
      <c r="E62" s="5">
        <f t="shared" si="0"/>
        <v>0</v>
      </c>
      <c r="F62" s="8">
        <f t="shared" si="1"/>
        <v>1.3666999999999985E-2</v>
      </c>
      <c r="G62" s="8">
        <f t="shared" si="2"/>
        <v>1.3666999999999985E-2</v>
      </c>
      <c r="H62" s="46" t="s">
        <v>322</v>
      </c>
      <c r="I62" s="46" t="s">
        <v>322</v>
      </c>
    </row>
    <row r="63" spans="1:9" x14ac:dyDescent="0.2">
      <c r="A63" s="3">
        <v>82.251388888888883</v>
      </c>
      <c r="B63" s="7" t="s">
        <v>106</v>
      </c>
      <c r="C63" s="4">
        <v>0.48566700000000002</v>
      </c>
      <c r="D63" s="4">
        <v>0.48566700000000002</v>
      </c>
      <c r="E63" s="5">
        <f t="shared" si="0"/>
        <v>0</v>
      </c>
      <c r="F63" s="8">
        <f t="shared" si="1"/>
        <v>1.2667000000000039E-2</v>
      </c>
      <c r="G63" s="8">
        <f t="shared" si="2"/>
        <v>1.2667000000000039E-2</v>
      </c>
      <c r="H63" s="46" t="s">
        <v>322</v>
      </c>
      <c r="I63" s="46" t="s">
        <v>322</v>
      </c>
    </row>
    <row r="64" spans="1:9" x14ac:dyDescent="0.2">
      <c r="A64" s="3">
        <v>82.252083333333331</v>
      </c>
      <c r="B64" s="7" t="s">
        <v>107</v>
      </c>
      <c r="C64" s="4">
        <v>0.49933300000000003</v>
      </c>
      <c r="D64" s="4">
        <v>0.49933300000000003</v>
      </c>
      <c r="E64" s="5">
        <f t="shared" si="0"/>
        <v>0</v>
      </c>
      <c r="F64" s="8">
        <f t="shared" si="1"/>
        <v>1.3666000000000011E-2</v>
      </c>
      <c r="G64" s="8">
        <f t="shared" si="2"/>
        <v>1.3666000000000011E-2</v>
      </c>
      <c r="H64" s="46" t="s">
        <v>322</v>
      </c>
      <c r="I64" s="46" t="s">
        <v>322</v>
      </c>
    </row>
    <row r="65" spans="1:9" x14ac:dyDescent="0.2">
      <c r="A65" s="3">
        <v>82.25277777777778</v>
      </c>
      <c r="B65" s="7" t="s">
        <v>108</v>
      </c>
      <c r="C65" s="4">
        <v>0.51466699999999999</v>
      </c>
      <c r="D65" s="4">
        <v>0.51466699999999999</v>
      </c>
      <c r="E65" s="5">
        <f t="shared" si="0"/>
        <v>0</v>
      </c>
      <c r="F65" s="8">
        <f t="shared" si="1"/>
        <v>1.5333999999999959E-2</v>
      </c>
      <c r="G65" s="8">
        <f t="shared" si="2"/>
        <v>1.5333999999999959E-2</v>
      </c>
      <c r="H65" s="46" t="s">
        <v>322</v>
      </c>
      <c r="I65" s="46" t="s">
        <v>322</v>
      </c>
    </row>
    <row r="66" spans="1:9" x14ac:dyDescent="0.2">
      <c r="A66" s="3">
        <v>82.292361111111106</v>
      </c>
      <c r="B66" s="7" t="s">
        <v>109</v>
      </c>
      <c r="C66" s="4">
        <v>0.525667</v>
      </c>
      <c r="D66" s="4">
        <v>0.525667</v>
      </c>
      <c r="E66" s="5">
        <f t="shared" si="0"/>
        <v>0</v>
      </c>
      <c r="F66" s="8">
        <f t="shared" si="1"/>
        <v>1.100000000000001E-2</v>
      </c>
      <c r="G66" s="8">
        <f t="shared" si="2"/>
        <v>1.100000000000001E-2</v>
      </c>
      <c r="H66" s="46" t="s">
        <v>322</v>
      </c>
      <c r="I66" s="46" t="s">
        <v>322</v>
      </c>
    </row>
    <row r="67" spans="1:9" x14ac:dyDescent="0.2">
      <c r="A67" s="3">
        <v>82.293055555555554</v>
      </c>
      <c r="B67" s="7" t="s">
        <v>110</v>
      </c>
      <c r="C67" s="4">
        <v>0.53200000000000003</v>
      </c>
      <c r="D67" s="4">
        <v>0.53200000000000003</v>
      </c>
      <c r="E67" s="5">
        <f t="shared" ref="E67:E130" si="3">C67-D67</f>
        <v>0</v>
      </c>
      <c r="F67" s="8">
        <f t="shared" si="1"/>
        <v>6.333000000000033E-3</v>
      </c>
      <c r="G67" s="8">
        <f t="shared" si="2"/>
        <v>6.333000000000033E-3</v>
      </c>
      <c r="H67" s="46" t="s">
        <v>322</v>
      </c>
      <c r="I67" s="46" t="s">
        <v>322</v>
      </c>
    </row>
    <row r="68" spans="1:9" x14ac:dyDescent="0.2">
      <c r="A68" s="3">
        <v>82.293750000000003</v>
      </c>
      <c r="B68" s="7" t="s">
        <v>111</v>
      </c>
      <c r="C68" s="4">
        <v>0.54266700000000001</v>
      </c>
      <c r="D68" s="4">
        <v>0.54266700000000001</v>
      </c>
      <c r="E68" s="5">
        <f t="shared" si="3"/>
        <v>0</v>
      </c>
      <c r="F68" s="8">
        <f t="shared" ref="F68:F131" si="4">C68-C67</f>
        <v>1.0666999999999982E-2</v>
      </c>
      <c r="G68" s="8">
        <f t="shared" ref="G68:G131" si="5">D68-D67</f>
        <v>1.0666999999999982E-2</v>
      </c>
      <c r="H68" s="46" t="s">
        <v>322</v>
      </c>
      <c r="I68" s="46" t="s">
        <v>322</v>
      </c>
    </row>
    <row r="69" spans="1:9" x14ac:dyDescent="0.2">
      <c r="A69" s="3">
        <v>82.294444444444437</v>
      </c>
      <c r="B69" s="7" t="s">
        <v>112</v>
      </c>
      <c r="C69" s="4">
        <v>0.55266700000000002</v>
      </c>
      <c r="D69" s="4">
        <v>0.55266700000000002</v>
      </c>
      <c r="E69" s="5">
        <f t="shared" si="3"/>
        <v>0</v>
      </c>
      <c r="F69" s="8">
        <f t="shared" si="4"/>
        <v>1.0000000000000009E-2</v>
      </c>
      <c r="G69" s="8">
        <f t="shared" si="5"/>
        <v>1.0000000000000009E-2</v>
      </c>
      <c r="H69" s="46" t="s">
        <v>322</v>
      </c>
      <c r="I69" s="46" t="s">
        <v>322</v>
      </c>
    </row>
    <row r="70" spans="1:9" x14ac:dyDescent="0.2">
      <c r="A70" s="3">
        <v>82.334027777777777</v>
      </c>
      <c r="B70" s="7" t="s">
        <v>113</v>
      </c>
      <c r="C70" s="4">
        <v>0.55900000000000005</v>
      </c>
      <c r="D70" s="4">
        <v>0.55900000000000005</v>
      </c>
      <c r="E70" s="5">
        <f t="shared" si="3"/>
        <v>0</v>
      </c>
      <c r="F70" s="8">
        <f t="shared" si="4"/>
        <v>6.333000000000033E-3</v>
      </c>
      <c r="G70" s="8">
        <f t="shared" si="5"/>
        <v>6.333000000000033E-3</v>
      </c>
      <c r="H70" s="46" t="s">
        <v>322</v>
      </c>
      <c r="I70" s="46" t="s">
        <v>322</v>
      </c>
    </row>
    <row r="71" spans="1:9" x14ac:dyDescent="0.2">
      <c r="A71" s="3">
        <v>82.334722222222226</v>
      </c>
      <c r="B71" s="7" t="s">
        <v>114</v>
      </c>
      <c r="C71" s="4">
        <v>0.56399999999999995</v>
      </c>
      <c r="D71" s="4">
        <v>0.56399999999999995</v>
      </c>
      <c r="E71" s="5">
        <f t="shared" si="3"/>
        <v>0</v>
      </c>
      <c r="F71" s="8">
        <f t="shared" si="4"/>
        <v>4.9999999999998934E-3</v>
      </c>
      <c r="G71" s="8">
        <f t="shared" si="5"/>
        <v>4.9999999999998934E-3</v>
      </c>
      <c r="H71" s="46" t="s">
        <v>322</v>
      </c>
      <c r="I71" s="46" t="s">
        <v>322</v>
      </c>
    </row>
    <row r="72" spans="1:9" x14ac:dyDescent="0.2">
      <c r="A72" s="3">
        <v>82.33541666666666</v>
      </c>
      <c r="B72" s="7" t="s">
        <v>115</v>
      </c>
      <c r="C72" s="4">
        <v>0.57299999999999995</v>
      </c>
      <c r="D72" s="4">
        <v>0.57299999999999995</v>
      </c>
      <c r="E72" s="5">
        <f t="shared" si="3"/>
        <v>0</v>
      </c>
      <c r="F72" s="8">
        <f t="shared" si="4"/>
        <v>9.000000000000008E-3</v>
      </c>
      <c r="G72" s="8">
        <f t="shared" si="5"/>
        <v>9.000000000000008E-3</v>
      </c>
      <c r="H72" s="46" t="s">
        <v>322</v>
      </c>
      <c r="I72" s="46" t="s">
        <v>322</v>
      </c>
    </row>
    <row r="73" spans="1:9" x14ac:dyDescent="0.2">
      <c r="A73" s="3">
        <v>82.336111111111109</v>
      </c>
      <c r="B73" s="7" t="s">
        <v>116</v>
      </c>
      <c r="C73" s="4">
        <v>0.58133299999999999</v>
      </c>
      <c r="D73" s="4">
        <v>0.58133299999999999</v>
      </c>
      <c r="E73" s="5">
        <f t="shared" si="3"/>
        <v>0</v>
      </c>
      <c r="F73" s="8">
        <f t="shared" si="4"/>
        <v>8.3330000000000348E-3</v>
      </c>
      <c r="G73" s="8">
        <f t="shared" si="5"/>
        <v>8.3330000000000348E-3</v>
      </c>
      <c r="H73" s="46" t="s">
        <v>322</v>
      </c>
      <c r="I73" s="46" t="s">
        <v>322</v>
      </c>
    </row>
    <row r="74" spans="1:9" x14ac:dyDescent="0.2">
      <c r="A74" s="3">
        <v>82.375694444444449</v>
      </c>
      <c r="B74" s="7" t="s">
        <v>117</v>
      </c>
      <c r="C74" s="4">
        <v>0.59199999999999997</v>
      </c>
      <c r="D74" s="4">
        <v>0.59199999999999997</v>
      </c>
      <c r="E74" s="5">
        <f t="shared" si="3"/>
        <v>0</v>
      </c>
      <c r="F74" s="8">
        <f t="shared" si="4"/>
        <v>1.0666999999999982E-2</v>
      </c>
      <c r="G74" s="8">
        <f t="shared" si="5"/>
        <v>1.0666999999999982E-2</v>
      </c>
      <c r="H74" s="46" t="s">
        <v>322</v>
      </c>
      <c r="I74" s="46" t="s">
        <v>322</v>
      </c>
    </row>
    <row r="75" spans="1:9" x14ac:dyDescent="0.2">
      <c r="A75" s="3">
        <v>82.376388888888883</v>
      </c>
      <c r="B75" s="7" t="s">
        <v>118</v>
      </c>
      <c r="C75" s="4">
        <v>0.60233300000000001</v>
      </c>
      <c r="D75" s="4">
        <v>0.60233300000000001</v>
      </c>
      <c r="E75" s="5">
        <f t="shared" si="3"/>
        <v>0</v>
      </c>
      <c r="F75" s="8">
        <f t="shared" si="4"/>
        <v>1.0333000000000037E-2</v>
      </c>
      <c r="G75" s="8">
        <f t="shared" si="5"/>
        <v>1.0333000000000037E-2</v>
      </c>
      <c r="H75" s="46" t="s">
        <v>322</v>
      </c>
      <c r="I75" s="46" t="s">
        <v>322</v>
      </c>
    </row>
    <row r="76" spans="1:9" x14ac:dyDescent="0.2">
      <c r="A76" s="3">
        <v>82.377083333333331</v>
      </c>
      <c r="B76" s="7" t="s">
        <v>119</v>
      </c>
      <c r="C76" s="4">
        <v>0.61066699999999996</v>
      </c>
      <c r="D76" s="4">
        <v>0.61066699999999996</v>
      </c>
      <c r="E76" s="5">
        <f t="shared" si="3"/>
        <v>0</v>
      </c>
      <c r="F76" s="8">
        <f t="shared" si="4"/>
        <v>8.3339999999999526E-3</v>
      </c>
      <c r="G76" s="8">
        <f t="shared" si="5"/>
        <v>8.3339999999999526E-3</v>
      </c>
      <c r="H76" s="46" t="s">
        <v>322</v>
      </c>
      <c r="I76" s="46" t="s">
        <v>322</v>
      </c>
    </row>
    <row r="77" spans="1:9" x14ac:dyDescent="0.2">
      <c r="A77" s="3">
        <v>82.37777777777778</v>
      </c>
      <c r="B77" s="7" t="s">
        <v>120</v>
      </c>
      <c r="C77" s="4">
        <v>0.61966699999999997</v>
      </c>
      <c r="D77" s="4">
        <v>0.61966699999999997</v>
      </c>
      <c r="E77" s="5">
        <f t="shared" si="3"/>
        <v>0</v>
      </c>
      <c r="F77" s="8">
        <f t="shared" si="4"/>
        <v>9.000000000000008E-3</v>
      </c>
      <c r="G77" s="8">
        <f t="shared" si="5"/>
        <v>9.000000000000008E-3</v>
      </c>
      <c r="H77" s="46" t="s">
        <v>322</v>
      </c>
      <c r="I77" s="46" t="s">
        <v>322</v>
      </c>
    </row>
    <row r="78" spans="1:9" x14ac:dyDescent="0.2">
      <c r="A78" s="3">
        <v>82.417361111111106</v>
      </c>
      <c r="B78" s="7" t="s">
        <v>121</v>
      </c>
      <c r="C78" s="4">
        <v>0.63033300000000003</v>
      </c>
      <c r="D78" s="4">
        <v>0.63033300000000003</v>
      </c>
      <c r="E78" s="5">
        <f t="shared" si="3"/>
        <v>0</v>
      </c>
      <c r="F78" s="8">
        <f t="shared" si="4"/>
        <v>1.0666000000000064E-2</v>
      </c>
      <c r="G78" s="8">
        <f t="shared" si="5"/>
        <v>1.0666000000000064E-2</v>
      </c>
      <c r="H78" s="46" t="s">
        <v>322</v>
      </c>
      <c r="I78" s="46" t="s">
        <v>322</v>
      </c>
    </row>
    <row r="79" spans="1:9" x14ac:dyDescent="0.2">
      <c r="A79" s="3">
        <v>82.418055555555554</v>
      </c>
      <c r="B79" s="7" t="s">
        <v>122</v>
      </c>
      <c r="C79" s="4">
        <v>0.64466699999999999</v>
      </c>
      <c r="D79" s="4">
        <v>0.64466699999999999</v>
      </c>
      <c r="E79" s="5">
        <f t="shared" si="3"/>
        <v>0</v>
      </c>
      <c r="F79" s="8">
        <f t="shared" si="4"/>
        <v>1.4333999999999958E-2</v>
      </c>
      <c r="G79" s="8">
        <f t="shared" si="5"/>
        <v>1.4333999999999958E-2</v>
      </c>
      <c r="H79" s="46" t="s">
        <v>322</v>
      </c>
      <c r="I79" s="46" t="s">
        <v>322</v>
      </c>
    </row>
    <row r="80" spans="1:9" x14ac:dyDescent="0.2">
      <c r="A80" s="3">
        <v>82.418750000000003</v>
      </c>
      <c r="B80" s="7" t="s">
        <v>123</v>
      </c>
      <c r="C80" s="4">
        <v>0.659667</v>
      </c>
      <c r="D80" s="4">
        <v>0.659667</v>
      </c>
      <c r="E80" s="5">
        <f t="shared" si="3"/>
        <v>0</v>
      </c>
      <c r="F80" s="8">
        <f t="shared" si="4"/>
        <v>1.5000000000000013E-2</v>
      </c>
      <c r="G80" s="8">
        <f t="shared" si="5"/>
        <v>1.5000000000000013E-2</v>
      </c>
      <c r="H80" s="46" t="s">
        <v>322</v>
      </c>
      <c r="I80" s="46" t="s">
        <v>322</v>
      </c>
    </row>
    <row r="81" spans="1:9" x14ac:dyDescent="0.2">
      <c r="A81" s="3">
        <v>82.419444444444437</v>
      </c>
      <c r="B81" s="7" t="s">
        <v>124</v>
      </c>
      <c r="C81" s="4">
        <v>0.67500000000000004</v>
      </c>
      <c r="D81" s="4">
        <v>0.67500000000000004</v>
      </c>
      <c r="E81" s="5">
        <f t="shared" si="3"/>
        <v>0</v>
      </c>
      <c r="F81" s="8">
        <f t="shared" si="4"/>
        <v>1.5333000000000041E-2</v>
      </c>
      <c r="G81" s="8">
        <f t="shared" si="5"/>
        <v>1.5333000000000041E-2</v>
      </c>
      <c r="H81" s="46" t="s">
        <v>322</v>
      </c>
      <c r="I81" s="46" t="s">
        <v>322</v>
      </c>
    </row>
    <row r="82" spans="1:9" x14ac:dyDescent="0.2">
      <c r="A82" s="3">
        <v>82.459027777777777</v>
      </c>
      <c r="B82" s="7" t="s">
        <v>125</v>
      </c>
      <c r="C82" s="4">
        <v>0.69199999999999995</v>
      </c>
      <c r="D82" s="4">
        <v>0.69199999999999995</v>
      </c>
      <c r="E82" s="5">
        <f t="shared" si="3"/>
        <v>0</v>
      </c>
      <c r="F82" s="8">
        <f t="shared" si="4"/>
        <v>1.6999999999999904E-2</v>
      </c>
      <c r="G82" s="8">
        <f t="shared" si="5"/>
        <v>1.6999999999999904E-2</v>
      </c>
      <c r="H82" s="46" t="s">
        <v>322</v>
      </c>
      <c r="I82" s="46" t="s">
        <v>322</v>
      </c>
    </row>
    <row r="83" spans="1:9" x14ac:dyDescent="0.2">
      <c r="A83" s="3">
        <v>82.459722222222226</v>
      </c>
      <c r="B83" s="7" t="s">
        <v>126</v>
      </c>
      <c r="C83" s="4">
        <v>0.71399999999999997</v>
      </c>
      <c r="D83" s="4">
        <v>0.71399999999999997</v>
      </c>
      <c r="E83" s="5">
        <f t="shared" si="3"/>
        <v>0</v>
      </c>
      <c r="F83" s="8">
        <f t="shared" si="4"/>
        <v>2.200000000000002E-2</v>
      </c>
      <c r="G83" s="8">
        <f t="shared" si="5"/>
        <v>2.200000000000002E-2</v>
      </c>
      <c r="H83" s="46" t="s">
        <v>322</v>
      </c>
      <c r="I83" s="46" t="s">
        <v>322</v>
      </c>
    </row>
    <row r="84" spans="1:9" x14ac:dyDescent="0.2">
      <c r="A84" s="3">
        <v>82.46041666666666</v>
      </c>
      <c r="B84" s="7" t="s">
        <v>127</v>
      </c>
      <c r="C84" s="4">
        <v>0.73699999999999999</v>
      </c>
      <c r="D84" s="4">
        <v>0.73699999999999999</v>
      </c>
      <c r="E84" s="5">
        <f t="shared" si="3"/>
        <v>0</v>
      </c>
      <c r="F84" s="8">
        <f t="shared" si="4"/>
        <v>2.300000000000002E-2</v>
      </c>
      <c r="G84" s="8">
        <f t="shared" si="5"/>
        <v>2.300000000000002E-2</v>
      </c>
      <c r="H84" s="46" t="s">
        <v>322</v>
      </c>
      <c r="I84" s="46" t="s">
        <v>322</v>
      </c>
    </row>
    <row r="85" spans="1:9" x14ac:dyDescent="0.2">
      <c r="A85" s="3">
        <v>82.461111111111109</v>
      </c>
      <c r="B85" s="7" t="s">
        <v>128</v>
      </c>
      <c r="C85" s="4">
        <v>0.76033300000000004</v>
      </c>
      <c r="D85" s="4">
        <v>0.76033300000000004</v>
      </c>
      <c r="E85" s="5">
        <f t="shared" si="3"/>
        <v>0</v>
      </c>
      <c r="F85" s="8">
        <f t="shared" si="4"/>
        <v>2.3333000000000048E-2</v>
      </c>
      <c r="G85" s="8">
        <f t="shared" si="5"/>
        <v>2.3333000000000048E-2</v>
      </c>
      <c r="H85" s="46" t="s">
        <v>322</v>
      </c>
      <c r="I85" s="46" t="s">
        <v>322</v>
      </c>
    </row>
    <row r="86" spans="1:9" x14ac:dyDescent="0.2">
      <c r="A86" s="3">
        <v>82.500694444444449</v>
      </c>
      <c r="B86" s="7" t="s">
        <v>129</v>
      </c>
      <c r="C86" s="4">
        <v>0.79033299999999995</v>
      </c>
      <c r="D86" s="4">
        <v>0.79033299999999995</v>
      </c>
      <c r="E86" s="5">
        <f t="shared" si="3"/>
        <v>0</v>
      </c>
      <c r="F86" s="8">
        <f t="shared" si="4"/>
        <v>2.9999999999999916E-2</v>
      </c>
      <c r="G86" s="8">
        <f t="shared" si="5"/>
        <v>2.9999999999999916E-2</v>
      </c>
      <c r="H86" s="46" t="s">
        <v>322</v>
      </c>
      <c r="I86" s="46" t="s">
        <v>322</v>
      </c>
    </row>
    <row r="87" spans="1:9" x14ac:dyDescent="0.2">
      <c r="A87" s="3">
        <v>82.501388888888883</v>
      </c>
      <c r="B87" s="7" t="s">
        <v>130</v>
      </c>
      <c r="C87" s="4">
        <v>0.81699999999999995</v>
      </c>
      <c r="D87" s="4">
        <v>0.81699999999999995</v>
      </c>
      <c r="E87" s="5">
        <f t="shared" si="3"/>
        <v>0</v>
      </c>
      <c r="F87" s="8">
        <f t="shared" si="4"/>
        <v>2.6666999999999996E-2</v>
      </c>
      <c r="G87" s="8">
        <f t="shared" si="5"/>
        <v>2.6666999999999996E-2</v>
      </c>
      <c r="H87" s="46" t="s">
        <v>322</v>
      </c>
      <c r="I87" s="46" t="s">
        <v>322</v>
      </c>
    </row>
    <row r="88" spans="1:9" x14ac:dyDescent="0.2">
      <c r="A88" s="3">
        <v>82.502083333333331</v>
      </c>
      <c r="B88" s="7" t="s">
        <v>131</v>
      </c>
      <c r="C88" s="4">
        <v>0.83233299999999999</v>
      </c>
      <c r="D88" s="4">
        <v>0.83233299999999999</v>
      </c>
      <c r="E88" s="5">
        <f t="shared" si="3"/>
        <v>0</v>
      </c>
      <c r="F88" s="8">
        <f t="shared" si="4"/>
        <v>1.5333000000000041E-2</v>
      </c>
      <c r="G88" s="8">
        <f t="shared" si="5"/>
        <v>1.5333000000000041E-2</v>
      </c>
      <c r="H88" s="46" t="s">
        <v>322</v>
      </c>
      <c r="I88" s="46" t="s">
        <v>322</v>
      </c>
    </row>
    <row r="89" spans="1:9" x14ac:dyDescent="0.2">
      <c r="A89" s="3">
        <v>82.50277777777778</v>
      </c>
      <c r="B89" s="7" t="s">
        <v>132</v>
      </c>
      <c r="C89" s="4">
        <v>0.85566699999999996</v>
      </c>
      <c r="D89" s="4">
        <v>0.85566699999999996</v>
      </c>
      <c r="E89" s="5">
        <f t="shared" si="3"/>
        <v>0</v>
      </c>
      <c r="F89" s="8">
        <f t="shared" si="4"/>
        <v>2.3333999999999966E-2</v>
      </c>
      <c r="G89" s="8">
        <f t="shared" si="5"/>
        <v>2.3333999999999966E-2</v>
      </c>
      <c r="H89" s="46" t="s">
        <v>322</v>
      </c>
      <c r="I89" s="46" t="s">
        <v>322</v>
      </c>
    </row>
    <row r="90" spans="1:9" x14ac:dyDescent="0.2">
      <c r="A90" s="3">
        <v>82.542361111111106</v>
      </c>
      <c r="B90" s="7" t="s">
        <v>133</v>
      </c>
      <c r="C90" s="4">
        <v>0.87933300000000003</v>
      </c>
      <c r="D90" s="4">
        <v>0.87933300000000003</v>
      </c>
      <c r="E90" s="5">
        <f t="shared" si="3"/>
        <v>0</v>
      </c>
      <c r="F90" s="8">
        <f t="shared" si="4"/>
        <v>2.3666000000000076E-2</v>
      </c>
      <c r="G90" s="8">
        <f t="shared" si="5"/>
        <v>2.3666000000000076E-2</v>
      </c>
      <c r="H90" s="46" t="s">
        <v>322</v>
      </c>
      <c r="I90" s="46" t="s">
        <v>322</v>
      </c>
    </row>
    <row r="91" spans="1:9" x14ac:dyDescent="0.2">
      <c r="A91" s="3">
        <v>82.543055555555554</v>
      </c>
      <c r="B91" s="7" t="s">
        <v>134</v>
      </c>
      <c r="C91" s="4">
        <v>0.89766699999999999</v>
      </c>
      <c r="D91" s="4">
        <v>0.89766699999999999</v>
      </c>
      <c r="E91" s="5">
        <f t="shared" si="3"/>
        <v>0</v>
      </c>
      <c r="F91" s="8">
        <f t="shared" si="4"/>
        <v>1.8333999999999961E-2</v>
      </c>
      <c r="G91" s="8">
        <f t="shared" si="5"/>
        <v>1.8333999999999961E-2</v>
      </c>
      <c r="H91" s="46" t="s">
        <v>322</v>
      </c>
      <c r="I91" s="46" t="s">
        <v>322</v>
      </c>
    </row>
    <row r="92" spans="1:9" x14ac:dyDescent="0.2">
      <c r="A92" s="3">
        <v>82.543750000000003</v>
      </c>
      <c r="B92" s="7" t="s">
        <v>135</v>
      </c>
      <c r="C92" s="4">
        <v>0.92266700000000001</v>
      </c>
      <c r="D92" s="4">
        <v>0.92266700000000001</v>
      </c>
      <c r="E92" s="5">
        <f t="shared" si="3"/>
        <v>0</v>
      </c>
      <c r="F92" s="8">
        <f t="shared" si="4"/>
        <v>2.5000000000000022E-2</v>
      </c>
      <c r="G92" s="8">
        <f t="shared" si="5"/>
        <v>2.5000000000000022E-2</v>
      </c>
      <c r="H92" s="46" t="s">
        <v>322</v>
      </c>
      <c r="I92" s="46" t="s">
        <v>322</v>
      </c>
    </row>
    <row r="93" spans="1:9" x14ac:dyDescent="0.2">
      <c r="A93" s="3">
        <v>82.544444444444437</v>
      </c>
      <c r="B93" s="7" t="s">
        <v>136</v>
      </c>
      <c r="C93" s="4">
        <v>0.93766700000000003</v>
      </c>
      <c r="D93" s="4">
        <v>0.93766700000000003</v>
      </c>
      <c r="E93" s="5">
        <f t="shared" si="3"/>
        <v>0</v>
      </c>
      <c r="F93" s="8">
        <f t="shared" si="4"/>
        <v>1.5000000000000013E-2</v>
      </c>
      <c r="G93" s="8">
        <f t="shared" si="5"/>
        <v>1.5000000000000013E-2</v>
      </c>
      <c r="H93" s="46" t="s">
        <v>322</v>
      </c>
      <c r="I93" s="46" t="s">
        <v>322</v>
      </c>
    </row>
    <row r="94" spans="1:9" x14ac:dyDescent="0.2">
      <c r="A94" s="3">
        <v>82.584027777777777</v>
      </c>
      <c r="B94" s="7" t="s">
        <v>137</v>
      </c>
      <c r="C94" s="4">
        <v>0.94599999999999995</v>
      </c>
      <c r="D94" s="4">
        <v>0.94599999999999995</v>
      </c>
      <c r="E94" s="5">
        <f t="shared" si="3"/>
        <v>0</v>
      </c>
      <c r="F94" s="8">
        <f t="shared" si="4"/>
        <v>8.3329999999999238E-3</v>
      </c>
      <c r="G94" s="8">
        <f t="shared" si="5"/>
        <v>8.3329999999999238E-3</v>
      </c>
      <c r="H94" s="46" t="s">
        <v>322</v>
      </c>
      <c r="I94" s="46" t="s">
        <v>322</v>
      </c>
    </row>
    <row r="95" spans="1:9" x14ac:dyDescent="0.2">
      <c r="A95" s="3">
        <v>82.584722222222226</v>
      </c>
      <c r="B95" s="7" t="s">
        <v>138</v>
      </c>
      <c r="C95" s="4">
        <v>0.95966700000000005</v>
      </c>
      <c r="D95" s="4">
        <v>0.95966700000000005</v>
      </c>
      <c r="E95" s="5">
        <f t="shared" si="3"/>
        <v>0</v>
      </c>
      <c r="F95" s="8">
        <f t="shared" si="4"/>
        <v>1.3667000000000096E-2</v>
      </c>
      <c r="G95" s="8">
        <f t="shared" si="5"/>
        <v>1.3667000000000096E-2</v>
      </c>
      <c r="H95" s="46" t="s">
        <v>322</v>
      </c>
      <c r="I95" s="46" t="s">
        <v>322</v>
      </c>
    </row>
    <row r="96" spans="1:9" x14ac:dyDescent="0.2">
      <c r="A96" s="3">
        <v>82.58541666666666</v>
      </c>
      <c r="B96" s="7" t="s">
        <v>139</v>
      </c>
      <c r="C96" s="4">
        <v>0.97633300000000001</v>
      </c>
      <c r="D96" s="4">
        <v>0.97633300000000001</v>
      </c>
      <c r="E96" s="5">
        <f t="shared" si="3"/>
        <v>0</v>
      </c>
      <c r="F96" s="8">
        <f t="shared" si="4"/>
        <v>1.6665999999999959E-2</v>
      </c>
      <c r="G96" s="8">
        <f t="shared" si="5"/>
        <v>1.6665999999999959E-2</v>
      </c>
      <c r="H96" s="46" t="s">
        <v>322</v>
      </c>
      <c r="I96" s="46" t="s">
        <v>322</v>
      </c>
    </row>
    <row r="97" spans="1:9" x14ac:dyDescent="0.2">
      <c r="A97" s="3">
        <v>82.586111111111109</v>
      </c>
      <c r="B97" s="7" t="s">
        <v>140</v>
      </c>
      <c r="C97" s="4">
        <v>0.97933300000000001</v>
      </c>
      <c r="D97" s="4">
        <v>0.97933300000000001</v>
      </c>
      <c r="E97" s="5">
        <f t="shared" si="3"/>
        <v>0</v>
      </c>
      <c r="F97" s="8">
        <f t="shared" si="4"/>
        <v>3.0000000000000027E-3</v>
      </c>
      <c r="G97" s="8">
        <f t="shared" si="5"/>
        <v>3.0000000000000027E-3</v>
      </c>
      <c r="H97" s="46" t="s">
        <v>322</v>
      </c>
      <c r="I97" s="46" t="s">
        <v>322</v>
      </c>
    </row>
    <row r="98" spans="1:9" x14ac:dyDescent="0.2">
      <c r="A98" s="3">
        <v>82.625694444444449</v>
      </c>
      <c r="B98" s="7" t="s">
        <v>141</v>
      </c>
      <c r="C98" s="4">
        <v>0.98</v>
      </c>
      <c r="D98" s="4">
        <v>0.98</v>
      </c>
      <c r="E98" s="5">
        <f t="shared" si="3"/>
        <v>0</v>
      </c>
      <c r="F98" s="8">
        <f t="shared" si="4"/>
        <v>6.6699999999997317E-4</v>
      </c>
      <c r="G98" s="8">
        <f t="shared" si="5"/>
        <v>6.6699999999997317E-4</v>
      </c>
      <c r="H98" s="46" t="s">
        <v>322</v>
      </c>
      <c r="I98" s="46" t="s">
        <v>322</v>
      </c>
    </row>
    <row r="99" spans="1:9" x14ac:dyDescent="0.2">
      <c r="A99" s="3">
        <v>82.626388888888883</v>
      </c>
      <c r="B99" s="7" t="s">
        <v>142</v>
      </c>
      <c r="C99" s="4">
        <v>0.99133300000000002</v>
      </c>
      <c r="D99" s="4">
        <v>0.99133300000000002</v>
      </c>
      <c r="E99" s="5">
        <f t="shared" si="3"/>
        <v>0</v>
      </c>
      <c r="F99" s="8">
        <f t="shared" si="4"/>
        <v>1.1333000000000037E-2</v>
      </c>
      <c r="G99" s="8">
        <f t="shared" si="5"/>
        <v>1.1333000000000037E-2</v>
      </c>
      <c r="H99" s="46" t="s">
        <v>322</v>
      </c>
      <c r="I99" s="46" t="s">
        <v>322</v>
      </c>
    </row>
    <row r="100" spans="1:9" x14ac:dyDescent="0.2">
      <c r="A100" s="3">
        <v>82.627083333333331</v>
      </c>
      <c r="B100" s="7" t="s">
        <v>143</v>
      </c>
      <c r="C100" s="4">
        <v>1.0009999999999999</v>
      </c>
      <c r="D100" s="4">
        <v>1.0009999999999999</v>
      </c>
      <c r="E100" s="5">
        <f t="shared" si="3"/>
        <v>0</v>
      </c>
      <c r="F100" s="8">
        <f t="shared" si="4"/>
        <v>9.6669999999998701E-3</v>
      </c>
      <c r="G100" s="8">
        <f t="shared" si="5"/>
        <v>9.6669999999998701E-3</v>
      </c>
      <c r="H100" s="46" t="s">
        <v>322</v>
      </c>
      <c r="I100" s="46" t="s">
        <v>322</v>
      </c>
    </row>
    <row r="101" spans="1:9" x14ac:dyDescent="0.2">
      <c r="A101" s="3">
        <v>82.62777777777778</v>
      </c>
      <c r="B101" s="7" t="s">
        <v>144</v>
      </c>
      <c r="C101" s="4">
        <v>1.0109999999999999</v>
      </c>
      <c r="D101" s="4">
        <v>1.0109999999999999</v>
      </c>
      <c r="E101" s="5">
        <f t="shared" si="3"/>
        <v>0</v>
      </c>
      <c r="F101" s="8">
        <f t="shared" si="4"/>
        <v>1.0000000000000009E-2</v>
      </c>
      <c r="G101" s="8">
        <f t="shared" si="5"/>
        <v>1.0000000000000009E-2</v>
      </c>
      <c r="H101" s="46" t="s">
        <v>322</v>
      </c>
      <c r="I101" s="46" t="s">
        <v>322</v>
      </c>
    </row>
    <row r="102" spans="1:9" x14ac:dyDescent="0.2">
      <c r="A102" s="3">
        <v>82.667361111111106</v>
      </c>
      <c r="B102" s="7" t="s">
        <v>145</v>
      </c>
      <c r="C102" s="4">
        <v>1.025333</v>
      </c>
      <c r="D102" s="4">
        <v>1.025333</v>
      </c>
      <c r="E102" s="5">
        <f t="shared" si="3"/>
        <v>0</v>
      </c>
      <c r="F102" s="8">
        <f t="shared" si="4"/>
        <v>1.4333000000000151E-2</v>
      </c>
      <c r="G102" s="8">
        <f t="shared" si="5"/>
        <v>1.4333000000000151E-2</v>
      </c>
      <c r="H102" s="46" t="s">
        <v>322</v>
      </c>
      <c r="I102" s="46" t="s">
        <v>322</v>
      </c>
    </row>
    <row r="103" spans="1:9" x14ac:dyDescent="0.2">
      <c r="A103" s="3">
        <v>82.668055555555554</v>
      </c>
      <c r="B103" s="7" t="s">
        <v>146</v>
      </c>
      <c r="C103" s="4">
        <v>1.0349999999999999</v>
      </c>
      <c r="D103" s="4">
        <v>1.0349999999999999</v>
      </c>
      <c r="E103" s="5">
        <f t="shared" si="3"/>
        <v>0</v>
      </c>
      <c r="F103" s="8">
        <f t="shared" si="4"/>
        <v>9.6669999999998701E-3</v>
      </c>
      <c r="G103" s="8">
        <f t="shared" si="5"/>
        <v>9.6669999999998701E-3</v>
      </c>
      <c r="H103" s="46" t="s">
        <v>322</v>
      </c>
      <c r="I103" s="46" t="s">
        <v>322</v>
      </c>
    </row>
    <row r="104" spans="1:9" x14ac:dyDescent="0.2">
      <c r="A104" s="3">
        <v>82.668750000000003</v>
      </c>
      <c r="B104" s="7" t="s">
        <v>147</v>
      </c>
      <c r="C104" s="4">
        <v>1.044</v>
      </c>
      <c r="D104" s="4">
        <v>1.044</v>
      </c>
      <c r="E104" s="5">
        <f t="shared" si="3"/>
        <v>0</v>
      </c>
      <c r="F104" s="8">
        <f t="shared" si="4"/>
        <v>9.000000000000119E-3</v>
      </c>
      <c r="G104" s="8">
        <f t="shared" si="5"/>
        <v>9.000000000000119E-3</v>
      </c>
      <c r="H104" s="46" t="s">
        <v>322</v>
      </c>
      <c r="I104" s="46" t="s">
        <v>322</v>
      </c>
    </row>
    <row r="105" spans="1:9" x14ac:dyDescent="0.2">
      <c r="A105" s="3">
        <v>82.669444444444437</v>
      </c>
      <c r="B105" s="7" t="s">
        <v>148</v>
      </c>
      <c r="C105" s="4">
        <v>1.0529999999999999</v>
      </c>
      <c r="D105" s="4">
        <v>1.0529999999999999</v>
      </c>
      <c r="E105" s="5">
        <f t="shared" si="3"/>
        <v>0</v>
      </c>
      <c r="F105" s="8">
        <f t="shared" si="4"/>
        <v>8.999999999999897E-3</v>
      </c>
      <c r="G105" s="8">
        <f t="shared" si="5"/>
        <v>8.999999999999897E-3</v>
      </c>
      <c r="H105" s="46" t="s">
        <v>322</v>
      </c>
      <c r="I105" s="46" t="s">
        <v>322</v>
      </c>
    </row>
    <row r="106" spans="1:9" x14ac:dyDescent="0.2">
      <c r="A106" s="3">
        <v>82.709027777777777</v>
      </c>
      <c r="B106" s="7" t="s">
        <v>149</v>
      </c>
      <c r="C106" s="4">
        <v>1.062667</v>
      </c>
      <c r="D106" s="4">
        <v>1.062667</v>
      </c>
      <c r="E106" s="5">
        <f t="shared" si="3"/>
        <v>0</v>
      </c>
      <c r="F106" s="8">
        <f t="shared" si="4"/>
        <v>9.6670000000000922E-3</v>
      </c>
      <c r="G106" s="8">
        <f t="shared" si="5"/>
        <v>9.6670000000000922E-3</v>
      </c>
      <c r="H106" s="46" t="s">
        <v>322</v>
      </c>
      <c r="I106" s="46" t="s">
        <v>322</v>
      </c>
    </row>
    <row r="107" spans="1:9" x14ac:dyDescent="0.2">
      <c r="A107" s="3">
        <v>82.709722222222226</v>
      </c>
      <c r="B107" s="7" t="s">
        <v>150</v>
      </c>
      <c r="C107" s="4">
        <v>1.072333</v>
      </c>
      <c r="D107" s="4">
        <v>1.072333</v>
      </c>
      <c r="E107" s="5">
        <f t="shared" si="3"/>
        <v>0</v>
      </c>
      <c r="F107" s="8">
        <f t="shared" si="4"/>
        <v>9.6659999999999524E-3</v>
      </c>
      <c r="G107" s="8">
        <f t="shared" si="5"/>
        <v>9.6659999999999524E-3</v>
      </c>
      <c r="H107" s="46" t="s">
        <v>322</v>
      </c>
      <c r="I107" s="46" t="s">
        <v>322</v>
      </c>
    </row>
    <row r="108" spans="1:9" x14ac:dyDescent="0.2">
      <c r="A108" s="3">
        <v>82.71041666666666</v>
      </c>
      <c r="B108" s="7" t="s">
        <v>151</v>
      </c>
      <c r="C108" s="4">
        <v>1.079</v>
      </c>
      <c r="D108" s="4">
        <v>1.079</v>
      </c>
      <c r="E108" s="5">
        <f t="shared" si="3"/>
        <v>0</v>
      </c>
      <c r="F108" s="8">
        <f t="shared" si="4"/>
        <v>6.6669999999999785E-3</v>
      </c>
      <c r="G108" s="8">
        <f t="shared" si="5"/>
        <v>6.6669999999999785E-3</v>
      </c>
      <c r="H108" s="46" t="s">
        <v>322</v>
      </c>
      <c r="I108" s="46" t="s">
        <v>322</v>
      </c>
    </row>
    <row r="109" spans="1:9" x14ac:dyDescent="0.2">
      <c r="A109" s="3">
        <v>82.711111111111109</v>
      </c>
      <c r="B109" s="7" t="s">
        <v>152</v>
      </c>
      <c r="C109" s="4">
        <v>1.0900000000000001</v>
      </c>
      <c r="D109" s="4">
        <v>1.0900000000000001</v>
      </c>
      <c r="E109" s="5">
        <f t="shared" si="3"/>
        <v>0</v>
      </c>
      <c r="F109" s="8">
        <f t="shared" si="4"/>
        <v>1.1000000000000121E-2</v>
      </c>
      <c r="G109" s="8">
        <f t="shared" si="5"/>
        <v>1.1000000000000121E-2</v>
      </c>
      <c r="H109" s="46" t="s">
        <v>322</v>
      </c>
      <c r="I109" s="46" t="s">
        <v>322</v>
      </c>
    </row>
    <row r="110" spans="1:9" x14ac:dyDescent="0.2">
      <c r="A110" s="3">
        <v>82.750694444444449</v>
      </c>
      <c r="B110" s="7" t="s">
        <v>153</v>
      </c>
      <c r="C110" s="4">
        <v>1.0956669999999999</v>
      </c>
      <c r="D110" s="4">
        <v>1.0956669999999999</v>
      </c>
      <c r="E110" s="5">
        <f t="shared" si="3"/>
        <v>0</v>
      </c>
      <c r="F110" s="8">
        <f t="shared" si="4"/>
        <v>5.6669999999998666E-3</v>
      </c>
      <c r="G110" s="8">
        <f t="shared" si="5"/>
        <v>5.6669999999998666E-3</v>
      </c>
      <c r="H110" s="46" t="s">
        <v>322</v>
      </c>
      <c r="I110" s="46" t="s">
        <v>322</v>
      </c>
    </row>
    <row r="111" spans="1:9" x14ac:dyDescent="0.2">
      <c r="A111" s="3">
        <v>82.751388888888883</v>
      </c>
      <c r="B111" s="7" t="s">
        <v>154</v>
      </c>
      <c r="C111" s="4">
        <v>1.090333</v>
      </c>
      <c r="D111" s="4">
        <v>1.090333</v>
      </c>
      <c r="E111" s="5">
        <f t="shared" si="3"/>
        <v>0</v>
      </c>
      <c r="F111" s="8">
        <f t="shared" si="4"/>
        <v>-5.3339999999999499E-3</v>
      </c>
      <c r="G111" s="8">
        <f t="shared" si="5"/>
        <v>-5.3339999999999499E-3</v>
      </c>
      <c r="H111" s="46" t="s">
        <v>322</v>
      </c>
      <c r="I111" s="46" t="s">
        <v>322</v>
      </c>
    </row>
    <row r="112" spans="1:9" x14ac:dyDescent="0.2">
      <c r="A112" s="3">
        <v>82.752083333333331</v>
      </c>
      <c r="B112" s="7" t="s">
        <v>155</v>
      </c>
      <c r="C112" s="4">
        <v>1.097</v>
      </c>
      <c r="D112" s="4">
        <v>1.097</v>
      </c>
      <c r="E112" s="5">
        <f t="shared" si="3"/>
        <v>0</v>
      </c>
      <c r="F112" s="8">
        <f t="shared" si="4"/>
        <v>6.6669999999999785E-3</v>
      </c>
      <c r="G112" s="8">
        <f t="shared" si="5"/>
        <v>6.6669999999999785E-3</v>
      </c>
      <c r="H112" s="46" t="s">
        <v>322</v>
      </c>
      <c r="I112" s="46" t="s">
        <v>322</v>
      </c>
    </row>
    <row r="113" spans="1:9" x14ac:dyDescent="0.2">
      <c r="A113" s="3">
        <v>82.75277777777778</v>
      </c>
      <c r="B113" s="7" t="s">
        <v>156</v>
      </c>
      <c r="C113" s="4">
        <v>1.1046670000000001</v>
      </c>
      <c r="D113" s="4">
        <v>1.1046670000000001</v>
      </c>
      <c r="E113" s="5">
        <f t="shared" si="3"/>
        <v>0</v>
      </c>
      <c r="F113" s="8">
        <f t="shared" si="4"/>
        <v>7.6670000000000904E-3</v>
      </c>
      <c r="G113" s="8">
        <f t="shared" si="5"/>
        <v>7.6670000000000904E-3</v>
      </c>
      <c r="H113" s="46" t="s">
        <v>322</v>
      </c>
      <c r="I113" s="46" t="s">
        <v>322</v>
      </c>
    </row>
    <row r="114" spans="1:9" x14ac:dyDescent="0.2">
      <c r="A114" s="3">
        <v>82.792361111111106</v>
      </c>
      <c r="B114" s="7" t="s">
        <v>157</v>
      </c>
      <c r="C114" s="4">
        <v>1.1180000000000001</v>
      </c>
      <c r="D114" s="4">
        <v>1.1180000000000001</v>
      </c>
      <c r="E114" s="5">
        <f t="shared" si="3"/>
        <v>0</v>
      </c>
      <c r="F114" s="8">
        <f t="shared" si="4"/>
        <v>1.3333000000000039E-2</v>
      </c>
      <c r="G114" s="8">
        <f t="shared" si="5"/>
        <v>1.3333000000000039E-2</v>
      </c>
      <c r="H114" s="46" t="s">
        <v>322</v>
      </c>
      <c r="I114" s="46" t="s">
        <v>322</v>
      </c>
    </row>
    <row r="115" spans="1:9" x14ac:dyDescent="0.2">
      <c r="A115" s="3">
        <v>82.793055555555554</v>
      </c>
      <c r="B115" s="7" t="s">
        <v>158</v>
      </c>
      <c r="C115" s="4">
        <v>1.1306670000000001</v>
      </c>
      <c r="D115" s="4">
        <v>1.1306670000000001</v>
      </c>
      <c r="E115" s="5">
        <f t="shared" si="3"/>
        <v>0</v>
      </c>
      <c r="F115" s="8">
        <f t="shared" si="4"/>
        <v>1.2666999999999984E-2</v>
      </c>
      <c r="G115" s="8">
        <f t="shared" si="5"/>
        <v>1.2666999999999984E-2</v>
      </c>
      <c r="H115" s="46" t="s">
        <v>322</v>
      </c>
      <c r="I115" s="46" t="s">
        <v>322</v>
      </c>
    </row>
    <row r="116" spans="1:9" x14ac:dyDescent="0.2">
      <c r="A116" s="3">
        <v>82.793750000000003</v>
      </c>
      <c r="B116" s="7" t="s">
        <v>159</v>
      </c>
      <c r="C116" s="4">
        <v>1.1426670000000001</v>
      </c>
      <c r="D116" s="4">
        <v>1.1426670000000001</v>
      </c>
      <c r="E116" s="5">
        <f t="shared" si="3"/>
        <v>0</v>
      </c>
      <c r="F116" s="8">
        <f t="shared" si="4"/>
        <v>1.2000000000000011E-2</v>
      </c>
      <c r="G116" s="8">
        <f t="shared" si="5"/>
        <v>1.2000000000000011E-2</v>
      </c>
      <c r="H116" s="46" t="s">
        <v>322</v>
      </c>
      <c r="I116" s="46" t="s">
        <v>322</v>
      </c>
    </row>
    <row r="117" spans="1:9" x14ac:dyDescent="0.2">
      <c r="A117" s="3">
        <v>82.794444444444437</v>
      </c>
      <c r="B117" s="7" t="s">
        <v>160</v>
      </c>
      <c r="C117" s="4">
        <v>1.1533329999999999</v>
      </c>
      <c r="D117" s="4">
        <v>1.1533329999999999</v>
      </c>
      <c r="E117" s="5">
        <f t="shared" si="3"/>
        <v>0</v>
      </c>
      <c r="F117" s="8">
        <f t="shared" si="4"/>
        <v>1.0665999999999842E-2</v>
      </c>
      <c r="G117" s="8">
        <f t="shared" si="5"/>
        <v>1.0665999999999842E-2</v>
      </c>
      <c r="H117" s="46" t="s">
        <v>322</v>
      </c>
      <c r="I117" s="46" t="s">
        <v>322</v>
      </c>
    </row>
    <row r="118" spans="1:9" x14ac:dyDescent="0.2">
      <c r="A118" s="3">
        <v>82.834027777777777</v>
      </c>
      <c r="B118" s="7" t="s">
        <v>161</v>
      </c>
      <c r="C118" s="4">
        <v>1.1623330000000001</v>
      </c>
      <c r="D118" s="4">
        <v>1.1623330000000001</v>
      </c>
      <c r="E118" s="5">
        <f t="shared" si="3"/>
        <v>0</v>
      </c>
      <c r="F118" s="8">
        <f t="shared" si="4"/>
        <v>9.000000000000119E-3</v>
      </c>
      <c r="G118" s="8">
        <f t="shared" si="5"/>
        <v>9.000000000000119E-3</v>
      </c>
      <c r="H118" s="46" t="s">
        <v>322</v>
      </c>
      <c r="I118" s="46" t="s">
        <v>322</v>
      </c>
    </row>
    <row r="119" spans="1:9" x14ac:dyDescent="0.2">
      <c r="A119" s="3">
        <v>82.834722222222226</v>
      </c>
      <c r="B119" s="7" t="s">
        <v>162</v>
      </c>
      <c r="C119" s="4">
        <v>1.175667</v>
      </c>
      <c r="D119" s="4">
        <v>1.175667</v>
      </c>
      <c r="E119" s="5">
        <f t="shared" si="3"/>
        <v>0</v>
      </c>
      <c r="F119" s="8">
        <f t="shared" si="4"/>
        <v>1.3333999999999957E-2</v>
      </c>
      <c r="G119" s="8">
        <f t="shared" si="5"/>
        <v>1.3333999999999957E-2</v>
      </c>
      <c r="H119" s="46" t="s">
        <v>322</v>
      </c>
      <c r="I119" s="46" t="s">
        <v>322</v>
      </c>
    </row>
    <row r="120" spans="1:9" x14ac:dyDescent="0.2">
      <c r="A120" s="3">
        <v>82.83541666666666</v>
      </c>
      <c r="B120" s="7" t="s">
        <v>163</v>
      </c>
      <c r="C120" s="4">
        <v>1.19</v>
      </c>
      <c r="D120" s="4">
        <v>1.19</v>
      </c>
      <c r="E120" s="5">
        <f t="shared" si="3"/>
        <v>0</v>
      </c>
      <c r="F120" s="8">
        <f t="shared" si="4"/>
        <v>1.4332999999999929E-2</v>
      </c>
      <c r="G120" s="8">
        <f t="shared" si="5"/>
        <v>1.4332999999999929E-2</v>
      </c>
      <c r="H120" s="46" t="s">
        <v>322</v>
      </c>
      <c r="I120" s="46" t="s">
        <v>322</v>
      </c>
    </row>
    <row r="121" spans="1:9" x14ac:dyDescent="0.2">
      <c r="A121" s="3">
        <v>82.836111111111109</v>
      </c>
      <c r="B121" s="7" t="s">
        <v>164</v>
      </c>
      <c r="C121" s="4">
        <v>1.2030000000000001</v>
      </c>
      <c r="D121" s="4">
        <v>1.2030000000000001</v>
      </c>
      <c r="E121" s="5">
        <f t="shared" si="3"/>
        <v>0</v>
      </c>
      <c r="F121" s="8">
        <f t="shared" si="4"/>
        <v>1.3000000000000123E-2</v>
      </c>
      <c r="G121" s="8">
        <f t="shared" si="5"/>
        <v>1.3000000000000123E-2</v>
      </c>
      <c r="H121" s="46" t="s">
        <v>322</v>
      </c>
      <c r="I121" s="46" t="s">
        <v>322</v>
      </c>
    </row>
    <row r="122" spans="1:9" x14ac:dyDescent="0.2">
      <c r="A122" s="3">
        <v>82.875694444444449</v>
      </c>
      <c r="B122" s="7" t="s">
        <v>165</v>
      </c>
      <c r="C122" s="4">
        <v>1.2166669999999999</v>
      </c>
      <c r="D122" s="4">
        <v>1.2166669999999999</v>
      </c>
      <c r="E122" s="5">
        <f t="shared" si="3"/>
        <v>0</v>
      </c>
      <c r="F122" s="8">
        <f t="shared" si="4"/>
        <v>1.3666999999999874E-2</v>
      </c>
      <c r="G122" s="8">
        <f t="shared" si="5"/>
        <v>1.3666999999999874E-2</v>
      </c>
      <c r="H122" s="46" t="s">
        <v>322</v>
      </c>
      <c r="I122" s="46" t="s">
        <v>322</v>
      </c>
    </row>
    <row r="123" spans="1:9" x14ac:dyDescent="0.2">
      <c r="A123" s="3">
        <v>82.876388888888883</v>
      </c>
      <c r="B123" s="7" t="s">
        <v>166</v>
      </c>
      <c r="C123" s="4">
        <v>1.2363329999999999</v>
      </c>
      <c r="D123" s="4">
        <v>1.2363329999999999</v>
      </c>
      <c r="E123" s="5">
        <f t="shared" si="3"/>
        <v>0</v>
      </c>
      <c r="F123" s="8">
        <f t="shared" si="4"/>
        <v>1.9665999999999961E-2</v>
      </c>
      <c r="G123" s="8">
        <f t="shared" si="5"/>
        <v>1.9665999999999961E-2</v>
      </c>
      <c r="H123" s="46" t="s">
        <v>322</v>
      </c>
      <c r="I123" s="46" t="s">
        <v>322</v>
      </c>
    </row>
    <row r="124" spans="1:9" x14ac:dyDescent="0.2">
      <c r="A124" s="3">
        <v>82.877083333333331</v>
      </c>
      <c r="B124" s="7" t="s">
        <v>167</v>
      </c>
      <c r="C124" s="4">
        <v>1.246</v>
      </c>
      <c r="D124" s="4">
        <v>1.246</v>
      </c>
      <c r="E124" s="5">
        <f t="shared" si="3"/>
        <v>0</v>
      </c>
      <c r="F124" s="8">
        <f t="shared" si="4"/>
        <v>9.6670000000000922E-3</v>
      </c>
      <c r="G124" s="8">
        <f t="shared" si="5"/>
        <v>9.6670000000000922E-3</v>
      </c>
      <c r="H124" s="46" t="s">
        <v>322</v>
      </c>
      <c r="I124" s="46" t="s">
        <v>322</v>
      </c>
    </row>
    <row r="125" spans="1:9" x14ac:dyDescent="0.2">
      <c r="A125" s="3">
        <v>82.87777777777778</v>
      </c>
      <c r="B125" s="7" t="s">
        <v>168</v>
      </c>
      <c r="C125" s="4">
        <v>1.258667</v>
      </c>
      <c r="D125" s="4">
        <v>1.258667</v>
      </c>
      <c r="E125" s="5">
        <f t="shared" si="3"/>
        <v>0</v>
      </c>
      <c r="F125" s="8">
        <f t="shared" si="4"/>
        <v>1.2666999999999984E-2</v>
      </c>
      <c r="G125" s="8">
        <f t="shared" si="5"/>
        <v>1.2666999999999984E-2</v>
      </c>
      <c r="H125" s="46" t="s">
        <v>322</v>
      </c>
      <c r="I125" s="46" t="s">
        <v>322</v>
      </c>
    </row>
    <row r="126" spans="1:9" x14ac:dyDescent="0.2">
      <c r="A126" s="3">
        <v>82.917361111111106</v>
      </c>
      <c r="B126" s="7" t="s">
        <v>169</v>
      </c>
      <c r="C126" s="4">
        <v>1.2803329999999999</v>
      </c>
      <c r="D126" s="4">
        <v>1.2803329999999999</v>
      </c>
      <c r="E126" s="5">
        <f t="shared" si="3"/>
        <v>0</v>
      </c>
      <c r="F126" s="8">
        <f t="shared" si="4"/>
        <v>2.1665999999999963E-2</v>
      </c>
      <c r="G126" s="8">
        <f t="shared" si="5"/>
        <v>2.1665999999999963E-2</v>
      </c>
      <c r="H126" s="46" t="s">
        <v>322</v>
      </c>
      <c r="I126" s="46" t="s">
        <v>322</v>
      </c>
    </row>
    <row r="127" spans="1:9" x14ac:dyDescent="0.2">
      <c r="A127" s="3">
        <v>82.918055555555554</v>
      </c>
      <c r="B127" s="7" t="s">
        <v>170</v>
      </c>
      <c r="C127" s="4">
        <v>1.2929999999999999</v>
      </c>
      <c r="D127" s="4">
        <v>1.2929999999999999</v>
      </c>
      <c r="E127" s="5">
        <f t="shared" si="3"/>
        <v>0</v>
      </c>
      <c r="F127" s="8">
        <f t="shared" si="4"/>
        <v>1.2666999999999984E-2</v>
      </c>
      <c r="G127" s="8">
        <f t="shared" si="5"/>
        <v>1.2666999999999984E-2</v>
      </c>
      <c r="H127" s="46" t="s">
        <v>322</v>
      </c>
      <c r="I127" s="46" t="s">
        <v>322</v>
      </c>
    </row>
    <row r="128" spans="1:9" x14ac:dyDescent="0.2">
      <c r="A128" s="3">
        <v>82.918750000000003</v>
      </c>
      <c r="B128" s="7" t="s">
        <v>171</v>
      </c>
      <c r="C128" s="4">
        <v>1.3153330000000001</v>
      </c>
      <c r="D128" s="4">
        <v>1.3153330000000001</v>
      </c>
      <c r="E128" s="5">
        <f t="shared" si="3"/>
        <v>0</v>
      </c>
      <c r="F128" s="8">
        <f t="shared" si="4"/>
        <v>2.2333000000000158E-2</v>
      </c>
      <c r="G128" s="8">
        <f t="shared" si="5"/>
        <v>2.2333000000000158E-2</v>
      </c>
      <c r="H128" s="46" t="s">
        <v>322</v>
      </c>
      <c r="I128" s="46" t="s">
        <v>322</v>
      </c>
    </row>
    <row r="129" spans="1:9" x14ac:dyDescent="0.2">
      <c r="A129" s="3">
        <v>82.919444444444437</v>
      </c>
      <c r="B129" s="7" t="s">
        <v>172</v>
      </c>
      <c r="C129" s="4">
        <v>1.3376669999999999</v>
      </c>
      <c r="D129" s="4">
        <v>1.3376669999999999</v>
      </c>
      <c r="E129" s="5">
        <f t="shared" si="3"/>
        <v>0</v>
      </c>
      <c r="F129" s="8">
        <f t="shared" si="4"/>
        <v>2.2333999999999854E-2</v>
      </c>
      <c r="G129" s="8">
        <f t="shared" si="5"/>
        <v>2.2333999999999854E-2</v>
      </c>
      <c r="H129" s="46" t="s">
        <v>322</v>
      </c>
      <c r="I129" s="46" t="s">
        <v>322</v>
      </c>
    </row>
    <row r="130" spans="1:9" x14ac:dyDescent="0.2">
      <c r="A130" s="3">
        <v>82.959027777777777</v>
      </c>
      <c r="B130" s="7" t="s">
        <v>173</v>
      </c>
      <c r="C130" s="4">
        <v>1.3476669999999999</v>
      </c>
      <c r="D130" s="4">
        <v>1.3476669999999999</v>
      </c>
      <c r="E130" s="5">
        <f t="shared" si="3"/>
        <v>0</v>
      </c>
      <c r="F130" s="8">
        <f t="shared" si="4"/>
        <v>1.0000000000000009E-2</v>
      </c>
      <c r="G130" s="8">
        <f t="shared" si="5"/>
        <v>1.0000000000000009E-2</v>
      </c>
      <c r="H130" s="46" t="s">
        <v>322</v>
      </c>
      <c r="I130" s="46" t="s">
        <v>322</v>
      </c>
    </row>
    <row r="131" spans="1:9" x14ac:dyDescent="0.2">
      <c r="A131" s="3">
        <v>82.959722222222226</v>
      </c>
      <c r="B131" s="7" t="s">
        <v>174</v>
      </c>
      <c r="C131" s="4">
        <v>1.355667</v>
      </c>
      <c r="D131" s="4">
        <v>1.355667</v>
      </c>
      <c r="E131" s="5">
        <f t="shared" ref="E131:E194" si="6">C131-D131</f>
        <v>0</v>
      </c>
      <c r="F131" s="8">
        <f t="shared" si="4"/>
        <v>8.0000000000000071E-3</v>
      </c>
      <c r="G131" s="8">
        <f t="shared" si="5"/>
        <v>8.0000000000000071E-3</v>
      </c>
      <c r="H131" s="46" t="s">
        <v>322</v>
      </c>
      <c r="I131" s="46" t="s">
        <v>322</v>
      </c>
    </row>
    <row r="132" spans="1:9" x14ac:dyDescent="0.2">
      <c r="A132" s="3">
        <v>82.96041666666666</v>
      </c>
      <c r="B132" s="7" t="s">
        <v>175</v>
      </c>
      <c r="C132" s="4">
        <v>1.3660000000000001</v>
      </c>
      <c r="D132" s="4">
        <v>1.3660000000000001</v>
      </c>
      <c r="E132" s="5">
        <f t="shared" si="6"/>
        <v>0</v>
      </c>
      <c r="F132" s="8">
        <f t="shared" ref="F132:F195" si="7">C132-C131</f>
        <v>1.0333000000000148E-2</v>
      </c>
      <c r="G132" s="8">
        <f t="shared" ref="G132:G195" si="8">D132-D131</f>
        <v>1.0333000000000148E-2</v>
      </c>
      <c r="H132" s="46" t="s">
        <v>322</v>
      </c>
      <c r="I132" s="46" t="s">
        <v>322</v>
      </c>
    </row>
    <row r="133" spans="1:9" x14ac:dyDescent="0.2">
      <c r="A133" s="3">
        <v>82.961111111111109</v>
      </c>
      <c r="B133" s="7" t="s">
        <v>176</v>
      </c>
      <c r="C133" s="4">
        <v>1.3773329999999999</v>
      </c>
      <c r="D133" s="4">
        <v>1.3773329999999999</v>
      </c>
      <c r="E133" s="5">
        <f t="shared" si="6"/>
        <v>0</v>
      </c>
      <c r="F133" s="8">
        <f t="shared" si="7"/>
        <v>1.1332999999999815E-2</v>
      </c>
      <c r="G133" s="8">
        <f t="shared" si="8"/>
        <v>1.1332999999999815E-2</v>
      </c>
      <c r="H133" s="46" t="s">
        <v>322</v>
      </c>
      <c r="I133" s="46" t="s">
        <v>322</v>
      </c>
    </row>
    <row r="134" spans="1:9" x14ac:dyDescent="0.2">
      <c r="A134" s="3">
        <v>83.000694444444449</v>
      </c>
      <c r="B134" s="7" t="s">
        <v>177</v>
      </c>
      <c r="C134" s="4">
        <v>1.3866670000000001</v>
      </c>
      <c r="D134" s="4">
        <v>1.3866670000000001</v>
      </c>
      <c r="E134" s="5">
        <f t="shared" si="6"/>
        <v>0</v>
      </c>
      <c r="F134" s="8">
        <f t="shared" si="7"/>
        <v>9.3340000000001755E-3</v>
      </c>
      <c r="G134" s="8">
        <f t="shared" si="8"/>
        <v>9.3340000000001755E-3</v>
      </c>
      <c r="H134" s="46" t="s">
        <v>322</v>
      </c>
      <c r="I134" s="46" t="s">
        <v>322</v>
      </c>
    </row>
    <row r="135" spans="1:9" x14ac:dyDescent="0.2">
      <c r="A135" s="3">
        <v>83.001388888888883</v>
      </c>
      <c r="B135" s="7" t="s">
        <v>178</v>
      </c>
      <c r="C135" s="4">
        <v>1.3973329999999999</v>
      </c>
      <c r="D135" s="4">
        <v>1.3973329999999999</v>
      </c>
      <c r="E135" s="5">
        <f t="shared" si="6"/>
        <v>0</v>
      </c>
      <c r="F135" s="8">
        <f t="shared" si="7"/>
        <v>1.0665999999999842E-2</v>
      </c>
      <c r="G135" s="8">
        <f t="shared" si="8"/>
        <v>1.0665999999999842E-2</v>
      </c>
      <c r="H135" s="46" t="s">
        <v>322</v>
      </c>
      <c r="I135" s="46" t="s">
        <v>322</v>
      </c>
    </row>
    <row r="136" spans="1:9" x14ac:dyDescent="0.2">
      <c r="A136" s="3">
        <v>83.002083333333331</v>
      </c>
      <c r="B136" s="7" t="s">
        <v>179</v>
      </c>
      <c r="C136" s="4">
        <v>1.4079999999999999</v>
      </c>
      <c r="D136" s="4">
        <v>1.4079999999999999</v>
      </c>
      <c r="E136" s="5">
        <f t="shared" si="6"/>
        <v>0</v>
      </c>
      <c r="F136" s="8">
        <f t="shared" si="7"/>
        <v>1.0666999999999982E-2</v>
      </c>
      <c r="G136" s="8">
        <f t="shared" si="8"/>
        <v>1.0666999999999982E-2</v>
      </c>
      <c r="H136" s="46" t="s">
        <v>322</v>
      </c>
      <c r="I136" s="46" t="s">
        <v>322</v>
      </c>
    </row>
    <row r="137" spans="1:9" x14ac:dyDescent="0.2">
      <c r="A137" s="3">
        <v>83.00277777777778</v>
      </c>
      <c r="B137" s="7" t="s">
        <v>180</v>
      </c>
      <c r="C137" s="4">
        <v>1.4203330000000001</v>
      </c>
      <c r="D137" s="4">
        <v>1.4203330000000001</v>
      </c>
      <c r="E137" s="5">
        <f t="shared" si="6"/>
        <v>0</v>
      </c>
      <c r="F137" s="8">
        <f t="shared" si="7"/>
        <v>1.2333000000000149E-2</v>
      </c>
      <c r="G137" s="8">
        <f t="shared" si="8"/>
        <v>1.2333000000000149E-2</v>
      </c>
      <c r="H137" s="46" t="s">
        <v>322</v>
      </c>
      <c r="I137" s="46" t="s">
        <v>322</v>
      </c>
    </row>
    <row r="138" spans="1:9" x14ac:dyDescent="0.2">
      <c r="A138" s="3">
        <v>83.042361111111106</v>
      </c>
      <c r="B138" s="7" t="s">
        <v>181</v>
      </c>
      <c r="C138" s="4">
        <v>1.4306669999999999</v>
      </c>
      <c r="D138" s="4">
        <v>1.4306669999999999</v>
      </c>
      <c r="E138" s="5">
        <f t="shared" si="6"/>
        <v>0</v>
      </c>
      <c r="F138" s="8">
        <f t="shared" si="7"/>
        <v>1.0333999999999843E-2</v>
      </c>
      <c r="G138" s="8">
        <f t="shared" si="8"/>
        <v>1.0333999999999843E-2</v>
      </c>
      <c r="H138" s="46" t="s">
        <v>322</v>
      </c>
      <c r="I138" s="46" t="s">
        <v>322</v>
      </c>
    </row>
    <row r="139" spans="1:9" x14ac:dyDescent="0.2">
      <c r="A139" s="3">
        <v>83.043055555555554</v>
      </c>
      <c r="B139" s="7" t="s">
        <v>182</v>
      </c>
      <c r="C139" s="4">
        <v>1.4410000000000001</v>
      </c>
      <c r="D139" s="4">
        <v>1.4410000000000001</v>
      </c>
      <c r="E139" s="5">
        <f t="shared" si="6"/>
        <v>0</v>
      </c>
      <c r="F139" s="8">
        <f t="shared" si="7"/>
        <v>1.0333000000000148E-2</v>
      </c>
      <c r="G139" s="8">
        <f t="shared" si="8"/>
        <v>1.0333000000000148E-2</v>
      </c>
      <c r="H139" s="46" t="s">
        <v>322</v>
      </c>
      <c r="I139" s="46" t="s">
        <v>322</v>
      </c>
    </row>
    <row r="140" spans="1:9" x14ac:dyDescent="0.2">
      <c r="A140" s="3">
        <v>83.043750000000003</v>
      </c>
      <c r="B140" s="7" t="s">
        <v>183</v>
      </c>
      <c r="C140" s="4">
        <v>1.447667</v>
      </c>
      <c r="D140" s="4">
        <v>1.447667</v>
      </c>
      <c r="E140" s="5">
        <f t="shared" si="6"/>
        <v>0</v>
      </c>
      <c r="F140" s="8">
        <f t="shared" si="7"/>
        <v>6.6669999999999785E-3</v>
      </c>
      <c r="G140" s="8">
        <f t="shared" si="8"/>
        <v>6.6669999999999785E-3</v>
      </c>
      <c r="H140" s="46" t="s">
        <v>322</v>
      </c>
      <c r="I140" s="46" t="s">
        <v>322</v>
      </c>
    </row>
    <row r="141" spans="1:9" x14ac:dyDescent="0.2">
      <c r="A141" s="3">
        <v>83.044444444444437</v>
      </c>
      <c r="B141" s="7" t="s">
        <v>184</v>
      </c>
      <c r="C141" s="4">
        <v>1.459667</v>
      </c>
      <c r="D141" s="4">
        <v>1.459667</v>
      </c>
      <c r="E141" s="5">
        <f t="shared" si="6"/>
        <v>0</v>
      </c>
      <c r="F141" s="8">
        <f t="shared" si="7"/>
        <v>1.2000000000000011E-2</v>
      </c>
      <c r="G141" s="8">
        <f t="shared" si="8"/>
        <v>1.2000000000000011E-2</v>
      </c>
      <c r="H141" s="46" t="s">
        <v>322</v>
      </c>
      <c r="I141" s="46" t="s">
        <v>322</v>
      </c>
    </row>
    <row r="142" spans="1:9" x14ac:dyDescent="0.2">
      <c r="A142" s="3">
        <v>83.084027777777777</v>
      </c>
      <c r="B142" s="7" t="s">
        <v>185</v>
      </c>
      <c r="C142" s="4">
        <v>1.4670000000000001</v>
      </c>
      <c r="D142" s="4">
        <v>1.4670000000000001</v>
      </c>
      <c r="E142" s="5">
        <f t="shared" si="6"/>
        <v>0</v>
      </c>
      <c r="F142" s="8">
        <f t="shared" si="7"/>
        <v>7.3330000000000339E-3</v>
      </c>
      <c r="G142" s="8">
        <f t="shared" si="8"/>
        <v>7.3330000000000339E-3</v>
      </c>
      <c r="H142" s="46" t="s">
        <v>322</v>
      </c>
      <c r="I142" s="46" t="s">
        <v>322</v>
      </c>
    </row>
    <row r="143" spans="1:9" x14ac:dyDescent="0.2">
      <c r="A143" s="3">
        <v>83.084722222222226</v>
      </c>
      <c r="B143" s="7" t="s">
        <v>186</v>
      </c>
      <c r="C143" s="4">
        <v>1.475333</v>
      </c>
      <c r="D143" s="4">
        <v>1.475333</v>
      </c>
      <c r="E143" s="5">
        <f t="shared" si="6"/>
        <v>0</v>
      </c>
      <c r="F143" s="8">
        <f t="shared" si="7"/>
        <v>8.3329999999999238E-3</v>
      </c>
      <c r="G143" s="8">
        <f t="shared" si="8"/>
        <v>8.3329999999999238E-3</v>
      </c>
      <c r="H143" s="46" t="s">
        <v>322</v>
      </c>
      <c r="I143" s="46" t="s">
        <v>322</v>
      </c>
    </row>
    <row r="144" spans="1:9" x14ac:dyDescent="0.2">
      <c r="A144" s="3">
        <v>83.08541666666666</v>
      </c>
      <c r="B144" s="7" t="s">
        <v>187</v>
      </c>
      <c r="C144" s="4">
        <v>1.4890000000000001</v>
      </c>
      <c r="D144" s="4">
        <v>1.4890000000000001</v>
      </c>
      <c r="E144" s="5">
        <f t="shared" si="6"/>
        <v>0</v>
      </c>
      <c r="F144" s="8">
        <f t="shared" si="7"/>
        <v>1.3667000000000096E-2</v>
      </c>
      <c r="G144" s="8">
        <f t="shared" si="8"/>
        <v>1.3667000000000096E-2</v>
      </c>
      <c r="H144" s="46" t="s">
        <v>322</v>
      </c>
      <c r="I144" s="46" t="s">
        <v>322</v>
      </c>
    </row>
    <row r="145" spans="1:9" x14ac:dyDescent="0.2">
      <c r="A145" s="3">
        <v>83.086111111111109</v>
      </c>
      <c r="B145" s="7" t="s">
        <v>188</v>
      </c>
      <c r="C145" s="4">
        <v>1.4976670000000001</v>
      </c>
      <c r="D145" s="4">
        <v>1.4976670000000001</v>
      </c>
      <c r="E145" s="5">
        <f t="shared" si="6"/>
        <v>0</v>
      </c>
      <c r="F145" s="8">
        <f t="shared" si="7"/>
        <v>8.6669999999999803E-3</v>
      </c>
      <c r="G145" s="8">
        <f t="shared" si="8"/>
        <v>8.6669999999999803E-3</v>
      </c>
      <c r="H145" s="46" t="s">
        <v>322</v>
      </c>
      <c r="I145" s="46" t="s">
        <v>322</v>
      </c>
    </row>
    <row r="146" spans="1:9" x14ac:dyDescent="0.2">
      <c r="A146" s="3">
        <v>83.125694444444449</v>
      </c>
      <c r="B146" s="7" t="s">
        <v>189</v>
      </c>
      <c r="C146" s="4">
        <v>1.508667</v>
      </c>
      <c r="D146" s="4">
        <v>1.508667</v>
      </c>
      <c r="E146" s="5">
        <f t="shared" si="6"/>
        <v>0</v>
      </c>
      <c r="F146" s="8">
        <f t="shared" si="7"/>
        <v>1.0999999999999899E-2</v>
      </c>
      <c r="G146" s="8">
        <f t="shared" si="8"/>
        <v>1.0999999999999899E-2</v>
      </c>
      <c r="H146" s="46" t="s">
        <v>322</v>
      </c>
      <c r="I146" s="46" t="s">
        <v>322</v>
      </c>
    </row>
    <row r="147" spans="1:9" x14ac:dyDescent="0.2">
      <c r="A147" s="3">
        <v>83.126388888888883</v>
      </c>
      <c r="B147" s="7" t="s">
        <v>190</v>
      </c>
      <c r="C147" s="4">
        <v>1.5209999999999999</v>
      </c>
      <c r="D147" s="4">
        <v>1.5209999999999999</v>
      </c>
      <c r="E147" s="5">
        <f t="shared" si="6"/>
        <v>0</v>
      </c>
      <c r="F147" s="8">
        <f t="shared" si="7"/>
        <v>1.2332999999999927E-2</v>
      </c>
      <c r="G147" s="8">
        <f t="shared" si="8"/>
        <v>1.2332999999999927E-2</v>
      </c>
      <c r="H147" s="46" t="s">
        <v>322</v>
      </c>
      <c r="I147" s="46" t="s">
        <v>322</v>
      </c>
    </row>
    <row r="148" spans="1:9" x14ac:dyDescent="0.2">
      <c r="A148" s="3">
        <v>83.127083333333331</v>
      </c>
      <c r="B148" s="7" t="s">
        <v>191</v>
      </c>
      <c r="C148" s="4">
        <v>1.528667</v>
      </c>
      <c r="D148" s="4">
        <v>1.528667</v>
      </c>
      <c r="E148" s="5">
        <f t="shared" si="6"/>
        <v>0</v>
      </c>
      <c r="F148" s="8">
        <f t="shared" si="7"/>
        <v>7.6670000000000904E-3</v>
      </c>
      <c r="G148" s="8">
        <f t="shared" si="8"/>
        <v>7.6670000000000904E-3</v>
      </c>
      <c r="H148" s="46" t="s">
        <v>322</v>
      </c>
      <c r="I148" s="46" t="s">
        <v>322</v>
      </c>
    </row>
    <row r="149" spans="1:9" x14ac:dyDescent="0.2">
      <c r="A149" s="3">
        <v>83.12777777777778</v>
      </c>
      <c r="B149" s="7" t="s">
        <v>192</v>
      </c>
      <c r="C149" s="4">
        <v>1.5369999999999999</v>
      </c>
      <c r="D149" s="4">
        <v>1.5369999999999999</v>
      </c>
      <c r="E149" s="5">
        <f t="shared" si="6"/>
        <v>0</v>
      </c>
      <c r="F149" s="8">
        <f t="shared" si="7"/>
        <v>8.3329999999999238E-3</v>
      </c>
      <c r="G149" s="8">
        <f t="shared" si="8"/>
        <v>8.3329999999999238E-3</v>
      </c>
      <c r="H149" s="46" t="s">
        <v>322</v>
      </c>
      <c r="I149" s="46" t="s">
        <v>322</v>
      </c>
    </row>
    <row r="150" spans="1:9" x14ac:dyDescent="0.2">
      <c r="A150" s="3">
        <v>83.167361111111106</v>
      </c>
      <c r="B150" s="7" t="s">
        <v>193</v>
      </c>
      <c r="C150" s="4">
        <v>1.550667</v>
      </c>
      <c r="D150" s="4">
        <v>1.550667</v>
      </c>
      <c r="E150" s="5">
        <f t="shared" si="6"/>
        <v>0</v>
      </c>
      <c r="F150" s="8">
        <f t="shared" si="7"/>
        <v>1.3667000000000096E-2</v>
      </c>
      <c r="G150" s="8">
        <f t="shared" si="8"/>
        <v>1.3667000000000096E-2</v>
      </c>
      <c r="H150" s="46" t="s">
        <v>322</v>
      </c>
      <c r="I150" s="46" t="s">
        <v>322</v>
      </c>
    </row>
    <row r="151" spans="1:9" x14ac:dyDescent="0.2">
      <c r="A151" s="3">
        <v>83.168055555555554</v>
      </c>
      <c r="B151" s="7" t="s">
        <v>194</v>
      </c>
      <c r="C151" s="4">
        <v>1.5640000000000001</v>
      </c>
      <c r="D151" s="4">
        <v>1.5640000000000001</v>
      </c>
      <c r="E151" s="5">
        <f t="shared" si="6"/>
        <v>0</v>
      </c>
      <c r="F151" s="8">
        <f t="shared" si="7"/>
        <v>1.3333000000000039E-2</v>
      </c>
      <c r="G151" s="8">
        <f t="shared" si="8"/>
        <v>1.3333000000000039E-2</v>
      </c>
      <c r="H151" s="46" t="s">
        <v>322</v>
      </c>
      <c r="I151" s="46" t="s">
        <v>322</v>
      </c>
    </row>
    <row r="152" spans="1:9" x14ac:dyDescent="0.2">
      <c r="A152" s="3">
        <v>83.168750000000003</v>
      </c>
      <c r="B152" s="7" t="s">
        <v>195</v>
      </c>
      <c r="C152" s="4">
        <v>1.573</v>
      </c>
      <c r="D152" s="4">
        <v>1.573</v>
      </c>
      <c r="E152" s="5">
        <f t="shared" si="6"/>
        <v>0</v>
      </c>
      <c r="F152" s="8">
        <f t="shared" si="7"/>
        <v>8.999999999999897E-3</v>
      </c>
      <c r="G152" s="8">
        <f t="shared" si="8"/>
        <v>8.999999999999897E-3</v>
      </c>
      <c r="H152" s="46" t="s">
        <v>322</v>
      </c>
      <c r="I152" s="46" t="s">
        <v>322</v>
      </c>
    </row>
    <row r="153" spans="1:9" x14ac:dyDescent="0.2">
      <c r="A153" s="3">
        <v>83.169444444444437</v>
      </c>
      <c r="B153" s="7" t="s">
        <v>196</v>
      </c>
      <c r="C153" s="4">
        <v>1.586667</v>
      </c>
      <c r="D153" s="4">
        <v>1.586667</v>
      </c>
      <c r="E153" s="5">
        <f t="shared" si="6"/>
        <v>0</v>
      </c>
      <c r="F153" s="8">
        <f t="shared" si="7"/>
        <v>1.3667000000000096E-2</v>
      </c>
      <c r="G153" s="8">
        <f t="shared" si="8"/>
        <v>1.3667000000000096E-2</v>
      </c>
      <c r="H153" s="46" t="s">
        <v>322</v>
      </c>
      <c r="I153" s="46" t="s">
        <v>322</v>
      </c>
    </row>
    <row r="154" spans="1:9" x14ac:dyDescent="0.2">
      <c r="A154" s="3">
        <v>83.209027777777777</v>
      </c>
      <c r="B154" s="7" t="s">
        <v>197</v>
      </c>
      <c r="C154" s="4">
        <v>1.596333</v>
      </c>
      <c r="D154" s="4">
        <v>1.596333</v>
      </c>
      <c r="E154" s="5">
        <f t="shared" si="6"/>
        <v>0</v>
      </c>
      <c r="F154" s="8">
        <f t="shared" si="7"/>
        <v>9.6659999999999524E-3</v>
      </c>
      <c r="G154" s="8">
        <f t="shared" si="8"/>
        <v>9.6659999999999524E-3</v>
      </c>
      <c r="H154" s="46" t="s">
        <v>322</v>
      </c>
      <c r="I154" s="46" t="s">
        <v>322</v>
      </c>
    </row>
    <row r="155" spans="1:9" x14ac:dyDescent="0.2">
      <c r="A155" s="3">
        <v>83.209722222222226</v>
      </c>
      <c r="B155" s="7" t="s">
        <v>198</v>
      </c>
      <c r="C155" s="4">
        <v>1.6</v>
      </c>
      <c r="D155" s="4">
        <v>1.6</v>
      </c>
      <c r="E155" s="5">
        <f t="shared" si="6"/>
        <v>0</v>
      </c>
      <c r="F155" s="8">
        <f t="shared" si="7"/>
        <v>3.6670000000000869E-3</v>
      </c>
      <c r="G155" s="8">
        <f t="shared" si="8"/>
        <v>3.6670000000000869E-3</v>
      </c>
      <c r="H155" s="46" t="s">
        <v>322</v>
      </c>
      <c r="I155" s="46" t="s">
        <v>322</v>
      </c>
    </row>
    <row r="156" spans="1:9" x14ac:dyDescent="0.2">
      <c r="A156" s="3">
        <v>83.21041666666666</v>
      </c>
      <c r="B156" s="7" t="s">
        <v>199</v>
      </c>
      <c r="C156" s="4">
        <v>1.6080000000000001</v>
      </c>
      <c r="D156" s="4">
        <v>1.6080000000000001</v>
      </c>
      <c r="E156" s="5">
        <f t="shared" si="6"/>
        <v>0</v>
      </c>
      <c r="F156" s="8">
        <f t="shared" si="7"/>
        <v>8.0000000000000071E-3</v>
      </c>
      <c r="G156" s="8">
        <f t="shared" si="8"/>
        <v>8.0000000000000071E-3</v>
      </c>
      <c r="H156" s="46" t="s">
        <v>322</v>
      </c>
      <c r="I156" s="46" t="s">
        <v>322</v>
      </c>
    </row>
    <row r="157" spans="1:9" x14ac:dyDescent="0.2">
      <c r="A157" s="3">
        <v>83.211111111111109</v>
      </c>
      <c r="B157" s="7" t="s">
        <v>200</v>
      </c>
      <c r="C157" s="4">
        <v>1.6166670000000001</v>
      </c>
      <c r="D157" s="4">
        <v>1.6166670000000001</v>
      </c>
      <c r="E157" s="5">
        <f t="shared" si="6"/>
        <v>0</v>
      </c>
      <c r="F157" s="8">
        <f t="shared" si="7"/>
        <v>8.6669999999999803E-3</v>
      </c>
      <c r="G157" s="8">
        <f t="shared" si="8"/>
        <v>8.6669999999999803E-3</v>
      </c>
      <c r="H157" s="46" t="s">
        <v>322</v>
      </c>
      <c r="I157" s="46" t="s">
        <v>322</v>
      </c>
    </row>
    <row r="158" spans="1:9" x14ac:dyDescent="0.2">
      <c r="A158" s="3">
        <v>83.250694444444449</v>
      </c>
      <c r="B158" s="7" t="s">
        <v>201</v>
      </c>
      <c r="C158" s="4">
        <v>1.62</v>
      </c>
      <c r="D158" s="4">
        <v>1.62</v>
      </c>
      <c r="E158" s="5">
        <f t="shared" si="6"/>
        <v>0</v>
      </c>
      <c r="F158" s="8">
        <f t="shared" si="7"/>
        <v>3.3330000000000304E-3</v>
      </c>
      <c r="G158" s="8">
        <f t="shared" si="8"/>
        <v>3.3330000000000304E-3</v>
      </c>
      <c r="H158" s="46" t="s">
        <v>322</v>
      </c>
      <c r="I158" s="46" t="s">
        <v>322</v>
      </c>
    </row>
    <row r="159" spans="1:9" x14ac:dyDescent="0.2">
      <c r="A159" s="3">
        <v>83.251388888888883</v>
      </c>
      <c r="B159" s="7" t="s">
        <v>202</v>
      </c>
      <c r="C159" s="4">
        <v>1.6253329999999999</v>
      </c>
      <c r="D159" s="4">
        <v>1.6253329999999999</v>
      </c>
      <c r="E159" s="5">
        <f t="shared" si="6"/>
        <v>0</v>
      </c>
      <c r="F159" s="8">
        <f t="shared" si="7"/>
        <v>5.3329999999998101E-3</v>
      </c>
      <c r="G159" s="8">
        <f t="shared" si="8"/>
        <v>5.3329999999998101E-3</v>
      </c>
      <c r="H159" s="46" t="s">
        <v>322</v>
      </c>
      <c r="I159" s="46" t="s">
        <v>322</v>
      </c>
    </row>
    <row r="160" spans="1:9" x14ac:dyDescent="0.2">
      <c r="A160" s="3">
        <v>83.252083333333331</v>
      </c>
      <c r="B160" s="7" t="s">
        <v>203</v>
      </c>
      <c r="C160" s="4">
        <v>1.633667</v>
      </c>
      <c r="D160" s="4">
        <v>1.633667</v>
      </c>
      <c r="E160" s="5">
        <f t="shared" si="6"/>
        <v>0</v>
      </c>
      <c r="F160" s="8">
        <f t="shared" si="7"/>
        <v>8.3340000000000636E-3</v>
      </c>
      <c r="G160" s="8">
        <f t="shared" si="8"/>
        <v>8.3340000000000636E-3</v>
      </c>
      <c r="H160" s="46" t="s">
        <v>322</v>
      </c>
      <c r="I160" s="46" t="s">
        <v>322</v>
      </c>
    </row>
    <row r="161" spans="1:9" x14ac:dyDescent="0.2">
      <c r="A161" s="3">
        <v>83.25277777777778</v>
      </c>
      <c r="B161" s="7" t="s">
        <v>204</v>
      </c>
      <c r="C161" s="4">
        <v>1.6413329999999999</v>
      </c>
      <c r="D161" s="4">
        <v>1.6413329999999999</v>
      </c>
      <c r="E161" s="5">
        <f t="shared" si="6"/>
        <v>0</v>
      </c>
      <c r="F161" s="8">
        <f t="shared" si="7"/>
        <v>7.6659999999999506E-3</v>
      </c>
      <c r="G161" s="8">
        <f t="shared" si="8"/>
        <v>7.6659999999999506E-3</v>
      </c>
      <c r="H161" s="46" t="s">
        <v>322</v>
      </c>
      <c r="I161" s="46" t="s">
        <v>322</v>
      </c>
    </row>
    <row r="162" spans="1:9" x14ac:dyDescent="0.2">
      <c r="A162" s="3">
        <v>83.292361111111106</v>
      </c>
      <c r="B162" s="7" t="s">
        <v>205</v>
      </c>
      <c r="C162" s="4">
        <v>1.6473329999999999</v>
      </c>
      <c r="D162" s="4">
        <v>1.6473329999999999</v>
      </c>
      <c r="E162" s="5">
        <f t="shared" si="6"/>
        <v>0</v>
      </c>
      <c r="F162" s="8">
        <f t="shared" si="7"/>
        <v>6.0000000000000053E-3</v>
      </c>
      <c r="G162" s="8">
        <f t="shared" si="8"/>
        <v>6.0000000000000053E-3</v>
      </c>
      <c r="H162" s="46" t="s">
        <v>322</v>
      </c>
      <c r="I162" s="46" t="s">
        <v>322</v>
      </c>
    </row>
    <row r="163" spans="1:9" x14ac:dyDescent="0.2">
      <c r="A163" s="3">
        <v>83.293055555555554</v>
      </c>
      <c r="B163" s="7" t="s">
        <v>206</v>
      </c>
      <c r="C163" s="4">
        <v>1.659667</v>
      </c>
      <c r="D163" s="4">
        <v>1.659667</v>
      </c>
      <c r="E163" s="5">
        <f t="shared" si="6"/>
        <v>0</v>
      </c>
      <c r="F163" s="8">
        <f t="shared" si="7"/>
        <v>1.2334000000000067E-2</v>
      </c>
      <c r="G163" s="8">
        <f t="shared" si="8"/>
        <v>1.2334000000000067E-2</v>
      </c>
      <c r="H163" s="46" t="s">
        <v>322</v>
      </c>
      <c r="I163" s="46" t="s">
        <v>322</v>
      </c>
    </row>
    <row r="164" spans="1:9" x14ac:dyDescent="0.2">
      <c r="A164" s="3">
        <v>83.293750000000003</v>
      </c>
      <c r="B164" s="7" t="s">
        <v>207</v>
      </c>
      <c r="C164" s="4">
        <v>1.6719999999999999</v>
      </c>
      <c r="D164" s="4">
        <v>1.6719999999999999</v>
      </c>
      <c r="E164" s="5">
        <f t="shared" si="6"/>
        <v>0</v>
      </c>
      <c r="F164" s="8">
        <f t="shared" si="7"/>
        <v>1.2332999999999927E-2</v>
      </c>
      <c r="G164" s="8">
        <f t="shared" si="8"/>
        <v>1.2332999999999927E-2</v>
      </c>
      <c r="H164" s="46" t="s">
        <v>322</v>
      </c>
      <c r="I164" s="46" t="s">
        <v>322</v>
      </c>
    </row>
    <row r="165" spans="1:9" x14ac:dyDescent="0.2">
      <c r="A165" s="3">
        <v>83.294444444444437</v>
      </c>
      <c r="B165" s="7" t="s">
        <v>208</v>
      </c>
      <c r="C165" s="4">
        <v>1.6843330000000001</v>
      </c>
      <c r="D165" s="4">
        <v>1.6843330000000001</v>
      </c>
      <c r="E165" s="5">
        <f t="shared" si="6"/>
        <v>0</v>
      </c>
      <c r="F165" s="8">
        <f t="shared" si="7"/>
        <v>1.2333000000000149E-2</v>
      </c>
      <c r="G165" s="8">
        <f t="shared" si="8"/>
        <v>1.2333000000000149E-2</v>
      </c>
      <c r="H165" s="46" t="s">
        <v>322</v>
      </c>
      <c r="I165" s="46" t="s">
        <v>322</v>
      </c>
    </row>
    <row r="166" spans="1:9" x14ac:dyDescent="0.2">
      <c r="A166" s="3">
        <v>83.334027777777777</v>
      </c>
      <c r="B166" s="7" t="s">
        <v>209</v>
      </c>
      <c r="C166" s="4">
        <v>1.7010000000000001</v>
      </c>
      <c r="D166" s="4">
        <v>1.7010000000000001</v>
      </c>
      <c r="E166" s="5">
        <f t="shared" si="6"/>
        <v>0</v>
      </c>
      <c r="F166" s="8">
        <f t="shared" si="7"/>
        <v>1.6666999999999987E-2</v>
      </c>
      <c r="G166" s="8">
        <f t="shared" si="8"/>
        <v>1.6666999999999987E-2</v>
      </c>
      <c r="H166" s="46" t="s">
        <v>322</v>
      </c>
      <c r="I166" s="46" t="s">
        <v>322</v>
      </c>
    </row>
    <row r="167" spans="1:9" x14ac:dyDescent="0.2">
      <c r="A167" s="3">
        <v>83.334722222222226</v>
      </c>
      <c r="B167" s="7" t="s">
        <v>210</v>
      </c>
      <c r="C167" s="4">
        <v>1.7143330000000001</v>
      </c>
      <c r="D167" s="4">
        <v>1.7143330000000001</v>
      </c>
      <c r="E167" s="5">
        <f t="shared" si="6"/>
        <v>0</v>
      </c>
      <c r="F167" s="8">
        <f t="shared" si="7"/>
        <v>1.3333000000000039E-2</v>
      </c>
      <c r="G167" s="8">
        <f t="shared" si="8"/>
        <v>1.3333000000000039E-2</v>
      </c>
      <c r="H167" s="46" t="s">
        <v>322</v>
      </c>
      <c r="I167" s="46" t="s">
        <v>322</v>
      </c>
    </row>
    <row r="168" spans="1:9" x14ac:dyDescent="0.2">
      <c r="A168" s="3">
        <v>83.33541666666666</v>
      </c>
      <c r="B168" s="7" t="s">
        <v>211</v>
      </c>
      <c r="C168" s="4">
        <v>1.73</v>
      </c>
      <c r="D168" s="4">
        <v>1.73</v>
      </c>
      <c r="E168" s="5">
        <f t="shared" si="6"/>
        <v>0</v>
      </c>
      <c r="F168" s="8">
        <f t="shared" si="7"/>
        <v>1.5666999999999875E-2</v>
      </c>
      <c r="G168" s="8">
        <f t="shared" si="8"/>
        <v>1.5666999999999875E-2</v>
      </c>
      <c r="H168" s="46" t="s">
        <v>322</v>
      </c>
      <c r="I168" s="46" t="s">
        <v>322</v>
      </c>
    </row>
    <row r="169" spans="1:9" x14ac:dyDescent="0.2">
      <c r="A169" s="3">
        <v>83.336111111111109</v>
      </c>
      <c r="B169" s="7" t="s">
        <v>212</v>
      </c>
      <c r="C169" s="4">
        <v>1.7423329999999999</v>
      </c>
      <c r="D169" s="4">
        <v>1.7423329999999999</v>
      </c>
      <c r="E169" s="5">
        <f t="shared" si="6"/>
        <v>0</v>
      </c>
      <c r="F169" s="8">
        <f t="shared" si="7"/>
        <v>1.2332999999999927E-2</v>
      </c>
      <c r="G169" s="8">
        <f t="shared" si="8"/>
        <v>1.2332999999999927E-2</v>
      </c>
      <c r="H169" s="46" t="s">
        <v>322</v>
      </c>
      <c r="I169" s="46" t="s">
        <v>322</v>
      </c>
    </row>
    <row r="170" spans="1:9" x14ac:dyDescent="0.2">
      <c r="A170" s="3">
        <v>83.375694444444449</v>
      </c>
      <c r="B170" s="7" t="s">
        <v>213</v>
      </c>
      <c r="C170" s="4">
        <v>1.7589999999999999</v>
      </c>
      <c r="D170" s="4">
        <v>1.7589999999999999</v>
      </c>
      <c r="E170" s="5">
        <f t="shared" si="6"/>
        <v>0</v>
      </c>
      <c r="F170" s="8">
        <f t="shared" si="7"/>
        <v>1.6666999999999987E-2</v>
      </c>
      <c r="G170" s="8">
        <f t="shared" si="8"/>
        <v>1.6666999999999987E-2</v>
      </c>
      <c r="H170" s="46" t="s">
        <v>322</v>
      </c>
      <c r="I170" s="46" t="s">
        <v>322</v>
      </c>
    </row>
    <row r="171" spans="1:9" x14ac:dyDescent="0.2">
      <c r="A171" s="3">
        <v>83.376388888888883</v>
      </c>
      <c r="B171" s="7" t="s">
        <v>214</v>
      </c>
      <c r="C171" s="4">
        <v>1.771333</v>
      </c>
      <c r="D171" s="4">
        <v>1.771333</v>
      </c>
      <c r="E171" s="5">
        <f t="shared" si="6"/>
        <v>0</v>
      </c>
      <c r="F171" s="8">
        <f t="shared" si="7"/>
        <v>1.2333000000000149E-2</v>
      </c>
      <c r="G171" s="8">
        <f t="shared" si="8"/>
        <v>1.2333000000000149E-2</v>
      </c>
      <c r="H171" s="46" t="s">
        <v>322</v>
      </c>
      <c r="I171" s="46" t="s">
        <v>322</v>
      </c>
    </row>
    <row r="172" spans="1:9" x14ac:dyDescent="0.2">
      <c r="A172" s="3">
        <v>83.377083333333331</v>
      </c>
      <c r="B172" s="7" t="s">
        <v>215</v>
      </c>
      <c r="C172" s="4">
        <v>1.7763329999999999</v>
      </c>
      <c r="D172" s="4">
        <v>1.7763329999999999</v>
      </c>
      <c r="E172" s="5">
        <f t="shared" si="6"/>
        <v>0</v>
      </c>
      <c r="F172" s="8">
        <f t="shared" si="7"/>
        <v>4.9999999999998934E-3</v>
      </c>
      <c r="G172" s="8">
        <f t="shared" si="8"/>
        <v>4.9999999999998934E-3</v>
      </c>
      <c r="H172" s="46" t="s">
        <v>322</v>
      </c>
      <c r="I172" s="46" t="s">
        <v>322</v>
      </c>
    </row>
    <row r="173" spans="1:9" x14ac:dyDescent="0.2">
      <c r="A173" s="3">
        <v>83.37777777777778</v>
      </c>
      <c r="B173" s="7" t="s">
        <v>216</v>
      </c>
      <c r="C173" s="4">
        <v>1.7749999999999999</v>
      </c>
      <c r="D173" s="4">
        <v>1.7749999999999999</v>
      </c>
      <c r="E173" s="5">
        <f t="shared" si="6"/>
        <v>0</v>
      </c>
      <c r="F173" s="8">
        <f t="shared" si="7"/>
        <v>-1.3330000000000286E-3</v>
      </c>
      <c r="G173" s="8">
        <f t="shared" si="8"/>
        <v>-1.3330000000000286E-3</v>
      </c>
      <c r="H173" s="46" t="s">
        <v>322</v>
      </c>
      <c r="I173" s="46" t="s">
        <v>322</v>
      </c>
    </row>
    <row r="174" spans="1:9" x14ac:dyDescent="0.2">
      <c r="A174" s="3">
        <v>83.417361111111106</v>
      </c>
      <c r="B174" s="7" t="s">
        <v>217</v>
      </c>
      <c r="C174" s="4">
        <v>1.780667</v>
      </c>
      <c r="D174" s="4">
        <v>1.780667</v>
      </c>
      <c r="E174" s="5">
        <f t="shared" si="6"/>
        <v>0</v>
      </c>
      <c r="F174" s="8">
        <f t="shared" si="7"/>
        <v>5.6670000000000886E-3</v>
      </c>
      <c r="G174" s="8">
        <f t="shared" si="8"/>
        <v>5.6670000000000886E-3</v>
      </c>
      <c r="H174" s="46" t="s">
        <v>322</v>
      </c>
      <c r="I174" s="46" t="s">
        <v>322</v>
      </c>
    </row>
    <row r="175" spans="1:9" x14ac:dyDescent="0.2">
      <c r="A175" s="3">
        <v>83.418055555555554</v>
      </c>
      <c r="B175" s="7" t="s">
        <v>218</v>
      </c>
      <c r="C175" s="4">
        <v>1.794667</v>
      </c>
      <c r="D175" s="4">
        <v>1.794667</v>
      </c>
      <c r="E175" s="5">
        <f t="shared" si="6"/>
        <v>0</v>
      </c>
      <c r="F175" s="8">
        <f t="shared" si="7"/>
        <v>1.4000000000000012E-2</v>
      </c>
      <c r="G175" s="8">
        <f t="shared" si="8"/>
        <v>1.4000000000000012E-2</v>
      </c>
      <c r="H175" s="46" t="s">
        <v>322</v>
      </c>
      <c r="I175" s="46" t="s">
        <v>322</v>
      </c>
    </row>
    <row r="176" spans="1:9" x14ac:dyDescent="0.2">
      <c r="A176" s="3">
        <v>83.418750000000003</v>
      </c>
      <c r="B176" s="7" t="s">
        <v>219</v>
      </c>
      <c r="C176" s="4">
        <v>1.804333</v>
      </c>
      <c r="D176" s="4">
        <v>1.804333</v>
      </c>
      <c r="E176" s="5">
        <f t="shared" si="6"/>
        <v>0</v>
      </c>
      <c r="F176" s="8">
        <f t="shared" si="7"/>
        <v>9.6659999999999524E-3</v>
      </c>
      <c r="G176" s="8">
        <f t="shared" si="8"/>
        <v>9.6659999999999524E-3</v>
      </c>
      <c r="H176" s="46" t="s">
        <v>322</v>
      </c>
      <c r="I176" s="46" t="s">
        <v>322</v>
      </c>
    </row>
    <row r="177" spans="1:9" x14ac:dyDescent="0.2">
      <c r="A177" s="3">
        <v>83.419444444444437</v>
      </c>
      <c r="B177" s="7" t="s">
        <v>220</v>
      </c>
      <c r="C177" s="4">
        <v>1.8149999999999999</v>
      </c>
      <c r="D177" s="4">
        <v>1.8149999999999999</v>
      </c>
      <c r="E177" s="5">
        <f t="shared" si="6"/>
        <v>0</v>
      </c>
      <c r="F177" s="8">
        <f t="shared" si="7"/>
        <v>1.0666999999999982E-2</v>
      </c>
      <c r="G177" s="8">
        <f t="shared" si="8"/>
        <v>1.0666999999999982E-2</v>
      </c>
      <c r="H177" s="46" t="s">
        <v>322</v>
      </c>
      <c r="I177" s="46" t="s">
        <v>322</v>
      </c>
    </row>
    <row r="178" spans="1:9" x14ac:dyDescent="0.2">
      <c r="A178" s="3">
        <v>83.459027777777777</v>
      </c>
      <c r="B178" s="7" t="s">
        <v>221</v>
      </c>
      <c r="C178" s="4">
        <v>1.8336669999999999</v>
      </c>
      <c r="D178" s="4">
        <v>1.8336669999999999</v>
      </c>
      <c r="E178" s="5">
        <f t="shared" si="6"/>
        <v>0</v>
      </c>
      <c r="F178" s="8">
        <f t="shared" si="7"/>
        <v>1.8666999999999989E-2</v>
      </c>
      <c r="G178" s="8">
        <f t="shared" si="8"/>
        <v>1.8666999999999989E-2</v>
      </c>
      <c r="H178" s="46" t="s">
        <v>322</v>
      </c>
      <c r="I178" s="46" t="s">
        <v>322</v>
      </c>
    </row>
    <row r="179" spans="1:9" x14ac:dyDescent="0.2">
      <c r="A179" s="3">
        <v>83.459722222222226</v>
      </c>
      <c r="B179" s="7" t="s">
        <v>222</v>
      </c>
      <c r="C179" s="4">
        <v>1.830667</v>
      </c>
      <c r="D179" s="4">
        <v>1.830667</v>
      </c>
      <c r="E179" s="5">
        <f t="shared" si="6"/>
        <v>0</v>
      </c>
      <c r="F179" s="8">
        <f t="shared" si="7"/>
        <v>-2.9999999999998916E-3</v>
      </c>
      <c r="G179" s="8">
        <f t="shared" si="8"/>
        <v>-2.9999999999998916E-3</v>
      </c>
      <c r="H179" s="46" t="s">
        <v>322</v>
      </c>
      <c r="I179" s="46" t="s">
        <v>322</v>
      </c>
    </row>
    <row r="180" spans="1:9" x14ac:dyDescent="0.2">
      <c r="A180" s="3">
        <v>83.46041666666666</v>
      </c>
      <c r="B180" s="7" t="s">
        <v>223</v>
      </c>
      <c r="C180" s="4">
        <v>1.844333</v>
      </c>
      <c r="D180" s="4">
        <v>1.844333</v>
      </c>
      <c r="E180" s="5">
        <f t="shared" si="6"/>
        <v>0</v>
      </c>
      <c r="F180" s="8">
        <f t="shared" si="7"/>
        <v>1.3665999999999956E-2</v>
      </c>
      <c r="G180" s="8">
        <f t="shared" si="8"/>
        <v>1.3665999999999956E-2</v>
      </c>
      <c r="H180" s="46" t="s">
        <v>322</v>
      </c>
      <c r="I180" s="46" t="s">
        <v>322</v>
      </c>
    </row>
    <row r="181" spans="1:9" x14ac:dyDescent="0.2">
      <c r="A181" s="3">
        <v>83.461111111111109</v>
      </c>
      <c r="B181" s="7" t="s">
        <v>224</v>
      </c>
      <c r="C181" s="4">
        <v>1.8513329999999999</v>
      </c>
      <c r="D181" s="4">
        <v>1.8513329999999999</v>
      </c>
      <c r="E181" s="5">
        <f t="shared" si="6"/>
        <v>0</v>
      </c>
      <c r="F181" s="8">
        <f t="shared" si="7"/>
        <v>6.9999999999998952E-3</v>
      </c>
      <c r="G181" s="8">
        <f t="shared" si="8"/>
        <v>6.9999999999998952E-3</v>
      </c>
      <c r="H181" s="46" t="s">
        <v>322</v>
      </c>
      <c r="I181" s="46" t="s">
        <v>322</v>
      </c>
    </row>
    <row r="182" spans="1:9" x14ac:dyDescent="0.2">
      <c r="A182" s="3">
        <v>83.500694444444449</v>
      </c>
      <c r="B182" s="7" t="s">
        <v>225</v>
      </c>
      <c r="C182" s="4">
        <v>1.867</v>
      </c>
      <c r="D182" s="4">
        <v>1.867</v>
      </c>
      <c r="E182" s="5">
        <f t="shared" si="6"/>
        <v>0</v>
      </c>
      <c r="F182" s="8">
        <f t="shared" si="7"/>
        <v>1.5667000000000098E-2</v>
      </c>
      <c r="G182" s="8">
        <f t="shared" si="8"/>
        <v>1.5667000000000098E-2</v>
      </c>
      <c r="H182" s="46" t="s">
        <v>322</v>
      </c>
      <c r="I182" s="46" t="s">
        <v>322</v>
      </c>
    </row>
    <row r="183" spans="1:9" x14ac:dyDescent="0.2">
      <c r="A183" s="3">
        <v>83.501388888888883</v>
      </c>
      <c r="B183" s="7" t="s">
        <v>226</v>
      </c>
      <c r="C183" s="4">
        <v>1.881667</v>
      </c>
      <c r="D183" s="4">
        <v>1.881667</v>
      </c>
      <c r="E183" s="5">
        <f t="shared" si="6"/>
        <v>0</v>
      </c>
      <c r="F183" s="8">
        <f t="shared" si="7"/>
        <v>1.4666999999999986E-2</v>
      </c>
      <c r="G183" s="8">
        <f t="shared" si="8"/>
        <v>1.4666999999999986E-2</v>
      </c>
      <c r="H183" s="46" t="s">
        <v>322</v>
      </c>
      <c r="I183" s="46" t="s">
        <v>322</v>
      </c>
    </row>
    <row r="184" spans="1:9" x14ac:dyDescent="0.2">
      <c r="A184" s="3">
        <v>83.502083333333331</v>
      </c>
      <c r="B184" s="7" t="s">
        <v>227</v>
      </c>
      <c r="C184" s="4">
        <v>1.893667</v>
      </c>
      <c r="D184" s="4">
        <v>1.893667</v>
      </c>
      <c r="E184" s="5">
        <f t="shared" si="6"/>
        <v>0</v>
      </c>
      <c r="F184" s="8">
        <f t="shared" si="7"/>
        <v>1.2000000000000011E-2</v>
      </c>
      <c r="G184" s="8">
        <f t="shared" si="8"/>
        <v>1.2000000000000011E-2</v>
      </c>
      <c r="H184" s="46" t="s">
        <v>322</v>
      </c>
      <c r="I184" s="46" t="s">
        <v>322</v>
      </c>
    </row>
    <row r="185" spans="1:9" x14ac:dyDescent="0.2">
      <c r="A185" s="3">
        <v>83.50277777777778</v>
      </c>
      <c r="B185" s="7" t="s">
        <v>228</v>
      </c>
      <c r="C185" s="4">
        <v>1.9139999999999999</v>
      </c>
      <c r="D185" s="4">
        <v>1.9139999999999999</v>
      </c>
      <c r="E185" s="5">
        <f t="shared" si="6"/>
        <v>0</v>
      </c>
      <c r="F185" s="8">
        <f t="shared" si="7"/>
        <v>2.0332999999999934E-2</v>
      </c>
      <c r="G185" s="8">
        <f t="shared" si="8"/>
        <v>2.0332999999999934E-2</v>
      </c>
      <c r="H185" s="46" t="s">
        <v>322</v>
      </c>
      <c r="I185" s="46" t="s">
        <v>322</v>
      </c>
    </row>
    <row r="186" spans="1:9" x14ac:dyDescent="0.2">
      <c r="A186" s="3">
        <v>83.542361111111106</v>
      </c>
      <c r="B186" s="7" t="s">
        <v>229</v>
      </c>
      <c r="C186" s="4">
        <v>1.923667</v>
      </c>
      <c r="D186" s="4">
        <v>1.923667</v>
      </c>
      <c r="E186" s="5">
        <f t="shared" si="6"/>
        <v>0</v>
      </c>
      <c r="F186" s="8">
        <f t="shared" si="7"/>
        <v>9.6670000000000922E-3</v>
      </c>
      <c r="G186" s="8">
        <f t="shared" si="8"/>
        <v>9.6670000000000922E-3</v>
      </c>
      <c r="H186" s="46" t="s">
        <v>322</v>
      </c>
      <c r="I186" s="46" t="s">
        <v>322</v>
      </c>
    </row>
    <row r="187" spans="1:9" x14ac:dyDescent="0.2">
      <c r="A187" s="3">
        <v>83.543055555555554</v>
      </c>
      <c r="B187" s="7" t="s">
        <v>230</v>
      </c>
      <c r="C187" s="4">
        <v>1.9366669999999999</v>
      </c>
      <c r="D187" s="4">
        <v>1.9366669999999999</v>
      </c>
      <c r="E187" s="5">
        <f t="shared" si="6"/>
        <v>0</v>
      </c>
      <c r="F187" s="8">
        <f t="shared" si="7"/>
        <v>1.2999999999999901E-2</v>
      </c>
      <c r="G187" s="8">
        <f t="shared" si="8"/>
        <v>1.2999999999999901E-2</v>
      </c>
      <c r="H187" s="46" t="s">
        <v>322</v>
      </c>
      <c r="I187" s="46" t="s">
        <v>322</v>
      </c>
    </row>
    <row r="188" spans="1:9" x14ac:dyDescent="0.2">
      <c r="A188" s="3">
        <v>83.543750000000003</v>
      </c>
      <c r="B188" s="7" t="s">
        <v>231</v>
      </c>
      <c r="C188" s="4">
        <v>1.966</v>
      </c>
      <c r="D188" s="4">
        <v>1.966</v>
      </c>
      <c r="E188" s="5">
        <f t="shared" si="6"/>
        <v>0</v>
      </c>
      <c r="F188" s="8">
        <f t="shared" si="7"/>
        <v>2.9333000000000053E-2</v>
      </c>
      <c r="G188" s="8">
        <f t="shared" si="8"/>
        <v>2.9333000000000053E-2</v>
      </c>
      <c r="H188" s="46" t="s">
        <v>322</v>
      </c>
      <c r="I188" s="46" t="s">
        <v>322</v>
      </c>
    </row>
    <row r="189" spans="1:9" x14ac:dyDescent="0.2">
      <c r="A189" s="3">
        <v>83.544444444444437</v>
      </c>
      <c r="B189" s="7" t="s">
        <v>232</v>
      </c>
      <c r="C189" s="4">
        <v>1.9843329999999999</v>
      </c>
      <c r="D189" s="4">
        <v>1.9843329999999999</v>
      </c>
      <c r="E189" s="5">
        <f t="shared" si="6"/>
        <v>0</v>
      </c>
      <c r="F189" s="8">
        <f>C189-C188</f>
        <v>1.8332999999999933E-2</v>
      </c>
      <c r="G189" s="8">
        <f>D189-D188</f>
        <v>1.8332999999999933E-2</v>
      </c>
      <c r="H189" s="46" t="s">
        <v>322</v>
      </c>
      <c r="I189" s="46" t="s">
        <v>322</v>
      </c>
    </row>
    <row r="190" spans="1:9" x14ac:dyDescent="0.2">
      <c r="A190" s="3">
        <v>83.584027777777777</v>
      </c>
      <c r="B190" s="7" t="s">
        <v>233</v>
      </c>
      <c r="C190" s="4">
        <v>1.994667</v>
      </c>
      <c r="D190" s="4">
        <v>1.994667</v>
      </c>
      <c r="E190" s="5">
        <f t="shared" si="6"/>
        <v>0</v>
      </c>
      <c r="F190" s="8">
        <f t="shared" si="7"/>
        <v>1.0334000000000065E-2</v>
      </c>
      <c r="G190" s="8">
        <f t="shared" si="8"/>
        <v>1.0334000000000065E-2</v>
      </c>
      <c r="H190" s="46" t="s">
        <v>322</v>
      </c>
      <c r="I190" s="46" t="s">
        <v>322</v>
      </c>
    </row>
    <row r="191" spans="1:9" x14ac:dyDescent="0.2">
      <c r="A191" s="3">
        <v>83.584722222222226</v>
      </c>
      <c r="B191" s="7" t="s">
        <v>234</v>
      </c>
      <c r="C191" s="4">
        <v>2.012667</v>
      </c>
      <c r="D191" s="4">
        <v>2.012667</v>
      </c>
      <c r="E191" s="5">
        <f t="shared" si="6"/>
        <v>0</v>
      </c>
      <c r="F191" s="8">
        <f t="shared" si="7"/>
        <v>1.8000000000000016E-2</v>
      </c>
      <c r="G191" s="8">
        <f t="shared" si="8"/>
        <v>1.8000000000000016E-2</v>
      </c>
      <c r="H191" s="46" t="s">
        <v>322</v>
      </c>
      <c r="I191" s="46" t="s">
        <v>322</v>
      </c>
    </row>
    <row r="192" spans="1:9" x14ac:dyDescent="0.2">
      <c r="A192" s="3">
        <v>83.58541666666666</v>
      </c>
      <c r="B192" s="7" t="s">
        <v>235</v>
      </c>
      <c r="C192" s="4">
        <v>2.0316670000000001</v>
      </c>
      <c r="D192" s="4">
        <v>2.0316670000000001</v>
      </c>
      <c r="E192" s="5">
        <f t="shared" si="6"/>
        <v>0</v>
      </c>
      <c r="F192" s="8">
        <f t="shared" si="7"/>
        <v>1.9000000000000128E-2</v>
      </c>
      <c r="G192" s="8">
        <f t="shared" si="8"/>
        <v>1.9000000000000128E-2</v>
      </c>
      <c r="H192" s="46" t="s">
        <v>322</v>
      </c>
      <c r="I192" s="46" t="s">
        <v>322</v>
      </c>
    </row>
    <row r="193" spans="1:9" x14ac:dyDescent="0.2">
      <c r="A193" s="3">
        <v>83.586111111111109</v>
      </c>
      <c r="B193" s="7" t="s">
        <v>236</v>
      </c>
      <c r="C193" s="4">
        <v>2.023333</v>
      </c>
      <c r="D193" s="4">
        <v>2.023333</v>
      </c>
      <c r="E193" s="5">
        <f t="shared" si="6"/>
        <v>0</v>
      </c>
      <c r="F193" s="8">
        <f t="shared" si="7"/>
        <v>-8.3340000000000636E-3</v>
      </c>
      <c r="G193" s="8">
        <f t="shared" si="8"/>
        <v>-8.3340000000000636E-3</v>
      </c>
      <c r="H193" s="46" t="s">
        <v>322</v>
      </c>
      <c r="I193" s="46" t="s">
        <v>322</v>
      </c>
    </row>
    <row r="194" spans="1:9" x14ac:dyDescent="0.2">
      <c r="A194" s="3">
        <v>83.625694444444449</v>
      </c>
      <c r="B194" s="7" t="s">
        <v>237</v>
      </c>
      <c r="C194" s="4">
        <v>2.0431699999999999</v>
      </c>
      <c r="D194" s="4">
        <v>2.0431699999999999</v>
      </c>
      <c r="E194" s="5">
        <f t="shared" si="6"/>
        <v>0</v>
      </c>
      <c r="F194" s="8">
        <f t="shared" si="7"/>
        <v>1.9836999999999883E-2</v>
      </c>
      <c r="G194" s="8">
        <f t="shared" si="8"/>
        <v>1.9836999999999883E-2</v>
      </c>
      <c r="H194" s="46" t="s">
        <v>322</v>
      </c>
      <c r="I194" s="46" t="s">
        <v>322</v>
      </c>
    </row>
    <row r="195" spans="1:9" x14ac:dyDescent="0.2">
      <c r="A195" s="3">
        <v>83.626388888888883</v>
      </c>
      <c r="B195" s="7" t="s">
        <v>238</v>
      </c>
      <c r="C195" s="4">
        <v>2.0663100000000001</v>
      </c>
      <c r="D195" s="4">
        <v>2.0663100000000001</v>
      </c>
      <c r="E195" s="5">
        <f t="shared" ref="E195:E241" si="9">C195-D195</f>
        <v>0</v>
      </c>
      <c r="F195" s="8">
        <f t="shared" si="7"/>
        <v>2.314000000000016E-2</v>
      </c>
      <c r="G195" s="8">
        <f t="shared" si="8"/>
        <v>2.314000000000016E-2</v>
      </c>
      <c r="H195" s="46" t="s">
        <v>322</v>
      </c>
      <c r="I195" s="46" t="s">
        <v>322</v>
      </c>
    </row>
    <row r="196" spans="1:9" x14ac:dyDescent="0.2">
      <c r="A196" s="3">
        <v>83.627083333333331</v>
      </c>
      <c r="B196" s="7" t="s">
        <v>239</v>
      </c>
      <c r="C196" s="4">
        <v>2.0793900000000001</v>
      </c>
      <c r="D196" s="4">
        <v>2.0793900000000001</v>
      </c>
      <c r="E196" s="5">
        <f t="shared" si="9"/>
        <v>0</v>
      </c>
      <c r="F196" s="8">
        <f t="shared" ref="F196:F241" si="10">C196-C195</f>
        <v>1.3079999999999981E-2</v>
      </c>
      <c r="G196" s="8">
        <f t="shared" ref="G196:G241" si="11">D196-D195</f>
        <v>1.3079999999999981E-2</v>
      </c>
      <c r="H196" s="46" t="s">
        <v>322</v>
      </c>
      <c r="I196" s="46" t="s">
        <v>322</v>
      </c>
    </row>
    <row r="197" spans="1:9" x14ac:dyDescent="0.2">
      <c r="A197" s="3">
        <v>83.62777777777778</v>
      </c>
      <c r="B197" s="7" t="s">
        <v>240</v>
      </c>
      <c r="C197" s="4">
        <v>2.1048969999999998</v>
      </c>
      <c r="D197" s="4">
        <v>2.1048969999999998</v>
      </c>
      <c r="E197" s="5">
        <f t="shared" si="9"/>
        <v>0</v>
      </c>
      <c r="F197" s="8">
        <f t="shared" si="10"/>
        <v>2.5506999999999724E-2</v>
      </c>
      <c r="G197" s="8">
        <f t="shared" si="11"/>
        <v>2.5506999999999724E-2</v>
      </c>
      <c r="H197" s="46" t="s">
        <v>322</v>
      </c>
      <c r="I197" s="46" t="s">
        <v>322</v>
      </c>
    </row>
    <row r="198" spans="1:9" x14ac:dyDescent="0.2">
      <c r="A198" s="3">
        <v>83.667361111111106</v>
      </c>
      <c r="B198" s="7" t="s">
        <v>241</v>
      </c>
      <c r="C198" s="4">
        <v>2.1276969999999999</v>
      </c>
      <c r="D198" s="4">
        <v>2.1276969999999999</v>
      </c>
      <c r="E198" s="5">
        <f t="shared" si="9"/>
        <v>0</v>
      </c>
      <c r="F198" s="8">
        <f t="shared" si="10"/>
        <v>2.2800000000000153E-2</v>
      </c>
      <c r="G198" s="8">
        <f t="shared" si="11"/>
        <v>2.2800000000000153E-2</v>
      </c>
      <c r="H198" s="46" t="s">
        <v>322</v>
      </c>
      <c r="I198" s="46" t="s">
        <v>322</v>
      </c>
    </row>
    <row r="199" spans="1:9" x14ac:dyDescent="0.2">
      <c r="A199" s="3">
        <v>83.668055555555554</v>
      </c>
      <c r="B199" s="7" t="s">
        <v>242</v>
      </c>
      <c r="C199" s="4">
        <v>2.1553770000000001</v>
      </c>
      <c r="D199" s="4">
        <v>2.1553770000000001</v>
      </c>
      <c r="E199" s="5">
        <f t="shared" si="9"/>
        <v>0</v>
      </c>
      <c r="F199" s="8">
        <f t="shared" si="10"/>
        <v>2.7680000000000149E-2</v>
      </c>
      <c r="G199" s="8">
        <f t="shared" si="11"/>
        <v>2.7680000000000149E-2</v>
      </c>
      <c r="H199" s="8">
        <f>(SUM(C196:C199))/4</f>
        <v>2.1168402499999996</v>
      </c>
      <c r="I199" s="8">
        <f>(SUM(D196:D199))/4</f>
        <v>2.1168402499999996</v>
      </c>
    </row>
    <row r="200" spans="1:9" x14ac:dyDescent="0.2">
      <c r="A200" s="3">
        <v>83.668750000000003</v>
      </c>
      <c r="B200" s="7" t="s">
        <v>243</v>
      </c>
      <c r="C200" s="4">
        <v>2.1886100000000002</v>
      </c>
      <c r="D200" s="4">
        <v>2.1886100000000002</v>
      </c>
      <c r="E200" s="5">
        <f t="shared" si="9"/>
        <v>0</v>
      </c>
      <c r="F200" s="8">
        <f t="shared" si="10"/>
        <v>3.3233000000000068E-2</v>
      </c>
      <c r="G200" s="8">
        <f t="shared" si="11"/>
        <v>3.3233000000000068E-2</v>
      </c>
      <c r="H200" s="46" t="s">
        <v>322</v>
      </c>
      <c r="I200" s="46" t="s">
        <v>322</v>
      </c>
    </row>
    <row r="201" spans="1:9" x14ac:dyDescent="0.2">
      <c r="A201" s="3">
        <v>83.669444444444437</v>
      </c>
      <c r="B201" s="7" t="s">
        <v>244</v>
      </c>
      <c r="C201" s="4">
        <v>2.138487</v>
      </c>
      <c r="D201" s="4">
        <v>2.138487</v>
      </c>
      <c r="E201" s="5">
        <f t="shared" si="9"/>
        <v>0</v>
      </c>
      <c r="F201" s="8">
        <f t="shared" si="10"/>
        <v>-5.012300000000014E-2</v>
      </c>
      <c r="G201" s="8">
        <f t="shared" si="11"/>
        <v>-5.012300000000014E-2</v>
      </c>
      <c r="H201" s="46" t="s">
        <v>322</v>
      </c>
      <c r="I201" s="46" t="s">
        <v>322</v>
      </c>
    </row>
    <row r="202" spans="1:9" x14ac:dyDescent="0.2">
      <c r="A202" s="3">
        <v>83.709027777777777</v>
      </c>
      <c r="B202" s="7" t="s">
        <v>245</v>
      </c>
      <c r="C202" s="4">
        <v>2.123777</v>
      </c>
      <c r="D202" s="4">
        <v>2.1243270000000001</v>
      </c>
      <c r="E202" s="5">
        <f t="shared" si="9"/>
        <v>-5.5000000000005045E-4</v>
      </c>
      <c r="F202" s="8">
        <f t="shared" si="10"/>
        <v>-1.4710000000000001E-2</v>
      </c>
      <c r="G202" s="8">
        <f t="shared" si="11"/>
        <v>-1.415999999999995E-2</v>
      </c>
      <c r="H202" s="46" t="s">
        <v>322</v>
      </c>
      <c r="I202" s="46" t="s">
        <v>322</v>
      </c>
    </row>
    <row r="203" spans="1:9" x14ac:dyDescent="0.2">
      <c r="A203" s="3">
        <v>83.709722222222226</v>
      </c>
      <c r="B203" s="7" t="s">
        <v>246</v>
      </c>
      <c r="C203" s="4">
        <v>2.1350699999999998</v>
      </c>
      <c r="D203" s="4">
        <v>2.1348199999999999</v>
      </c>
      <c r="E203" s="5">
        <f t="shared" si="9"/>
        <v>2.4999999999986144E-4</v>
      </c>
      <c r="F203" s="8">
        <f>C203-C202</f>
        <v>1.1292999999999775E-2</v>
      </c>
      <c r="G203" s="8">
        <f>D203-D202</f>
        <v>1.0492999999999864E-2</v>
      </c>
      <c r="H203" s="8">
        <f>(SUM(C200:C203))/4</f>
        <v>2.1464860000000003</v>
      </c>
      <c r="I203" s="8">
        <f>(SUM(D200:D203))/4</f>
        <v>2.1465610000000002</v>
      </c>
    </row>
    <row r="204" spans="1:9" x14ac:dyDescent="0.2">
      <c r="A204" s="3">
        <v>83.71041666666666</v>
      </c>
      <c r="B204" s="7" t="s">
        <v>247</v>
      </c>
      <c r="C204" s="4">
        <v>2.1534399999999998</v>
      </c>
      <c r="D204" s="4">
        <v>2.153473</v>
      </c>
      <c r="E204" s="5">
        <f t="shared" si="9"/>
        <v>-3.3000000000171781E-5</v>
      </c>
      <c r="F204" s="8">
        <f t="shared" si="10"/>
        <v>1.8369999999999997E-2</v>
      </c>
      <c r="G204" s="8">
        <f t="shared" si="11"/>
        <v>1.8653000000000031E-2</v>
      </c>
      <c r="H204" s="46" t="s">
        <v>322</v>
      </c>
      <c r="I204" s="46" t="s">
        <v>322</v>
      </c>
    </row>
    <row r="205" spans="1:9" x14ac:dyDescent="0.2">
      <c r="A205" s="3">
        <v>83.711111111111109</v>
      </c>
      <c r="B205" s="7" t="s">
        <v>248</v>
      </c>
      <c r="C205" s="4">
        <v>2.1703000000000001</v>
      </c>
      <c r="D205" s="4">
        <v>2.1700400000000002</v>
      </c>
      <c r="E205" s="5">
        <f t="shared" si="9"/>
        <v>2.5999999999992696E-4</v>
      </c>
      <c r="F205" s="8">
        <f t="shared" si="10"/>
        <v>1.6860000000000319E-2</v>
      </c>
      <c r="G205" s="8">
        <f t="shared" si="11"/>
        <v>1.656700000000022E-2</v>
      </c>
      <c r="H205" s="46" t="s">
        <v>322</v>
      </c>
      <c r="I205" s="46" t="s">
        <v>322</v>
      </c>
    </row>
    <row r="206" spans="1:9" x14ac:dyDescent="0.2">
      <c r="A206" s="3">
        <v>83.750694444444449</v>
      </c>
      <c r="B206" s="7" t="s">
        <v>249</v>
      </c>
      <c r="C206" s="4">
        <v>2.1734070000000001</v>
      </c>
      <c r="D206" s="4">
        <v>2.1740469999999998</v>
      </c>
      <c r="E206" s="5">
        <f t="shared" si="9"/>
        <v>-6.3999999999975188E-4</v>
      </c>
      <c r="F206" s="8">
        <f>C206-C205</f>
        <v>3.1069999999999709E-3</v>
      </c>
      <c r="G206" s="8">
        <f t="shared" si="11"/>
        <v>4.0069999999996497E-3</v>
      </c>
      <c r="H206" s="46" t="s">
        <v>322</v>
      </c>
      <c r="I206" s="46" t="s">
        <v>322</v>
      </c>
    </row>
    <row r="207" spans="1:9" x14ac:dyDescent="0.2">
      <c r="A207" s="3">
        <v>83.751388888888883</v>
      </c>
      <c r="B207" s="7" t="s">
        <v>250</v>
      </c>
      <c r="C207" s="4">
        <v>2.1732</v>
      </c>
      <c r="D207" s="4">
        <v>2.1728000000000001</v>
      </c>
      <c r="E207" s="5">
        <f t="shared" si="9"/>
        <v>3.9999999999995595E-4</v>
      </c>
      <c r="F207" s="8">
        <f t="shared" si="10"/>
        <v>-2.0700000000006824E-4</v>
      </c>
      <c r="G207" s="8">
        <f t="shared" si="11"/>
        <v>-1.2469999999997761E-3</v>
      </c>
      <c r="H207" s="8">
        <f>(SUM(C204:C207))/4</f>
        <v>2.1675867499999999</v>
      </c>
      <c r="I207" s="8">
        <f>(SUM(D204:D207))/4</f>
        <v>2.1675900000000001</v>
      </c>
    </row>
    <row r="208" spans="1:9" x14ac:dyDescent="0.2">
      <c r="A208" s="3">
        <v>83.752083333333331</v>
      </c>
      <c r="B208" s="7" t="s">
        <v>251</v>
      </c>
      <c r="C208" s="4">
        <v>2.1798999999999999</v>
      </c>
      <c r="D208" s="4">
        <v>2.180097</v>
      </c>
      <c r="E208" s="5">
        <f t="shared" si="9"/>
        <v>-1.9700000000000273E-4</v>
      </c>
      <c r="F208" s="8">
        <f t="shared" si="10"/>
        <v>6.6999999999999282E-3</v>
      </c>
      <c r="G208" s="8">
        <f t="shared" si="11"/>
        <v>7.2969999999998869E-3</v>
      </c>
      <c r="H208" s="46" t="s">
        <v>322</v>
      </c>
      <c r="I208" s="46" t="s">
        <v>322</v>
      </c>
    </row>
    <row r="209" spans="1:9" x14ac:dyDescent="0.2">
      <c r="A209" s="3">
        <v>83.75277777777778</v>
      </c>
      <c r="B209" s="7" t="s">
        <v>252</v>
      </c>
      <c r="C209" s="4">
        <v>2.1966830000000002</v>
      </c>
      <c r="D209" s="4">
        <v>2.19645</v>
      </c>
      <c r="E209" s="5">
        <f t="shared" si="9"/>
        <v>2.3300000000014975E-4</v>
      </c>
      <c r="F209" s="8">
        <f t="shared" si="10"/>
        <v>1.6783000000000214E-2</v>
      </c>
      <c r="G209" s="8">
        <f t="shared" si="11"/>
        <v>1.6353000000000062E-2</v>
      </c>
      <c r="H209" s="46" t="s">
        <v>322</v>
      </c>
      <c r="I209" s="46" t="s">
        <v>322</v>
      </c>
    </row>
    <row r="210" spans="1:9" x14ac:dyDescent="0.2">
      <c r="A210" s="3">
        <v>83.792361111111106</v>
      </c>
      <c r="B210" s="7" t="s">
        <v>253</v>
      </c>
      <c r="C210" s="4">
        <v>2.2195100000000001</v>
      </c>
      <c r="D210" s="4">
        <v>2.2202700000000002</v>
      </c>
      <c r="E210" s="5">
        <f t="shared" si="9"/>
        <v>-7.6000000000009393E-4</v>
      </c>
      <c r="F210" s="8">
        <f t="shared" si="10"/>
        <v>2.2826999999999931E-2</v>
      </c>
      <c r="G210" s="8">
        <f t="shared" si="11"/>
        <v>2.3820000000000174E-2</v>
      </c>
      <c r="H210" s="46" t="s">
        <v>322</v>
      </c>
      <c r="I210" s="46" t="s">
        <v>322</v>
      </c>
    </row>
    <row r="211" spans="1:9" x14ac:dyDescent="0.2">
      <c r="A211" s="3">
        <v>83.793055555555554</v>
      </c>
      <c r="B211" s="7" t="s">
        <v>254</v>
      </c>
      <c r="C211" s="4">
        <v>2.2465470000000001</v>
      </c>
      <c r="D211" s="4">
        <v>2.2456529999999999</v>
      </c>
      <c r="E211" s="5">
        <f t="shared" si="9"/>
        <v>8.9400000000017243E-4</v>
      </c>
      <c r="F211" s="8">
        <f t="shared" si="10"/>
        <v>2.7036999999999978E-2</v>
      </c>
      <c r="G211" s="8">
        <f t="shared" si="11"/>
        <v>2.5382999999999711E-2</v>
      </c>
      <c r="H211" s="8">
        <f>(SUM(C208:C211))/4</f>
        <v>2.2106599999999998</v>
      </c>
      <c r="I211" s="8">
        <f>(SUM(D208:D211))/4</f>
        <v>2.2106175000000001</v>
      </c>
    </row>
    <row r="212" spans="1:9" x14ac:dyDescent="0.2">
      <c r="A212" s="3">
        <v>83.793750000000003</v>
      </c>
      <c r="B212" s="7" t="s">
        <v>255</v>
      </c>
      <c r="C212" s="4">
        <v>2.261253</v>
      </c>
      <c r="D212" s="4">
        <v>2.2617799999999999</v>
      </c>
      <c r="E212" s="5">
        <f t="shared" si="9"/>
        <v>-5.2699999999994418E-4</v>
      </c>
      <c r="F212" s="8">
        <f t="shared" si="10"/>
        <v>1.4705999999999886E-2</v>
      </c>
      <c r="G212" s="8">
        <f t="shared" si="11"/>
        <v>1.6127000000000002E-2</v>
      </c>
      <c r="H212" s="46" t="s">
        <v>322</v>
      </c>
      <c r="I212" s="46" t="s">
        <v>322</v>
      </c>
    </row>
    <row r="213" spans="1:9" x14ac:dyDescent="0.2">
      <c r="A213" s="3">
        <v>83.794444444444437</v>
      </c>
      <c r="B213" s="7" t="s">
        <v>256</v>
      </c>
      <c r="C213" s="4">
        <v>2.2699669999999998</v>
      </c>
      <c r="D213" s="4">
        <v>2.2697129999999999</v>
      </c>
      <c r="E213" s="5">
        <f t="shared" si="9"/>
        <v>2.5399999999997647E-4</v>
      </c>
      <c r="F213" s="8">
        <f>C213-C212</f>
        <v>8.7139999999998885E-3</v>
      </c>
      <c r="G213" s="8">
        <f>D213-D212</f>
        <v>7.9329999999999679E-3</v>
      </c>
      <c r="H213" s="46" t="s">
        <v>322</v>
      </c>
      <c r="I213" s="46" t="s">
        <v>322</v>
      </c>
    </row>
    <row r="214" spans="1:9" x14ac:dyDescent="0.2">
      <c r="A214" s="3">
        <v>83.834027777777777</v>
      </c>
      <c r="B214" s="7" t="s">
        <v>257</v>
      </c>
      <c r="C214" s="4">
        <v>2.281787</v>
      </c>
      <c r="D214" s="4">
        <v>2.2826930000000001</v>
      </c>
      <c r="E214" s="5">
        <f t="shared" si="9"/>
        <v>-9.0600000000007341E-4</v>
      </c>
      <c r="F214" s="8">
        <f t="shared" si="10"/>
        <v>1.1820000000000164E-2</v>
      </c>
      <c r="G214" s="8">
        <f t="shared" si="11"/>
        <v>1.2980000000000214E-2</v>
      </c>
      <c r="H214" s="46" t="s">
        <v>322</v>
      </c>
      <c r="I214" s="46" t="s">
        <v>322</v>
      </c>
    </row>
    <row r="215" spans="1:9" x14ac:dyDescent="0.2">
      <c r="A215" s="3">
        <v>83.834722222222226</v>
      </c>
      <c r="B215" s="7" t="s">
        <v>258</v>
      </c>
      <c r="C215" s="4">
        <v>2.2896429999999999</v>
      </c>
      <c r="D215" s="4">
        <v>2.2884099999999998</v>
      </c>
      <c r="E215" s="5">
        <f t="shared" si="9"/>
        <v>1.2330000000000396E-3</v>
      </c>
      <c r="F215" s="8">
        <f t="shared" si="10"/>
        <v>7.8559999999998631E-3</v>
      </c>
      <c r="G215" s="8">
        <f t="shared" si="11"/>
        <v>5.7169999999997501E-3</v>
      </c>
      <c r="H215" s="46" t="s">
        <v>322</v>
      </c>
      <c r="I215" s="46" t="s">
        <v>322</v>
      </c>
    </row>
    <row r="216" spans="1:9" x14ac:dyDescent="0.2">
      <c r="A216" s="3">
        <v>83.83541666666666</v>
      </c>
      <c r="B216" s="7" t="s">
        <v>259</v>
      </c>
      <c r="C216" s="4">
        <v>2.2993899999999998</v>
      </c>
      <c r="D216" s="4">
        <v>2.300297</v>
      </c>
      <c r="E216" s="5">
        <f t="shared" si="9"/>
        <v>-9.0700000000021319E-4</v>
      </c>
      <c r="F216" s="8">
        <f t="shared" si="10"/>
        <v>9.7469999999999501E-3</v>
      </c>
      <c r="G216" s="8">
        <f>D216-D215</f>
        <v>1.1887000000000203E-2</v>
      </c>
      <c r="H216" s="46" t="s">
        <v>322</v>
      </c>
      <c r="I216" s="46" t="s">
        <v>322</v>
      </c>
    </row>
    <row r="217" spans="1:9" x14ac:dyDescent="0.2">
      <c r="A217" s="3">
        <v>83.836111111111109</v>
      </c>
      <c r="B217" s="7" t="s">
        <v>260</v>
      </c>
      <c r="C217" s="4">
        <v>2.3131370000000002</v>
      </c>
      <c r="D217" s="4">
        <v>2.31277</v>
      </c>
      <c r="E217" s="5">
        <f t="shared" si="9"/>
        <v>3.6700000000022825E-4</v>
      </c>
      <c r="F217" s="8">
        <f t="shared" si="10"/>
        <v>1.3747000000000398E-2</v>
      </c>
      <c r="G217" s="8">
        <f t="shared" si="11"/>
        <v>1.2472999999999956E-2</v>
      </c>
      <c r="H217" s="46" t="s">
        <v>322</v>
      </c>
      <c r="I217" s="46" t="s">
        <v>322</v>
      </c>
    </row>
    <row r="218" spans="1:9" x14ac:dyDescent="0.2">
      <c r="A218" s="3">
        <v>83.875694444444449</v>
      </c>
      <c r="B218" s="7" t="s">
        <v>261</v>
      </c>
      <c r="C218" s="4">
        <v>2.3199830000000001</v>
      </c>
      <c r="D218" s="4">
        <v>2.321027</v>
      </c>
      <c r="E218" s="5">
        <f t="shared" si="9"/>
        <v>-1.0439999999998228E-3</v>
      </c>
      <c r="F218" s="8">
        <f t="shared" si="10"/>
        <v>6.8459999999999077E-3</v>
      </c>
      <c r="G218" s="8">
        <f t="shared" si="11"/>
        <v>8.2569999999999588E-3</v>
      </c>
      <c r="H218" s="46" t="s">
        <v>322</v>
      </c>
      <c r="I218" s="46" t="s">
        <v>322</v>
      </c>
    </row>
    <row r="219" spans="1:9" x14ac:dyDescent="0.2">
      <c r="A219" s="3">
        <v>83.876388888888883</v>
      </c>
      <c r="B219" s="7" t="s">
        <v>262</v>
      </c>
      <c r="C219" s="4">
        <v>2.3223029999999998</v>
      </c>
      <c r="D219" s="4">
        <v>2.3183180000000001</v>
      </c>
      <c r="E219" s="5">
        <f t="shared" si="9"/>
        <v>3.9849999999996832E-3</v>
      </c>
      <c r="F219" s="8">
        <f t="shared" si="10"/>
        <v>2.3199999999996557E-3</v>
      </c>
      <c r="G219" s="8">
        <f t="shared" si="11"/>
        <v>-2.7089999999998504E-3</v>
      </c>
      <c r="H219" s="46" t="s">
        <v>322</v>
      </c>
      <c r="I219" s="46" t="s">
        <v>322</v>
      </c>
    </row>
    <row r="220" spans="1:9" x14ac:dyDescent="0.2">
      <c r="A220" s="3">
        <v>83.877083333333331</v>
      </c>
      <c r="B220" s="7" t="s">
        <v>263</v>
      </c>
      <c r="C220" s="4">
        <v>2.3347600000000002</v>
      </c>
      <c r="D220" s="4">
        <v>2.3276560000000002</v>
      </c>
      <c r="E220" s="5">
        <f t="shared" si="9"/>
        <v>7.1039999999999992E-3</v>
      </c>
      <c r="F220" s="8">
        <f t="shared" si="10"/>
        <v>1.2457000000000384E-2</v>
      </c>
      <c r="G220" s="8">
        <f t="shared" si="11"/>
        <v>9.3380000000000685E-3</v>
      </c>
      <c r="H220" s="46" t="s">
        <v>322</v>
      </c>
      <c r="I220" s="46" t="s">
        <v>322</v>
      </c>
    </row>
    <row r="221" spans="1:9" x14ac:dyDescent="0.2">
      <c r="A221" s="3">
        <v>83.87777777777778</v>
      </c>
      <c r="B221" s="7" t="s">
        <v>264</v>
      </c>
      <c r="C221" s="4">
        <v>2.3413629999999999</v>
      </c>
      <c r="D221" s="4">
        <v>2.3351109999999999</v>
      </c>
      <c r="E221" s="5">
        <f t="shared" si="9"/>
        <v>6.2519999999999243E-3</v>
      </c>
      <c r="F221" s="8">
        <f t="shared" si="10"/>
        <v>6.6029999999996924E-3</v>
      </c>
      <c r="G221" s="8">
        <f t="shared" si="11"/>
        <v>7.4549999999997674E-3</v>
      </c>
      <c r="H221" s="46" t="s">
        <v>322</v>
      </c>
      <c r="I221" s="46" t="s">
        <v>322</v>
      </c>
    </row>
    <row r="222" spans="1:9" x14ac:dyDescent="0.2">
      <c r="A222" s="3">
        <v>83.917361111111106</v>
      </c>
      <c r="B222" s="7" t="s">
        <v>265</v>
      </c>
      <c r="C222" s="4">
        <v>2.3524729999999998</v>
      </c>
      <c r="D222" s="4">
        <v>2.3455910000000002</v>
      </c>
      <c r="E222" s="5">
        <f t="shared" si="9"/>
        <v>6.8819999999996107E-3</v>
      </c>
      <c r="F222" s="8">
        <f t="shared" si="10"/>
        <v>1.1109999999999953E-2</v>
      </c>
      <c r="G222" s="8">
        <f t="shared" si="11"/>
        <v>1.0480000000000267E-2</v>
      </c>
      <c r="H222" s="46" t="s">
        <v>322</v>
      </c>
      <c r="I222" s="46" t="s">
        <v>322</v>
      </c>
    </row>
    <row r="223" spans="1:9" x14ac:dyDescent="0.2">
      <c r="A223" s="3">
        <v>83.918055555555554</v>
      </c>
      <c r="B223" s="7" t="s">
        <v>266</v>
      </c>
      <c r="C223" s="4">
        <v>2.3676560000000002</v>
      </c>
      <c r="D223" s="4">
        <v>2.3566159999999998</v>
      </c>
      <c r="E223" s="5">
        <f t="shared" si="9"/>
        <v>1.1040000000000383E-2</v>
      </c>
      <c r="F223" s="8">
        <f t="shared" si="10"/>
        <v>1.5183000000000391E-2</v>
      </c>
      <c r="G223" s="8">
        <f t="shared" si="11"/>
        <v>1.1024999999999618E-2</v>
      </c>
      <c r="H223" s="46" t="s">
        <v>322</v>
      </c>
      <c r="I223" s="46" t="s">
        <v>322</v>
      </c>
    </row>
    <row r="224" spans="1:9" x14ac:dyDescent="0.2">
      <c r="A224" s="3">
        <v>83.918750000000003</v>
      </c>
      <c r="B224" s="7" t="s">
        <v>267</v>
      </c>
      <c r="C224" s="4">
        <v>2.3791440000000001</v>
      </c>
      <c r="D224" s="4">
        <v>2.366196</v>
      </c>
      <c r="E224" s="5">
        <f t="shared" si="9"/>
        <v>1.2948000000000182E-2</v>
      </c>
      <c r="F224" s="8">
        <f t="shared" si="10"/>
        <v>1.1487999999999943E-2</v>
      </c>
      <c r="G224" s="8">
        <f t="shared" si="11"/>
        <v>9.580000000000144E-3</v>
      </c>
      <c r="H224" s="46" t="s">
        <v>322</v>
      </c>
      <c r="I224" s="46" t="s">
        <v>322</v>
      </c>
    </row>
    <row r="225" spans="1:9" x14ac:dyDescent="0.2">
      <c r="A225" s="3">
        <v>83.919444444444437</v>
      </c>
      <c r="B225" s="7" t="s">
        <v>268</v>
      </c>
      <c r="C225" s="4">
        <v>2.3926400000000001</v>
      </c>
      <c r="D225" s="4">
        <v>2.3749729999999998</v>
      </c>
      <c r="E225" s="5">
        <f t="shared" si="9"/>
        <v>1.7667000000000321E-2</v>
      </c>
      <c r="F225" s="8">
        <f t="shared" si="10"/>
        <v>1.3495999999999952E-2</v>
      </c>
      <c r="G225" s="8">
        <f t="shared" si="11"/>
        <v>8.7769999999998127E-3</v>
      </c>
      <c r="H225" s="46" t="s">
        <v>322</v>
      </c>
      <c r="I225" s="46" t="s">
        <v>322</v>
      </c>
    </row>
    <row r="226" spans="1:9" x14ac:dyDescent="0.2">
      <c r="A226" s="3">
        <v>83.959027777777777</v>
      </c>
      <c r="B226" s="7" t="s">
        <v>269</v>
      </c>
      <c r="C226" s="4">
        <v>2.4021750000000002</v>
      </c>
      <c r="D226" s="4">
        <v>2.3857680000000001</v>
      </c>
      <c r="E226" s="5">
        <f t="shared" si="9"/>
        <v>1.640700000000006E-2</v>
      </c>
      <c r="F226" s="8">
        <f t="shared" si="10"/>
        <v>9.5350000000000712E-3</v>
      </c>
      <c r="G226" s="8">
        <f t="shared" si="11"/>
        <v>1.0795000000000332E-2</v>
      </c>
      <c r="H226" s="46" t="s">
        <v>322</v>
      </c>
      <c r="I226" s="46" t="s">
        <v>322</v>
      </c>
    </row>
    <row r="227" spans="1:9" x14ac:dyDescent="0.2">
      <c r="A227" s="3">
        <v>83.959722222222226</v>
      </c>
      <c r="B227" s="7" t="s">
        <v>270</v>
      </c>
      <c r="C227" s="4">
        <v>2.4078469999999998</v>
      </c>
      <c r="D227" s="4">
        <v>2.3947980000000002</v>
      </c>
      <c r="E227" s="5">
        <f t="shared" si="9"/>
        <v>1.3048999999999644E-2</v>
      </c>
      <c r="F227" s="8">
        <f t="shared" si="10"/>
        <v>5.6719999999996773E-3</v>
      </c>
      <c r="G227" s="8">
        <f t="shared" si="11"/>
        <v>9.0300000000000935E-3</v>
      </c>
      <c r="H227" s="46" t="s">
        <v>322</v>
      </c>
      <c r="I227" s="46" t="s">
        <v>322</v>
      </c>
    </row>
    <row r="228" spans="1:9" x14ac:dyDescent="0.2">
      <c r="A228" s="3">
        <v>83.96041666666666</v>
      </c>
      <c r="B228" s="7" t="s">
        <v>271</v>
      </c>
      <c r="C228" s="4">
        <v>2.416604</v>
      </c>
      <c r="D228" s="4">
        <v>2.4046379999999998</v>
      </c>
      <c r="E228" s="5">
        <f t="shared" si="9"/>
        <v>1.1966000000000143E-2</v>
      </c>
      <c r="F228" s="8">
        <f t="shared" si="10"/>
        <v>8.7570000000001258E-3</v>
      </c>
      <c r="G228" s="8">
        <f t="shared" si="11"/>
        <v>9.8399999999996268E-3</v>
      </c>
      <c r="H228" s="46" t="s">
        <v>322</v>
      </c>
      <c r="I228" s="46" t="s">
        <v>322</v>
      </c>
    </row>
    <row r="229" spans="1:9" x14ac:dyDescent="0.2">
      <c r="A229" s="3">
        <v>83.961111111111109</v>
      </c>
      <c r="B229" s="7" t="s">
        <v>272</v>
      </c>
      <c r="C229" s="4">
        <v>2.4214349999999998</v>
      </c>
      <c r="D229" s="4">
        <v>2.4151099999999999</v>
      </c>
      <c r="E229" s="5">
        <f t="shared" si="9"/>
        <v>6.324999999999914E-3</v>
      </c>
      <c r="F229" s="8">
        <f t="shared" si="10"/>
        <v>4.8309999999998077E-3</v>
      </c>
      <c r="G229" s="8">
        <f t="shared" si="11"/>
        <v>1.0472000000000037E-2</v>
      </c>
      <c r="H229" s="46" t="s">
        <v>322</v>
      </c>
      <c r="I229" s="46" t="s">
        <v>322</v>
      </c>
    </row>
    <row r="230" spans="1:9" x14ac:dyDescent="0.2">
      <c r="A230" s="3">
        <v>84.000694444444449</v>
      </c>
      <c r="B230" s="7" t="s">
        <v>273</v>
      </c>
      <c r="C230" s="4">
        <v>2.4320949999999999</v>
      </c>
      <c r="D230" s="4">
        <v>2.4266830000000001</v>
      </c>
      <c r="E230" s="5">
        <f t="shared" si="9"/>
        <v>5.4119999999997503E-3</v>
      </c>
      <c r="F230" s="8">
        <f t="shared" si="10"/>
        <v>1.0660000000000114E-2</v>
      </c>
      <c r="G230" s="8">
        <f t="shared" si="11"/>
        <v>1.1573000000000278E-2</v>
      </c>
      <c r="H230" s="46" t="s">
        <v>322</v>
      </c>
      <c r="I230" s="46" t="s">
        <v>322</v>
      </c>
    </row>
    <row r="231" spans="1:9" x14ac:dyDescent="0.2">
      <c r="A231" s="3">
        <v>84.001388888888883</v>
      </c>
      <c r="B231" s="7" t="s">
        <v>274</v>
      </c>
      <c r="C231" s="4">
        <v>2.4413960000000001</v>
      </c>
      <c r="D231" s="4">
        <v>2.4383979999999998</v>
      </c>
      <c r="E231" s="5">
        <f t="shared" si="9"/>
        <v>2.9980000000002782E-3</v>
      </c>
      <c r="F231" s="8">
        <f t="shared" si="10"/>
        <v>9.3010000000002258E-3</v>
      </c>
      <c r="G231" s="8">
        <f>D231-D230</f>
        <v>1.1714999999999698E-2</v>
      </c>
      <c r="H231" s="46" t="s">
        <v>322</v>
      </c>
      <c r="I231" s="46" t="s">
        <v>322</v>
      </c>
    </row>
    <row r="232" spans="1:9" x14ac:dyDescent="0.2">
      <c r="A232" s="3">
        <v>84.002083333333331</v>
      </c>
      <c r="B232" s="7" t="s">
        <v>275</v>
      </c>
      <c r="C232" s="4">
        <v>2.4520379999999999</v>
      </c>
      <c r="D232" s="4">
        <v>2.4496950000000002</v>
      </c>
      <c r="E232" s="5">
        <f t="shared" si="9"/>
        <v>2.3429999999997619E-3</v>
      </c>
      <c r="F232" s="8">
        <f>C232-C231</f>
        <v>1.0641999999999818E-2</v>
      </c>
      <c r="G232" s="8">
        <f t="shared" si="11"/>
        <v>1.1297000000000335E-2</v>
      </c>
      <c r="H232" s="46" t="s">
        <v>322</v>
      </c>
      <c r="I232" s="46" t="s">
        <v>322</v>
      </c>
    </row>
    <row r="233" spans="1:9" x14ac:dyDescent="0.2">
      <c r="A233" s="3">
        <v>84.00277777777778</v>
      </c>
      <c r="B233" s="7" t="s">
        <v>276</v>
      </c>
      <c r="C233" s="4">
        <v>2.4644560000000002</v>
      </c>
      <c r="D233" s="4">
        <v>2.4606650000000001</v>
      </c>
      <c r="E233" s="5">
        <f t="shared" si="9"/>
        <v>3.7910000000000998E-3</v>
      </c>
      <c r="F233" s="8">
        <f t="shared" si="10"/>
        <v>1.2418000000000262E-2</v>
      </c>
      <c r="G233" s="8">
        <f t="shared" si="11"/>
        <v>1.0969999999999924E-2</v>
      </c>
      <c r="H233" s="46" t="s">
        <v>322</v>
      </c>
      <c r="I233" s="46" t="s">
        <v>322</v>
      </c>
    </row>
    <row r="234" spans="1:9" x14ac:dyDescent="0.2">
      <c r="A234" s="46" t="s">
        <v>322</v>
      </c>
      <c r="B234" s="6" t="s">
        <v>277</v>
      </c>
      <c r="C234" s="2">
        <v>2.4750909999999999</v>
      </c>
      <c r="D234" s="2">
        <v>2.471949</v>
      </c>
      <c r="E234" s="5">
        <f t="shared" si="9"/>
        <v>3.1419999999999781E-3</v>
      </c>
      <c r="F234" s="8">
        <f t="shared" si="10"/>
        <v>1.0634999999999728E-2</v>
      </c>
      <c r="G234" s="8">
        <f t="shared" si="11"/>
        <v>1.128399999999985E-2</v>
      </c>
      <c r="H234" s="46" t="s">
        <v>322</v>
      </c>
      <c r="I234" s="46" t="s">
        <v>322</v>
      </c>
    </row>
    <row r="235" spans="1:9" x14ac:dyDescent="0.2">
      <c r="A235" s="46" t="s">
        <v>322</v>
      </c>
      <c r="B235" s="6" t="s">
        <v>278</v>
      </c>
      <c r="C235" s="2">
        <v>2.4868459999999999</v>
      </c>
      <c r="D235" s="2">
        <v>2.4824510000000002</v>
      </c>
      <c r="E235" s="5">
        <f t="shared" si="9"/>
        <v>4.3949999999997047E-3</v>
      </c>
      <c r="F235" s="8">
        <f t="shared" si="10"/>
        <v>1.175499999999996E-2</v>
      </c>
      <c r="G235" s="8">
        <f t="shared" si="11"/>
        <v>1.0502000000000233E-2</v>
      </c>
      <c r="H235" s="46" t="s">
        <v>322</v>
      </c>
      <c r="I235" s="46" t="s">
        <v>322</v>
      </c>
    </row>
    <row r="236" spans="1:9" x14ac:dyDescent="0.2">
      <c r="A236" s="46" t="s">
        <v>322</v>
      </c>
      <c r="B236" s="6" t="s">
        <v>279</v>
      </c>
      <c r="C236" s="2">
        <v>2.4994269999999998</v>
      </c>
      <c r="D236" s="2">
        <v>2.4931519999999998</v>
      </c>
      <c r="E236" s="5">
        <f t="shared" si="9"/>
        <v>6.2750000000000306E-3</v>
      </c>
      <c r="F236" s="8">
        <f t="shared" si="10"/>
        <v>1.2580999999999953E-2</v>
      </c>
      <c r="G236" s="8">
        <f t="shared" si="11"/>
        <v>1.0700999999999627E-2</v>
      </c>
      <c r="H236" s="46" t="s">
        <v>322</v>
      </c>
      <c r="I236" s="46" t="s">
        <v>322</v>
      </c>
    </row>
    <row r="237" spans="1:9" x14ac:dyDescent="0.2">
      <c r="A237" s="46" t="s">
        <v>322</v>
      </c>
      <c r="B237" s="6" t="s">
        <v>280</v>
      </c>
      <c r="C237" s="2">
        <v>2.511317</v>
      </c>
      <c r="D237" s="2">
        <v>2.504111</v>
      </c>
      <c r="E237" s="5">
        <f t="shared" si="9"/>
        <v>7.2060000000000457E-3</v>
      </c>
      <c r="F237" s="8">
        <f t="shared" si="10"/>
        <v>1.1890000000000178E-2</v>
      </c>
      <c r="G237" s="8">
        <f t="shared" si="11"/>
        <v>1.0959000000000163E-2</v>
      </c>
      <c r="H237" s="46" t="s">
        <v>322</v>
      </c>
      <c r="I237" s="46" t="s">
        <v>322</v>
      </c>
    </row>
    <row r="238" spans="1:9" x14ac:dyDescent="0.2">
      <c r="A238" s="46" t="s">
        <v>322</v>
      </c>
      <c r="B238" s="6" t="s">
        <v>281</v>
      </c>
      <c r="C238" s="2">
        <v>2.524419</v>
      </c>
      <c r="D238" s="2">
        <v>2.5168249999999999</v>
      </c>
      <c r="E238" s="5">
        <f t="shared" si="9"/>
        <v>7.5940000000001007E-3</v>
      </c>
      <c r="F238" s="8">
        <f t="shared" si="10"/>
        <v>1.3101999999999947E-2</v>
      </c>
      <c r="G238" s="8">
        <f t="shared" si="11"/>
        <v>1.2713999999999892E-2</v>
      </c>
      <c r="H238" s="46" t="s">
        <v>322</v>
      </c>
      <c r="I238" s="46" t="s">
        <v>322</v>
      </c>
    </row>
    <row r="239" spans="1:9" x14ac:dyDescent="0.2">
      <c r="A239" s="46" t="s">
        <v>322</v>
      </c>
      <c r="B239" s="6" t="s">
        <v>282</v>
      </c>
      <c r="C239" s="2">
        <v>2.5359500000000001</v>
      </c>
      <c r="D239" s="2">
        <v>2.5276960000000002</v>
      </c>
      <c r="E239" s="5">
        <f t="shared" si="9"/>
        <v>8.2539999999999836E-3</v>
      </c>
      <c r="F239" s="8">
        <f t="shared" si="10"/>
        <v>1.153100000000018E-2</v>
      </c>
      <c r="G239" s="8">
        <f t="shared" si="11"/>
        <v>1.0871000000000297E-2</v>
      </c>
      <c r="H239" s="46" t="s">
        <v>322</v>
      </c>
      <c r="I239" s="46" t="s">
        <v>322</v>
      </c>
    </row>
    <row r="240" spans="1:9" x14ac:dyDescent="0.2">
      <c r="A240" s="46" t="s">
        <v>322</v>
      </c>
      <c r="B240" s="6" t="s">
        <v>283</v>
      </c>
      <c r="C240" s="2">
        <v>2.5482610000000001</v>
      </c>
      <c r="D240" s="2">
        <v>2.539018</v>
      </c>
      <c r="E240" s="5">
        <f t="shared" si="9"/>
        <v>9.2430000000001122E-3</v>
      </c>
      <c r="F240" s="8">
        <f t="shared" si="10"/>
        <v>1.2310999999999961E-2</v>
      </c>
      <c r="G240" s="8">
        <f t="shared" si="11"/>
        <v>1.1321999999999832E-2</v>
      </c>
      <c r="H240" s="46" t="s">
        <v>322</v>
      </c>
      <c r="I240" s="46" t="s">
        <v>322</v>
      </c>
    </row>
    <row r="241" spans="1:9" x14ac:dyDescent="0.2">
      <c r="A241" s="46" t="s">
        <v>322</v>
      </c>
      <c r="B241" s="6" t="s">
        <v>284</v>
      </c>
      <c r="C241" s="2">
        <v>2.56</v>
      </c>
      <c r="D241" s="2">
        <v>2.5500959999999999</v>
      </c>
      <c r="E241" s="5">
        <f t="shared" si="9"/>
        <v>9.9040000000001349E-3</v>
      </c>
      <c r="F241" s="8">
        <f t="shared" si="10"/>
        <v>1.1738999999999944E-2</v>
      </c>
      <c r="G241" s="8">
        <f t="shared" si="11"/>
        <v>1.1077999999999921E-2</v>
      </c>
      <c r="H241" s="46" t="s">
        <v>322</v>
      </c>
      <c r="I241" s="46" t="s">
        <v>322</v>
      </c>
    </row>
    <row r="242" spans="1:9" x14ac:dyDescent="0.2">
      <c r="A242" s="46" t="s">
        <v>322</v>
      </c>
      <c r="B242" s="6" t="s">
        <v>287</v>
      </c>
      <c r="C242" s="2">
        <v>2.5728970000000002</v>
      </c>
      <c r="D242" s="2">
        <v>2.562621</v>
      </c>
      <c r="E242" s="5">
        <f t="shared" ref="E242:E248" si="12">C242-D242</f>
        <v>1.0276000000000174E-2</v>
      </c>
      <c r="F242" s="8">
        <f t="shared" ref="F242:G245" si="13">C242-C241</f>
        <v>1.2897000000000158E-2</v>
      </c>
      <c r="G242" s="8">
        <f t="shared" si="13"/>
        <v>1.2525000000000119E-2</v>
      </c>
      <c r="H242" s="46" t="s">
        <v>322</v>
      </c>
      <c r="I242" s="46" t="s">
        <v>322</v>
      </c>
    </row>
    <row r="243" spans="1:9" x14ac:dyDescent="0.2">
      <c r="A243" s="46" t="s">
        <v>322</v>
      </c>
      <c r="B243" s="6" t="s">
        <v>288</v>
      </c>
      <c r="C243" s="2">
        <v>2.5833490000000001</v>
      </c>
      <c r="D243" s="2">
        <v>2.5745239999999998</v>
      </c>
      <c r="E243" s="5">
        <f t="shared" si="12"/>
        <v>8.8250000000003048E-3</v>
      </c>
      <c r="F243" s="8">
        <f t="shared" si="13"/>
        <v>1.0451999999999906E-2</v>
      </c>
      <c r="G243" s="8">
        <f t="shared" si="13"/>
        <v>1.1902999999999775E-2</v>
      </c>
      <c r="H243" s="46" t="s">
        <v>322</v>
      </c>
      <c r="I243" s="46" t="s">
        <v>322</v>
      </c>
    </row>
    <row r="244" spans="1:9" x14ac:dyDescent="0.2">
      <c r="A244" s="46" t="s">
        <v>322</v>
      </c>
      <c r="B244" s="6" t="s">
        <v>289</v>
      </c>
      <c r="C244" s="2">
        <v>2.5949499999999999</v>
      </c>
      <c r="D244" s="2">
        <v>2.586471</v>
      </c>
      <c r="E244" s="5">
        <f t="shared" si="12"/>
        <v>8.4789999999999033E-3</v>
      </c>
      <c r="F244" s="8">
        <f t="shared" si="13"/>
        <v>1.160099999999975E-2</v>
      </c>
      <c r="G244" s="8">
        <f t="shared" si="13"/>
        <v>1.1947000000000152E-2</v>
      </c>
      <c r="H244" s="46" t="s">
        <v>322</v>
      </c>
      <c r="I244" s="46" t="s">
        <v>322</v>
      </c>
    </row>
    <row r="245" spans="1:9" x14ac:dyDescent="0.2">
      <c r="A245" s="46" t="s">
        <v>322</v>
      </c>
      <c r="B245" s="6" t="s">
        <v>290</v>
      </c>
      <c r="C245" s="2">
        <v>2.6071840000000002</v>
      </c>
      <c r="D245" s="2">
        <v>2.5986980000000002</v>
      </c>
      <c r="E245" s="5">
        <f t="shared" si="12"/>
        <v>8.4859999999999935E-3</v>
      </c>
      <c r="F245" s="8">
        <f t="shared" si="13"/>
        <v>1.22340000000003E-2</v>
      </c>
      <c r="G245" s="8">
        <f t="shared" ref="G245:G253" si="14">D245-D244</f>
        <v>1.222700000000021E-2</v>
      </c>
      <c r="H245" s="46" t="s">
        <v>322</v>
      </c>
      <c r="I245" s="46" t="s">
        <v>322</v>
      </c>
    </row>
    <row r="246" spans="1:9" x14ac:dyDescent="0.2">
      <c r="A246" s="46" t="s">
        <v>322</v>
      </c>
      <c r="B246" s="6" t="s">
        <v>292</v>
      </c>
      <c r="C246" s="2">
        <v>2.6220240000000001</v>
      </c>
      <c r="D246" s="2">
        <v>2.6121940000000001</v>
      </c>
      <c r="E246" s="5">
        <f t="shared" si="12"/>
        <v>9.8300000000000054E-3</v>
      </c>
      <c r="F246" s="8">
        <f t="shared" ref="F246:F253" si="15">C246-C245</f>
        <v>1.4839999999999964E-2</v>
      </c>
      <c r="G246" s="8">
        <f t="shared" si="14"/>
        <v>1.3495999999999952E-2</v>
      </c>
      <c r="H246" s="46" t="s">
        <v>322</v>
      </c>
      <c r="I246" s="46" t="s">
        <v>322</v>
      </c>
    </row>
    <row r="247" spans="1:9" x14ac:dyDescent="0.2">
      <c r="A247" s="46" t="s">
        <v>322</v>
      </c>
      <c r="B247" s="6" t="s">
        <v>293</v>
      </c>
      <c r="C247" s="2">
        <v>2.6345969999999999</v>
      </c>
      <c r="D247" s="2">
        <v>2.6253220000000002</v>
      </c>
      <c r="E247" s="5">
        <f t="shared" si="12"/>
        <v>9.2749999999997002E-3</v>
      </c>
      <c r="F247" s="8">
        <f t="shared" si="15"/>
        <v>1.2572999999999723E-2</v>
      </c>
      <c r="G247" s="8">
        <f t="shared" si="14"/>
        <v>1.3128000000000029E-2</v>
      </c>
      <c r="H247" s="46" t="s">
        <v>322</v>
      </c>
      <c r="I247" s="46" t="s">
        <v>322</v>
      </c>
    </row>
    <row r="248" spans="1:9" x14ac:dyDescent="0.2">
      <c r="A248" s="46" t="s">
        <v>322</v>
      </c>
      <c r="B248" s="6" t="s">
        <v>294</v>
      </c>
      <c r="C248" s="2">
        <v>2.647675</v>
      </c>
      <c r="D248" s="2">
        <v>2.6379000000000001</v>
      </c>
      <c r="E248" s="5">
        <f t="shared" si="12"/>
        <v>9.7749999999998671E-3</v>
      </c>
      <c r="F248" s="8">
        <f t="shared" si="15"/>
        <v>1.3078000000000145E-2</v>
      </c>
      <c r="G248" s="8">
        <f t="shared" si="14"/>
        <v>1.2577999999999978E-2</v>
      </c>
      <c r="H248" s="46" t="s">
        <v>322</v>
      </c>
      <c r="I248" s="46" t="s">
        <v>322</v>
      </c>
    </row>
    <row r="249" spans="1:9" x14ac:dyDescent="0.2">
      <c r="A249" s="46" t="s">
        <v>322</v>
      </c>
      <c r="B249" s="6" t="s">
        <v>295</v>
      </c>
      <c r="C249" s="2">
        <v>2.6606809999999999</v>
      </c>
      <c r="D249" s="2">
        <v>2.6507520000000002</v>
      </c>
      <c r="E249" s="5">
        <f>C249-D249</f>
        <v>9.9289999999996326E-3</v>
      </c>
      <c r="F249" s="8">
        <f t="shared" si="15"/>
        <v>1.3005999999999851E-2</v>
      </c>
      <c r="G249" s="8">
        <f t="shared" si="14"/>
        <v>1.2852000000000086E-2</v>
      </c>
      <c r="H249" s="46" t="s">
        <v>322</v>
      </c>
      <c r="I249" s="46" t="s">
        <v>322</v>
      </c>
    </row>
    <row r="250" spans="1:9" x14ac:dyDescent="0.2">
      <c r="A250" s="46" t="s">
        <v>322</v>
      </c>
      <c r="B250" s="6" t="s">
        <v>299</v>
      </c>
      <c r="C250" s="2">
        <v>2.6753870000000002</v>
      </c>
      <c r="D250" s="2">
        <v>2.663456</v>
      </c>
      <c r="E250" s="5">
        <f>C250-D250</f>
        <v>1.1931000000000136E-2</v>
      </c>
      <c r="F250" s="8">
        <f t="shared" si="15"/>
        <v>1.470600000000033E-2</v>
      </c>
      <c r="G250" s="8">
        <f t="shared" si="14"/>
        <v>1.2703999999999827E-2</v>
      </c>
      <c r="H250" s="46" t="s">
        <v>322</v>
      </c>
      <c r="I250" s="46" t="s">
        <v>322</v>
      </c>
    </row>
    <row r="251" spans="1:9" x14ac:dyDescent="0.2">
      <c r="A251" s="46" t="s">
        <v>322</v>
      </c>
      <c r="B251" s="6" t="s">
        <v>300</v>
      </c>
      <c r="C251" s="2">
        <v>2.689257</v>
      </c>
      <c r="D251" s="2">
        <v>2.6763940000000002</v>
      </c>
      <c r="E251" s="5">
        <f>C251-D251</f>
        <v>1.2862999999999847E-2</v>
      </c>
      <c r="F251" s="8">
        <f t="shared" si="15"/>
        <v>1.3869999999999827E-2</v>
      </c>
      <c r="G251" s="8">
        <f t="shared" si="14"/>
        <v>1.2938000000000116E-2</v>
      </c>
      <c r="H251" s="46" t="s">
        <v>322</v>
      </c>
      <c r="I251" s="46" t="s">
        <v>322</v>
      </c>
    </row>
    <row r="252" spans="1:9" x14ac:dyDescent="0.2">
      <c r="A252" s="46" t="s">
        <v>322</v>
      </c>
      <c r="B252" s="6" t="s">
        <v>301</v>
      </c>
      <c r="C252" s="2">
        <v>2.7035999999999998</v>
      </c>
      <c r="D252" s="2">
        <v>2.6893389999999999</v>
      </c>
      <c r="E252" s="5">
        <f>C252-D252</f>
        <v>1.4260999999999857E-2</v>
      </c>
      <c r="F252" s="8">
        <f t="shared" si="15"/>
        <v>1.4342999999999773E-2</v>
      </c>
      <c r="G252" s="8">
        <f t="shared" si="14"/>
        <v>1.2944999999999762E-2</v>
      </c>
      <c r="H252" s="46" t="s">
        <v>322</v>
      </c>
      <c r="I252" s="46" t="s">
        <v>322</v>
      </c>
    </row>
    <row r="253" spans="1:9" x14ac:dyDescent="0.2">
      <c r="A253" s="46" t="s">
        <v>322</v>
      </c>
      <c r="B253" s="6" t="s">
        <v>302</v>
      </c>
      <c r="C253" s="2">
        <v>2.717428</v>
      </c>
      <c r="D253" s="2">
        <v>2.7024319999999999</v>
      </c>
      <c r="E253" s="5">
        <f>C253-D253</f>
        <v>1.4996000000000009E-2</v>
      </c>
      <c r="F253" s="8">
        <f t="shared" si="15"/>
        <v>1.3828000000000173E-2</v>
      </c>
      <c r="G253" s="8">
        <f t="shared" si="14"/>
        <v>1.3093000000000021E-2</v>
      </c>
      <c r="H253" s="46" t="s">
        <v>322</v>
      </c>
      <c r="I253" s="46" t="s">
        <v>322</v>
      </c>
    </row>
    <row r="254" spans="1:9" x14ac:dyDescent="0.2">
      <c r="A254" s="46" t="s">
        <v>322</v>
      </c>
      <c r="B254" s="6" t="s">
        <v>304</v>
      </c>
      <c r="C254" s="2">
        <v>2.7317230000000001</v>
      </c>
      <c r="D254" s="2">
        <v>2.7156020000000001</v>
      </c>
      <c r="E254" s="5">
        <f t="shared" ref="E254:E261" si="16">C254-D254</f>
        <v>1.6121000000000052E-2</v>
      </c>
      <c r="F254" s="8">
        <f t="shared" ref="F254:F261" si="17">C254-C253</f>
        <v>1.4295000000000169E-2</v>
      </c>
      <c r="G254" s="8">
        <f t="shared" ref="G254:G261" si="18">D254-D253</f>
        <v>1.3170000000000126E-2</v>
      </c>
      <c r="H254" s="46" t="s">
        <v>322</v>
      </c>
      <c r="I254" s="46" t="s">
        <v>322</v>
      </c>
    </row>
    <row r="255" spans="1:9" x14ac:dyDescent="0.2">
      <c r="A255" s="46" t="s">
        <v>322</v>
      </c>
      <c r="B255" s="6" t="s">
        <v>305</v>
      </c>
      <c r="C255" s="2">
        <v>2.7455720000000001</v>
      </c>
      <c r="D255" s="2">
        <v>2.728882</v>
      </c>
      <c r="E255" s="5">
        <f t="shared" si="16"/>
        <v>1.6690000000000094E-2</v>
      </c>
      <c r="F255" s="8">
        <f t="shared" si="17"/>
        <v>1.3849E-2</v>
      </c>
      <c r="G255" s="8">
        <f t="shared" si="18"/>
        <v>1.3279999999999959E-2</v>
      </c>
      <c r="H255" s="46" t="s">
        <v>322</v>
      </c>
      <c r="I255" s="46" t="s">
        <v>322</v>
      </c>
    </row>
    <row r="256" spans="1:9" x14ac:dyDescent="0.2">
      <c r="A256" s="46" t="s">
        <v>322</v>
      </c>
      <c r="B256" s="6" t="s">
        <v>306</v>
      </c>
      <c r="C256" s="2">
        <v>2.760068</v>
      </c>
      <c r="D256" s="2">
        <v>2.7420710000000001</v>
      </c>
      <c r="E256" s="5">
        <f t="shared" si="16"/>
        <v>1.7996999999999819E-2</v>
      </c>
      <c r="F256" s="8">
        <f t="shared" si="17"/>
        <v>1.4495999999999842E-2</v>
      </c>
      <c r="G256" s="8">
        <f t="shared" si="18"/>
        <v>1.3189000000000117E-2</v>
      </c>
      <c r="H256" s="46" t="s">
        <v>322</v>
      </c>
      <c r="I256" s="46" t="s">
        <v>322</v>
      </c>
    </row>
    <row r="257" spans="1:9" x14ac:dyDescent="0.2">
      <c r="A257" s="46" t="s">
        <v>322</v>
      </c>
      <c r="B257" s="6" t="s">
        <v>307</v>
      </c>
      <c r="C257" s="2">
        <v>2.7744</v>
      </c>
      <c r="D257" s="2">
        <v>2.7555320000000001</v>
      </c>
      <c r="E257" s="5">
        <f t="shared" si="16"/>
        <v>1.8867999999999885E-2</v>
      </c>
      <c r="F257" s="8">
        <f t="shared" si="17"/>
        <v>1.4332000000000011E-2</v>
      </c>
      <c r="G257" s="8">
        <f t="shared" si="18"/>
        <v>1.3460999999999945E-2</v>
      </c>
      <c r="H257" s="46" t="s">
        <v>322</v>
      </c>
      <c r="I257" s="46" t="s">
        <v>322</v>
      </c>
    </row>
    <row r="258" spans="1:9" x14ac:dyDescent="0.2">
      <c r="A258" s="46" t="s">
        <v>322</v>
      </c>
      <c r="B258" s="6" t="s">
        <v>308</v>
      </c>
      <c r="C258" s="2">
        <v>2.7892960000000002</v>
      </c>
      <c r="D258" s="2">
        <v>2.7691460000000001</v>
      </c>
      <c r="E258" s="5">
        <f t="shared" si="16"/>
        <v>2.0150000000000112E-2</v>
      </c>
      <c r="F258" s="8">
        <f t="shared" si="17"/>
        <v>1.4896000000000242E-2</v>
      </c>
      <c r="G258" s="8">
        <f t="shared" si="18"/>
        <v>1.3614000000000015E-2</v>
      </c>
      <c r="H258" s="46" t="s">
        <v>322</v>
      </c>
      <c r="I258" s="46" t="s">
        <v>322</v>
      </c>
    </row>
    <row r="259" spans="1:9" x14ac:dyDescent="0.2">
      <c r="A259" s="46" t="s">
        <v>322</v>
      </c>
      <c r="B259" s="6" t="s">
        <v>309</v>
      </c>
      <c r="C259" s="2">
        <v>2.8036859999999999</v>
      </c>
      <c r="D259" s="2">
        <v>2.7828930000000001</v>
      </c>
      <c r="E259" s="5">
        <f t="shared" si="16"/>
        <v>2.0792999999999839E-2</v>
      </c>
      <c r="F259" s="8">
        <f t="shared" si="17"/>
        <v>1.4389999999999681E-2</v>
      </c>
      <c r="G259" s="8">
        <f t="shared" si="18"/>
        <v>1.3746999999999954E-2</v>
      </c>
      <c r="H259" s="46" t="s">
        <v>322</v>
      </c>
      <c r="I259" s="46" t="s">
        <v>322</v>
      </c>
    </row>
    <row r="260" spans="1:9" x14ac:dyDescent="0.2">
      <c r="A260" s="46" t="s">
        <v>322</v>
      </c>
      <c r="B260" s="6" t="s">
        <v>310</v>
      </c>
      <c r="C260" s="2">
        <v>2.81873</v>
      </c>
      <c r="D260" s="2">
        <v>2.7967119999999999</v>
      </c>
      <c r="E260" s="5">
        <f t="shared" si="16"/>
        <v>2.2018000000000093E-2</v>
      </c>
      <c r="F260" s="8">
        <f t="shared" si="17"/>
        <v>1.5044000000000057E-2</v>
      </c>
      <c r="G260" s="8">
        <f t="shared" si="18"/>
        <v>1.3818999999999804E-2</v>
      </c>
      <c r="H260" s="46" t="s">
        <v>322</v>
      </c>
      <c r="I260" s="46" t="s">
        <v>322</v>
      </c>
    </row>
    <row r="261" spans="1:9" x14ac:dyDescent="0.2">
      <c r="A261" s="46" t="s">
        <v>322</v>
      </c>
      <c r="B261" s="6" t="s">
        <v>311</v>
      </c>
      <c r="C261" s="2">
        <v>2.8344100000000001</v>
      </c>
      <c r="D261" s="2">
        <v>2.8107120000000001</v>
      </c>
      <c r="E261" s="5">
        <f t="shared" si="16"/>
        <v>2.3697999999999997E-2</v>
      </c>
      <c r="F261" s="8">
        <f t="shared" si="17"/>
        <v>1.5680000000000138E-2</v>
      </c>
      <c r="G261" s="8">
        <f t="shared" si="18"/>
        <v>1.4000000000000234E-2</v>
      </c>
      <c r="H261" s="46" t="s">
        <v>322</v>
      </c>
      <c r="I261" s="46" t="s">
        <v>322</v>
      </c>
    </row>
    <row r="262" spans="1:9" x14ac:dyDescent="0.2">
      <c r="A262" s="2" t="s">
        <v>323</v>
      </c>
    </row>
  </sheetData>
  <phoneticPr fontId="2" type="noConversion"/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CPI-based on Jun14</vt:lpstr>
      <vt:lpstr>CPI-Jun2014</vt:lpstr>
      <vt:lpstr>Print_Area_MI</vt:lpstr>
      <vt:lpstr>'CPI-Jun2014'!Print_Titles</vt:lpstr>
      <vt:lpstr>TitleRegion1.a1.g261.2</vt:lpstr>
      <vt:lpstr>TitleRegion1.a3.r47.1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Estimated Cap Inflation Calculation Estimates Spreadsheet - FY 2005-2023</dc:title>
  <dc:creator>Minnesota Department of Educaiton</dc:creator>
  <cp:lastModifiedBy>Goebel, Chelsea</cp:lastModifiedBy>
  <cp:lastPrinted>2013-08-26T18:12:55Z</cp:lastPrinted>
  <dcterms:created xsi:type="dcterms:W3CDTF">2003-04-02T16:07:23Z</dcterms:created>
  <dcterms:modified xsi:type="dcterms:W3CDTF">2014-07-16T20:32:52Z</dcterms:modified>
</cp:coreProperties>
</file>