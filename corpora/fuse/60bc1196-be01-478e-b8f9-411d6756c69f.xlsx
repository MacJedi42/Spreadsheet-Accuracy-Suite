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360" yWindow="90" windowWidth="17115" windowHeight="11505"/>
  </bookViews>
  <sheets>
    <sheet name="Instructions" sheetId="4" r:id="rId1"/>
    <sheet name="GPA Calculator" sheetId="1" r:id="rId2"/>
    <sheet name="GPA Formulas" sheetId="3" state="hidden" r:id="rId3"/>
    <sheet name="BCMP GPA Calc" sheetId="6" state="hidden" r:id="rId4"/>
    <sheet name="Upper-level Calcs" sheetId="5" state="hidden" r:id="rId5"/>
  </sheets>
  <definedNames>
    <definedName name="_xlnm.Print_Area" localSheetId="1">'GPA Calculator'!$A$1:$S$109</definedName>
  </definedNames>
  <calcPr calcId="145621"/>
</workbook>
</file>

<file path=xl/calcChain.xml><?xml version="1.0" encoding="utf-8"?>
<calcChain xmlns="http://schemas.openxmlformats.org/spreadsheetml/2006/main">
  <c r="N103" i="1" l="1"/>
  <c r="D103" i="1"/>
  <c r="N86" i="1"/>
  <c r="D86" i="1"/>
  <c r="N69" i="1"/>
  <c r="D69" i="1"/>
  <c r="N52" i="1"/>
  <c r="D52" i="1"/>
  <c r="L90" i="6" l="1"/>
  <c r="E90" i="6"/>
  <c r="L74" i="6"/>
  <c r="E74" i="6"/>
  <c r="L58" i="6"/>
  <c r="E58" i="6"/>
  <c r="L43" i="6"/>
  <c r="E43" i="6"/>
  <c r="C93" i="3" l="1"/>
  <c r="C92" i="3"/>
  <c r="C91" i="3"/>
  <c r="C90" i="3"/>
  <c r="C89" i="3"/>
  <c r="C88" i="3"/>
  <c r="C87" i="3"/>
  <c r="C86" i="3"/>
  <c r="C85" i="3"/>
  <c r="C77" i="3"/>
  <c r="C76" i="3"/>
  <c r="C75" i="3"/>
  <c r="C74" i="3"/>
  <c r="C73" i="3"/>
  <c r="C72" i="3"/>
  <c r="C71" i="3"/>
  <c r="C70" i="3"/>
  <c r="C69" i="3"/>
  <c r="C61" i="3"/>
  <c r="C60" i="3"/>
  <c r="C59" i="3"/>
  <c r="C58" i="3"/>
  <c r="C57" i="3"/>
  <c r="C56" i="3"/>
  <c r="C55" i="3"/>
  <c r="C54" i="3"/>
  <c r="C53" i="3"/>
  <c r="C45" i="3"/>
  <c r="C44" i="3"/>
  <c r="C43" i="3"/>
  <c r="C42" i="3"/>
  <c r="C41" i="3"/>
  <c r="C40" i="3"/>
  <c r="C39" i="3"/>
  <c r="C38" i="3"/>
  <c r="C37" i="3"/>
  <c r="C29" i="3"/>
  <c r="C28" i="3"/>
  <c r="C27" i="3"/>
  <c r="C26" i="3"/>
  <c r="C25" i="3"/>
  <c r="C24" i="3"/>
  <c r="C23" i="3"/>
  <c r="C22" i="3"/>
  <c r="C21" i="3"/>
  <c r="C6" i="3"/>
  <c r="C7" i="3"/>
  <c r="C8" i="3"/>
  <c r="C9" i="3"/>
  <c r="C10" i="3"/>
  <c r="C11" i="3"/>
  <c r="C12" i="3"/>
  <c r="C13" i="3"/>
  <c r="U93" i="3"/>
  <c r="U92" i="3"/>
  <c r="U91" i="3"/>
  <c r="U90" i="3"/>
  <c r="U89" i="3"/>
  <c r="U88" i="3"/>
  <c r="U87" i="3"/>
  <c r="U86" i="3"/>
  <c r="U85" i="3"/>
  <c r="U77" i="3"/>
  <c r="U76" i="3"/>
  <c r="U75" i="3"/>
  <c r="U74" i="3"/>
  <c r="U73" i="3"/>
  <c r="U72" i="3"/>
  <c r="U71" i="3"/>
  <c r="U70" i="3"/>
  <c r="U69" i="3"/>
  <c r="U61" i="3"/>
  <c r="U60" i="3"/>
  <c r="U59" i="3"/>
  <c r="U58" i="3"/>
  <c r="U57" i="3"/>
  <c r="U56" i="3"/>
  <c r="U55" i="3"/>
  <c r="U54" i="3"/>
  <c r="U53" i="3"/>
  <c r="U45" i="3"/>
  <c r="U44" i="3"/>
  <c r="U43" i="3"/>
  <c r="U42" i="3"/>
  <c r="U41" i="3"/>
  <c r="U40" i="3"/>
  <c r="U39" i="3"/>
  <c r="U38" i="3"/>
  <c r="U37" i="3"/>
  <c r="U29" i="3"/>
  <c r="U28" i="3"/>
  <c r="U27" i="3"/>
  <c r="U26" i="3"/>
  <c r="U25" i="3"/>
  <c r="U24" i="3"/>
  <c r="U23" i="3"/>
  <c r="U22" i="3"/>
  <c r="U21" i="3"/>
  <c r="U7" i="3"/>
  <c r="U8" i="3"/>
  <c r="U9" i="3"/>
  <c r="U10" i="3"/>
  <c r="U11" i="3"/>
  <c r="U12" i="3"/>
  <c r="U13" i="3"/>
  <c r="U5" i="3"/>
  <c r="U6" i="3"/>
  <c r="T85" i="3"/>
  <c r="T86" i="3"/>
  <c r="T69" i="3"/>
  <c r="T70" i="3"/>
  <c r="T71" i="3"/>
  <c r="T53" i="3"/>
  <c r="T54" i="3"/>
  <c r="T37" i="3"/>
  <c r="T38" i="3"/>
  <c r="H89" i="6"/>
  <c r="J89" i="6" s="1"/>
  <c r="K89" i="6" s="1"/>
  <c r="H88" i="6"/>
  <c r="I88" i="6" s="1"/>
  <c r="H87" i="6"/>
  <c r="I87" i="6" s="1"/>
  <c r="H86" i="6"/>
  <c r="H85" i="6"/>
  <c r="J85" i="6" s="1"/>
  <c r="K85" i="6" s="1"/>
  <c r="H84" i="6"/>
  <c r="I84" i="6" s="1"/>
  <c r="H83" i="6"/>
  <c r="I83" i="6" s="1"/>
  <c r="H82" i="6"/>
  <c r="H73" i="6"/>
  <c r="J73" i="6" s="1"/>
  <c r="K73" i="6" s="1"/>
  <c r="H72" i="6"/>
  <c r="I72" i="6" s="1"/>
  <c r="H71" i="6"/>
  <c r="I71" i="6" s="1"/>
  <c r="H70" i="6"/>
  <c r="H69" i="6"/>
  <c r="J69" i="6" s="1"/>
  <c r="K69" i="6" s="1"/>
  <c r="H68" i="6"/>
  <c r="I68" i="6" s="1"/>
  <c r="H67" i="6"/>
  <c r="I67" i="6" s="1"/>
  <c r="H66" i="6"/>
  <c r="H57" i="6"/>
  <c r="J57" i="6" s="1"/>
  <c r="K57" i="6" s="1"/>
  <c r="H56" i="6"/>
  <c r="I56" i="6" s="1"/>
  <c r="H55" i="6"/>
  <c r="I55" i="6" s="1"/>
  <c r="H54" i="6"/>
  <c r="H53" i="6"/>
  <c r="J53" i="6" s="1"/>
  <c r="K53" i="6" s="1"/>
  <c r="H52" i="6"/>
  <c r="I52" i="6" s="1"/>
  <c r="H51" i="6"/>
  <c r="I51" i="6" s="1"/>
  <c r="H50" i="6"/>
  <c r="H42" i="6"/>
  <c r="J42" i="6" s="1"/>
  <c r="K42" i="6" s="1"/>
  <c r="H41" i="6"/>
  <c r="I41" i="6" s="1"/>
  <c r="H40" i="6"/>
  <c r="I40" i="6" s="1"/>
  <c r="H39" i="6"/>
  <c r="H38" i="6"/>
  <c r="J38" i="6" s="1"/>
  <c r="K38" i="6" s="1"/>
  <c r="H37" i="6"/>
  <c r="I37" i="6" s="1"/>
  <c r="H36" i="6"/>
  <c r="I36" i="6" s="1"/>
  <c r="H35" i="6"/>
  <c r="H34" i="6"/>
  <c r="J34" i="6" s="1"/>
  <c r="K34" i="6" s="1"/>
  <c r="H26" i="6"/>
  <c r="I26" i="6" s="1"/>
  <c r="H25" i="6"/>
  <c r="I25" i="6" s="1"/>
  <c r="H24" i="6"/>
  <c r="H23" i="6"/>
  <c r="J23" i="6" s="1"/>
  <c r="K23" i="6" s="1"/>
  <c r="H22" i="6"/>
  <c r="I22" i="6" s="1"/>
  <c r="H21" i="6"/>
  <c r="I21" i="6" s="1"/>
  <c r="H20" i="6"/>
  <c r="H19" i="6"/>
  <c r="J19" i="6" s="1"/>
  <c r="K19" i="6" s="1"/>
  <c r="H18" i="6"/>
  <c r="H10" i="6"/>
  <c r="I10" i="6" s="1"/>
  <c r="H9" i="6"/>
  <c r="H8" i="6"/>
  <c r="J8" i="6" s="1"/>
  <c r="K8" i="6" s="1"/>
  <c r="H7" i="6"/>
  <c r="I7" i="6" s="1"/>
  <c r="H6" i="6"/>
  <c r="I6" i="6" s="1"/>
  <c r="H5" i="6"/>
  <c r="H4" i="6"/>
  <c r="H3" i="6"/>
  <c r="I3" i="6" s="1"/>
  <c r="H2" i="6"/>
  <c r="I2" i="6" s="1"/>
  <c r="J2" i="6" s="1"/>
  <c r="K2" i="6" s="1"/>
  <c r="A3" i="6"/>
  <c r="C3" i="6" s="1"/>
  <c r="D3" i="6" s="1"/>
  <c r="A4" i="6"/>
  <c r="B4" i="6" s="1"/>
  <c r="A5" i="6"/>
  <c r="A6" i="6"/>
  <c r="B6" i="6" s="1"/>
  <c r="A7" i="6"/>
  <c r="C7" i="6" s="1"/>
  <c r="D7" i="6" s="1"/>
  <c r="A8" i="6"/>
  <c r="B8" i="6" s="1"/>
  <c r="A9" i="6"/>
  <c r="C9" i="6" s="1"/>
  <c r="D9" i="6" s="1"/>
  <c r="A10" i="6"/>
  <c r="B10" i="6" s="1"/>
  <c r="A18" i="6"/>
  <c r="B18" i="6" s="1"/>
  <c r="A19" i="6"/>
  <c r="B19" i="6" s="1"/>
  <c r="A20" i="6"/>
  <c r="A21" i="6"/>
  <c r="B21" i="6" s="1"/>
  <c r="A22" i="6"/>
  <c r="C22" i="6" s="1"/>
  <c r="D22" i="6" s="1"/>
  <c r="A23" i="6"/>
  <c r="B23" i="6" s="1"/>
  <c r="A24" i="6"/>
  <c r="C24" i="6" s="1"/>
  <c r="D24" i="6" s="1"/>
  <c r="A25" i="6"/>
  <c r="B25" i="6" s="1"/>
  <c r="A26" i="6"/>
  <c r="C26" i="6" s="1"/>
  <c r="D26" i="6" s="1"/>
  <c r="A34" i="6"/>
  <c r="B34" i="6" s="1"/>
  <c r="A35" i="6"/>
  <c r="C35" i="6" s="1"/>
  <c r="D35" i="6" s="1"/>
  <c r="A36" i="6"/>
  <c r="B36" i="6" s="1"/>
  <c r="A37" i="6"/>
  <c r="C37" i="6" s="1"/>
  <c r="D37" i="6" s="1"/>
  <c r="A38" i="6"/>
  <c r="B38" i="6" s="1"/>
  <c r="A39" i="6"/>
  <c r="C39" i="6" s="1"/>
  <c r="D39" i="6" s="1"/>
  <c r="A40" i="6"/>
  <c r="B40" i="6" s="1"/>
  <c r="A41" i="6"/>
  <c r="B41" i="6" s="1"/>
  <c r="A42" i="6"/>
  <c r="B42" i="6" s="1"/>
  <c r="A50" i="6"/>
  <c r="C50" i="6" s="1"/>
  <c r="D50" i="6" s="1"/>
  <c r="A51" i="6"/>
  <c r="B51" i="6" s="1"/>
  <c r="A52" i="6"/>
  <c r="C52" i="6" s="1"/>
  <c r="D52" i="6" s="1"/>
  <c r="A53" i="6"/>
  <c r="B53" i="6" s="1"/>
  <c r="A54" i="6"/>
  <c r="C54" i="6" s="1"/>
  <c r="D54" i="6" s="1"/>
  <c r="A55" i="6"/>
  <c r="B55" i="6" s="1"/>
  <c r="A56" i="6"/>
  <c r="B56" i="6" s="1"/>
  <c r="A57" i="6"/>
  <c r="B57" i="6" s="1"/>
  <c r="A66" i="6"/>
  <c r="C66" i="6" s="1"/>
  <c r="D66" i="6" s="1"/>
  <c r="A67" i="6"/>
  <c r="B67" i="6" s="1"/>
  <c r="A68" i="6"/>
  <c r="C68" i="6" s="1"/>
  <c r="D68" i="6" s="1"/>
  <c r="A69" i="6"/>
  <c r="B69" i="6" s="1"/>
  <c r="A70" i="6"/>
  <c r="C70" i="6" s="1"/>
  <c r="D70" i="6" s="1"/>
  <c r="A71" i="6"/>
  <c r="B71" i="6" s="1"/>
  <c r="A72" i="6"/>
  <c r="B72" i="6" s="1"/>
  <c r="A73" i="6"/>
  <c r="B73" i="6" s="1"/>
  <c r="A82" i="6"/>
  <c r="C82" i="6" s="1"/>
  <c r="D82" i="6" s="1"/>
  <c r="A83" i="6"/>
  <c r="B83" i="6" s="1"/>
  <c r="A84" i="6"/>
  <c r="C84" i="6" s="1"/>
  <c r="D84" i="6" s="1"/>
  <c r="A85" i="6"/>
  <c r="B85" i="6" s="1"/>
  <c r="A86" i="6"/>
  <c r="C86" i="6" s="1"/>
  <c r="D86" i="6" s="1"/>
  <c r="A87" i="6"/>
  <c r="B87" i="6" s="1"/>
  <c r="A88" i="6"/>
  <c r="B88" i="6" s="1"/>
  <c r="A89" i="6"/>
  <c r="B89" i="6" s="1"/>
  <c r="A2" i="6"/>
  <c r="B2" i="6" s="1"/>
  <c r="C2" i="6" s="1"/>
  <c r="D2" i="6" s="1"/>
  <c r="I38" i="6" l="1"/>
  <c r="I73" i="6"/>
  <c r="I42" i="6"/>
  <c r="I89" i="6"/>
  <c r="I57" i="6"/>
  <c r="I34" i="6"/>
  <c r="I69" i="6"/>
  <c r="C57" i="6"/>
  <c r="D57" i="6" s="1"/>
  <c r="C8" i="6"/>
  <c r="D8" i="6" s="1"/>
  <c r="J6" i="6"/>
  <c r="K6" i="6" s="1"/>
  <c r="B37" i="6"/>
  <c r="I19" i="6"/>
  <c r="C42" i="6"/>
  <c r="D42" i="6" s="1"/>
  <c r="C4" i="6"/>
  <c r="D4" i="6" s="1"/>
  <c r="B68" i="6"/>
  <c r="I23" i="6"/>
  <c r="I53" i="6"/>
  <c r="I85" i="6"/>
  <c r="A43" i="6"/>
  <c r="D51" i="1" s="1"/>
  <c r="C89" i="6"/>
  <c r="D89" i="6" s="1"/>
  <c r="C34" i="6"/>
  <c r="D34" i="6" s="1"/>
  <c r="J67" i="6"/>
  <c r="K67" i="6" s="1"/>
  <c r="I4" i="6"/>
  <c r="J4" i="6" s="1"/>
  <c r="K4" i="6" s="1"/>
  <c r="C73" i="6"/>
  <c r="D73" i="6" s="1"/>
  <c r="C23" i="6"/>
  <c r="D23" i="6" s="1"/>
  <c r="J36" i="6"/>
  <c r="K36" i="6" s="1"/>
  <c r="B7" i="6"/>
  <c r="I8" i="6"/>
  <c r="I9" i="6"/>
  <c r="J9" i="6"/>
  <c r="K9" i="6" s="1"/>
  <c r="I39" i="6"/>
  <c r="J39" i="6"/>
  <c r="K39" i="6" s="1"/>
  <c r="H74" i="6"/>
  <c r="J66" i="6"/>
  <c r="K66" i="6" s="1"/>
  <c r="I66" i="6"/>
  <c r="I86" i="6"/>
  <c r="J86" i="6"/>
  <c r="K86" i="6" s="1"/>
  <c r="C88" i="6"/>
  <c r="D88" i="6" s="1"/>
  <c r="C72" i="6"/>
  <c r="D72" i="6" s="1"/>
  <c r="C56" i="6"/>
  <c r="D56" i="6" s="1"/>
  <c r="C41" i="6"/>
  <c r="D41" i="6" s="1"/>
  <c r="J87" i="6"/>
  <c r="K87" i="6" s="1"/>
  <c r="J55" i="6"/>
  <c r="K55" i="6" s="1"/>
  <c r="J25" i="6"/>
  <c r="K25" i="6" s="1"/>
  <c r="J5" i="6"/>
  <c r="K5" i="6" s="1"/>
  <c r="I5" i="6"/>
  <c r="I24" i="6"/>
  <c r="J24" i="6"/>
  <c r="K24" i="6" s="1"/>
  <c r="H58" i="6"/>
  <c r="N68" i="1" s="1"/>
  <c r="I50" i="6"/>
  <c r="J50" i="6"/>
  <c r="K50" i="6" s="1"/>
  <c r="I70" i="6"/>
  <c r="J70" i="6"/>
  <c r="K70" i="6" s="1"/>
  <c r="A58" i="6"/>
  <c r="D68" i="1" s="1"/>
  <c r="C85" i="6"/>
  <c r="D85" i="6" s="1"/>
  <c r="C69" i="6"/>
  <c r="D69" i="6" s="1"/>
  <c r="C53" i="6"/>
  <c r="D53" i="6" s="1"/>
  <c r="C38" i="6"/>
  <c r="D38" i="6" s="1"/>
  <c r="C19" i="6"/>
  <c r="D19" i="6" s="1"/>
  <c r="J83" i="6"/>
  <c r="J51" i="6"/>
  <c r="K51" i="6" s="1"/>
  <c r="J21" i="6"/>
  <c r="K21" i="6" s="1"/>
  <c r="B22" i="6"/>
  <c r="B52" i="6"/>
  <c r="B84" i="6"/>
  <c r="J20" i="6"/>
  <c r="K20" i="6" s="1"/>
  <c r="I20" i="6"/>
  <c r="H43" i="6"/>
  <c r="N51" i="1" s="1"/>
  <c r="J35" i="6"/>
  <c r="K35" i="6" s="1"/>
  <c r="I35" i="6"/>
  <c r="I54" i="6"/>
  <c r="J54" i="6"/>
  <c r="K54" i="6" s="1"/>
  <c r="H90" i="6"/>
  <c r="N102" i="1" s="1"/>
  <c r="J82" i="6"/>
  <c r="K82" i="6" s="1"/>
  <c r="I82" i="6"/>
  <c r="A27" i="6"/>
  <c r="C18" i="6"/>
  <c r="D18" i="6" s="1"/>
  <c r="J71" i="6"/>
  <c r="K71" i="6" s="1"/>
  <c r="J40" i="6"/>
  <c r="K40" i="6" s="1"/>
  <c r="J10" i="6"/>
  <c r="K10" i="6" s="1"/>
  <c r="B3" i="6"/>
  <c r="B26" i="6"/>
  <c r="A11" i="6"/>
  <c r="A74" i="6"/>
  <c r="H27" i="6"/>
  <c r="C87" i="6"/>
  <c r="D87" i="6" s="1"/>
  <c r="C83" i="6"/>
  <c r="C71" i="6"/>
  <c r="D71" i="6" s="1"/>
  <c r="C67" i="6"/>
  <c r="C55" i="6"/>
  <c r="D55" i="6" s="1"/>
  <c r="C51" i="6"/>
  <c r="C40" i="6"/>
  <c r="D40" i="6" s="1"/>
  <c r="C36" i="6"/>
  <c r="C25" i="6"/>
  <c r="D25" i="6" s="1"/>
  <c r="C21" i="6"/>
  <c r="D21" i="6" s="1"/>
  <c r="C10" i="6"/>
  <c r="D10" i="6" s="1"/>
  <c r="C6" i="6"/>
  <c r="B5" i="6"/>
  <c r="C5" i="6" s="1"/>
  <c r="D5" i="6" s="1"/>
  <c r="B9" i="6"/>
  <c r="B20" i="6"/>
  <c r="C20" i="6" s="1"/>
  <c r="D20" i="6" s="1"/>
  <c r="B24" i="6"/>
  <c r="B35" i="6"/>
  <c r="B39" i="6"/>
  <c r="B50" i="6"/>
  <c r="B54" i="6"/>
  <c r="B66" i="6"/>
  <c r="B70" i="6"/>
  <c r="B82" i="6"/>
  <c r="B86" i="6"/>
  <c r="A90" i="6"/>
  <c r="D102" i="1" s="1"/>
  <c r="J88" i="6"/>
  <c r="K88" i="6" s="1"/>
  <c r="J84" i="6"/>
  <c r="K84" i="6" s="1"/>
  <c r="J72" i="6"/>
  <c r="K72" i="6" s="1"/>
  <c r="J68" i="6"/>
  <c r="K68" i="6" s="1"/>
  <c r="J56" i="6"/>
  <c r="K56" i="6" s="1"/>
  <c r="J52" i="6"/>
  <c r="K52" i="6" s="1"/>
  <c r="J41" i="6"/>
  <c r="J37" i="6"/>
  <c r="K37" i="6" s="1"/>
  <c r="J26" i="6"/>
  <c r="K26" i="6" s="1"/>
  <c r="J22" i="6"/>
  <c r="K22" i="6" s="1"/>
  <c r="J7" i="6"/>
  <c r="K7" i="6" s="1"/>
  <c r="J3" i="6"/>
  <c r="K3" i="6" s="1"/>
  <c r="I18" i="6"/>
  <c r="J18" i="6" s="1"/>
  <c r="H11" i="6"/>
  <c r="B85" i="3"/>
  <c r="B69" i="3"/>
  <c r="B53" i="3"/>
  <c r="B37" i="3"/>
  <c r="B7" i="3"/>
  <c r="B8" i="3"/>
  <c r="B9" i="3"/>
  <c r="B10" i="3"/>
  <c r="B11" i="3"/>
  <c r="B12" i="3"/>
  <c r="B13" i="3"/>
  <c r="C5" i="3"/>
  <c r="L11" i="6" l="1"/>
  <c r="D27" i="6"/>
  <c r="E27" i="6" s="1"/>
  <c r="D34" i="1" s="1"/>
  <c r="K11" i="6"/>
  <c r="J11" i="6"/>
  <c r="J27" i="6"/>
  <c r="K18" i="6"/>
  <c r="K27" i="6" s="1"/>
  <c r="L27" i="6" s="1"/>
  <c r="N34" i="1" s="1"/>
  <c r="K58" i="6"/>
  <c r="K74" i="6"/>
  <c r="J90" i="6"/>
  <c r="K83" i="6"/>
  <c r="K90" i="6" s="1"/>
  <c r="J43" i="6"/>
  <c r="K41" i="6"/>
  <c r="K43" i="6" s="1"/>
  <c r="C74" i="6"/>
  <c r="D67" i="6"/>
  <c r="D74" i="6" s="1"/>
  <c r="C58" i="6"/>
  <c r="D51" i="6"/>
  <c r="D58" i="6" s="1"/>
  <c r="C90" i="6"/>
  <c r="D83" i="6"/>
  <c r="D90" i="6" s="1"/>
  <c r="J74" i="6"/>
  <c r="C11" i="6"/>
  <c r="D6" i="6"/>
  <c r="D11" i="6" s="1"/>
  <c r="E11" i="6" s="1"/>
  <c r="C43" i="6"/>
  <c r="D36" i="6"/>
  <c r="D43" i="6" s="1"/>
  <c r="J58" i="6"/>
  <c r="P2" i="6"/>
  <c r="C27" i="6"/>
  <c r="T100" i="5"/>
  <c r="T99" i="5"/>
  <c r="T98" i="5"/>
  <c r="T97" i="5"/>
  <c r="T96" i="5"/>
  <c r="T95" i="5"/>
  <c r="T94" i="5"/>
  <c r="T93" i="5"/>
  <c r="T92" i="5"/>
  <c r="T91" i="5"/>
  <c r="T90" i="5"/>
  <c r="T89" i="5"/>
  <c r="T88" i="5"/>
  <c r="T87" i="5"/>
  <c r="T86" i="5"/>
  <c r="T85" i="5"/>
  <c r="T84" i="5"/>
  <c r="T83" i="5"/>
  <c r="T82" i="5"/>
  <c r="T81" i="5"/>
  <c r="T80" i="5"/>
  <c r="T79" i="5"/>
  <c r="T78" i="5"/>
  <c r="T77" i="5"/>
  <c r="T76" i="5"/>
  <c r="T75" i="5"/>
  <c r="T74" i="5"/>
  <c r="T73" i="5"/>
  <c r="T72" i="5"/>
  <c r="T71" i="5"/>
  <c r="T70" i="5"/>
  <c r="T69" i="5"/>
  <c r="T68" i="5"/>
  <c r="T67" i="5"/>
  <c r="T66" i="5"/>
  <c r="T65" i="5"/>
  <c r="T64" i="5"/>
  <c r="T63" i="5"/>
  <c r="T62" i="5"/>
  <c r="T61" i="5"/>
  <c r="T60" i="5"/>
  <c r="T59" i="5"/>
  <c r="T58" i="5"/>
  <c r="T57" i="5"/>
  <c r="T56" i="5"/>
  <c r="T55" i="5"/>
  <c r="T54" i="5"/>
  <c r="T53" i="5"/>
  <c r="T52" i="5"/>
  <c r="T51" i="5"/>
  <c r="T50" i="5"/>
  <c r="T49" i="5"/>
  <c r="T48" i="5"/>
  <c r="T47" i="5"/>
  <c r="T46" i="5"/>
  <c r="T45" i="5"/>
  <c r="T44" i="5"/>
  <c r="T43" i="5"/>
  <c r="T42" i="5"/>
  <c r="T41" i="5"/>
  <c r="T40" i="5"/>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T8" i="5"/>
  <c r="T7" i="5"/>
  <c r="T6" i="5"/>
  <c r="T5" i="5"/>
  <c r="T4" i="5"/>
  <c r="T3" i="5"/>
  <c r="T2" i="5"/>
  <c r="T1" i="5"/>
  <c r="Q100" i="5"/>
  <c r="Q99" i="5"/>
  <c r="Q98" i="5"/>
  <c r="Q97" i="5"/>
  <c r="Q96" i="5"/>
  <c r="Q95" i="5"/>
  <c r="Q94" i="5"/>
  <c r="Q93" i="5"/>
  <c r="Q92" i="5"/>
  <c r="Q91" i="5"/>
  <c r="Q90" i="5"/>
  <c r="Q89" i="5"/>
  <c r="Q88" i="5"/>
  <c r="Q87" i="5"/>
  <c r="Q86" i="5"/>
  <c r="Q85" i="5"/>
  <c r="Q84" i="5"/>
  <c r="Q83" i="5"/>
  <c r="Q82" i="5"/>
  <c r="Q81" i="5"/>
  <c r="Q80" i="5"/>
  <c r="Q79" i="5"/>
  <c r="Q78" i="5"/>
  <c r="Q77" i="5"/>
  <c r="Q76" i="5"/>
  <c r="Q75" i="5"/>
  <c r="Q74" i="5"/>
  <c r="Q73" i="5"/>
  <c r="Q72" i="5"/>
  <c r="Q71" i="5"/>
  <c r="Q70" i="5"/>
  <c r="Q69" i="5"/>
  <c r="Q68" i="5"/>
  <c r="Q67" i="5"/>
  <c r="Q66" i="5"/>
  <c r="Q65" i="5"/>
  <c r="Q64" i="5"/>
  <c r="Q63" i="5"/>
  <c r="Q62" i="5"/>
  <c r="Q61" i="5"/>
  <c r="Q60" i="5"/>
  <c r="Q59" i="5"/>
  <c r="Q58" i="5"/>
  <c r="Q57" i="5"/>
  <c r="Q56" i="5"/>
  <c r="Q55" i="5"/>
  <c r="Q54" i="5"/>
  <c r="Q53" i="5"/>
  <c r="Q52" i="5"/>
  <c r="Q51" i="5"/>
  <c r="Q50" i="5"/>
  <c r="Q49" i="5"/>
  <c r="Q48" i="5"/>
  <c r="Q47" i="5"/>
  <c r="Q46" i="5"/>
  <c r="Q45" i="5"/>
  <c r="Q44" i="5"/>
  <c r="Q43" i="5"/>
  <c r="Q42" i="5"/>
  <c r="Q41" i="5"/>
  <c r="Q40" i="5"/>
  <c r="Q39" i="5"/>
  <c r="Q38" i="5"/>
  <c r="Q37" i="5"/>
  <c r="Q36" i="5"/>
  <c r="Q35" i="5"/>
  <c r="Q34" i="5"/>
  <c r="Q33" i="5"/>
  <c r="Q32" i="5"/>
  <c r="Q31" i="5"/>
  <c r="Q30" i="5"/>
  <c r="Q29" i="5"/>
  <c r="Q28" i="5"/>
  <c r="Q27" i="5"/>
  <c r="Q26" i="5"/>
  <c r="Q25" i="5"/>
  <c r="Q24" i="5"/>
  <c r="Q23" i="5"/>
  <c r="Q22" i="5"/>
  <c r="Q21" i="5"/>
  <c r="Q20" i="5"/>
  <c r="Q19" i="5"/>
  <c r="Q18" i="5"/>
  <c r="Q17" i="5"/>
  <c r="Q16" i="5"/>
  <c r="Q15" i="5"/>
  <c r="Q14" i="5"/>
  <c r="Q13" i="5"/>
  <c r="Q12" i="5"/>
  <c r="Q11" i="5"/>
  <c r="Q10" i="5"/>
  <c r="Q9" i="5"/>
  <c r="Q8" i="5"/>
  <c r="Q7" i="5"/>
  <c r="Q6" i="5"/>
  <c r="Q5" i="5"/>
  <c r="Q4" i="5"/>
  <c r="Q3" i="5"/>
  <c r="Q2" i="5"/>
  <c r="Q1" i="5"/>
  <c r="N100" i="5"/>
  <c r="N99" i="5"/>
  <c r="N98" i="5"/>
  <c r="N97" i="5"/>
  <c r="N96" i="5"/>
  <c r="N95" i="5"/>
  <c r="N94" i="5"/>
  <c r="N93" i="5"/>
  <c r="N92" i="5"/>
  <c r="N91" i="5"/>
  <c r="N90" i="5"/>
  <c r="N89" i="5"/>
  <c r="N88" i="5"/>
  <c r="N87" i="5"/>
  <c r="N86" i="5"/>
  <c r="N85" i="5"/>
  <c r="N84" i="5"/>
  <c r="N83" i="5"/>
  <c r="N82" i="5"/>
  <c r="N81" i="5"/>
  <c r="N80" i="5"/>
  <c r="N79" i="5"/>
  <c r="N78" i="5"/>
  <c r="N77" i="5"/>
  <c r="N76" i="5"/>
  <c r="N75" i="5"/>
  <c r="N74" i="5"/>
  <c r="N73" i="5"/>
  <c r="N72" i="5"/>
  <c r="N71" i="5"/>
  <c r="N70" i="5"/>
  <c r="N69" i="5"/>
  <c r="N68" i="5"/>
  <c r="N67" i="5"/>
  <c r="N66" i="5"/>
  <c r="N65" i="5"/>
  <c r="N64" i="5"/>
  <c r="N63" i="5"/>
  <c r="N62" i="5"/>
  <c r="N61" i="5"/>
  <c r="N60" i="5"/>
  <c r="N59" i="5"/>
  <c r="N58" i="5"/>
  <c r="N57" i="5"/>
  <c r="N56" i="5"/>
  <c r="N55" i="5"/>
  <c r="N54" i="5"/>
  <c r="N53" i="5"/>
  <c r="N52" i="5"/>
  <c r="N51" i="5"/>
  <c r="N50" i="5"/>
  <c r="N49" i="5"/>
  <c r="N48" i="5"/>
  <c r="N47" i="5"/>
  <c r="N46" i="5"/>
  <c r="N45" i="5"/>
  <c r="N44" i="5"/>
  <c r="N43" i="5"/>
  <c r="N42" i="5"/>
  <c r="N41" i="5"/>
  <c r="N40"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N8" i="5"/>
  <c r="N7" i="5"/>
  <c r="N6" i="5"/>
  <c r="N5" i="5"/>
  <c r="N4" i="5"/>
  <c r="N3" i="5"/>
  <c r="N2" i="5"/>
  <c r="N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K3" i="5"/>
  <c r="K2" i="5"/>
  <c r="K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H3" i="5"/>
  <c r="H2" i="5"/>
  <c r="H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E1" i="5"/>
  <c r="W2" i="5"/>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 i="5"/>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 i="5"/>
  <c r="N17" i="1" l="1"/>
  <c r="Q2" i="6"/>
  <c r="D17" i="1"/>
  <c r="H101" i="5"/>
  <c r="T101" i="5"/>
  <c r="K101" i="5"/>
  <c r="B101" i="5"/>
  <c r="W101" i="5"/>
  <c r="E101" i="5"/>
  <c r="Q101" i="5"/>
  <c r="N101" i="5"/>
  <c r="T93" i="3"/>
  <c r="AD93" i="3" s="1"/>
  <c r="T92" i="3"/>
  <c r="AD92" i="3" s="1"/>
  <c r="T91" i="3"/>
  <c r="AD91" i="3" s="1"/>
  <c r="T90" i="3"/>
  <c r="T89" i="3"/>
  <c r="AD89" i="3" s="1"/>
  <c r="T88" i="3"/>
  <c r="AD88" i="3" s="1"/>
  <c r="T87" i="3"/>
  <c r="T77" i="3"/>
  <c r="AD77" i="3" s="1"/>
  <c r="T76" i="3"/>
  <c r="AD76" i="3" s="1"/>
  <c r="T75" i="3"/>
  <c r="AD75" i="3" s="1"/>
  <c r="T74" i="3"/>
  <c r="T73" i="3"/>
  <c r="AD73" i="3" s="1"/>
  <c r="T72" i="3"/>
  <c r="AD72" i="3" s="1"/>
  <c r="AD71" i="3"/>
  <c r="AD69" i="3"/>
  <c r="T61" i="3"/>
  <c r="AD61" i="3" s="1"/>
  <c r="T60" i="3"/>
  <c r="AD60" i="3" s="1"/>
  <c r="T59" i="3"/>
  <c r="AD59" i="3" s="1"/>
  <c r="T58" i="3"/>
  <c r="AD58" i="3" s="1"/>
  <c r="T57" i="3"/>
  <c r="T56" i="3"/>
  <c r="AD56" i="3" s="1"/>
  <c r="T55" i="3"/>
  <c r="AD55" i="3" s="1"/>
  <c r="AD54" i="3"/>
  <c r="T45" i="3"/>
  <c r="AD45" i="3" s="1"/>
  <c r="T44" i="3"/>
  <c r="AD44" i="3" s="1"/>
  <c r="T43" i="3"/>
  <c r="AD43" i="3" s="1"/>
  <c r="T42" i="3"/>
  <c r="AD42" i="3" s="1"/>
  <c r="T41" i="3"/>
  <c r="AD41" i="3" s="1"/>
  <c r="T40" i="3"/>
  <c r="AD40" i="3" s="1"/>
  <c r="T39" i="3"/>
  <c r="AD39" i="3" s="1"/>
  <c r="AD38" i="3"/>
  <c r="T29" i="3"/>
  <c r="AD29" i="3" s="1"/>
  <c r="T28" i="3"/>
  <c r="AD28" i="3" s="1"/>
  <c r="T27" i="3"/>
  <c r="AD27" i="3" s="1"/>
  <c r="T26" i="3"/>
  <c r="AD26" i="3" s="1"/>
  <c r="T25" i="3"/>
  <c r="AD25" i="3" s="1"/>
  <c r="T24" i="3"/>
  <c r="AD24" i="3" s="1"/>
  <c r="T8" i="3"/>
  <c r="AD8" i="3" s="1"/>
  <c r="T9" i="3"/>
  <c r="AD9" i="3" s="1"/>
  <c r="T10" i="3"/>
  <c r="AD10" i="3" s="1"/>
  <c r="T11" i="3"/>
  <c r="AD11" i="3" s="1"/>
  <c r="T12" i="3"/>
  <c r="AD12" i="3" s="1"/>
  <c r="T13" i="3"/>
  <c r="AD13" i="3" s="1"/>
  <c r="D11" i="3"/>
  <c r="E11" i="3" s="1"/>
  <c r="F11" i="1" s="1"/>
  <c r="B24" i="3"/>
  <c r="B25" i="3"/>
  <c r="B26" i="3"/>
  <c r="B27" i="3"/>
  <c r="B28" i="3"/>
  <c r="B29" i="3"/>
  <c r="B38" i="3"/>
  <c r="B39" i="3"/>
  <c r="B40" i="3"/>
  <c r="B41" i="3"/>
  <c r="B42" i="3"/>
  <c r="B43" i="3"/>
  <c r="B44" i="3"/>
  <c r="B45" i="3"/>
  <c r="B54" i="3"/>
  <c r="B55" i="3"/>
  <c r="B56" i="3"/>
  <c r="B57" i="3"/>
  <c r="B58" i="3"/>
  <c r="B59" i="3"/>
  <c r="B60" i="3"/>
  <c r="B61" i="3"/>
  <c r="B70" i="3"/>
  <c r="B71" i="3"/>
  <c r="B72" i="3"/>
  <c r="B73" i="3"/>
  <c r="B74" i="3"/>
  <c r="B75" i="3"/>
  <c r="B76" i="3"/>
  <c r="B77" i="3"/>
  <c r="B86" i="3"/>
  <c r="B87" i="3"/>
  <c r="B88" i="3"/>
  <c r="B89" i="3"/>
  <c r="B90" i="3"/>
  <c r="B91" i="3"/>
  <c r="B92" i="3"/>
  <c r="B93" i="3"/>
  <c r="AD37" i="3"/>
  <c r="AD57" i="3"/>
  <c r="AD53" i="3"/>
  <c r="AD74" i="3"/>
  <c r="AD70" i="3"/>
  <c r="AD90" i="3"/>
  <c r="AD87" i="3"/>
  <c r="AD86" i="3"/>
  <c r="AD85" i="3"/>
  <c r="V6" i="3"/>
  <c r="V7" i="3"/>
  <c r="V8" i="3"/>
  <c r="W8" i="3" s="1"/>
  <c r="P8" i="1" s="1"/>
  <c r="V9" i="3"/>
  <c r="W9" i="3" s="1"/>
  <c r="P9" i="1" s="1"/>
  <c r="V10" i="3"/>
  <c r="W10" i="3" s="1"/>
  <c r="P10" i="1" s="1"/>
  <c r="V11" i="3"/>
  <c r="W11" i="3" s="1"/>
  <c r="P11" i="1" s="1"/>
  <c r="V12" i="3"/>
  <c r="W12" i="3" s="1"/>
  <c r="P12" i="1" s="1"/>
  <c r="V13" i="3"/>
  <c r="W13" i="3" s="1"/>
  <c r="P13" i="1" s="1"/>
  <c r="V21" i="3"/>
  <c r="V22" i="3"/>
  <c r="V23" i="3"/>
  <c r="V24" i="3"/>
  <c r="W24" i="3" s="1"/>
  <c r="P25" i="1" s="1"/>
  <c r="V25" i="3"/>
  <c r="W25" i="3" s="1"/>
  <c r="V26" i="3"/>
  <c r="W26" i="3" s="1"/>
  <c r="P27" i="1" s="1"/>
  <c r="V27" i="3"/>
  <c r="W27" i="3" s="1"/>
  <c r="V28" i="3"/>
  <c r="W28" i="3" s="1"/>
  <c r="P29" i="1" s="1"/>
  <c r="V29" i="3"/>
  <c r="W29" i="3" s="1"/>
  <c r="V37" i="3"/>
  <c r="V38" i="3"/>
  <c r="W38" i="3" s="1"/>
  <c r="V39" i="3"/>
  <c r="W39" i="3" s="1"/>
  <c r="V40" i="3"/>
  <c r="W40" i="3" s="1"/>
  <c r="V41" i="3"/>
  <c r="W41" i="3" s="1"/>
  <c r="V42" i="3"/>
  <c r="W42" i="3" s="1"/>
  <c r="V43" i="3"/>
  <c r="W43" i="3" s="1"/>
  <c r="V44" i="3"/>
  <c r="W44" i="3" s="1"/>
  <c r="V45" i="3"/>
  <c r="W45" i="3" s="1"/>
  <c r="P47" i="1" s="1"/>
  <c r="V53" i="3"/>
  <c r="V54" i="3"/>
  <c r="W54" i="3" s="1"/>
  <c r="V55" i="3"/>
  <c r="W55" i="3" s="1"/>
  <c r="V56" i="3"/>
  <c r="W56" i="3" s="1"/>
  <c r="V57" i="3"/>
  <c r="W57" i="3" s="1"/>
  <c r="V58" i="3"/>
  <c r="W58" i="3" s="1"/>
  <c r="V59" i="3"/>
  <c r="W59" i="3" s="1"/>
  <c r="V60" i="3"/>
  <c r="W60" i="3" s="1"/>
  <c r="P63" i="1" s="1"/>
  <c r="V61" i="3"/>
  <c r="W61" i="3" s="1"/>
  <c r="V69" i="3"/>
  <c r="V70" i="3"/>
  <c r="W70" i="3" s="1"/>
  <c r="V71" i="3"/>
  <c r="W71" i="3" s="1"/>
  <c r="V72" i="3"/>
  <c r="W72" i="3" s="1"/>
  <c r="V73" i="3"/>
  <c r="W73" i="3" s="1"/>
  <c r="V74" i="3"/>
  <c r="W74" i="3" s="1"/>
  <c r="V75" i="3"/>
  <c r="W75" i="3" s="1"/>
  <c r="P79" i="1" s="1"/>
  <c r="V76" i="3"/>
  <c r="W76" i="3" s="1"/>
  <c r="V77" i="3"/>
  <c r="W77" i="3" s="1"/>
  <c r="P81" i="1" s="1"/>
  <c r="V85" i="3"/>
  <c r="V86" i="3"/>
  <c r="W86" i="3" s="1"/>
  <c r="V87" i="3"/>
  <c r="W87" i="3" s="1"/>
  <c r="V88" i="3"/>
  <c r="W88" i="3" s="1"/>
  <c r="V89" i="3"/>
  <c r="W89" i="3" s="1"/>
  <c r="V90" i="3"/>
  <c r="W90" i="3" s="1"/>
  <c r="P95" i="1" s="1"/>
  <c r="V91" i="3"/>
  <c r="W91" i="3" s="1"/>
  <c r="V92" i="3"/>
  <c r="W92" i="3" s="1"/>
  <c r="P97" i="1" s="1"/>
  <c r="V93" i="3"/>
  <c r="W93" i="3" s="1"/>
  <c r="V5" i="3"/>
  <c r="A88" i="3"/>
  <c r="F88" i="3"/>
  <c r="G88" i="3" s="1"/>
  <c r="H88" i="3"/>
  <c r="I88" i="3" s="1"/>
  <c r="J88" i="3"/>
  <c r="K88" i="3" s="1"/>
  <c r="S88" i="3"/>
  <c r="X88" i="3"/>
  <c r="Y88" i="3" s="1"/>
  <c r="Z88" i="3"/>
  <c r="AA88" i="3" s="1"/>
  <c r="AB88" i="3"/>
  <c r="AC88" i="3" s="1"/>
  <c r="A89" i="3"/>
  <c r="F89" i="3"/>
  <c r="G89" i="3" s="1"/>
  <c r="H89" i="3"/>
  <c r="I89" i="3" s="1"/>
  <c r="J89" i="3"/>
  <c r="K89" i="3" s="1"/>
  <c r="S89" i="3"/>
  <c r="X89" i="3"/>
  <c r="Y89" i="3" s="1"/>
  <c r="Z89" i="3"/>
  <c r="AA89" i="3" s="1"/>
  <c r="AB89" i="3"/>
  <c r="AC89" i="3" s="1"/>
  <c r="A90" i="3"/>
  <c r="F90" i="3"/>
  <c r="G90" i="3" s="1"/>
  <c r="H90" i="3"/>
  <c r="I90" i="3" s="1"/>
  <c r="J90" i="3"/>
  <c r="K90" i="3" s="1"/>
  <c r="S90" i="3"/>
  <c r="X90" i="3"/>
  <c r="Y90" i="3" s="1"/>
  <c r="Z90" i="3"/>
  <c r="AA90" i="3" s="1"/>
  <c r="AB90" i="3"/>
  <c r="AC90" i="3" s="1"/>
  <c r="A91" i="3"/>
  <c r="F91" i="3"/>
  <c r="G91" i="3" s="1"/>
  <c r="H91" i="3"/>
  <c r="I91" i="3" s="1"/>
  <c r="J91" i="3"/>
  <c r="K91" i="3" s="1"/>
  <c r="S91" i="3"/>
  <c r="X91" i="3"/>
  <c r="Y91" i="3" s="1"/>
  <c r="Z91" i="3"/>
  <c r="AA91" i="3" s="1"/>
  <c r="AB91" i="3"/>
  <c r="AC91" i="3" s="1"/>
  <c r="A92" i="3"/>
  <c r="F92" i="3"/>
  <c r="G92" i="3" s="1"/>
  <c r="H92" i="3"/>
  <c r="I92" i="3" s="1"/>
  <c r="J92" i="3"/>
  <c r="K92" i="3" s="1"/>
  <c r="S92" i="3"/>
  <c r="X92" i="3"/>
  <c r="Y92" i="3" s="1"/>
  <c r="Z92" i="3"/>
  <c r="AA92" i="3" s="1"/>
  <c r="AB92" i="3"/>
  <c r="AC92" i="3" s="1"/>
  <c r="A93" i="3"/>
  <c r="F93" i="3"/>
  <c r="G93" i="3" s="1"/>
  <c r="H93" i="3"/>
  <c r="I93" i="3" s="1"/>
  <c r="J93" i="3"/>
  <c r="K93" i="3" s="1"/>
  <c r="S93" i="3"/>
  <c r="X93" i="3"/>
  <c r="Y93" i="3" s="1"/>
  <c r="Z93" i="3"/>
  <c r="AA93" i="3" s="1"/>
  <c r="AB93" i="3"/>
  <c r="AC93" i="3" s="1"/>
  <c r="A75" i="3"/>
  <c r="F75" i="3"/>
  <c r="G75" i="3" s="1"/>
  <c r="H75" i="3"/>
  <c r="I75" i="3" s="1"/>
  <c r="J75" i="3"/>
  <c r="K75" i="3" s="1"/>
  <c r="S75" i="3"/>
  <c r="X75" i="3"/>
  <c r="Y75" i="3" s="1"/>
  <c r="Z75" i="3"/>
  <c r="AA75" i="3" s="1"/>
  <c r="AB75" i="3"/>
  <c r="AC75" i="3" s="1"/>
  <c r="A76" i="3"/>
  <c r="F76" i="3"/>
  <c r="G76" i="3" s="1"/>
  <c r="H76" i="3"/>
  <c r="I76" i="3" s="1"/>
  <c r="J76" i="3"/>
  <c r="K76" i="3" s="1"/>
  <c r="S76" i="3"/>
  <c r="X76" i="3"/>
  <c r="Y76" i="3" s="1"/>
  <c r="Z76" i="3"/>
  <c r="AA76" i="3" s="1"/>
  <c r="AB76" i="3"/>
  <c r="AC76" i="3" s="1"/>
  <c r="A77" i="3"/>
  <c r="F77" i="3"/>
  <c r="G77" i="3" s="1"/>
  <c r="H77" i="3"/>
  <c r="I77" i="3" s="1"/>
  <c r="J77" i="3"/>
  <c r="K77" i="3" s="1"/>
  <c r="S77" i="3"/>
  <c r="X77" i="3"/>
  <c r="Y77" i="3" s="1"/>
  <c r="Z77" i="3"/>
  <c r="AA77" i="3" s="1"/>
  <c r="AB77" i="3"/>
  <c r="AC77" i="3" s="1"/>
  <c r="AB87" i="3"/>
  <c r="AC87" i="3" s="1"/>
  <c r="Z87" i="3"/>
  <c r="AA87" i="3" s="1"/>
  <c r="X87" i="3"/>
  <c r="Y87" i="3" s="1"/>
  <c r="S87" i="3"/>
  <c r="J87" i="3"/>
  <c r="K87" i="3" s="1"/>
  <c r="H87" i="3"/>
  <c r="I87" i="3" s="1"/>
  <c r="F87" i="3"/>
  <c r="G87" i="3" s="1"/>
  <c r="A87" i="3"/>
  <c r="AB86" i="3"/>
  <c r="AC86" i="3" s="1"/>
  <c r="Z86" i="3"/>
  <c r="AA86" i="3" s="1"/>
  <c r="X86" i="3"/>
  <c r="Y86" i="3" s="1"/>
  <c r="S86" i="3"/>
  <c r="J86" i="3"/>
  <c r="K86" i="3" s="1"/>
  <c r="H86" i="3"/>
  <c r="I86" i="3" s="1"/>
  <c r="F86" i="3"/>
  <c r="G86" i="3" s="1"/>
  <c r="A86" i="3"/>
  <c r="AB85" i="3"/>
  <c r="AC85" i="3" s="1"/>
  <c r="Z85" i="3"/>
  <c r="AA85" i="3" s="1"/>
  <c r="X85" i="3"/>
  <c r="Y85" i="3" s="1"/>
  <c r="S85" i="3"/>
  <c r="J85" i="3"/>
  <c r="K85" i="3" s="1"/>
  <c r="H85" i="3"/>
  <c r="I85" i="3" s="1"/>
  <c r="F85" i="3"/>
  <c r="G85" i="3" s="1"/>
  <c r="A85" i="3"/>
  <c r="AB74" i="3"/>
  <c r="AC74" i="3" s="1"/>
  <c r="Z74" i="3"/>
  <c r="AA74" i="3" s="1"/>
  <c r="X74" i="3"/>
  <c r="Y74" i="3" s="1"/>
  <c r="S74" i="3"/>
  <c r="J74" i="3"/>
  <c r="K74" i="3" s="1"/>
  <c r="H74" i="3"/>
  <c r="I74" i="3" s="1"/>
  <c r="F74" i="3"/>
  <c r="G74" i="3" s="1"/>
  <c r="A74" i="3"/>
  <c r="AB73" i="3"/>
  <c r="AC73" i="3" s="1"/>
  <c r="Z73" i="3"/>
  <c r="AA73" i="3" s="1"/>
  <c r="X73" i="3"/>
  <c r="Y73" i="3" s="1"/>
  <c r="S73" i="3"/>
  <c r="J73" i="3"/>
  <c r="K73" i="3" s="1"/>
  <c r="H73" i="3"/>
  <c r="I73" i="3" s="1"/>
  <c r="F73" i="3"/>
  <c r="G73" i="3" s="1"/>
  <c r="A73" i="3"/>
  <c r="AB72" i="3"/>
  <c r="AC72" i="3" s="1"/>
  <c r="Z72" i="3"/>
  <c r="AA72" i="3" s="1"/>
  <c r="X72" i="3"/>
  <c r="Y72" i="3" s="1"/>
  <c r="S72" i="3"/>
  <c r="J72" i="3"/>
  <c r="K72" i="3" s="1"/>
  <c r="H72" i="3"/>
  <c r="I72" i="3" s="1"/>
  <c r="F72" i="3"/>
  <c r="G72" i="3" s="1"/>
  <c r="A72" i="3"/>
  <c r="AB71" i="3"/>
  <c r="AC71" i="3" s="1"/>
  <c r="Z71" i="3"/>
  <c r="AA71" i="3" s="1"/>
  <c r="X71" i="3"/>
  <c r="Y71" i="3" s="1"/>
  <c r="S71" i="3"/>
  <c r="J71" i="3"/>
  <c r="K71" i="3" s="1"/>
  <c r="H71" i="3"/>
  <c r="I71" i="3" s="1"/>
  <c r="F71" i="3"/>
  <c r="G71" i="3" s="1"/>
  <c r="A71" i="3"/>
  <c r="AB70" i="3"/>
  <c r="AC70" i="3" s="1"/>
  <c r="Z70" i="3"/>
  <c r="AA70" i="3" s="1"/>
  <c r="X70" i="3"/>
  <c r="Y70" i="3" s="1"/>
  <c r="S70" i="3"/>
  <c r="J70" i="3"/>
  <c r="K70" i="3" s="1"/>
  <c r="H70" i="3"/>
  <c r="I70" i="3" s="1"/>
  <c r="F70" i="3"/>
  <c r="G70" i="3" s="1"/>
  <c r="A70" i="3"/>
  <c r="AB69" i="3"/>
  <c r="AC69" i="3" s="1"/>
  <c r="Z69" i="3"/>
  <c r="AA69" i="3" s="1"/>
  <c r="X69" i="3"/>
  <c r="Y69" i="3" s="1"/>
  <c r="S69" i="3"/>
  <c r="J69" i="3"/>
  <c r="K69" i="3" s="1"/>
  <c r="H69" i="3"/>
  <c r="I69" i="3" s="1"/>
  <c r="F69" i="3"/>
  <c r="G69" i="3" s="1"/>
  <c r="A69" i="3"/>
  <c r="D9" i="3"/>
  <c r="E9" i="3" s="1"/>
  <c r="F9" i="1" s="1"/>
  <c r="D13" i="3"/>
  <c r="E13" i="3" s="1"/>
  <c r="F13" i="1" s="1"/>
  <c r="O99" i="1"/>
  <c r="N99" i="1"/>
  <c r="E99" i="1"/>
  <c r="D99" i="1"/>
  <c r="O82" i="1"/>
  <c r="N82" i="1"/>
  <c r="E82" i="1"/>
  <c r="D82" i="1"/>
  <c r="R2" i="6" l="1"/>
  <c r="D109" i="1" s="1"/>
  <c r="X101" i="5"/>
  <c r="N107" i="1" s="1"/>
  <c r="AD78" i="3"/>
  <c r="N83" i="1" s="1"/>
  <c r="T62" i="3"/>
  <c r="T94" i="3"/>
  <c r="AD62" i="3"/>
  <c r="AE63" i="3" s="1"/>
  <c r="T46" i="3"/>
  <c r="AI77" i="3"/>
  <c r="Q77" i="3"/>
  <c r="AI76" i="3"/>
  <c r="Q76" i="3"/>
  <c r="AI75" i="3"/>
  <c r="Q75" i="3"/>
  <c r="AI93" i="3"/>
  <c r="Q93" i="3"/>
  <c r="AI92" i="3"/>
  <c r="Q92" i="3"/>
  <c r="AI91" i="3"/>
  <c r="Q91" i="3"/>
  <c r="AI90" i="3"/>
  <c r="Q90" i="3"/>
  <c r="AI89" i="3"/>
  <c r="Q89" i="3"/>
  <c r="AI88" i="3"/>
  <c r="Q88" i="3"/>
  <c r="AD94" i="3"/>
  <c r="AE95" i="3" s="1"/>
  <c r="B94" i="3"/>
  <c r="B78" i="3"/>
  <c r="B62" i="3"/>
  <c r="B46" i="3"/>
  <c r="Q69" i="3"/>
  <c r="AI69" i="3"/>
  <c r="Q70" i="3"/>
  <c r="AI70" i="3"/>
  <c r="Q71" i="3"/>
  <c r="AI71" i="3"/>
  <c r="Q72" i="3"/>
  <c r="AI72" i="3"/>
  <c r="Q73" i="3"/>
  <c r="AI73" i="3"/>
  <c r="Q74" i="3"/>
  <c r="AI74" i="3"/>
  <c r="Q85" i="3"/>
  <c r="AI85" i="3"/>
  <c r="Q86" i="3"/>
  <c r="AI86" i="3"/>
  <c r="Q87" i="3"/>
  <c r="AI87" i="3"/>
  <c r="AG93" i="3"/>
  <c r="AG91" i="3"/>
  <c r="AG89" i="3"/>
  <c r="AG87" i="3"/>
  <c r="AG76" i="3"/>
  <c r="AG74" i="3"/>
  <c r="AG72" i="3"/>
  <c r="AG70" i="3"/>
  <c r="AD46" i="3"/>
  <c r="N49" i="1" s="1"/>
  <c r="T78" i="3"/>
  <c r="V94" i="3"/>
  <c r="W85" i="3"/>
  <c r="V62" i="3"/>
  <c r="W53" i="3"/>
  <c r="AE53" i="3" s="1"/>
  <c r="V30" i="3"/>
  <c r="V78" i="3"/>
  <c r="W69" i="3"/>
  <c r="AE69" i="3" s="1"/>
  <c r="V46" i="3"/>
  <c r="W37" i="3"/>
  <c r="AE37" i="3" s="1"/>
  <c r="N100" i="1"/>
  <c r="P69" i="3"/>
  <c r="P70" i="3"/>
  <c r="P71" i="3"/>
  <c r="P72" i="3"/>
  <c r="P73" i="3"/>
  <c r="P74" i="3"/>
  <c r="P75" i="3"/>
  <c r="P76" i="3"/>
  <c r="P77" i="3"/>
  <c r="P85" i="3"/>
  <c r="P86" i="3"/>
  <c r="P87" i="3"/>
  <c r="P88" i="3"/>
  <c r="P89" i="3"/>
  <c r="P90" i="3"/>
  <c r="P91" i="3"/>
  <c r="P92" i="3"/>
  <c r="P93" i="3"/>
  <c r="AH85" i="3"/>
  <c r="AH86" i="3"/>
  <c r="AH87" i="3"/>
  <c r="AH88" i="3"/>
  <c r="AH89" i="3"/>
  <c r="AH90" i="3"/>
  <c r="AH91" i="3"/>
  <c r="AH92" i="3"/>
  <c r="AH93" i="3"/>
  <c r="AH69" i="3"/>
  <c r="AH70" i="3"/>
  <c r="AH71" i="3"/>
  <c r="AH72" i="3"/>
  <c r="AH73" i="3"/>
  <c r="AH74" i="3"/>
  <c r="AH75" i="3"/>
  <c r="AH76" i="3"/>
  <c r="AH77" i="3"/>
  <c r="AF85" i="3"/>
  <c r="AF86" i="3"/>
  <c r="AF87" i="3"/>
  <c r="AF88" i="3"/>
  <c r="AF89" i="3"/>
  <c r="AF90" i="3"/>
  <c r="AF91" i="3"/>
  <c r="AF92" i="3"/>
  <c r="AF93" i="3"/>
  <c r="AF69" i="3"/>
  <c r="AF70" i="3"/>
  <c r="AF71" i="3"/>
  <c r="AF72" i="3"/>
  <c r="AF73" i="3"/>
  <c r="AF74" i="3"/>
  <c r="AF75" i="3"/>
  <c r="AF76" i="3"/>
  <c r="AF77" i="3"/>
  <c r="P26" i="1"/>
  <c r="P28" i="1"/>
  <c r="P30" i="1"/>
  <c r="P46" i="1"/>
  <c r="P62" i="1"/>
  <c r="P64" i="1"/>
  <c r="P78" i="1"/>
  <c r="P80" i="1"/>
  <c r="P94" i="1"/>
  <c r="P96" i="1"/>
  <c r="P98" i="1"/>
  <c r="AE86" i="3"/>
  <c r="AG86" i="3"/>
  <c r="AE87" i="3"/>
  <c r="AE88" i="3"/>
  <c r="AG88" i="3"/>
  <c r="AE89" i="3"/>
  <c r="AE90" i="3"/>
  <c r="AG90" i="3"/>
  <c r="AE91" i="3"/>
  <c r="AE92" i="3"/>
  <c r="AG92" i="3"/>
  <c r="AE93" i="3"/>
  <c r="AE70" i="3"/>
  <c r="AE71" i="3"/>
  <c r="AG71" i="3"/>
  <c r="AE72" i="3"/>
  <c r="AE73" i="3"/>
  <c r="AG73" i="3"/>
  <c r="AE74" i="3"/>
  <c r="AE75" i="3"/>
  <c r="AG75" i="3"/>
  <c r="AE76" i="3"/>
  <c r="AE77" i="3"/>
  <c r="AG77" i="3"/>
  <c r="AE54" i="3"/>
  <c r="AE55" i="3"/>
  <c r="AE56" i="3"/>
  <c r="AE57" i="3"/>
  <c r="AE58" i="3"/>
  <c r="AE59" i="3"/>
  <c r="AE60" i="3"/>
  <c r="AE61" i="3"/>
  <c r="AE38" i="3"/>
  <c r="AE39" i="3"/>
  <c r="AE40" i="3"/>
  <c r="AE41" i="3"/>
  <c r="AE42" i="3"/>
  <c r="AE43" i="3"/>
  <c r="AE44" i="3"/>
  <c r="AE45" i="3"/>
  <c r="AE24" i="3"/>
  <c r="AE25" i="3"/>
  <c r="AE26" i="3"/>
  <c r="AE27" i="3"/>
  <c r="AE28" i="3"/>
  <c r="AE29" i="3"/>
  <c r="AE8" i="3"/>
  <c r="AE9" i="3"/>
  <c r="AE10" i="3"/>
  <c r="AE11" i="3"/>
  <c r="AE12" i="3"/>
  <c r="AE13" i="3"/>
  <c r="V14" i="3"/>
  <c r="M13" i="3"/>
  <c r="L12" i="3"/>
  <c r="L10" i="3"/>
  <c r="L25" i="3"/>
  <c r="L27" i="3"/>
  <c r="L29" i="3"/>
  <c r="L38" i="3"/>
  <c r="L40" i="3"/>
  <c r="L42" i="3"/>
  <c r="L44" i="3"/>
  <c r="L53" i="3"/>
  <c r="L55" i="3"/>
  <c r="L57" i="3"/>
  <c r="L59" i="3"/>
  <c r="L61" i="3"/>
  <c r="N71" i="3"/>
  <c r="L71" i="3"/>
  <c r="N73" i="3"/>
  <c r="L73" i="3"/>
  <c r="N75" i="3"/>
  <c r="L75" i="3"/>
  <c r="N77" i="3"/>
  <c r="L77" i="3"/>
  <c r="N87" i="3"/>
  <c r="L87" i="3"/>
  <c r="N89" i="3"/>
  <c r="L89" i="3"/>
  <c r="N91" i="3"/>
  <c r="L91" i="3"/>
  <c r="N93" i="3"/>
  <c r="L93" i="3"/>
  <c r="N69" i="3"/>
  <c r="L69" i="3"/>
  <c r="N85" i="3"/>
  <c r="L85" i="3"/>
  <c r="M11" i="3"/>
  <c r="M9" i="3"/>
  <c r="L24" i="3"/>
  <c r="L26" i="3"/>
  <c r="L28" i="3"/>
  <c r="L37" i="3"/>
  <c r="L39" i="3"/>
  <c r="L41" i="3"/>
  <c r="L43" i="3"/>
  <c r="L45" i="3"/>
  <c r="L54" i="3"/>
  <c r="L56" i="3"/>
  <c r="L58" i="3"/>
  <c r="L60" i="3"/>
  <c r="N70" i="3"/>
  <c r="L70" i="3"/>
  <c r="N72" i="3"/>
  <c r="L72" i="3"/>
  <c r="N74" i="3"/>
  <c r="L74" i="3"/>
  <c r="N76" i="3"/>
  <c r="L76" i="3"/>
  <c r="N86" i="3"/>
  <c r="L86" i="3"/>
  <c r="N88" i="3"/>
  <c r="L88" i="3"/>
  <c r="N90" i="3"/>
  <c r="L90" i="3"/>
  <c r="N92" i="3"/>
  <c r="L92" i="3"/>
  <c r="D12" i="3"/>
  <c r="E12" i="3" s="1"/>
  <c r="F12" i="1" s="1"/>
  <c r="D10" i="3"/>
  <c r="E10" i="3" s="1"/>
  <c r="F10" i="1" s="1"/>
  <c r="D92" i="3"/>
  <c r="E92" i="3" s="1"/>
  <c r="F97" i="1" s="1"/>
  <c r="D90" i="3"/>
  <c r="E90" i="3" s="1"/>
  <c r="F95" i="1" s="1"/>
  <c r="D88" i="3"/>
  <c r="E88" i="3" s="1"/>
  <c r="D86" i="3"/>
  <c r="E86" i="3" s="1"/>
  <c r="D77" i="3"/>
  <c r="E77" i="3" s="1"/>
  <c r="F81" i="1" s="1"/>
  <c r="D75" i="3"/>
  <c r="E75" i="3" s="1"/>
  <c r="F79" i="1" s="1"/>
  <c r="D73" i="3"/>
  <c r="E73" i="3" s="1"/>
  <c r="D71" i="3"/>
  <c r="E71" i="3" s="1"/>
  <c r="D69" i="3"/>
  <c r="D60" i="3"/>
  <c r="E60" i="3" s="1"/>
  <c r="F63" i="1" s="1"/>
  <c r="D58" i="3"/>
  <c r="E58" i="3" s="1"/>
  <c r="D56" i="3"/>
  <c r="E56" i="3" s="1"/>
  <c r="D54" i="3"/>
  <c r="E54" i="3" s="1"/>
  <c r="D45" i="3"/>
  <c r="E45" i="3" s="1"/>
  <c r="F47" i="1" s="1"/>
  <c r="D43" i="3"/>
  <c r="E43" i="3" s="1"/>
  <c r="D41" i="3"/>
  <c r="E41" i="3" s="1"/>
  <c r="D39" i="3"/>
  <c r="E39" i="3" s="1"/>
  <c r="D37" i="3"/>
  <c r="D28" i="3"/>
  <c r="E28" i="3" s="1"/>
  <c r="F29" i="1" s="1"/>
  <c r="D26" i="3"/>
  <c r="E26" i="3" s="1"/>
  <c r="F27" i="1" s="1"/>
  <c r="D24" i="3"/>
  <c r="E24" i="3" s="1"/>
  <c r="F25" i="1" s="1"/>
  <c r="D22" i="3"/>
  <c r="D93" i="3"/>
  <c r="E93" i="3" s="1"/>
  <c r="F98" i="1" s="1"/>
  <c r="D91" i="3"/>
  <c r="E91" i="3" s="1"/>
  <c r="F96" i="1" s="1"/>
  <c r="D89" i="3"/>
  <c r="E89" i="3" s="1"/>
  <c r="F94" i="1" s="1"/>
  <c r="D87" i="3"/>
  <c r="E87" i="3" s="1"/>
  <c r="D85" i="3"/>
  <c r="D76" i="3"/>
  <c r="E76" i="3" s="1"/>
  <c r="F80" i="1" s="1"/>
  <c r="D74" i="3"/>
  <c r="E74" i="3" s="1"/>
  <c r="F78" i="1" s="1"/>
  <c r="D72" i="3"/>
  <c r="E72" i="3" s="1"/>
  <c r="D70" i="3"/>
  <c r="E70" i="3" s="1"/>
  <c r="D61" i="3"/>
  <c r="E61" i="3" s="1"/>
  <c r="F64" i="1" s="1"/>
  <c r="D59" i="3"/>
  <c r="E59" i="3" s="1"/>
  <c r="F62" i="1" s="1"/>
  <c r="D57" i="3"/>
  <c r="E57" i="3" s="1"/>
  <c r="D55" i="3"/>
  <c r="E55" i="3" s="1"/>
  <c r="D53" i="3"/>
  <c r="D44" i="3"/>
  <c r="E44" i="3" s="1"/>
  <c r="F46" i="1" s="1"/>
  <c r="D42" i="3"/>
  <c r="E42" i="3" s="1"/>
  <c r="D40" i="3"/>
  <c r="E40" i="3" s="1"/>
  <c r="D38" i="3"/>
  <c r="E38" i="3" s="1"/>
  <c r="D29" i="3"/>
  <c r="E29" i="3" s="1"/>
  <c r="F30" i="1" s="1"/>
  <c r="D27" i="3"/>
  <c r="E27" i="3" s="1"/>
  <c r="F28" i="1" s="1"/>
  <c r="D25" i="3"/>
  <c r="E25" i="3" s="1"/>
  <c r="F26" i="1" s="1"/>
  <c r="D23" i="3"/>
  <c r="D21" i="3"/>
  <c r="F5" i="3"/>
  <c r="G5" i="3" s="1"/>
  <c r="A5" i="3"/>
  <c r="H5" i="3"/>
  <c r="I5" i="3" s="1"/>
  <c r="J5" i="3"/>
  <c r="K5" i="3" s="1"/>
  <c r="S5" i="3"/>
  <c r="T5" i="3" s="1"/>
  <c r="AD5" i="3" s="1"/>
  <c r="X5" i="3"/>
  <c r="Y5" i="3" s="1"/>
  <c r="Z5" i="3"/>
  <c r="AA5" i="3" s="1"/>
  <c r="AB5" i="3"/>
  <c r="AC5" i="3" s="1"/>
  <c r="A6" i="3"/>
  <c r="B6" i="3" s="1"/>
  <c r="F6" i="3"/>
  <c r="G6" i="3" s="1"/>
  <c r="H6" i="3"/>
  <c r="I6" i="3" s="1"/>
  <c r="J6" i="3"/>
  <c r="K6" i="3" s="1"/>
  <c r="S6" i="3"/>
  <c r="T6" i="3" s="1"/>
  <c r="AD6" i="3" s="1"/>
  <c r="X6" i="3"/>
  <c r="Y6" i="3" s="1"/>
  <c r="Z6" i="3"/>
  <c r="AA6" i="3" s="1"/>
  <c r="AB6" i="3"/>
  <c r="AC6" i="3" s="1"/>
  <c r="A7" i="3"/>
  <c r="F7" i="3"/>
  <c r="G7" i="3" s="1"/>
  <c r="H7" i="3"/>
  <c r="I7" i="3" s="1"/>
  <c r="J7" i="3"/>
  <c r="K7" i="3" s="1"/>
  <c r="S7" i="3"/>
  <c r="T7" i="3" s="1"/>
  <c r="AD7" i="3" s="1"/>
  <c r="X7" i="3"/>
  <c r="Y7" i="3" s="1"/>
  <c r="Z7" i="3"/>
  <c r="AA7" i="3" s="1"/>
  <c r="AB7" i="3"/>
  <c r="AC7" i="3" s="1"/>
  <c r="A8" i="3"/>
  <c r="F8" i="3"/>
  <c r="G8" i="3" s="1"/>
  <c r="H8" i="3"/>
  <c r="I8" i="3" s="1"/>
  <c r="J8" i="3"/>
  <c r="K8" i="3" s="1"/>
  <c r="S8" i="3"/>
  <c r="X8" i="3"/>
  <c r="Y8" i="3" s="1"/>
  <c r="Z8" i="3"/>
  <c r="AA8" i="3" s="1"/>
  <c r="AB8" i="3"/>
  <c r="AC8" i="3" s="1"/>
  <c r="A9" i="3"/>
  <c r="F9" i="3"/>
  <c r="G9" i="3" s="1"/>
  <c r="H9" i="3"/>
  <c r="I9" i="3" s="1"/>
  <c r="J9" i="3"/>
  <c r="K9" i="3" s="1"/>
  <c r="S9" i="3"/>
  <c r="X9" i="3"/>
  <c r="Y9" i="3" s="1"/>
  <c r="Z9" i="3"/>
  <c r="AA9" i="3" s="1"/>
  <c r="AB9" i="3"/>
  <c r="AC9" i="3" s="1"/>
  <c r="A10" i="3"/>
  <c r="F10" i="3"/>
  <c r="G10" i="3" s="1"/>
  <c r="H10" i="3"/>
  <c r="I10" i="3" s="1"/>
  <c r="J10" i="3"/>
  <c r="K10" i="3" s="1"/>
  <c r="S10" i="3"/>
  <c r="X10" i="3"/>
  <c r="Y10" i="3" s="1"/>
  <c r="Z10" i="3"/>
  <c r="AA10" i="3" s="1"/>
  <c r="AB10" i="3"/>
  <c r="AC10" i="3" s="1"/>
  <c r="A11" i="3"/>
  <c r="F11" i="3"/>
  <c r="G11" i="3" s="1"/>
  <c r="H11" i="3"/>
  <c r="I11" i="3" s="1"/>
  <c r="J11" i="3"/>
  <c r="K11" i="3" s="1"/>
  <c r="S11" i="3"/>
  <c r="X11" i="3"/>
  <c r="Y11" i="3" s="1"/>
  <c r="Z11" i="3"/>
  <c r="AA11" i="3" s="1"/>
  <c r="AB11" i="3"/>
  <c r="AC11" i="3" s="1"/>
  <c r="A12" i="3"/>
  <c r="F12" i="3"/>
  <c r="G12" i="3" s="1"/>
  <c r="H12" i="3"/>
  <c r="I12" i="3" s="1"/>
  <c r="J12" i="3"/>
  <c r="K12" i="3" s="1"/>
  <c r="S12" i="3"/>
  <c r="X12" i="3"/>
  <c r="Y12" i="3" s="1"/>
  <c r="Z12" i="3"/>
  <c r="AA12" i="3" s="1"/>
  <c r="AB12" i="3"/>
  <c r="AC12" i="3" s="1"/>
  <c r="A13" i="3"/>
  <c r="F13" i="3"/>
  <c r="G13" i="3" s="1"/>
  <c r="H13" i="3"/>
  <c r="I13" i="3" s="1"/>
  <c r="J13" i="3"/>
  <c r="K13" i="3" s="1"/>
  <c r="S13" i="3"/>
  <c r="X13" i="3"/>
  <c r="Y13" i="3" s="1"/>
  <c r="Z13" i="3"/>
  <c r="AA13" i="3" s="1"/>
  <c r="AB13" i="3"/>
  <c r="AC13" i="3" s="1"/>
  <c r="A21" i="3"/>
  <c r="B21" i="3" s="1"/>
  <c r="F21" i="3"/>
  <c r="G21" i="3" s="1"/>
  <c r="H21" i="3"/>
  <c r="I21" i="3" s="1"/>
  <c r="J21" i="3"/>
  <c r="K21" i="3" s="1"/>
  <c r="S21" i="3"/>
  <c r="T21" i="3" s="1"/>
  <c r="AD21" i="3" s="1"/>
  <c r="X21" i="3"/>
  <c r="Y21" i="3" s="1"/>
  <c r="Z21" i="3"/>
  <c r="AA21" i="3" s="1"/>
  <c r="AB21" i="3"/>
  <c r="AC21" i="3" s="1"/>
  <c r="A22" i="3"/>
  <c r="B22" i="3" s="1"/>
  <c r="L22" i="3" s="1"/>
  <c r="F22" i="3"/>
  <c r="G22" i="3" s="1"/>
  <c r="H22" i="3"/>
  <c r="I22" i="3" s="1"/>
  <c r="J22" i="3"/>
  <c r="K22" i="3" s="1"/>
  <c r="S22" i="3"/>
  <c r="T22" i="3" s="1"/>
  <c r="AD22" i="3" s="1"/>
  <c r="X22" i="3"/>
  <c r="Y22" i="3" s="1"/>
  <c r="Z22" i="3"/>
  <c r="AA22" i="3" s="1"/>
  <c r="AB22" i="3"/>
  <c r="AC22" i="3" s="1"/>
  <c r="A23" i="3"/>
  <c r="B23" i="3" s="1"/>
  <c r="L23" i="3" s="1"/>
  <c r="F23" i="3"/>
  <c r="G23" i="3" s="1"/>
  <c r="H23" i="3"/>
  <c r="I23" i="3" s="1"/>
  <c r="J23" i="3"/>
  <c r="K23" i="3" s="1"/>
  <c r="S23" i="3"/>
  <c r="T23" i="3" s="1"/>
  <c r="AD23" i="3" s="1"/>
  <c r="X23" i="3"/>
  <c r="Y23" i="3" s="1"/>
  <c r="Z23" i="3"/>
  <c r="AA23" i="3" s="1"/>
  <c r="AB23" i="3"/>
  <c r="AC23" i="3" s="1"/>
  <c r="A24" i="3"/>
  <c r="F24" i="3"/>
  <c r="G24" i="3" s="1"/>
  <c r="H24" i="3"/>
  <c r="I24" i="3" s="1"/>
  <c r="J24" i="3"/>
  <c r="K24" i="3" s="1"/>
  <c r="S24" i="3"/>
  <c r="X24" i="3"/>
  <c r="Y24" i="3" s="1"/>
  <c r="Z24" i="3"/>
  <c r="AA24" i="3" s="1"/>
  <c r="AB24" i="3"/>
  <c r="AC24" i="3" s="1"/>
  <c r="A25" i="3"/>
  <c r="F25" i="3"/>
  <c r="G25" i="3" s="1"/>
  <c r="H25" i="3"/>
  <c r="I25" i="3" s="1"/>
  <c r="J25" i="3"/>
  <c r="K25" i="3" s="1"/>
  <c r="S25" i="3"/>
  <c r="X25" i="3"/>
  <c r="Y25" i="3" s="1"/>
  <c r="Z25" i="3"/>
  <c r="AA25" i="3" s="1"/>
  <c r="AB25" i="3"/>
  <c r="AC25" i="3" s="1"/>
  <c r="A26" i="3"/>
  <c r="F26" i="3"/>
  <c r="G26" i="3" s="1"/>
  <c r="H26" i="3"/>
  <c r="I26" i="3" s="1"/>
  <c r="J26" i="3"/>
  <c r="K26" i="3" s="1"/>
  <c r="S26" i="3"/>
  <c r="X26" i="3"/>
  <c r="Y26" i="3" s="1"/>
  <c r="Z26" i="3"/>
  <c r="AA26" i="3" s="1"/>
  <c r="AB26" i="3"/>
  <c r="AC26" i="3" s="1"/>
  <c r="A27" i="3"/>
  <c r="F27" i="3"/>
  <c r="G27" i="3" s="1"/>
  <c r="H27" i="3"/>
  <c r="I27" i="3" s="1"/>
  <c r="J27" i="3"/>
  <c r="K27" i="3" s="1"/>
  <c r="S27" i="3"/>
  <c r="X27" i="3"/>
  <c r="Y27" i="3" s="1"/>
  <c r="Z27" i="3"/>
  <c r="AA27" i="3" s="1"/>
  <c r="AB27" i="3"/>
  <c r="AC27" i="3" s="1"/>
  <c r="A28" i="3"/>
  <c r="F28" i="3"/>
  <c r="G28" i="3" s="1"/>
  <c r="H28" i="3"/>
  <c r="I28" i="3" s="1"/>
  <c r="J28" i="3"/>
  <c r="K28" i="3" s="1"/>
  <c r="S28" i="3"/>
  <c r="X28" i="3"/>
  <c r="Y28" i="3" s="1"/>
  <c r="Z28" i="3"/>
  <c r="AA28" i="3" s="1"/>
  <c r="AB28" i="3"/>
  <c r="AC28" i="3" s="1"/>
  <c r="A29" i="3"/>
  <c r="F29" i="3"/>
  <c r="G29" i="3" s="1"/>
  <c r="H29" i="3"/>
  <c r="I29" i="3" s="1"/>
  <c r="J29" i="3"/>
  <c r="K29" i="3" s="1"/>
  <c r="S29" i="3"/>
  <c r="X29" i="3"/>
  <c r="Y29" i="3" s="1"/>
  <c r="Z29" i="3"/>
  <c r="AA29" i="3" s="1"/>
  <c r="AB29" i="3"/>
  <c r="AC29" i="3" s="1"/>
  <c r="A37" i="3"/>
  <c r="F37" i="3"/>
  <c r="G37" i="3" s="1"/>
  <c r="H37" i="3"/>
  <c r="I37" i="3" s="1"/>
  <c r="J37" i="3"/>
  <c r="K37" i="3" s="1"/>
  <c r="S37" i="3"/>
  <c r="X37" i="3"/>
  <c r="Y37" i="3" s="1"/>
  <c r="Z37" i="3"/>
  <c r="AA37" i="3" s="1"/>
  <c r="AB37" i="3"/>
  <c r="AC37" i="3" s="1"/>
  <c r="A38" i="3"/>
  <c r="F38" i="3"/>
  <c r="G38" i="3" s="1"/>
  <c r="H38" i="3"/>
  <c r="I38" i="3" s="1"/>
  <c r="J38" i="3"/>
  <c r="K38" i="3" s="1"/>
  <c r="S38" i="3"/>
  <c r="X38" i="3"/>
  <c r="Y38" i="3" s="1"/>
  <c r="Z38" i="3"/>
  <c r="AA38" i="3" s="1"/>
  <c r="AB38" i="3"/>
  <c r="AC38" i="3" s="1"/>
  <c r="A39" i="3"/>
  <c r="F39" i="3"/>
  <c r="G39" i="3" s="1"/>
  <c r="H39" i="3"/>
  <c r="I39" i="3" s="1"/>
  <c r="J39" i="3"/>
  <c r="K39" i="3" s="1"/>
  <c r="S39" i="3"/>
  <c r="X39" i="3"/>
  <c r="Y39" i="3" s="1"/>
  <c r="Z39" i="3"/>
  <c r="AA39" i="3" s="1"/>
  <c r="AB39" i="3"/>
  <c r="AC39" i="3" s="1"/>
  <c r="A40" i="3"/>
  <c r="F40" i="3"/>
  <c r="G40" i="3" s="1"/>
  <c r="H40" i="3"/>
  <c r="I40" i="3" s="1"/>
  <c r="J40" i="3"/>
  <c r="K40" i="3" s="1"/>
  <c r="S40" i="3"/>
  <c r="X40" i="3"/>
  <c r="Y40" i="3" s="1"/>
  <c r="Z40" i="3"/>
  <c r="AA40" i="3" s="1"/>
  <c r="AB40" i="3"/>
  <c r="AC40" i="3" s="1"/>
  <c r="A41" i="3"/>
  <c r="F41" i="3"/>
  <c r="G41" i="3" s="1"/>
  <c r="H41" i="3"/>
  <c r="I41" i="3" s="1"/>
  <c r="J41" i="3"/>
  <c r="K41" i="3" s="1"/>
  <c r="S41" i="3"/>
  <c r="X41" i="3"/>
  <c r="Y41" i="3" s="1"/>
  <c r="Z41" i="3"/>
  <c r="AA41" i="3" s="1"/>
  <c r="AB41" i="3"/>
  <c r="AC41" i="3" s="1"/>
  <c r="A42" i="3"/>
  <c r="F42" i="3"/>
  <c r="G42" i="3" s="1"/>
  <c r="H42" i="3"/>
  <c r="I42" i="3" s="1"/>
  <c r="J42" i="3"/>
  <c r="K42" i="3" s="1"/>
  <c r="S42" i="3"/>
  <c r="X42" i="3"/>
  <c r="Y42" i="3" s="1"/>
  <c r="Z42" i="3"/>
  <c r="AA42" i="3" s="1"/>
  <c r="AB42" i="3"/>
  <c r="AC42" i="3" s="1"/>
  <c r="A43" i="3"/>
  <c r="F43" i="3"/>
  <c r="G43" i="3" s="1"/>
  <c r="H43" i="3"/>
  <c r="I43" i="3" s="1"/>
  <c r="J43" i="3"/>
  <c r="K43" i="3" s="1"/>
  <c r="S43" i="3"/>
  <c r="X43" i="3"/>
  <c r="Y43" i="3" s="1"/>
  <c r="Z43" i="3"/>
  <c r="AA43" i="3" s="1"/>
  <c r="AB43" i="3"/>
  <c r="AC43" i="3" s="1"/>
  <c r="A44" i="3"/>
  <c r="F44" i="3"/>
  <c r="G44" i="3" s="1"/>
  <c r="H44" i="3"/>
  <c r="I44" i="3" s="1"/>
  <c r="J44" i="3"/>
  <c r="K44" i="3" s="1"/>
  <c r="S44" i="3"/>
  <c r="X44" i="3"/>
  <c r="Y44" i="3" s="1"/>
  <c r="Z44" i="3"/>
  <c r="AA44" i="3" s="1"/>
  <c r="AB44" i="3"/>
  <c r="AC44" i="3" s="1"/>
  <c r="A45" i="3"/>
  <c r="F45" i="3"/>
  <c r="G45" i="3" s="1"/>
  <c r="H45" i="3"/>
  <c r="I45" i="3" s="1"/>
  <c r="J45" i="3"/>
  <c r="K45" i="3" s="1"/>
  <c r="S45" i="3"/>
  <c r="X45" i="3"/>
  <c r="Y45" i="3" s="1"/>
  <c r="Z45" i="3"/>
  <c r="AA45" i="3" s="1"/>
  <c r="AB45" i="3"/>
  <c r="AC45" i="3" s="1"/>
  <c r="A53" i="3"/>
  <c r="F53" i="3"/>
  <c r="G53" i="3" s="1"/>
  <c r="H53" i="3"/>
  <c r="I53" i="3" s="1"/>
  <c r="J53" i="3"/>
  <c r="K53" i="3" s="1"/>
  <c r="S53" i="3"/>
  <c r="X53" i="3"/>
  <c r="Y53" i="3" s="1"/>
  <c r="Z53" i="3"/>
  <c r="AA53" i="3" s="1"/>
  <c r="AB53" i="3"/>
  <c r="AC53" i="3" s="1"/>
  <c r="A54" i="3"/>
  <c r="F54" i="3"/>
  <c r="G54" i="3" s="1"/>
  <c r="H54" i="3"/>
  <c r="I54" i="3" s="1"/>
  <c r="J54" i="3"/>
  <c r="K54" i="3" s="1"/>
  <c r="S54" i="3"/>
  <c r="X54" i="3"/>
  <c r="Y54" i="3" s="1"/>
  <c r="Z54" i="3"/>
  <c r="AA54" i="3" s="1"/>
  <c r="AB54" i="3"/>
  <c r="AC54" i="3" s="1"/>
  <c r="A55" i="3"/>
  <c r="F55" i="3"/>
  <c r="G55" i="3" s="1"/>
  <c r="H55" i="3"/>
  <c r="I55" i="3" s="1"/>
  <c r="J55" i="3"/>
  <c r="K55" i="3" s="1"/>
  <c r="S55" i="3"/>
  <c r="X55" i="3"/>
  <c r="Y55" i="3" s="1"/>
  <c r="Z55" i="3"/>
  <c r="AA55" i="3" s="1"/>
  <c r="AB55" i="3"/>
  <c r="AC55" i="3" s="1"/>
  <c r="A56" i="3"/>
  <c r="F56" i="3"/>
  <c r="G56" i="3" s="1"/>
  <c r="H56" i="3"/>
  <c r="I56" i="3" s="1"/>
  <c r="J56" i="3"/>
  <c r="K56" i="3" s="1"/>
  <c r="S56" i="3"/>
  <c r="X56" i="3"/>
  <c r="Y56" i="3" s="1"/>
  <c r="Z56" i="3"/>
  <c r="AA56" i="3" s="1"/>
  <c r="AB56" i="3"/>
  <c r="AC56" i="3" s="1"/>
  <c r="A57" i="3"/>
  <c r="F57" i="3"/>
  <c r="G57" i="3" s="1"/>
  <c r="H57" i="3"/>
  <c r="I57" i="3" s="1"/>
  <c r="J57" i="3"/>
  <c r="K57" i="3" s="1"/>
  <c r="S57" i="3"/>
  <c r="X57" i="3"/>
  <c r="Y57" i="3" s="1"/>
  <c r="Z57" i="3"/>
  <c r="AA57" i="3" s="1"/>
  <c r="AB57" i="3"/>
  <c r="AC57" i="3" s="1"/>
  <c r="A58" i="3"/>
  <c r="F58" i="3"/>
  <c r="G58" i="3" s="1"/>
  <c r="H58" i="3"/>
  <c r="I58" i="3" s="1"/>
  <c r="J58" i="3"/>
  <c r="K58" i="3" s="1"/>
  <c r="S58" i="3"/>
  <c r="X58" i="3"/>
  <c r="Y58" i="3" s="1"/>
  <c r="Z58" i="3"/>
  <c r="AA58" i="3" s="1"/>
  <c r="AB58" i="3"/>
  <c r="AC58" i="3" s="1"/>
  <c r="A59" i="3"/>
  <c r="F59" i="3"/>
  <c r="G59" i="3" s="1"/>
  <c r="H59" i="3"/>
  <c r="I59" i="3" s="1"/>
  <c r="J59" i="3"/>
  <c r="K59" i="3" s="1"/>
  <c r="S59" i="3"/>
  <c r="X59" i="3"/>
  <c r="Y59" i="3" s="1"/>
  <c r="Z59" i="3"/>
  <c r="AA59" i="3" s="1"/>
  <c r="AB59" i="3"/>
  <c r="AC59" i="3" s="1"/>
  <c r="A60" i="3"/>
  <c r="F60" i="3"/>
  <c r="G60" i="3" s="1"/>
  <c r="H60" i="3"/>
  <c r="I60" i="3" s="1"/>
  <c r="J60" i="3"/>
  <c r="K60" i="3" s="1"/>
  <c r="S60" i="3"/>
  <c r="X60" i="3"/>
  <c r="Y60" i="3" s="1"/>
  <c r="Z60" i="3"/>
  <c r="AA60" i="3" s="1"/>
  <c r="AB60" i="3"/>
  <c r="AC60" i="3" s="1"/>
  <c r="A61" i="3"/>
  <c r="F61" i="3"/>
  <c r="G61" i="3" s="1"/>
  <c r="H61" i="3"/>
  <c r="I61" i="3" s="1"/>
  <c r="J61" i="3"/>
  <c r="K61" i="3" s="1"/>
  <c r="S61" i="3"/>
  <c r="X61" i="3"/>
  <c r="Y61" i="3" s="1"/>
  <c r="Z61" i="3"/>
  <c r="AA61" i="3" s="1"/>
  <c r="AB61" i="3"/>
  <c r="AC61" i="3" s="1"/>
  <c r="O65" i="1"/>
  <c r="N65" i="1"/>
  <c r="E65" i="1"/>
  <c r="D65" i="1"/>
  <c r="O48" i="1"/>
  <c r="N48" i="1"/>
  <c r="E48" i="1"/>
  <c r="D48" i="1"/>
  <c r="N31" i="1"/>
  <c r="D31" i="1"/>
  <c r="N14" i="1"/>
  <c r="D14" i="1"/>
  <c r="B30" i="3" l="1"/>
  <c r="AD30" i="3"/>
  <c r="W21" i="3"/>
  <c r="P22" i="1" s="1"/>
  <c r="T30" i="3"/>
  <c r="W23" i="3"/>
  <c r="W22" i="3"/>
  <c r="E23" i="3"/>
  <c r="F24" i="1" s="1"/>
  <c r="E22" i="3"/>
  <c r="F23" i="1" s="1"/>
  <c r="L21" i="3"/>
  <c r="W6" i="3"/>
  <c r="AG6" i="3" s="1"/>
  <c r="AD14" i="3"/>
  <c r="W7" i="3"/>
  <c r="T14" i="3"/>
  <c r="B5" i="3"/>
  <c r="B14" i="3" s="1"/>
  <c r="W5" i="3"/>
  <c r="AE47" i="3"/>
  <c r="AE79" i="3"/>
  <c r="N66" i="1"/>
  <c r="Q94" i="3"/>
  <c r="AE85" i="3"/>
  <c r="AG69" i="3"/>
  <c r="AG78" i="3" s="1"/>
  <c r="N106" i="1"/>
  <c r="N109" i="1" s="1"/>
  <c r="Q78" i="3"/>
  <c r="P99" i="1"/>
  <c r="AI94" i="3"/>
  <c r="AI78" i="3"/>
  <c r="AG60" i="3"/>
  <c r="N60" i="3"/>
  <c r="N58" i="3"/>
  <c r="AG57" i="3"/>
  <c r="AG56" i="3"/>
  <c r="N56" i="3"/>
  <c r="AI61" i="3"/>
  <c r="AF61" i="3"/>
  <c r="AH61" i="3"/>
  <c r="Q54" i="3"/>
  <c r="P54" i="3"/>
  <c r="AI53" i="3"/>
  <c r="AF53" i="3"/>
  <c r="AH53" i="3"/>
  <c r="Q53" i="3"/>
  <c r="P53" i="3"/>
  <c r="AI45" i="3"/>
  <c r="AF45" i="3"/>
  <c r="AH45" i="3"/>
  <c r="Q45" i="3"/>
  <c r="P45" i="3"/>
  <c r="AI44" i="3"/>
  <c r="AF44" i="3"/>
  <c r="AH44" i="3"/>
  <c r="Q44" i="3"/>
  <c r="P44" i="3"/>
  <c r="AI43" i="3"/>
  <c r="AF43" i="3"/>
  <c r="AH43" i="3"/>
  <c r="Q43" i="3"/>
  <c r="P43" i="3"/>
  <c r="AI42" i="3"/>
  <c r="AF42" i="3"/>
  <c r="AH42" i="3"/>
  <c r="Q42" i="3"/>
  <c r="P42" i="3"/>
  <c r="AI41" i="3"/>
  <c r="AF41" i="3"/>
  <c r="AH41" i="3"/>
  <c r="Q41" i="3"/>
  <c r="P41" i="3"/>
  <c r="AH40" i="3"/>
  <c r="AF40" i="3"/>
  <c r="AI40" i="3"/>
  <c r="Q40" i="3"/>
  <c r="P40" i="3"/>
  <c r="AI39" i="3"/>
  <c r="AF39" i="3"/>
  <c r="AH39" i="3"/>
  <c r="Q39" i="3"/>
  <c r="P39" i="3"/>
  <c r="AI38" i="3"/>
  <c r="AF38" i="3"/>
  <c r="AH38" i="3"/>
  <c r="Q38" i="3"/>
  <c r="P38" i="3"/>
  <c r="AI37" i="3"/>
  <c r="AF37" i="3"/>
  <c r="AH37" i="3"/>
  <c r="Q37" i="3"/>
  <c r="P37" i="3"/>
  <c r="AI29" i="3"/>
  <c r="AF29" i="3"/>
  <c r="AH29" i="3"/>
  <c r="Q29" i="3"/>
  <c r="P29" i="3"/>
  <c r="AI28" i="3"/>
  <c r="AF28" i="3"/>
  <c r="AH28" i="3"/>
  <c r="AI27" i="3"/>
  <c r="AF27" i="3"/>
  <c r="AH27" i="3"/>
  <c r="Q27" i="3"/>
  <c r="P27" i="3"/>
  <c r="AI26" i="3"/>
  <c r="AF26" i="3"/>
  <c r="AH26" i="3"/>
  <c r="Q26" i="3"/>
  <c r="P26" i="3"/>
  <c r="AI25" i="3"/>
  <c r="AF25" i="3"/>
  <c r="AH25" i="3"/>
  <c r="Q25" i="3"/>
  <c r="P25" i="3"/>
  <c r="AI24" i="3"/>
  <c r="AF24" i="3"/>
  <c r="AH24" i="3"/>
  <c r="Q24" i="3"/>
  <c r="P24" i="3"/>
  <c r="AI23" i="3"/>
  <c r="AF23" i="3"/>
  <c r="AH23" i="3"/>
  <c r="Q23" i="3"/>
  <c r="P23" i="3"/>
  <c r="AI22" i="3"/>
  <c r="AF22" i="3"/>
  <c r="AH22" i="3"/>
  <c r="Q22" i="3"/>
  <c r="P22" i="3"/>
  <c r="AI21" i="3"/>
  <c r="AF21" i="3"/>
  <c r="AH21" i="3"/>
  <c r="Q21" i="3"/>
  <c r="P21" i="3"/>
  <c r="AH13" i="3"/>
  <c r="AI13" i="3"/>
  <c r="AF13" i="3"/>
  <c r="P13" i="3"/>
  <c r="Q13" i="3"/>
  <c r="AH12" i="3"/>
  <c r="AI12" i="3"/>
  <c r="AF12" i="3"/>
  <c r="P12" i="3"/>
  <c r="Q12" i="3"/>
  <c r="AH11" i="3"/>
  <c r="AI11" i="3"/>
  <c r="AF11" i="3"/>
  <c r="P11" i="3"/>
  <c r="Q11" i="3"/>
  <c r="AH10" i="3"/>
  <c r="AI10" i="3"/>
  <c r="AF10" i="3"/>
  <c r="P10" i="3"/>
  <c r="Q10" i="3"/>
  <c r="AH9" i="3"/>
  <c r="AI9" i="3"/>
  <c r="AF9" i="3"/>
  <c r="P9" i="3"/>
  <c r="Q9" i="3"/>
  <c r="AH8" i="3"/>
  <c r="AI8" i="3"/>
  <c r="AF8" i="3"/>
  <c r="P8" i="3"/>
  <c r="AH7" i="3"/>
  <c r="AI7" i="3"/>
  <c r="AF7" i="3"/>
  <c r="AH6" i="3"/>
  <c r="AI6" i="3"/>
  <c r="P6" i="3"/>
  <c r="Q6" i="3"/>
  <c r="AF5" i="3"/>
  <c r="N54" i="3"/>
  <c r="N45" i="3"/>
  <c r="N43" i="3"/>
  <c r="N41" i="3"/>
  <c r="N39" i="3"/>
  <c r="N37" i="3"/>
  <c r="L94" i="3"/>
  <c r="L78" i="3"/>
  <c r="L62" i="3"/>
  <c r="L30" i="3"/>
  <c r="AG13" i="3"/>
  <c r="AG12" i="3"/>
  <c r="AG11" i="3"/>
  <c r="AG10" i="3"/>
  <c r="AG9" i="3"/>
  <c r="AG8" i="3"/>
  <c r="AG7" i="3"/>
  <c r="AG26" i="3"/>
  <c r="AG22" i="3"/>
  <c r="AG43" i="3"/>
  <c r="AG39" i="3"/>
  <c r="AE46" i="3"/>
  <c r="AE94" i="3"/>
  <c r="AF6" i="3"/>
  <c r="AF94" i="3"/>
  <c r="N101" i="1" s="1"/>
  <c r="AH94" i="3"/>
  <c r="P78" i="3"/>
  <c r="AG25" i="3"/>
  <c r="AG29" i="3"/>
  <c r="AG40" i="3"/>
  <c r="AG44" i="3"/>
  <c r="AG61" i="3"/>
  <c r="Q61" i="3"/>
  <c r="P61" i="3"/>
  <c r="AI60" i="3"/>
  <c r="AF60" i="3"/>
  <c r="AH60" i="3"/>
  <c r="Q60" i="3"/>
  <c r="P60" i="3"/>
  <c r="AI59" i="3"/>
  <c r="AF59" i="3"/>
  <c r="AH59" i="3"/>
  <c r="Q59" i="3"/>
  <c r="P59" i="3"/>
  <c r="AI58" i="3"/>
  <c r="AF58" i="3"/>
  <c r="AH58" i="3"/>
  <c r="Q58" i="3"/>
  <c r="P58" i="3"/>
  <c r="AI57" i="3"/>
  <c r="AF57" i="3"/>
  <c r="AH57" i="3"/>
  <c r="Q57" i="3"/>
  <c r="P57" i="3"/>
  <c r="AI56" i="3"/>
  <c r="AF56" i="3"/>
  <c r="AH56" i="3"/>
  <c r="Q56" i="3"/>
  <c r="P56" i="3"/>
  <c r="AI55" i="3"/>
  <c r="AF55" i="3"/>
  <c r="AH55" i="3"/>
  <c r="Q55" i="3"/>
  <c r="P55" i="3"/>
  <c r="AI54" i="3"/>
  <c r="AF54" i="3"/>
  <c r="AH54" i="3"/>
  <c r="Q5" i="3"/>
  <c r="P5" i="3"/>
  <c r="W46" i="3"/>
  <c r="P82" i="1"/>
  <c r="W78" i="3"/>
  <c r="AG53" i="3"/>
  <c r="W62" i="3"/>
  <c r="AG85" i="3"/>
  <c r="AG94" i="3" s="1"/>
  <c r="W94" i="3"/>
  <c r="L46" i="3"/>
  <c r="N26" i="3"/>
  <c r="N24" i="3"/>
  <c r="N22" i="3"/>
  <c r="O9" i="3"/>
  <c r="O11" i="3"/>
  <c r="N61" i="3"/>
  <c r="N59" i="3"/>
  <c r="N57" i="3"/>
  <c r="N55" i="3"/>
  <c r="N53" i="3"/>
  <c r="N44" i="3"/>
  <c r="N42" i="3"/>
  <c r="N40" i="3"/>
  <c r="N38" i="3"/>
  <c r="N29" i="3"/>
  <c r="N27" i="3"/>
  <c r="N25" i="3"/>
  <c r="N23" i="3"/>
  <c r="N21" i="3"/>
  <c r="N10" i="3"/>
  <c r="N12" i="3"/>
  <c r="O13" i="3"/>
  <c r="AG28" i="3"/>
  <c r="AG24" i="3"/>
  <c r="AG45" i="3"/>
  <c r="AG41" i="3"/>
  <c r="AG37" i="3"/>
  <c r="AG58" i="3"/>
  <c r="AG54" i="3"/>
  <c r="AE62" i="3"/>
  <c r="AE78" i="3"/>
  <c r="AF78" i="3"/>
  <c r="N84" i="1" s="1"/>
  <c r="AH78" i="3"/>
  <c r="P94" i="3"/>
  <c r="AG27" i="3"/>
  <c r="AG38" i="3"/>
  <c r="AG42" i="3"/>
  <c r="AG55" i="3"/>
  <c r="AG59" i="3"/>
  <c r="Q28" i="3"/>
  <c r="P28" i="3"/>
  <c r="N28" i="3"/>
  <c r="N94" i="3"/>
  <c r="N78" i="3"/>
  <c r="AH5" i="3"/>
  <c r="AI5" i="3"/>
  <c r="P7" i="3"/>
  <c r="D7" i="3"/>
  <c r="E7" i="3" s="1"/>
  <c r="F7" i="1" s="1"/>
  <c r="O23" i="3"/>
  <c r="O38" i="3"/>
  <c r="M38" i="3"/>
  <c r="E53" i="3"/>
  <c r="O61" i="3"/>
  <c r="M61" i="3"/>
  <c r="O76" i="3"/>
  <c r="M76" i="3"/>
  <c r="O91" i="3"/>
  <c r="M91" i="3"/>
  <c r="N13" i="3"/>
  <c r="L13" i="3"/>
  <c r="O28" i="3"/>
  <c r="M28" i="3"/>
  <c r="O43" i="3"/>
  <c r="M43" i="3"/>
  <c r="O58" i="3"/>
  <c r="M58" i="3"/>
  <c r="O73" i="3"/>
  <c r="M73" i="3"/>
  <c r="O77" i="3"/>
  <c r="M77" i="3"/>
  <c r="O92" i="3"/>
  <c r="M92" i="3"/>
  <c r="D6" i="3"/>
  <c r="E21" i="3"/>
  <c r="O25" i="3"/>
  <c r="M25" i="3"/>
  <c r="O29" i="3"/>
  <c r="M29" i="3"/>
  <c r="O40" i="3"/>
  <c r="M40" i="3"/>
  <c r="O44" i="3"/>
  <c r="M44" i="3"/>
  <c r="O55" i="3"/>
  <c r="M55" i="3"/>
  <c r="O59" i="3"/>
  <c r="M59" i="3"/>
  <c r="O70" i="3"/>
  <c r="M70" i="3"/>
  <c r="O74" i="3"/>
  <c r="M74" i="3"/>
  <c r="E85" i="3"/>
  <c r="O89" i="3"/>
  <c r="M89" i="3"/>
  <c r="O93" i="3"/>
  <c r="M93" i="3"/>
  <c r="N11" i="3"/>
  <c r="L11" i="3"/>
  <c r="O22" i="3"/>
  <c r="O26" i="3"/>
  <c r="M26" i="3"/>
  <c r="E37" i="3"/>
  <c r="O41" i="3"/>
  <c r="M41" i="3"/>
  <c r="O45" i="3"/>
  <c r="M45" i="3"/>
  <c r="O56" i="3"/>
  <c r="M56" i="3"/>
  <c r="O60" i="3"/>
  <c r="M60" i="3"/>
  <c r="O71" i="3"/>
  <c r="M71" i="3"/>
  <c r="O75" i="3"/>
  <c r="M75" i="3"/>
  <c r="O86" i="3"/>
  <c r="M86" i="3"/>
  <c r="O90" i="3"/>
  <c r="M90" i="3"/>
  <c r="O10" i="3"/>
  <c r="M10" i="3"/>
  <c r="O27" i="3"/>
  <c r="M27" i="3"/>
  <c r="O42" i="3"/>
  <c r="M42" i="3"/>
  <c r="O57" i="3"/>
  <c r="M57" i="3"/>
  <c r="O72" i="3"/>
  <c r="M72" i="3"/>
  <c r="O87" i="3"/>
  <c r="M87" i="3"/>
  <c r="N9" i="3"/>
  <c r="L9" i="3"/>
  <c r="O24" i="3"/>
  <c r="M24" i="3"/>
  <c r="O39" i="3"/>
  <c r="M39" i="3"/>
  <c r="O54" i="3"/>
  <c r="M54" i="3"/>
  <c r="E69" i="3"/>
  <c r="O88" i="3"/>
  <c r="M88" i="3"/>
  <c r="O12" i="3"/>
  <c r="M12" i="3"/>
  <c r="A107" i="1"/>
  <c r="P65" i="1"/>
  <c r="M22" i="3" l="1"/>
  <c r="AG21" i="3"/>
  <c r="AG30" i="3" s="1"/>
  <c r="W14" i="3"/>
  <c r="Q7" i="3"/>
  <c r="AE21" i="3"/>
  <c r="AE23" i="3"/>
  <c r="P24" i="1"/>
  <c r="AG23" i="3"/>
  <c r="W30" i="3"/>
  <c r="P23" i="1"/>
  <c r="AE22" i="3"/>
  <c r="M23" i="3"/>
  <c r="P7" i="1"/>
  <c r="AE7" i="3"/>
  <c r="P6" i="1"/>
  <c r="AE6" i="3"/>
  <c r="AE5" i="3"/>
  <c r="P5" i="1"/>
  <c r="AG5" i="3"/>
  <c r="AG14" i="3" s="1"/>
  <c r="AI79" i="3"/>
  <c r="D101" i="1"/>
  <c r="O95" i="3"/>
  <c r="D84" i="1"/>
  <c r="O79" i="3"/>
  <c r="AG95" i="3"/>
  <c r="P30" i="3"/>
  <c r="D35" i="1" s="1"/>
  <c r="P46" i="3"/>
  <c r="AH46" i="3"/>
  <c r="AI46" i="3"/>
  <c r="N62" i="3"/>
  <c r="Q95" i="3"/>
  <c r="P14" i="3"/>
  <c r="AI14" i="3"/>
  <c r="AG46" i="3"/>
  <c r="AF30" i="3"/>
  <c r="N30" i="3"/>
  <c r="N46" i="3"/>
  <c r="O47" i="3" s="1"/>
  <c r="E46" i="3"/>
  <c r="F48" i="1"/>
  <c r="E30" i="3"/>
  <c r="F22" i="1"/>
  <c r="F31" i="1" s="1"/>
  <c r="E62" i="3"/>
  <c r="F65" i="1"/>
  <c r="M63" i="3"/>
  <c r="D66" i="1"/>
  <c r="M95" i="3"/>
  <c r="D100" i="1"/>
  <c r="E78" i="3"/>
  <c r="F82" i="1"/>
  <c r="E94" i="3"/>
  <c r="F99" i="1"/>
  <c r="Q79" i="3"/>
  <c r="D83" i="1"/>
  <c r="M79" i="3"/>
  <c r="Q62" i="3"/>
  <c r="AF62" i="3"/>
  <c r="N67" i="1" s="1"/>
  <c r="AI95" i="3"/>
  <c r="AH14" i="3"/>
  <c r="Q30" i="3"/>
  <c r="AG62" i="3"/>
  <c r="AF14" i="3"/>
  <c r="AH30" i="3"/>
  <c r="N35" i="1" s="1"/>
  <c r="AI30" i="3"/>
  <c r="Q46" i="3"/>
  <c r="AF46" i="3"/>
  <c r="N50" i="1" s="1"/>
  <c r="P62" i="3"/>
  <c r="AH62" i="3"/>
  <c r="AI62" i="3"/>
  <c r="O85" i="3"/>
  <c r="O94" i="3" s="1"/>
  <c r="M85" i="3"/>
  <c r="M94" i="3" s="1"/>
  <c r="N6" i="3"/>
  <c r="L6" i="3"/>
  <c r="O53" i="3"/>
  <c r="O62" i="3" s="1"/>
  <c r="M53" i="3"/>
  <c r="M62" i="3" s="1"/>
  <c r="O7" i="3"/>
  <c r="M7" i="3"/>
  <c r="D8" i="3"/>
  <c r="E8" i="3" s="1"/>
  <c r="O69" i="3"/>
  <c r="O78" i="3" s="1"/>
  <c r="M69" i="3"/>
  <c r="M78" i="3" s="1"/>
  <c r="O37" i="3"/>
  <c r="O46" i="3" s="1"/>
  <c r="M37" i="3"/>
  <c r="M46" i="3" s="1"/>
  <c r="M47" i="3" s="1"/>
  <c r="D49" i="1" s="1"/>
  <c r="O21" i="3"/>
  <c r="O30" i="3" s="1"/>
  <c r="M21" i="3"/>
  <c r="E6" i="3"/>
  <c r="F6" i="1" s="1"/>
  <c r="N7" i="3"/>
  <c r="L7" i="3"/>
  <c r="P48" i="1"/>
  <c r="AG79" i="3"/>
  <c r="AI15" i="3"/>
  <c r="N18" i="1" s="1"/>
  <c r="P31" i="1" l="1"/>
  <c r="P14" i="1"/>
  <c r="AE30" i="3"/>
  <c r="AE31" i="3" s="1"/>
  <c r="N32" i="1" s="1"/>
  <c r="M30" i="3"/>
  <c r="M31" i="3" s="1"/>
  <c r="D32" i="1" s="1"/>
  <c r="AE14" i="3"/>
  <c r="AE15" i="3" s="1"/>
  <c r="N15" i="1" s="1"/>
  <c r="F8" i="1"/>
  <c r="Q8" i="3"/>
  <c r="Q14" i="3" s="1"/>
  <c r="Q15" i="3" s="1"/>
  <c r="D18" i="1" s="1"/>
  <c r="D99" i="3"/>
  <c r="D67" i="1"/>
  <c r="O63" i="3"/>
  <c r="AG31" i="3"/>
  <c r="N33" i="1" s="1"/>
  <c r="D50" i="1"/>
  <c r="AI31" i="3"/>
  <c r="AG63" i="3"/>
  <c r="AI63" i="3"/>
  <c r="AG15" i="3"/>
  <c r="N16" i="1" s="1"/>
  <c r="O8" i="3"/>
  <c r="M8" i="3"/>
  <c r="O6" i="3"/>
  <c r="M6" i="3"/>
  <c r="N8" i="3"/>
  <c r="L8" i="3"/>
  <c r="AI47" i="3"/>
  <c r="AG47" i="3"/>
  <c r="Q63" i="3"/>
  <c r="Q47" i="3"/>
  <c r="Q31" i="3"/>
  <c r="O31" i="3"/>
  <c r="D33" i="1" s="1"/>
  <c r="N99" i="3" l="1"/>
  <c r="D108" i="1" s="1"/>
  <c r="D5" i="3" l="1"/>
  <c r="N5" i="3" l="1"/>
  <c r="N14" i="3" s="1"/>
  <c r="E5" i="3"/>
  <c r="F5" i="1" s="1"/>
  <c r="F14" i="1" s="1"/>
  <c r="L5" i="3"/>
  <c r="L14" i="3" s="1"/>
  <c r="D97" i="3" l="1"/>
  <c r="D98" i="3"/>
  <c r="O5" i="3"/>
  <c r="O14" i="3" s="1"/>
  <c r="O15" i="3" s="1"/>
  <c r="D16" i="1" s="1"/>
  <c r="E14" i="3"/>
  <c r="M5" i="3"/>
  <c r="M14" i="3" s="1"/>
  <c r="M15" i="3" s="1"/>
  <c r="D15" i="1" s="1"/>
  <c r="N97" i="3" l="1"/>
  <c r="D106" i="1" s="1"/>
  <c r="N98" i="3"/>
  <c r="D107" i="1" s="1"/>
</calcChain>
</file>

<file path=xl/sharedStrings.xml><?xml version="1.0" encoding="utf-8"?>
<sst xmlns="http://schemas.openxmlformats.org/spreadsheetml/2006/main" count="483" uniqueCount="87">
  <si>
    <t>Term:</t>
  </si>
  <si>
    <t>Year:</t>
  </si>
  <si>
    <t>No.</t>
  </si>
  <si>
    <t>Course Title</t>
  </si>
  <si>
    <t>Hours</t>
  </si>
  <si>
    <t>Grade</t>
  </si>
  <si>
    <t>Points</t>
  </si>
  <si>
    <t>TR</t>
  </si>
  <si>
    <t>Semesters</t>
  </si>
  <si>
    <t>Summer</t>
  </si>
  <si>
    <t>Term GPA</t>
  </si>
  <si>
    <t>Overall GPA</t>
  </si>
  <si>
    <t>Grades</t>
  </si>
  <si>
    <t>A</t>
  </si>
  <si>
    <t>B</t>
  </si>
  <si>
    <t>C</t>
  </si>
  <si>
    <t>D</t>
  </si>
  <si>
    <t>F</t>
  </si>
  <si>
    <t>B+</t>
  </si>
  <si>
    <t>C+</t>
  </si>
  <si>
    <t>BU GPA</t>
  </si>
  <si>
    <t>Major Pts</t>
  </si>
  <si>
    <t>BU Pts</t>
  </si>
  <si>
    <t>MAJ GPA</t>
  </si>
  <si>
    <t>BU Hrs</t>
  </si>
  <si>
    <t>Major Hrs</t>
  </si>
  <si>
    <t>MAJ</t>
  </si>
  <si>
    <t>RPL</t>
  </si>
  <si>
    <t>Cumulative BU GPA</t>
  </si>
  <si>
    <t>Cumulative Major GPA</t>
  </si>
  <si>
    <t>Maj Hrs</t>
  </si>
  <si>
    <t>Baylor GPA</t>
  </si>
  <si>
    <t>Major GPA</t>
  </si>
  <si>
    <t>Prefix</t>
  </si>
  <si>
    <t>Transfer</t>
  </si>
  <si>
    <t>Major</t>
  </si>
  <si>
    <t>Replaced</t>
  </si>
  <si>
    <t>Term Totals</t>
  </si>
  <si>
    <t>Cumulative Baylor GPA</t>
  </si>
  <si>
    <t>Fall</t>
  </si>
  <si>
    <t>Spring</t>
  </si>
  <si>
    <t xml:space="preserve">The Academic Planner and GPA Calculator is designed to aid in plotting your course for your academic career and tracking your progress toward your goal of graduation.  You can use this tool to plan courses for your degree and major.  You can add courses for a minor if you decide you want to pursue one.  </t>
  </si>
  <si>
    <t>DIRECTIONS:</t>
  </si>
  <si>
    <t>- Select a term (Fall, Spring, or Summer) from the drop-down menu</t>
  </si>
  <si>
    <t>- Enter the year for that term</t>
  </si>
  <si>
    <t>- Fill in the Course prefix (PHY, CHE, etc.) and number (1305, 3304, etc.)</t>
  </si>
  <si>
    <t>Baylor GPA – This is the GPA for the specified term.  Any courses replaced in a later semester are not included in this calculation.</t>
  </si>
  <si>
    <r>
      <t xml:space="preserve">Major GPA – This is the calculated GPA for courses indicated as required for the major in accordance with the appropriate </t>
    </r>
    <r>
      <rPr>
        <i/>
        <sz val="11"/>
        <color theme="1"/>
        <rFont val="Calibri"/>
        <family val="2"/>
        <scheme val="minor"/>
      </rPr>
      <t>Undergraduate Catalog</t>
    </r>
    <r>
      <rPr>
        <sz val="11"/>
        <color theme="1"/>
        <rFont val="Calibri"/>
        <family val="2"/>
        <scheme val="minor"/>
      </rPr>
      <t>.  The GPA does not include courses that were replaced.</t>
    </r>
  </si>
  <si>
    <t>Cumulative Baylor/Major GPA – These are the overall GPA for either the indicated Major courses or overall Baylor GPA with the replaced grades not included in the GPA.</t>
  </si>
  <si>
    <t>If you have any questions or concerns with the GPA, academic planning, or filling out the GPA calculator, contact your academic advisor.</t>
  </si>
  <si>
    <t>DEFINITIONS:</t>
  </si>
  <si>
    <t>Devloped by:</t>
  </si>
  <si>
    <t>Overall GPA – This is the cumulative GPA for all terms and includes all grades.  If a course has been repeated, all grades are counted and calculated.</t>
  </si>
  <si>
    <t>Term GPA – This is the GPA for the specific term and includes all grades.</t>
  </si>
  <si>
    <t>To ensure you have a copy, be sure to save the file to your computer.</t>
  </si>
  <si>
    <t xml:space="preserve">Robert J Shipp Jr. </t>
  </si>
  <si>
    <t>Academic Planner and GPA Calculator</t>
  </si>
  <si>
    <t>Total Hrs</t>
  </si>
  <si>
    <t>Grd Pts</t>
  </si>
  <si>
    <t>Ttl Pts</t>
  </si>
  <si>
    <t>Ttl Hrs</t>
  </si>
  <si>
    <t>QHrs</t>
  </si>
  <si>
    <t>Cumulative GPA</t>
  </si>
  <si>
    <t>- Fill in the number of credit hours for that course (This is the second digit of the course number).</t>
  </si>
  <si>
    <t>- Enter the grade you received or plan on receiving for the course.</t>
  </si>
  <si>
    <t>- Enter an "X” under Transfer if credit was received from an exam (AP, SAT II, CLEP, etc.) or was taken from another college.</t>
  </si>
  <si>
    <t>- If the course is a required course for your major, place an “X” under the Major column</t>
  </si>
  <si>
    <t>- If this course has been repeated and replaced later, place a “X” under the column labeled Replaced.</t>
  </si>
  <si>
    <t>Total number of hours planned</t>
  </si>
  <si>
    <t>Hours needed for graduation</t>
  </si>
  <si>
    <t>Hours remaining to plan</t>
  </si>
  <si>
    <t>Upper Level Hours</t>
  </si>
  <si>
    <r>
      <rPr>
        <b/>
        <i/>
        <u/>
        <sz val="11"/>
        <color theme="1"/>
        <rFont val="Calibri"/>
        <family val="2"/>
        <scheme val="minor"/>
      </rPr>
      <t>NOTE:</t>
    </r>
    <r>
      <rPr>
        <sz val="11"/>
        <color theme="1"/>
        <rFont val="Calibri"/>
        <family val="2"/>
        <scheme val="minor"/>
      </rPr>
      <t xml:space="preserve">  Courses with grades of P, FA, CR, W, or NC are not calculated into the GPA.  On these courses, you will not see a value in the points column of the calculation sheet.</t>
    </r>
  </si>
  <si>
    <t>W</t>
  </si>
  <si>
    <t>Qual Pts</t>
  </si>
  <si>
    <t>Pts</t>
  </si>
  <si>
    <t>GPA</t>
  </si>
  <si>
    <t>Cumulative BCMP GPA</t>
  </si>
  <si>
    <t>A-</t>
  </si>
  <si>
    <t>B-</t>
  </si>
  <si>
    <t>C-</t>
  </si>
  <si>
    <t>D-</t>
  </si>
  <si>
    <t>BCMP GPA</t>
  </si>
  <si>
    <t>University Advisement, Baylor University</t>
  </si>
  <si>
    <t>D+</t>
  </si>
  <si>
    <t>BCMP GPA - This is the GPA for all Biology, Chemistry, Math, and Physics courses.  This calculation is important if you are a premedicine student.  The calculation includes all grades.</t>
  </si>
  <si>
    <t>Please note that this calculator reflects the latest grading policy which includes pluses and minuses for each letter grade.  For calulating GPA prior to the 2014 grading policy, please contact your academic advisor.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</si>
</sst>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409]mmmm\ d\,\ yyyy;@"/>
  </numFmts>
  <fonts count="13" x14ac:knownFonts="1">
    <font>
      <sz val="11"/>
      <color theme="1"/>
      <name val="Calibri"/>
      <family val="2"/>
      <scheme val="minor"/>
    </font>
    <font>
      <b/>
      <sz val="11"/>
      <color theme="1"/>
      <name val="Calibri"/>
      <family val="2"/>
      <scheme val="minor"/>
    </font>
    <font>
      <sz val="9"/>
      <name val="Arial"/>
      <family val="2"/>
    </font>
    <font>
      <b/>
      <sz val="7"/>
      <name val="Arial"/>
      <family val="2"/>
    </font>
    <font>
      <sz val="7"/>
      <name val="Arial"/>
      <family val="2"/>
    </font>
    <font>
      <b/>
      <sz val="9"/>
      <name val="Arial"/>
      <family val="2"/>
    </font>
    <font>
      <b/>
      <i/>
      <sz val="14"/>
      <color theme="1"/>
      <name val="Calibri"/>
      <family val="2"/>
      <scheme val="minor"/>
    </font>
    <font>
      <sz val="11"/>
      <color theme="0"/>
      <name val="Calibri"/>
      <family val="2"/>
      <scheme val="minor"/>
    </font>
    <font>
      <i/>
      <sz val="11"/>
      <color theme="1"/>
      <name val="Calibri"/>
      <family val="2"/>
      <scheme val="minor"/>
    </font>
    <font>
      <b/>
      <i/>
      <sz val="16"/>
      <color theme="1"/>
      <name val="Calibri"/>
      <family val="2"/>
      <scheme val="minor"/>
    </font>
    <font>
      <b/>
      <sz val="12"/>
      <color theme="1"/>
      <name val="Calibri"/>
      <family val="2"/>
      <scheme val="minor"/>
    </font>
    <font>
      <sz val="12"/>
      <color theme="1"/>
      <name val="Calibri"/>
      <family val="2"/>
      <scheme val="minor"/>
    </font>
    <font>
      <b/>
      <i/>
      <u/>
      <sz val="11"/>
      <color theme="1"/>
      <name val="Calibri"/>
      <family val="2"/>
      <scheme val="minor"/>
    </font>
  </fonts>
  <fills count="3">
    <fill>
      <patternFill patternType="none"/>
    </fill>
    <fill>
      <patternFill patternType="gray125"/>
    </fill>
    <fill>
      <patternFill patternType="solid">
        <fgColor theme="1"/>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double">
        <color indexed="64"/>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s>
  <cellStyleXfs count="1">
    <xf numFmtId="0" fontId="0" fillId="0" borderId="0"/>
  </cellStyleXfs>
  <cellXfs count="85">
    <xf numFmtId="0" fontId="0" fillId="0" borderId="0" xfId="0"/>
    <xf numFmtId="0" fontId="4" fillId="0" borderId="9" xfId="0" applyNumberFormat="1" applyFont="1" applyFill="1" applyBorder="1" applyAlignment="1" applyProtection="1">
      <alignment horizontal="center" vertical="center"/>
      <protection locked="0"/>
    </xf>
    <xf numFmtId="0" fontId="4" fillId="0" borderId="8" xfId="0" applyNumberFormat="1" applyFont="1" applyFill="1" applyBorder="1" applyAlignment="1" applyProtection="1">
      <alignment horizontal="center" vertical="center"/>
      <protection locked="0"/>
    </xf>
    <xf numFmtId="0" fontId="4" fillId="0" borderId="2" xfId="0" applyNumberFormat="1" applyFont="1" applyFill="1" applyBorder="1" applyAlignment="1" applyProtection="1">
      <alignment horizontal="left" vertical="center"/>
      <protection locked="0"/>
    </xf>
    <xf numFmtId="0" fontId="4" fillId="0" borderId="9" xfId="0" applyNumberFormat="1" applyFont="1" applyFill="1" applyBorder="1" applyAlignment="1" applyProtection="1">
      <alignment horizontal="left" vertical="center"/>
      <protection locked="0"/>
    </xf>
    <xf numFmtId="0" fontId="4" fillId="0" borderId="7" xfId="0" applyNumberFormat="1" applyFont="1" applyFill="1" applyBorder="1" applyAlignment="1" applyProtection="1">
      <alignment horizontal="left" vertical="center"/>
      <protection locked="0"/>
    </xf>
    <xf numFmtId="0" fontId="4" fillId="0" borderId="7" xfId="0" applyNumberFormat="1" applyFont="1" applyFill="1" applyBorder="1" applyAlignment="1" applyProtection="1">
      <alignment horizontal="center" vertical="center"/>
      <protection locked="0"/>
    </xf>
    <xf numFmtId="0" fontId="6" fillId="0" borderId="0" xfId="0" applyNumberFormat="1" applyFont="1" applyBorder="1" applyAlignment="1"/>
    <xf numFmtId="0" fontId="6" fillId="0" borderId="0" xfId="0" applyNumberFormat="1" applyFont="1" applyBorder="1" applyAlignment="1">
      <alignment vertical="center"/>
    </xf>
    <xf numFmtId="0" fontId="0" fillId="0" borderId="0" xfId="0" applyNumberFormat="1" applyAlignment="1">
      <alignment vertical="top"/>
    </xf>
    <xf numFmtId="0" fontId="0" fillId="0" borderId="0" xfId="0" applyAlignment="1">
      <alignment wrapText="1"/>
    </xf>
    <xf numFmtId="0" fontId="0" fillId="0" borderId="11" xfId="0" applyBorder="1" applyAlignment="1">
      <alignment horizontal="left" wrapText="1"/>
    </xf>
    <xf numFmtId="0" fontId="0" fillId="0" borderId="26" xfId="0" applyBorder="1" applyAlignment="1">
      <alignment wrapText="1"/>
    </xf>
    <xf numFmtId="0" fontId="0" fillId="0" borderId="11" xfId="0" applyBorder="1" applyAlignment="1">
      <alignment wrapText="1"/>
    </xf>
    <xf numFmtId="0" fontId="0" fillId="0" borderId="12" xfId="0" applyBorder="1" applyAlignment="1">
      <alignment wrapText="1"/>
    </xf>
    <xf numFmtId="0" fontId="9" fillId="0" borderId="24" xfId="0" applyNumberFormat="1" applyFont="1" applyBorder="1" applyAlignment="1">
      <alignment horizontal="center" vertical="center"/>
    </xf>
    <xf numFmtId="0" fontId="10" fillId="0" borderId="25" xfId="0" applyFont="1" applyBorder="1" applyAlignment="1">
      <alignment wrapText="1"/>
    </xf>
    <xf numFmtId="0" fontId="0" fillId="0" borderId="0" xfId="0" applyFont="1"/>
    <xf numFmtId="0" fontId="10" fillId="0" borderId="27" xfId="0" applyFont="1" applyBorder="1" applyAlignment="1">
      <alignment wrapText="1"/>
    </xf>
    <xf numFmtId="0" fontId="11" fillId="0" borderId="11" xfId="0" applyFont="1" applyBorder="1" applyAlignment="1">
      <alignment wrapText="1"/>
    </xf>
    <xf numFmtId="0" fontId="0" fillId="0" borderId="0" xfId="0" applyNumberFormat="1" applyProtection="1">
      <protection hidden="1"/>
    </xf>
    <xf numFmtId="0" fontId="1" fillId="0" borderId="10" xfId="0" applyNumberFormat="1" applyFont="1" applyBorder="1" applyProtection="1">
      <protection hidden="1"/>
    </xf>
    <xf numFmtId="0" fontId="0" fillId="0" borderId="0" xfId="0" applyNumberFormat="1" applyAlignment="1" applyProtection="1">
      <alignment horizontal="left"/>
      <protection hidden="1"/>
    </xf>
    <xf numFmtId="0" fontId="2" fillId="2" borderId="11" xfId="0" applyNumberFormat="1" applyFont="1" applyFill="1" applyBorder="1" applyProtection="1">
      <protection hidden="1"/>
    </xf>
    <xf numFmtId="0" fontId="3" fillId="0" borderId="1" xfId="0" applyNumberFormat="1" applyFont="1" applyFill="1" applyBorder="1" applyAlignment="1" applyProtection="1">
      <alignment horizontal="left" vertical="center"/>
      <protection hidden="1"/>
    </xf>
    <xf numFmtId="0" fontId="2" fillId="0" borderId="0" xfId="0" applyNumberFormat="1" applyFont="1" applyFill="1" applyAlignment="1" applyProtection="1">
      <alignment horizontal="left"/>
      <protection hidden="1"/>
    </xf>
    <xf numFmtId="0" fontId="2" fillId="0" borderId="0" xfId="0" applyNumberFormat="1" applyFont="1" applyFill="1" applyProtection="1">
      <protection hidden="1"/>
    </xf>
    <xf numFmtId="0" fontId="2" fillId="0" borderId="11" xfId="0" applyNumberFormat="1" applyFont="1" applyFill="1" applyBorder="1" applyProtection="1">
      <protection hidden="1"/>
    </xf>
    <xf numFmtId="0" fontId="3" fillId="0" borderId="5" xfId="0" applyNumberFormat="1" applyFont="1" applyFill="1" applyBorder="1" applyAlignment="1" applyProtection="1">
      <alignment horizontal="left" vertical="center"/>
      <protection hidden="1"/>
    </xf>
    <xf numFmtId="0" fontId="3" fillId="0" borderId="6" xfId="0" applyNumberFormat="1" applyFont="1" applyFill="1" applyBorder="1" applyAlignment="1" applyProtection="1">
      <alignment horizontal="left" vertical="center"/>
      <protection hidden="1"/>
    </xf>
    <xf numFmtId="0" fontId="3" fillId="0" borderId="4" xfId="0" applyNumberFormat="1" applyFont="1" applyFill="1" applyBorder="1" applyAlignment="1" applyProtection="1">
      <alignment horizontal="left" vertical="center"/>
      <protection hidden="1"/>
    </xf>
    <xf numFmtId="0" fontId="4" fillId="0" borderId="9" xfId="0" applyNumberFormat="1" applyFont="1" applyFill="1" applyBorder="1" applyAlignment="1" applyProtection="1">
      <alignment horizontal="center" vertical="center"/>
      <protection hidden="1"/>
    </xf>
    <xf numFmtId="0" fontId="2" fillId="0" borderId="12" xfId="0" applyNumberFormat="1" applyFont="1" applyFill="1" applyBorder="1" applyProtection="1">
      <protection hidden="1"/>
    </xf>
    <xf numFmtId="0" fontId="2" fillId="0" borderId="1" xfId="0" applyNumberFormat="1" applyFont="1" applyFill="1" applyBorder="1" applyAlignment="1" applyProtection="1">
      <alignment horizontal="left"/>
      <protection hidden="1"/>
    </xf>
    <xf numFmtId="0" fontId="2" fillId="0" borderId="2" xfId="0" applyNumberFormat="1" applyFont="1" applyFill="1" applyBorder="1" applyAlignment="1" applyProtection="1">
      <alignment horizontal="left"/>
      <protection hidden="1"/>
    </xf>
    <xf numFmtId="0" fontId="5" fillId="0" borderId="3" xfId="0" applyNumberFormat="1" applyFont="1" applyFill="1" applyBorder="1" applyAlignment="1" applyProtection="1">
      <alignment horizontal="right"/>
      <protection hidden="1"/>
    </xf>
    <xf numFmtId="0" fontId="5" fillId="0" borderId="9" xfId="0" applyNumberFormat="1" applyFont="1" applyFill="1" applyBorder="1" applyAlignment="1" applyProtection="1">
      <alignment horizontal="center"/>
      <protection hidden="1"/>
    </xf>
    <xf numFmtId="0" fontId="2" fillId="0" borderId="3" xfId="0" applyNumberFormat="1" applyFont="1" applyFill="1" applyBorder="1" applyAlignment="1" applyProtection="1">
      <alignment horizontal="center"/>
      <protection hidden="1"/>
    </xf>
    <xf numFmtId="0" fontId="2" fillId="0" borderId="0" xfId="0" applyNumberFormat="1" applyFont="1" applyFill="1" applyBorder="1" applyAlignment="1" applyProtection="1">
      <alignment horizontal="left"/>
      <protection hidden="1"/>
    </xf>
    <xf numFmtId="0" fontId="5" fillId="0" borderId="0" xfId="0" applyNumberFormat="1" applyFont="1" applyFill="1" applyBorder="1" applyAlignment="1" applyProtection="1">
      <alignment horizontal="right"/>
      <protection hidden="1"/>
    </xf>
    <xf numFmtId="164" fontId="5" fillId="0" borderId="0" xfId="0" applyNumberFormat="1" applyFont="1" applyFill="1" applyBorder="1" applyAlignment="1" applyProtection="1">
      <alignment horizontal="left"/>
      <protection hidden="1"/>
    </xf>
    <xf numFmtId="0" fontId="5" fillId="0" borderId="0" xfId="0" applyNumberFormat="1" applyFont="1" applyFill="1" applyBorder="1" applyAlignment="1" applyProtection="1">
      <alignment horizontal="center"/>
      <protection hidden="1"/>
    </xf>
    <xf numFmtId="0" fontId="2" fillId="0" borderId="0" xfId="0" applyNumberFormat="1" applyFont="1" applyFill="1" applyBorder="1" applyAlignment="1" applyProtection="1">
      <alignment horizontal="center"/>
      <protection hidden="1"/>
    </xf>
    <xf numFmtId="0" fontId="5" fillId="0" borderId="0" xfId="0" applyNumberFormat="1" applyFont="1" applyFill="1" applyBorder="1" applyAlignment="1" applyProtection="1">
      <alignment horizontal="left"/>
      <protection hidden="1"/>
    </xf>
    <xf numFmtId="164" fontId="0" fillId="0" borderId="0" xfId="0" applyNumberFormat="1" applyAlignment="1" applyProtection="1">
      <alignment horizontal="left"/>
      <protection hidden="1"/>
    </xf>
    <xf numFmtId="0" fontId="7" fillId="0" borderId="0" xfId="0" applyNumberFormat="1" applyFont="1" applyAlignment="1" applyProtection="1">
      <alignment horizontal="left"/>
      <protection hidden="1"/>
    </xf>
    <xf numFmtId="0" fontId="3" fillId="0" borderId="0" xfId="0" applyNumberFormat="1" applyFont="1" applyFill="1" applyBorder="1" applyAlignment="1" applyProtection="1">
      <alignment horizontal="center" vertical="center"/>
      <protection hidden="1"/>
    </xf>
    <xf numFmtId="0" fontId="3" fillId="0" borderId="0" xfId="0" applyNumberFormat="1" applyFont="1" applyFill="1" applyBorder="1" applyAlignment="1" applyProtection="1">
      <alignment horizontal="left" vertical="center"/>
      <protection hidden="1"/>
    </xf>
    <xf numFmtId="0" fontId="3" fillId="0" borderId="0" xfId="0" applyNumberFormat="1" applyFont="1" applyFill="1" applyBorder="1" applyAlignment="1" applyProtection="1">
      <alignment horizontal="right" vertical="center"/>
      <protection hidden="1"/>
    </xf>
    <xf numFmtId="164" fontId="3" fillId="0" borderId="0" xfId="0" applyNumberFormat="1" applyFont="1" applyFill="1" applyBorder="1" applyAlignment="1" applyProtection="1">
      <alignment horizontal="center" vertical="center"/>
      <protection hidden="1"/>
    </xf>
    <xf numFmtId="0" fontId="0" fillId="0" borderId="11" xfId="0" quotePrefix="1" applyBorder="1" applyAlignment="1">
      <alignment horizontal="left" wrapText="1"/>
    </xf>
    <xf numFmtId="0" fontId="0" fillId="0" borderId="0" xfId="0" applyBorder="1" applyAlignment="1">
      <alignment horizontal="left" wrapText="1"/>
    </xf>
    <xf numFmtId="0" fontId="0" fillId="0" borderId="12" xfId="0" quotePrefix="1" applyBorder="1" applyAlignment="1">
      <alignment horizontal="left" wrapText="1"/>
    </xf>
    <xf numFmtId="0" fontId="0" fillId="0" borderId="14" xfId="0" applyNumberFormat="1" applyBorder="1" applyAlignment="1" applyProtection="1">
      <alignment horizontal="center"/>
      <protection hidden="1"/>
    </xf>
    <xf numFmtId="0" fontId="0" fillId="0" borderId="16" xfId="0" applyNumberFormat="1" applyBorder="1" applyAlignment="1" applyProtection="1">
      <alignment horizontal="center"/>
      <protection hidden="1"/>
    </xf>
    <xf numFmtId="0" fontId="0" fillId="0" borderId="18" xfId="0" applyNumberFormat="1" applyBorder="1" applyAlignment="1" applyProtection="1">
      <alignment horizontal="center"/>
      <protection hidden="1"/>
    </xf>
    <xf numFmtId="0" fontId="0" fillId="0" borderId="28" xfId="0" applyNumberFormat="1" applyBorder="1" applyAlignment="1" applyProtection="1">
      <alignment horizontal="center"/>
      <protection hidden="1"/>
    </xf>
    <xf numFmtId="164" fontId="0" fillId="0" borderId="9" xfId="0" applyNumberFormat="1" applyBorder="1" applyAlignment="1" applyProtection="1">
      <alignment horizontal="left"/>
      <protection hidden="1"/>
    </xf>
    <xf numFmtId="0" fontId="0" fillId="0" borderId="0" xfId="0" applyAlignment="1">
      <alignment horizontal="center"/>
    </xf>
    <xf numFmtId="0" fontId="0" fillId="0" borderId="9" xfId="0" applyBorder="1" applyAlignment="1">
      <alignment horizontal="center"/>
    </xf>
    <xf numFmtId="0" fontId="3" fillId="0" borderId="9" xfId="0" applyNumberFormat="1" applyFont="1" applyFill="1" applyBorder="1" applyAlignment="1" applyProtection="1">
      <alignment horizontal="center" vertical="center"/>
      <protection hidden="1"/>
    </xf>
    <xf numFmtId="2" fontId="3" fillId="0" borderId="0" xfId="0" applyNumberFormat="1" applyFont="1" applyFill="1" applyBorder="1" applyAlignment="1" applyProtection="1">
      <alignment horizontal="center" vertical="center"/>
      <protection hidden="1"/>
    </xf>
    <xf numFmtId="0" fontId="0" fillId="0" borderId="0" xfId="0" applyBorder="1" applyAlignment="1" applyProtection="1">
      <alignment horizontal="left"/>
      <protection hidden="1"/>
    </xf>
    <xf numFmtId="165" fontId="0" fillId="0" borderId="0" xfId="0" applyNumberFormat="1" applyBorder="1" applyAlignment="1" applyProtection="1">
      <alignment horizontal="left"/>
      <protection hidden="1"/>
    </xf>
    <xf numFmtId="0" fontId="1" fillId="0" borderId="9" xfId="0" applyNumberFormat="1" applyFont="1" applyBorder="1" applyAlignment="1" applyProtection="1">
      <alignment horizontal="right"/>
      <protection hidden="1"/>
    </xf>
    <xf numFmtId="0" fontId="0" fillId="0" borderId="15" xfId="0" applyNumberFormat="1" applyBorder="1" applyAlignment="1" applyProtection="1">
      <alignment horizontal="center"/>
      <protection hidden="1"/>
    </xf>
    <xf numFmtId="0" fontId="0" fillId="0" borderId="9" xfId="0" applyNumberFormat="1" applyBorder="1" applyAlignment="1" applyProtection="1">
      <alignment horizontal="center"/>
      <protection hidden="1"/>
    </xf>
    <xf numFmtId="0" fontId="0" fillId="0" borderId="17" xfId="0" applyNumberFormat="1" applyBorder="1" applyAlignment="1" applyProtection="1">
      <alignment horizontal="center"/>
      <protection hidden="1"/>
    </xf>
    <xf numFmtId="0" fontId="0" fillId="0" borderId="23" xfId="0" applyNumberFormat="1" applyBorder="1" applyAlignment="1" applyProtection="1">
      <alignment horizontal="center"/>
      <protection hidden="1"/>
    </xf>
    <xf numFmtId="0" fontId="3" fillId="0" borderId="1" xfId="0" applyNumberFormat="1" applyFont="1" applyFill="1" applyBorder="1" applyAlignment="1" applyProtection="1">
      <alignment horizontal="center" vertical="center"/>
      <protection hidden="1"/>
    </xf>
    <xf numFmtId="0" fontId="3" fillId="0" borderId="2" xfId="0" applyNumberFormat="1" applyFont="1" applyFill="1" applyBorder="1" applyAlignment="1" applyProtection="1">
      <alignment horizontal="center" vertical="center"/>
      <protection hidden="1"/>
    </xf>
    <xf numFmtId="0" fontId="1" fillId="0" borderId="9" xfId="0" applyNumberFormat="1" applyFont="1" applyBorder="1" applyAlignment="1" applyProtection="1">
      <alignment horizontal="right" vertical="center"/>
      <protection hidden="1"/>
    </xf>
    <xf numFmtId="0" fontId="0" fillId="0" borderId="13" xfId="0" applyNumberFormat="1" applyBorder="1" applyAlignment="1" applyProtection="1">
      <alignment horizontal="center"/>
      <protection hidden="1"/>
    </xf>
    <xf numFmtId="0" fontId="0" fillId="0" borderId="22" xfId="0" applyNumberFormat="1" applyBorder="1" applyAlignment="1" applyProtection="1">
      <alignment horizontal="center"/>
      <protection hidden="1"/>
    </xf>
    <xf numFmtId="0" fontId="0" fillId="0" borderId="29" xfId="0" applyNumberFormat="1" applyBorder="1" applyAlignment="1" applyProtection="1">
      <alignment horizontal="center"/>
      <protection hidden="1"/>
    </xf>
    <xf numFmtId="0" fontId="0" fillId="0" borderId="2" xfId="0" applyNumberFormat="1" applyBorder="1" applyAlignment="1" applyProtection="1">
      <alignment horizontal="center"/>
      <protection hidden="1"/>
    </xf>
    <xf numFmtId="0" fontId="0" fillId="0" borderId="3" xfId="0" applyNumberFormat="1" applyBorder="1" applyAlignment="1" applyProtection="1">
      <alignment horizontal="center"/>
      <protection hidden="1"/>
    </xf>
    <xf numFmtId="0" fontId="6" fillId="0" borderId="19" xfId="0" applyNumberFormat="1" applyFont="1" applyBorder="1" applyAlignment="1" applyProtection="1">
      <alignment horizontal="center"/>
      <protection hidden="1"/>
    </xf>
    <xf numFmtId="0" fontId="6" fillId="0" borderId="20" xfId="0" applyNumberFormat="1" applyFont="1" applyBorder="1" applyAlignment="1" applyProtection="1">
      <alignment horizontal="center"/>
      <protection hidden="1"/>
    </xf>
    <xf numFmtId="0" fontId="6" fillId="0" borderId="21" xfId="0" applyNumberFormat="1" applyFont="1" applyBorder="1" applyAlignment="1" applyProtection="1">
      <alignment horizontal="center"/>
      <protection hidden="1"/>
    </xf>
    <xf numFmtId="0" fontId="4" fillId="0" borderId="2" xfId="0" applyNumberFormat="1" applyFont="1" applyFill="1" applyBorder="1" applyAlignment="1" applyProtection="1">
      <alignment horizontal="left"/>
      <protection locked="0"/>
    </xf>
    <xf numFmtId="0" fontId="4" fillId="0" borderId="3" xfId="0" applyNumberFormat="1" applyFont="1" applyFill="1" applyBorder="1" applyAlignment="1" applyProtection="1">
      <alignment horizontal="left"/>
      <protection locked="0"/>
    </xf>
    <xf numFmtId="0" fontId="3" fillId="0" borderId="0" xfId="0" applyNumberFormat="1" applyFont="1" applyFill="1" applyBorder="1" applyAlignment="1" applyProtection="1">
      <alignment horizontal="center" vertical="center"/>
      <protection hidden="1"/>
    </xf>
    <xf numFmtId="0" fontId="0" fillId="0" borderId="9" xfId="0" applyBorder="1" applyAlignment="1">
      <alignment horizontal="center" vertical="center" wrapText="1"/>
    </xf>
    <xf numFmtId="0" fontId="3" fillId="0" borderId="9" xfId="0" applyNumberFormat="1" applyFont="1" applyFill="1" applyBorder="1" applyAlignment="1" applyProtection="1">
      <alignment horizontal="center" vertical="center"/>
      <protection hidden="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T32"/>
  <sheetViews>
    <sheetView showGridLines="0" tabSelected="1" showRuler="0" view="pageLayout" zoomScaleNormal="100" workbookViewId="0">
      <selection activeCell="B6" sqref="B6"/>
    </sheetView>
  </sheetViews>
  <sheetFormatPr defaultRowHeight="15" x14ac:dyDescent="0.25"/>
  <cols>
    <col min="1" max="1" width="4.28515625" customWidth="1"/>
    <col min="2" max="2" width="82.7109375" customWidth="1"/>
  </cols>
  <sheetData>
    <row r="1" spans="1:20" ht="21.75" thickBot="1" x14ac:dyDescent="0.35">
      <c r="B1" s="15" t="s">
        <v>56</v>
      </c>
      <c r="C1" s="8"/>
      <c r="D1" s="8"/>
      <c r="E1" s="8"/>
      <c r="F1" s="8"/>
      <c r="G1" s="8"/>
      <c r="H1" s="8"/>
      <c r="I1" s="8"/>
      <c r="J1" s="8"/>
      <c r="K1" s="8"/>
      <c r="L1" s="8"/>
      <c r="M1" s="8"/>
      <c r="N1" s="8"/>
      <c r="O1" s="7"/>
      <c r="P1" s="7"/>
      <c r="Q1" s="7"/>
      <c r="R1" s="7"/>
      <c r="S1" s="7"/>
      <c r="T1" s="7"/>
    </row>
    <row r="2" spans="1:20" ht="60.75" thickTop="1" x14ac:dyDescent="0.25">
      <c r="B2" s="10" t="s">
        <v>41</v>
      </c>
      <c r="C2" s="9"/>
      <c r="D2" s="9"/>
      <c r="E2" s="9"/>
      <c r="F2" s="9"/>
      <c r="G2" s="9"/>
      <c r="H2" s="9"/>
      <c r="I2" s="9"/>
      <c r="J2" s="9"/>
    </row>
    <row r="3" spans="1:20" x14ac:dyDescent="0.25">
      <c r="B3" s="10"/>
      <c r="C3" s="9"/>
      <c r="D3" s="9"/>
      <c r="E3" s="9"/>
      <c r="F3" s="9"/>
      <c r="G3" s="9"/>
      <c r="H3" s="9"/>
      <c r="I3" s="9"/>
      <c r="J3" s="9"/>
    </row>
    <row r="4" spans="1:20" ht="45" x14ac:dyDescent="0.25">
      <c r="B4" s="10" t="s">
        <v>86</v>
      </c>
      <c r="C4" s="9"/>
      <c r="D4" s="9"/>
      <c r="E4" s="9"/>
      <c r="F4" s="9"/>
      <c r="G4" s="9"/>
      <c r="H4" s="9"/>
      <c r="I4" s="9"/>
      <c r="J4" s="9"/>
    </row>
    <row r="5" spans="1:20" ht="15.75" thickBot="1" x14ac:dyDescent="0.3">
      <c r="B5" s="10"/>
      <c r="C5" s="9"/>
      <c r="D5" s="9"/>
      <c r="E5" s="9"/>
      <c r="F5" s="9"/>
      <c r="G5" s="9"/>
      <c r="H5" s="9"/>
      <c r="I5" s="9"/>
      <c r="J5" s="9"/>
    </row>
    <row r="6" spans="1:20" ht="15.75" x14ac:dyDescent="0.25">
      <c r="B6" s="18" t="s">
        <v>42</v>
      </c>
      <c r="C6" s="9"/>
      <c r="D6" s="9"/>
      <c r="E6" s="9"/>
      <c r="F6" s="9"/>
      <c r="G6" s="9"/>
      <c r="H6" s="9"/>
      <c r="I6" s="9"/>
      <c r="J6" s="9"/>
    </row>
    <row r="7" spans="1:20" ht="15.75" x14ac:dyDescent="0.25">
      <c r="A7" s="17"/>
      <c r="B7" s="19" t="s">
        <v>54</v>
      </c>
      <c r="C7" s="9"/>
      <c r="D7" s="9"/>
      <c r="E7" s="9"/>
      <c r="F7" s="9"/>
      <c r="G7" s="9"/>
      <c r="H7" s="9"/>
      <c r="I7" s="9"/>
      <c r="J7" s="9"/>
    </row>
    <row r="8" spans="1:20" x14ac:dyDescent="0.25">
      <c r="B8" s="11" t="s">
        <v>43</v>
      </c>
      <c r="C8" s="9"/>
      <c r="D8" s="9"/>
      <c r="E8" s="9"/>
      <c r="F8" s="9"/>
      <c r="G8" s="9"/>
      <c r="H8" s="9"/>
      <c r="I8" s="9"/>
      <c r="J8" s="9"/>
    </row>
    <row r="9" spans="1:20" x14ac:dyDescent="0.25">
      <c r="B9" s="11" t="s">
        <v>44</v>
      </c>
      <c r="C9" s="9"/>
      <c r="D9" s="9"/>
      <c r="E9" s="9"/>
      <c r="F9" s="9"/>
      <c r="G9" s="9"/>
      <c r="H9" s="9"/>
      <c r="I9" s="9"/>
      <c r="J9" s="9"/>
    </row>
    <row r="10" spans="1:20" x14ac:dyDescent="0.25">
      <c r="B10" s="11" t="s">
        <v>45</v>
      </c>
      <c r="C10" s="9"/>
      <c r="D10" s="9"/>
      <c r="E10" s="9"/>
      <c r="F10" s="9"/>
      <c r="G10" s="9"/>
      <c r="H10" s="9"/>
      <c r="I10" s="9"/>
      <c r="J10" s="9"/>
    </row>
    <row r="11" spans="1:20" ht="30" x14ac:dyDescent="0.25">
      <c r="B11" s="50" t="s">
        <v>63</v>
      </c>
      <c r="C11" s="9"/>
      <c r="D11" s="9"/>
      <c r="E11" s="9"/>
      <c r="F11" s="9"/>
      <c r="G11" s="9"/>
      <c r="H11" s="9"/>
      <c r="I11" s="9"/>
      <c r="J11" s="9"/>
    </row>
    <row r="12" spans="1:20" x14ac:dyDescent="0.25">
      <c r="B12" s="50" t="s">
        <v>64</v>
      </c>
    </row>
    <row r="13" spans="1:20" ht="30" x14ac:dyDescent="0.25">
      <c r="B13" s="50" t="s">
        <v>65</v>
      </c>
    </row>
    <row r="14" spans="1:20" x14ac:dyDescent="0.25">
      <c r="B14" s="50" t="s">
        <v>66</v>
      </c>
    </row>
    <row r="15" spans="1:20" ht="30.75" thickBot="1" x14ac:dyDescent="0.3">
      <c r="B15" s="52" t="s">
        <v>67</v>
      </c>
    </row>
    <row r="16" spans="1:20" x14ac:dyDescent="0.25">
      <c r="B16" s="51"/>
    </row>
    <row r="17" spans="2:2" ht="30" x14ac:dyDescent="0.25">
      <c r="B17" s="51" t="s">
        <v>72</v>
      </c>
    </row>
    <row r="18" spans="2:2" ht="15.75" thickBot="1" x14ac:dyDescent="0.3">
      <c r="B18" s="10"/>
    </row>
    <row r="19" spans="2:2" ht="16.5" thickBot="1" x14ac:dyDescent="0.3">
      <c r="B19" s="16" t="s">
        <v>50</v>
      </c>
    </row>
    <row r="20" spans="2:2" ht="15.75" thickTop="1" x14ac:dyDescent="0.25">
      <c r="B20" s="12" t="s">
        <v>53</v>
      </c>
    </row>
    <row r="21" spans="2:2" ht="3.6" customHeight="1" x14ac:dyDescent="0.25">
      <c r="B21" s="13"/>
    </row>
    <row r="22" spans="2:2" ht="30" x14ac:dyDescent="0.25">
      <c r="B22" s="13" t="s">
        <v>46</v>
      </c>
    </row>
    <row r="23" spans="2:2" ht="3.6" customHeight="1" x14ac:dyDescent="0.25">
      <c r="B23" s="13"/>
    </row>
    <row r="24" spans="2:2" ht="45" x14ac:dyDescent="0.25">
      <c r="B24" s="13" t="s">
        <v>47</v>
      </c>
    </row>
    <row r="25" spans="2:2" ht="3.6" customHeight="1" x14ac:dyDescent="0.25">
      <c r="B25" s="13"/>
    </row>
    <row r="26" spans="2:2" ht="30" x14ac:dyDescent="0.25">
      <c r="B26" s="13" t="s">
        <v>52</v>
      </c>
    </row>
    <row r="27" spans="2:2" ht="3.6" customHeight="1" x14ac:dyDescent="0.25">
      <c r="B27" s="13"/>
    </row>
    <row r="28" spans="2:2" ht="32.25" customHeight="1" x14ac:dyDescent="0.25">
      <c r="B28" s="13" t="s">
        <v>85</v>
      </c>
    </row>
    <row r="29" spans="2:2" ht="3.6" customHeight="1" x14ac:dyDescent="0.25">
      <c r="B29" s="13"/>
    </row>
    <row r="30" spans="2:2" ht="30.75" thickBot="1" x14ac:dyDescent="0.3">
      <c r="B30" s="14" t="s">
        <v>48</v>
      </c>
    </row>
    <row r="31" spans="2:2" x14ac:dyDescent="0.25">
      <c r="B31" s="10"/>
    </row>
    <row r="32" spans="2:2" ht="30" x14ac:dyDescent="0.25">
      <c r="B32" s="10" t="s">
        <v>49</v>
      </c>
    </row>
  </sheetData>
  <sheetProtection password="D0A3" sheet="1" objects="1" scenarios="1" selectLockedCells="1"/>
  <pageMargins left="0.7" right="0.7" top="0.75" bottom="0.75" header="0.3" footer="0.3"/>
  <pageSetup orientation="portrait" r:id="rId1"/>
  <headerFooter>
    <oddFooter>&amp;LDeveloped by Robert J Shipp Jr
University Advisement, Baylor University&amp;CPage &amp;P of &amp;N&amp;RVersion Date: June 9, 2014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B109"/>
  <sheetViews>
    <sheetView showGridLines="0" showRuler="0" zoomScaleNormal="100" workbookViewId="0">
      <selection activeCell="H24" sqref="H24"/>
    </sheetView>
  </sheetViews>
  <sheetFormatPr defaultRowHeight="15" x14ac:dyDescent="0.25"/>
  <cols>
    <col min="1" max="2" width="5.7109375" style="22" customWidth="1"/>
    <col min="3" max="3" width="15.5703125" style="22" bestFit="1" customWidth="1"/>
    <col min="4" max="4" width="7.5703125" style="22" bestFit="1" customWidth="1"/>
    <col min="5" max="5" width="5.5703125" style="22" bestFit="1" customWidth="1"/>
    <col min="6" max="6" width="6.28515625" style="22" bestFit="1" customWidth="1"/>
    <col min="7" max="7" width="7.42578125" style="22" bestFit="1" customWidth="1"/>
    <col min="8" max="8" width="5.5703125" style="22" bestFit="1" customWidth="1"/>
    <col min="9" max="9" width="8" style="22" bestFit="1" customWidth="1"/>
    <col min="10" max="10" width="2.140625" style="22" customWidth="1"/>
    <col min="11" max="12" width="5.7109375" style="22" customWidth="1"/>
    <col min="13" max="13" width="15.5703125" style="22" bestFit="1" customWidth="1"/>
    <col min="14" max="14" width="8.42578125" style="22" bestFit="1" customWidth="1"/>
    <col min="15" max="15" width="5.5703125" style="22" bestFit="1" customWidth="1"/>
    <col min="16" max="16" width="6.28515625" style="22" bestFit="1" customWidth="1"/>
    <col min="17" max="17" width="7.42578125" style="22" bestFit="1" customWidth="1"/>
    <col min="18" max="18" width="5.5703125" style="22" bestFit="1" customWidth="1"/>
    <col min="19" max="19" width="8" style="22" bestFit="1" customWidth="1"/>
    <col min="20" max="26" width="9.140625" style="20"/>
    <col min="27" max="27" width="10.28515625" style="20" hidden="1" customWidth="1"/>
    <col min="28" max="28" width="9.140625" style="20"/>
    <col min="29" max="30" width="5" style="20" customWidth="1"/>
    <col min="31" max="16384" width="9.140625" style="20"/>
  </cols>
  <sheetData>
    <row r="1" spans="1:27" ht="18.75" x14ac:dyDescent="0.3">
      <c r="A1" s="77" t="s">
        <v>56</v>
      </c>
      <c r="B1" s="78"/>
      <c r="C1" s="78"/>
      <c r="D1" s="78"/>
      <c r="E1" s="78"/>
      <c r="F1" s="78"/>
      <c r="G1" s="78"/>
      <c r="H1" s="78"/>
      <c r="I1" s="78"/>
      <c r="J1" s="78"/>
      <c r="K1" s="78"/>
      <c r="L1" s="78"/>
      <c r="M1" s="78"/>
      <c r="N1" s="78"/>
      <c r="O1" s="78"/>
      <c r="P1" s="78"/>
      <c r="Q1" s="78"/>
      <c r="R1" s="78"/>
      <c r="S1" s="79"/>
      <c r="AA1" s="21" t="s">
        <v>8</v>
      </c>
    </row>
    <row r="2" spans="1:27" ht="7.5" customHeight="1" x14ac:dyDescent="0.25">
      <c r="AA2" s="23"/>
    </row>
    <row r="3" spans="1:27" s="26" customFormat="1" ht="13.5" customHeight="1" x14ac:dyDescent="0.2">
      <c r="A3" s="69" t="s">
        <v>0</v>
      </c>
      <c r="B3" s="70"/>
      <c r="C3" s="3"/>
      <c r="D3" s="24" t="s">
        <v>1</v>
      </c>
      <c r="E3" s="80"/>
      <c r="F3" s="80"/>
      <c r="G3" s="80"/>
      <c r="H3" s="80"/>
      <c r="I3" s="81"/>
      <c r="J3" s="25"/>
      <c r="K3" s="69" t="s">
        <v>0</v>
      </c>
      <c r="L3" s="70"/>
      <c r="M3" s="3"/>
      <c r="N3" s="24" t="s">
        <v>1</v>
      </c>
      <c r="O3" s="80"/>
      <c r="P3" s="80"/>
      <c r="Q3" s="80"/>
      <c r="R3" s="80"/>
      <c r="S3" s="81"/>
      <c r="AA3" s="27" t="s">
        <v>39</v>
      </c>
    </row>
    <row r="4" spans="1:27" s="26" customFormat="1" ht="13.5" customHeight="1" x14ac:dyDescent="0.2">
      <c r="A4" s="28" t="s">
        <v>33</v>
      </c>
      <c r="B4" s="28" t="s">
        <v>2</v>
      </c>
      <c r="C4" s="28" t="s">
        <v>3</v>
      </c>
      <c r="D4" s="29" t="s">
        <v>4</v>
      </c>
      <c r="E4" s="29" t="s">
        <v>5</v>
      </c>
      <c r="F4" s="29" t="s">
        <v>6</v>
      </c>
      <c r="G4" s="30" t="s">
        <v>34</v>
      </c>
      <c r="H4" s="30" t="s">
        <v>35</v>
      </c>
      <c r="I4" s="30" t="s">
        <v>36</v>
      </c>
      <c r="J4" s="25"/>
      <c r="K4" s="28" t="s">
        <v>33</v>
      </c>
      <c r="L4" s="28" t="s">
        <v>2</v>
      </c>
      <c r="M4" s="28" t="s">
        <v>3</v>
      </c>
      <c r="N4" s="29" t="s">
        <v>4</v>
      </c>
      <c r="O4" s="29" t="s">
        <v>5</v>
      </c>
      <c r="P4" s="29" t="s">
        <v>6</v>
      </c>
      <c r="Q4" s="30" t="s">
        <v>34</v>
      </c>
      <c r="R4" s="30" t="s">
        <v>35</v>
      </c>
      <c r="S4" s="30" t="s">
        <v>36</v>
      </c>
      <c r="AA4" s="27" t="s">
        <v>40</v>
      </c>
    </row>
    <row r="5" spans="1:27" s="26" customFormat="1" ht="13.5" customHeight="1" thickBot="1" x14ac:dyDescent="0.25">
      <c r="A5" s="4"/>
      <c r="B5" s="4"/>
      <c r="C5" s="4"/>
      <c r="D5" s="1"/>
      <c r="E5" s="1"/>
      <c r="F5" s="31" t="str">
        <f>'GPA Formulas'!E5</f>
        <v/>
      </c>
      <c r="G5" s="1"/>
      <c r="H5" s="1"/>
      <c r="I5" s="1"/>
      <c r="J5" s="25"/>
      <c r="K5" s="4"/>
      <c r="L5" s="4"/>
      <c r="M5" s="4"/>
      <c r="N5" s="1"/>
      <c r="O5" s="1"/>
      <c r="P5" s="31" t="str">
        <f>'GPA Formulas'!W5</f>
        <v/>
      </c>
      <c r="Q5" s="1"/>
      <c r="R5" s="1"/>
      <c r="S5" s="1"/>
      <c r="AA5" s="32" t="s">
        <v>9</v>
      </c>
    </row>
    <row r="6" spans="1:27" s="26" customFormat="1" ht="13.5" customHeight="1" x14ac:dyDescent="0.2">
      <c r="A6" s="4"/>
      <c r="B6" s="4"/>
      <c r="C6" s="4"/>
      <c r="D6" s="1"/>
      <c r="E6" s="1"/>
      <c r="F6" s="31" t="str">
        <f>'GPA Formulas'!E6</f>
        <v/>
      </c>
      <c r="G6" s="1"/>
      <c r="H6" s="1"/>
      <c r="I6" s="1"/>
      <c r="J6" s="25"/>
      <c r="K6" s="4"/>
      <c r="L6" s="4"/>
      <c r="M6" s="4"/>
      <c r="N6" s="1"/>
      <c r="O6" s="1"/>
      <c r="P6" s="31" t="str">
        <f>'GPA Formulas'!W6</f>
        <v/>
      </c>
      <c r="Q6" s="1"/>
      <c r="R6" s="1"/>
      <c r="S6" s="1"/>
    </row>
    <row r="7" spans="1:27" s="26" customFormat="1" ht="13.5" customHeight="1" x14ac:dyDescent="0.2">
      <c r="A7" s="5"/>
      <c r="B7" s="5"/>
      <c r="C7" s="5"/>
      <c r="D7" s="6"/>
      <c r="E7" s="6"/>
      <c r="F7" s="31" t="str">
        <f>'GPA Formulas'!E7</f>
        <v/>
      </c>
      <c r="G7" s="2"/>
      <c r="H7" s="2"/>
      <c r="I7" s="2"/>
      <c r="J7" s="25"/>
      <c r="K7" s="5"/>
      <c r="L7" s="5"/>
      <c r="M7" s="5"/>
      <c r="N7" s="6"/>
      <c r="O7" s="6"/>
      <c r="P7" s="31" t="str">
        <f>'GPA Formulas'!W7</f>
        <v/>
      </c>
      <c r="Q7" s="2"/>
      <c r="R7" s="2"/>
      <c r="S7" s="2"/>
    </row>
    <row r="8" spans="1:27" s="26" customFormat="1" ht="13.5" customHeight="1" x14ac:dyDescent="0.2">
      <c r="A8" s="5"/>
      <c r="B8" s="5"/>
      <c r="C8" s="5"/>
      <c r="D8" s="6"/>
      <c r="E8" s="6"/>
      <c r="F8" s="31" t="str">
        <f>'GPA Formulas'!E8</f>
        <v/>
      </c>
      <c r="G8" s="2"/>
      <c r="H8" s="2"/>
      <c r="I8" s="2"/>
      <c r="J8" s="25"/>
      <c r="K8" s="5"/>
      <c r="L8" s="5"/>
      <c r="M8" s="5"/>
      <c r="N8" s="6"/>
      <c r="O8" s="6"/>
      <c r="P8" s="31" t="str">
        <f>'GPA Formulas'!W8</f>
        <v/>
      </c>
      <c r="Q8" s="2"/>
      <c r="R8" s="2"/>
      <c r="S8" s="2"/>
    </row>
    <row r="9" spans="1:27" s="26" customFormat="1" ht="13.5" customHeight="1" x14ac:dyDescent="0.2">
      <c r="A9" s="5"/>
      <c r="B9" s="5"/>
      <c r="C9" s="5"/>
      <c r="D9" s="6"/>
      <c r="E9" s="6"/>
      <c r="F9" s="31" t="str">
        <f>'GPA Formulas'!E9</f>
        <v/>
      </c>
      <c r="G9" s="2"/>
      <c r="H9" s="2"/>
      <c r="I9" s="2"/>
      <c r="J9" s="25"/>
      <c r="K9" s="5"/>
      <c r="L9" s="5"/>
      <c r="M9" s="5"/>
      <c r="N9" s="6"/>
      <c r="O9" s="6"/>
      <c r="P9" s="31" t="str">
        <f>'GPA Formulas'!W9</f>
        <v/>
      </c>
      <c r="Q9" s="2"/>
      <c r="R9" s="2"/>
      <c r="S9" s="2"/>
    </row>
    <row r="10" spans="1:27" s="26" customFormat="1" ht="13.5" customHeight="1" x14ac:dyDescent="0.2">
      <c r="A10" s="5"/>
      <c r="B10" s="5"/>
      <c r="C10" s="5"/>
      <c r="D10" s="6"/>
      <c r="E10" s="6"/>
      <c r="F10" s="31" t="str">
        <f>'GPA Formulas'!E10</f>
        <v/>
      </c>
      <c r="G10" s="2"/>
      <c r="H10" s="2"/>
      <c r="I10" s="2"/>
      <c r="J10" s="25"/>
      <c r="K10" s="5"/>
      <c r="L10" s="5"/>
      <c r="M10" s="5"/>
      <c r="N10" s="6"/>
      <c r="O10" s="6"/>
      <c r="P10" s="31" t="str">
        <f>'GPA Formulas'!W10</f>
        <v/>
      </c>
      <c r="Q10" s="2"/>
      <c r="R10" s="2"/>
      <c r="S10" s="2"/>
    </row>
    <row r="11" spans="1:27" s="26" customFormat="1" ht="13.5" customHeight="1" x14ac:dyDescent="0.2">
      <c r="A11" s="5"/>
      <c r="B11" s="5"/>
      <c r="C11" s="5"/>
      <c r="D11" s="6"/>
      <c r="E11" s="6"/>
      <c r="F11" s="31" t="str">
        <f>'GPA Formulas'!E11</f>
        <v/>
      </c>
      <c r="G11" s="2"/>
      <c r="H11" s="2"/>
      <c r="I11" s="2"/>
      <c r="J11" s="25"/>
      <c r="K11" s="5"/>
      <c r="L11" s="5"/>
      <c r="M11" s="5"/>
      <c r="N11" s="6"/>
      <c r="O11" s="6"/>
      <c r="P11" s="31" t="str">
        <f>'GPA Formulas'!W11</f>
        <v/>
      </c>
      <c r="Q11" s="2"/>
      <c r="R11" s="2"/>
      <c r="S11" s="2"/>
    </row>
    <row r="12" spans="1:27" s="26" customFormat="1" ht="13.5" customHeight="1" x14ac:dyDescent="0.2">
      <c r="A12" s="5"/>
      <c r="B12" s="5"/>
      <c r="C12" s="5"/>
      <c r="D12" s="6"/>
      <c r="E12" s="6"/>
      <c r="F12" s="31" t="str">
        <f>'GPA Formulas'!E12</f>
        <v/>
      </c>
      <c r="G12" s="2"/>
      <c r="H12" s="2"/>
      <c r="I12" s="2"/>
      <c r="J12" s="25"/>
      <c r="K12" s="5"/>
      <c r="L12" s="5"/>
      <c r="M12" s="5"/>
      <c r="N12" s="6"/>
      <c r="O12" s="6"/>
      <c r="P12" s="31" t="str">
        <f>'GPA Formulas'!W12</f>
        <v/>
      </c>
      <c r="Q12" s="2"/>
      <c r="R12" s="2"/>
      <c r="S12" s="2"/>
    </row>
    <row r="13" spans="1:27" s="26" customFormat="1" ht="13.5" customHeight="1" x14ac:dyDescent="0.2">
      <c r="A13" s="5"/>
      <c r="B13" s="5"/>
      <c r="C13" s="5"/>
      <c r="D13" s="6"/>
      <c r="E13" s="6"/>
      <c r="F13" s="31" t="str">
        <f>'GPA Formulas'!E13</f>
        <v/>
      </c>
      <c r="G13" s="2"/>
      <c r="H13" s="2"/>
      <c r="I13" s="2"/>
      <c r="J13" s="25"/>
      <c r="K13" s="5"/>
      <c r="L13" s="5"/>
      <c r="M13" s="5"/>
      <c r="N13" s="6"/>
      <c r="O13" s="6"/>
      <c r="P13" s="31" t="str">
        <f>'GPA Formulas'!W13</f>
        <v/>
      </c>
      <c r="Q13" s="2"/>
      <c r="R13" s="2"/>
      <c r="S13" s="2"/>
    </row>
    <row r="14" spans="1:27" s="26" customFormat="1" ht="13.5" customHeight="1" x14ac:dyDescent="0.2">
      <c r="A14" s="33"/>
      <c r="B14" s="34"/>
      <c r="C14" s="35" t="s">
        <v>37</v>
      </c>
      <c r="D14" s="36">
        <f>SUM(D5:D13)</f>
        <v>0</v>
      </c>
      <c r="E14" s="36"/>
      <c r="F14" s="36">
        <f t="shared" ref="F14" si="0">SUM(F5:F13)</f>
        <v>0</v>
      </c>
      <c r="G14" s="37"/>
      <c r="H14" s="37"/>
      <c r="I14" s="37"/>
      <c r="J14" s="25"/>
      <c r="K14" s="33"/>
      <c r="L14" s="34"/>
      <c r="M14" s="35" t="s">
        <v>37</v>
      </c>
      <c r="N14" s="36">
        <f>SUM(N5:N13)</f>
        <v>0</v>
      </c>
      <c r="O14" s="36"/>
      <c r="P14" s="36">
        <f t="shared" ref="P14" si="1">SUM(P5:P13)</f>
        <v>0</v>
      </c>
      <c r="Q14" s="37"/>
      <c r="R14" s="37"/>
      <c r="S14" s="37"/>
    </row>
    <row r="15" spans="1:27" s="26" customFormat="1" ht="13.5" customHeight="1" x14ac:dyDescent="0.2">
      <c r="A15" s="38"/>
      <c r="B15" s="38"/>
      <c r="C15" s="39" t="s">
        <v>10</v>
      </c>
      <c r="D15" s="40" t="str">
        <f>IF('GPA Formulas'!L14=0,"",'GPA Formulas'!M15)</f>
        <v/>
      </c>
      <c r="F15" s="41"/>
      <c r="G15" s="42"/>
      <c r="H15" s="42"/>
      <c r="I15" s="42"/>
      <c r="J15" s="25"/>
      <c r="K15" s="38"/>
      <c r="L15" s="38"/>
      <c r="M15" s="39" t="s">
        <v>10</v>
      </c>
      <c r="N15" s="40" t="str">
        <f>IF('GPA Formulas'!AD14=0,"",'GPA Formulas'!AE15)</f>
        <v/>
      </c>
      <c r="P15" s="41"/>
      <c r="Q15" s="42"/>
      <c r="R15" s="42"/>
      <c r="S15" s="42"/>
    </row>
    <row r="16" spans="1:27" s="26" customFormat="1" ht="13.5" customHeight="1" x14ac:dyDescent="0.2">
      <c r="A16" s="38"/>
      <c r="B16" s="38"/>
      <c r="C16" s="39" t="s">
        <v>31</v>
      </c>
      <c r="D16" s="40" t="str">
        <f>IF('GPA Formulas'!N14=0,"",'GPA Formulas'!O15)</f>
        <v/>
      </c>
      <c r="F16" s="43"/>
      <c r="G16" s="38"/>
      <c r="H16" s="38"/>
      <c r="I16" s="38"/>
      <c r="J16" s="25"/>
      <c r="K16" s="38"/>
      <c r="L16" s="38"/>
      <c r="M16" s="39" t="s">
        <v>31</v>
      </c>
      <c r="N16" s="40" t="str">
        <f>IF('GPA Formulas'!AF14=0,"",'GPA Formulas'!AG15)</f>
        <v/>
      </c>
      <c r="P16" s="43"/>
      <c r="Q16" s="38"/>
      <c r="R16" s="38"/>
      <c r="S16" s="38"/>
    </row>
    <row r="17" spans="1:28" s="26" customFormat="1" ht="13.5" customHeight="1" x14ac:dyDescent="0.2">
      <c r="A17" s="38"/>
      <c r="B17" s="38"/>
      <c r="C17" s="39" t="s">
        <v>82</v>
      </c>
      <c r="D17" s="40" t="str">
        <f>IF('BCMP GPA Calc'!E11=0,"",'BCMP GPA Calc'!E11)</f>
        <v/>
      </c>
      <c r="F17" s="43"/>
      <c r="G17" s="38"/>
      <c r="H17" s="38"/>
      <c r="I17" s="38"/>
      <c r="J17" s="25"/>
      <c r="K17" s="38"/>
      <c r="L17" s="38"/>
      <c r="M17" s="39" t="s">
        <v>82</v>
      </c>
      <c r="N17" s="40" t="str">
        <f>IF('BCMP GPA Calc'!L11=0,"",'BCMP GPA Calc'!L11)</f>
        <v/>
      </c>
      <c r="P17" s="43"/>
      <c r="Q17" s="38"/>
      <c r="R17" s="38"/>
      <c r="S17" s="38"/>
    </row>
    <row r="18" spans="1:28" s="26" customFormat="1" ht="13.5" customHeight="1" x14ac:dyDescent="0.25">
      <c r="A18" s="38"/>
      <c r="B18" s="38"/>
      <c r="C18" s="39" t="s">
        <v>32</v>
      </c>
      <c r="D18" s="40" t="str">
        <f>IF('GPA Formulas'!P14=0,"",'GPA Formulas'!Q15)</f>
        <v/>
      </c>
      <c r="F18" s="43"/>
      <c r="G18" s="38"/>
      <c r="H18" s="38"/>
      <c r="I18" s="38"/>
      <c r="J18" s="25"/>
      <c r="K18" s="38"/>
      <c r="L18" s="38"/>
      <c r="M18" s="39" t="s">
        <v>32</v>
      </c>
      <c r="N18" s="40" t="str">
        <f>IF('GPA Formulas'!AH14=0,"",'GPA Formulas'!AI15)</f>
        <v/>
      </c>
      <c r="P18" s="43"/>
      <c r="Q18" s="38"/>
      <c r="R18" s="38"/>
      <c r="S18" s="38"/>
      <c r="AA18" s="20"/>
    </row>
    <row r="19" spans="1:28" ht="7.5" customHeight="1" x14ac:dyDescent="0.25">
      <c r="AB19" s="26"/>
    </row>
    <row r="20" spans="1:28" s="26" customFormat="1" ht="13.5" customHeight="1" x14ac:dyDescent="0.25">
      <c r="A20" s="69" t="s">
        <v>0</v>
      </c>
      <c r="B20" s="70"/>
      <c r="C20" s="3"/>
      <c r="D20" s="24" t="s">
        <v>1</v>
      </c>
      <c r="E20" s="80"/>
      <c r="F20" s="80"/>
      <c r="G20" s="80"/>
      <c r="H20" s="80"/>
      <c r="I20" s="81"/>
      <c r="J20" s="25"/>
      <c r="K20" s="69" t="s">
        <v>0</v>
      </c>
      <c r="L20" s="70"/>
      <c r="M20" s="3"/>
      <c r="N20" s="24" t="s">
        <v>1</v>
      </c>
      <c r="O20" s="80"/>
      <c r="P20" s="80"/>
      <c r="Q20" s="80"/>
      <c r="R20" s="80"/>
      <c r="S20" s="81"/>
      <c r="AA20" s="20"/>
    </row>
    <row r="21" spans="1:28" s="26" customFormat="1" ht="13.5" customHeight="1" x14ac:dyDescent="0.2">
      <c r="A21" s="28" t="s">
        <v>33</v>
      </c>
      <c r="B21" s="28" t="s">
        <v>2</v>
      </c>
      <c r="C21" s="28" t="s">
        <v>3</v>
      </c>
      <c r="D21" s="29" t="s">
        <v>4</v>
      </c>
      <c r="E21" s="29" t="s">
        <v>5</v>
      </c>
      <c r="F21" s="29" t="s">
        <v>6</v>
      </c>
      <c r="G21" s="30" t="s">
        <v>34</v>
      </c>
      <c r="H21" s="30" t="s">
        <v>35</v>
      </c>
      <c r="I21" s="30" t="s">
        <v>36</v>
      </c>
      <c r="J21" s="25"/>
      <c r="K21" s="28" t="s">
        <v>33</v>
      </c>
      <c r="L21" s="28" t="s">
        <v>2</v>
      </c>
      <c r="M21" s="28" t="s">
        <v>3</v>
      </c>
      <c r="N21" s="29" t="s">
        <v>4</v>
      </c>
      <c r="O21" s="29" t="s">
        <v>5</v>
      </c>
      <c r="P21" s="29" t="s">
        <v>6</v>
      </c>
      <c r="Q21" s="30" t="s">
        <v>34</v>
      </c>
      <c r="R21" s="30" t="s">
        <v>35</v>
      </c>
      <c r="S21" s="30" t="s">
        <v>36</v>
      </c>
      <c r="AA21" s="27" t="s">
        <v>40</v>
      </c>
    </row>
    <row r="22" spans="1:28" s="26" customFormat="1" ht="13.5" customHeight="1" x14ac:dyDescent="0.2">
      <c r="A22" s="4"/>
      <c r="B22" s="4"/>
      <c r="C22" s="4"/>
      <c r="D22" s="1"/>
      <c r="E22" s="1"/>
      <c r="F22" s="31" t="str">
        <f>'GPA Formulas'!E21</f>
        <v/>
      </c>
      <c r="G22" s="1"/>
      <c r="H22" s="1"/>
      <c r="I22" s="1"/>
      <c r="J22" s="25"/>
      <c r="K22" s="4"/>
      <c r="L22" s="4"/>
      <c r="M22" s="4"/>
      <c r="N22" s="1"/>
      <c r="O22" s="1"/>
      <c r="P22" s="31" t="str">
        <f>'GPA Formulas'!W21</f>
        <v/>
      </c>
      <c r="Q22" s="1"/>
      <c r="R22" s="1"/>
      <c r="S22" s="1"/>
    </row>
    <row r="23" spans="1:28" s="26" customFormat="1" ht="13.5" customHeight="1" x14ac:dyDescent="0.2">
      <c r="A23" s="4"/>
      <c r="B23" s="4"/>
      <c r="C23" s="4"/>
      <c r="D23" s="1"/>
      <c r="E23" s="1"/>
      <c r="F23" s="31" t="str">
        <f>'GPA Formulas'!E22</f>
        <v/>
      </c>
      <c r="G23" s="1"/>
      <c r="H23" s="1"/>
      <c r="I23" s="1"/>
      <c r="J23" s="25"/>
      <c r="K23" s="4"/>
      <c r="L23" s="4"/>
      <c r="M23" s="4"/>
      <c r="N23" s="1"/>
      <c r="O23" s="1"/>
      <c r="P23" s="31" t="str">
        <f>'GPA Formulas'!W22</f>
        <v/>
      </c>
      <c r="Q23" s="1"/>
      <c r="R23" s="1"/>
      <c r="S23" s="1"/>
    </row>
    <row r="24" spans="1:28" s="26" customFormat="1" ht="13.5" customHeight="1" x14ac:dyDescent="0.2">
      <c r="A24" s="5"/>
      <c r="B24" s="5"/>
      <c r="C24" s="5"/>
      <c r="D24" s="6"/>
      <c r="E24" s="6"/>
      <c r="F24" s="31" t="str">
        <f>'GPA Formulas'!E23</f>
        <v/>
      </c>
      <c r="G24" s="2"/>
      <c r="H24" s="2"/>
      <c r="I24" s="2"/>
      <c r="J24" s="25"/>
      <c r="K24" s="5"/>
      <c r="L24" s="5"/>
      <c r="M24" s="5"/>
      <c r="N24" s="6"/>
      <c r="O24" s="6"/>
      <c r="P24" s="31" t="str">
        <f>'GPA Formulas'!W23</f>
        <v/>
      </c>
      <c r="Q24" s="2"/>
      <c r="R24" s="2"/>
      <c r="S24" s="2"/>
    </row>
    <row r="25" spans="1:28" s="26" customFormat="1" ht="13.5" customHeight="1" x14ac:dyDescent="0.2">
      <c r="A25" s="5"/>
      <c r="B25" s="5"/>
      <c r="C25" s="5"/>
      <c r="D25" s="6"/>
      <c r="E25" s="6"/>
      <c r="F25" s="31" t="str">
        <f>'GPA Formulas'!E24</f>
        <v/>
      </c>
      <c r="G25" s="2"/>
      <c r="H25" s="2"/>
      <c r="I25" s="2"/>
      <c r="J25" s="25"/>
      <c r="K25" s="5"/>
      <c r="L25" s="5"/>
      <c r="M25" s="5"/>
      <c r="N25" s="6"/>
      <c r="O25" s="6"/>
      <c r="P25" s="31" t="str">
        <f>'GPA Formulas'!W24</f>
        <v/>
      </c>
      <c r="Q25" s="2"/>
      <c r="R25" s="2"/>
      <c r="S25" s="2"/>
    </row>
    <row r="26" spans="1:28" s="26" customFormat="1" ht="13.5" customHeight="1" x14ac:dyDescent="0.2">
      <c r="A26" s="5"/>
      <c r="B26" s="5"/>
      <c r="C26" s="5"/>
      <c r="D26" s="6"/>
      <c r="E26" s="6"/>
      <c r="F26" s="31" t="str">
        <f>'GPA Formulas'!E25</f>
        <v/>
      </c>
      <c r="G26" s="2"/>
      <c r="H26" s="2"/>
      <c r="I26" s="2"/>
      <c r="J26" s="25"/>
      <c r="K26" s="5"/>
      <c r="L26" s="5"/>
      <c r="M26" s="5"/>
      <c r="N26" s="6"/>
      <c r="O26" s="6"/>
      <c r="P26" s="31" t="str">
        <f>'GPA Formulas'!W25</f>
        <v/>
      </c>
      <c r="Q26" s="2"/>
      <c r="R26" s="2"/>
      <c r="S26" s="2"/>
    </row>
    <row r="27" spans="1:28" s="26" customFormat="1" ht="13.5" customHeight="1" x14ac:dyDescent="0.2">
      <c r="A27" s="5"/>
      <c r="B27" s="5"/>
      <c r="C27" s="5"/>
      <c r="D27" s="6"/>
      <c r="E27" s="6"/>
      <c r="F27" s="31" t="str">
        <f>'GPA Formulas'!E26</f>
        <v/>
      </c>
      <c r="G27" s="2"/>
      <c r="H27" s="2"/>
      <c r="I27" s="2"/>
      <c r="J27" s="25"/>
      <c r="K27" s="5"/>
      <c r="L27" s="5"/>
      <c r="M27" s="5"/>
      <c r="N27" s="6"/>
      <c r="O27" s="6"/>
      <c r="P27" s="31" t="str">
        <f>'GPA Formulas'!W26</f>
        <v/>
      </c>
      <c r="Q27" s="2"/>
      <c r="R27" s="2"/>
      <c r="S27" s="2"/>
    </row>
    <row r="28" spans="1:28" s="26" customFormat="1" ht="13.5" customHeight="1" x14ac:dyDescent="0.2">
      <c r="A28" s="5"/>
      <c r="B28" s="5"/>
      <c r="C28" s="5"/>
      <c r="D28" s="6"/>
      <c r="E28" s="6"/>
      <c r="F28" s="31" t="str">
        <f>'GPA Formulas'!E27</f>
        <v/>
      </c>
      <c r="G28" s="2"/>
      <c r="H28" s="2"/>
      <c r="I28" s="2"/>
      <c r="J28" s="25"/>
      <c r="K28" s="5"/>
      <c r="L28" s="5"/>
      <c r="M28" s="5"/>
      <c r="N28" s="6"/>
      <c r="O28" s="6"/>
      <c r="P28" s="31" t="str">
        <f>'GPA Formulas'!W27</f>
        <v/>
      </c>
      <c r="Q28" s="2"/>
      <c r="R28" s="2"/>
      <c r="S28" s="2"/>
    </row>
    <row r="29" spans="1:28" s="26" customFormat="1" ht="13.5" customHeight="1" x14ac:dyDescent="0.2">
      <c r="A29" s="5"/>
      <c r="B29" s="5"/>
      <c r="C29" s="5"/>
      <c r="D29" s="6"/>
      <c r="E29" s="6"/>
      <c r="F29" s="31" t="str">
        <f>'GPA Formulas'!E28</f>
        <v/>
      </c>
      <c r="G29" s="2"/>
      <c r="H29" s="2"/>
      <c r="I29" s="2"/>
      <c r="J29" s="25"/>
      <c r="K29" s="5"/>
      <c r="L29" s="5"/>
      <c r="M29" s="5"/>
      <c r="N29" s="6"/>
      <c r="O29" s="6"/>
      <c r="P29" s="31" t="str">
        <f>'GPA Formulas'!W28</f>
        <v/>
      </c>
      <c r="Q29" s="2"/>
      <c r="R29" s="2"/>
      <c r="S29" s="2"/>
    </row>
    <row r="30" spans="1:28" s="26" customFormat="1" ht="13.5" customHeight="1" x14ac:dyDescent="0.2">
      <c r="A30" s="5"/>
      <c r="B30" s="5"/>
      <c r="C30" s="5"/>
      <c r="D30" s="6"/>
      <c r="E30" s="6"/>
      <c r="F30" s="31" t="str">
        <f>'GPA Formulas'!E29</f>
        <v/>
      </c>
      <c r="G30" s="2"/>
      <c r="H30" s="2"/>
      <c r="I30" s="2"/>
      <c r="J30" s="25"/>
      <c r="K30" s="5"/>
      <c r="L30" s="5"/>
      <c r="M30" s="5"/>
      <c r="N30" s="6"/>
      <c r="O30" s="6"/>
      <c r="P30" s="31" t="str">
        <f>'GPA Formulas'!W29</f>
        <v/>
      </c>
      <c r="Q30" s="2"/>
      <c r="R30" s="2"/>
      <c r="S30" s="2"/>
    </row>
    <row r="31" spans="1:28" s="26" customFormat="1" ht="13.5" customHeight="1" x14ac:dyDescent="0.2">
      <c r="A31" s="33"/>
      <c r="B31" s="34"/>
      <c r="C31" s="35" t="s">
        <v>37</v>
      </c>
      <c r="D31" s="36">
        <f>SUM(D22:D30)</f>
        <v>0</v>
      </c>
      <c r="E31" s="36"/>
      <c r="F31" s="36">
        <f t="shared" ref="F31" si="2">SUM(F22:F30)</f>
        <v>0</v>
      </c>
      <c r="G31" s="37"/>
      <c r="H31" s="37"/>
      <c r="I31" s="37"/>
      <c r="J31" s="25"/>
      <c r="K31" s="33"/>
      <c r="L31" s="34"/>
      <c r="M31" s="35" t="s">
        <v>37</v>
      </c>
      <c r="N31" s="36">
        <f>SUM(N22:N30)</f>
        <v>0</v>
      </c>
      <c r="O31" s="36"/>
      <c r="P31" s="36">
        <f t="shared" ref="P31" si="3">SUM(P22:P30)</f>
        <v>0</v>
      </c>
      <c r="Q31" s="37"/>
      <c r="R31" s="37"/>
      <c r="S31" s="37"/>
    </row>
    <row r="32" spans="1:28" s="26" customFormat="1" ht="13.5" customHeight="1" x14ac:dyDescent="0.25">
      <c r="A32" s="38"/>
      <c r="B32" s="38"/>
      <c r="C32" s="39" t="s">
        <v>10</v>
      </c>
      <c r="D32" s="40" t="str">
        <f>IF('GPA Formulas'!L30=0,"",'GPA Formulas'!M31)</f>
        <v/>
      </c>
      <c r="F32" s="43"/>
      <c r="G32" s="38"/>
      <c r="H32" s="38"/>
      <c r="I32" s="38"/>
      <c r="J32" s="25"/>
      <c r="K32" s="38"/>
      <c r="L32" s="38"/>
      <c r="M32" s="39" t="s">
        <v>10</v>
      </c>
      <c r="N32" s="40" t="str">
        <f>IF('GPA Formulas'!AD30=0,"",'GPA Formulas'!AE31)</f>
        <v/>
      </c>
      <c r="P32" s="43"/>
      <c r="Q32" s="38"/>
      <c r="R32" s="38"/>
      <c r="S32" s="38"/>
      <c r="AA32" s="20"/>
    </row>
    <row r="33" spans="1:28" s="26" customFormat="1" ht="13.5" customHeight="1" x14ac:dyDescent="0.2">
      <c r="A33" s="38"/>
      <c r="B33" s="38"/>
      <c r="C33" s="39" t="s">
        <v>31</v>
      </c>
      <c r="D33" s="40" t="str">
        <f>IF('GPA Formulas'!N30=0,"",'GPA Formulas'!O31)</f>
        <v/>
      </c>
      <c r="F33" s="43"/>
      <c r="G33" s="38"/>
      <c r="H33" s="38"/>
      <c r="I33" s="38"/>
      <c r="J33" s="25"/>
      <c r="K33" s="38"/>
      <c r="L33" s="38"/>
      <c r="M33" s="39" t="s">
        <v>31</v>
      </c>
      <c r="N33" s="40" t="str">
        <f>IF('GPA Formulas'!AF30=0,"",'GPA Formulas'!AG31)</f>
        <v/>
      </c>
      <c r="P33" s="43"/>
      <c r="Q33" s="38"/>
      <c r="R33" s="38"/>
      <c r="S33" s="38"/>
    </row>
    <row r="34" spans="1:28" s="26" customFormat="1" ht="13.5" customHeight="1" x14ac:dyDescent="0.2">
      <c r="A34" s="38"/>
      <c r="B34" s="38"/>
      <c r="C34" s="39" t="s">
        <v>82</v>
      </c>
      <c r="D34" s="40" t="str">
        <f>IF('BCMP GPA Calc'!E27=0,"",'BCMP GPA Calc'!E27)</f>
        <v/>
      </c>
      <c r="F34" s="43"/>
      <c r="G34" s="38"/>
      <c r="H34" s="38"/>
      <c r="I34" s="38"/>
      <c r="J34" s="25"/>
      <c r="K34" s="38"/>
      <c r="L34" s="38"/>
      <c r="M34" s="39" t="s">
        <v>82</v>
      </c>
      <c r="N34" s="40" t="str">
        <f>IF('BCMP GPA Calc'!L27=0,"",'BCMP GPA Calc'!L27)</f>
        <v/>
      </c>
      <c r="P34" s="43"/>
      <c r="Q34" s="38"/>
      <c r="R34" s="38"/>
      <c r="S34" s="38"/>
    </row>
    <row r="35" spans="1:28" s="26" customFormat="1" ht="13.5" customHeight="1" x14ac:dyDescent="0.25">
      <c r="A35" s="38"/>
      <c r="B35" s="38"/>
      <c r="C35" s="39" t="s">
        <v>32</v>
      </c>
      <c r="D35" s="40" t="str">
        <f>IF('GPA Formulas'!P30=0,"",'GPA Formulas'!Q31)</f>
        <v/>
      </c>
      <c r="F35" s="43"/>
      <c r="G35" s="38"/>
      <c r="H35" s="38"/>
      <c r="I35" s="38"/>
      <c r="J35" s="25"/>
      <c r="K35" s="38"/>
      <c r="L35" s="38"/>
      <c r="M35" s="39" t="s">
        <v>32</v>
      </c>
      <c r="N35" s="40" t="str">
        <f>IF('GPA Formulas'!AH30=0,"",'GPA Formulas'!AI31)</f>
        <v/>
      </c>
      <c r="P35" s="43"/>
      <c r="Q35" s="38"/>
      <c r="R35" s="38"/>
      <c r="S35" s="38"/>
      <c r="AA35" s="20"/>
    </row>
    <row r="36" spans="1:28" ht="7.5" customHeight="1" x14ac:dyDescent="0.25">
      <c r="AB36" s="26"/>
    </row>
    <row r="37" spans="1:28" s="26" customFormat="1" ht="13.5" customHeight="1" x14ac:dyDescent="0.25">
      <c r="A37" s="69" t="s">
        <v>0</v>
      </c>
      <c r="B37" s="70"/>
      <c r="C37" s="3"/>
      <c r="D37" s="24" t="s">
        <v>1</v>
      </c>
      <c r="E37" s="80"/>
      <c r="F37" s="80"/>
      <c r="G37" s="80"/>
      <c r="H37" s="80"/>
      <c r="I37" s="81"/>
      <c r="J37" s="25"/>
      <c r="K37" s="69" t="s">
        <v>0</v>
      </c>
      <c r="L37" s="70"/>
      <c r="M37" s="3"/>
      <c r="N37" s="24" t="s">
        <v>1</v>
      </c>
      <c r="O37" s="80"/>
      <c r="P37" s="80"/>
      <c r="Q37" s="80"/>
      <c r="R37" s="80"/>
      <c r="S37" s="81"/>
      <c r="AA37" s="20"/>
    </row>
    <row r="38" spans="1:28" s="26" customFormat="1" ht="13.5" customHeight="1" x14ac:dyDescent="0.2">
      <c r="A38" s="28" t="s">
        <v>33</v>
      </c>
      <c r="B38" s="28" t="s">
        <v>2</v>
      </c>
      <c r="C38" s="28" t="s">
        <v>3</v>
      </c>
      <c r="D38" s="29" t="s">
        <v>4</v>
      </c>
      <c r="E38" s="29" t="s">
        <v>5</v>
      </c>
      <c r="F38" s="29" t="s">
        <v>6</v>
      </c>
      <c r="G38" s="30" t="s">
        <v>34</v>
      </c>
      <c r="H38" s="30" t="s">
        <v>35</v>
      </c>
      <c r="I38" s="30" t="s">
        <v>36</v>
      </c>
      <c r="J38" s="25"/>
      <c r="K38" s="28" t="s">
        <v>33</v>
      </c>
      <c r="L38" s="28" t="s">
        <v>2</v>
      </c>
      <c r="M38" s="28" t="s">
        <v>3</v>
      </c>
      <c r="N38" s="29" t="s">
        <v>4</v>
      </c>
      <c r="O38" s="29" t="s">
        <v>5</v>
      </c>
      <c r="P38" s="29" t="s">
        <v>6</v>
      </c>
      <c r="Q38" s="30" t="s">
        <v>34</v>
      </c>
      <c r="R38" s="30" t="s">
        <v>35</v>
      </c>
      <c r="S38" s="30" t="s">
        <v>36</v>
      </c>
      <c r="AA38" s="27" t="s">
        <v>40</v>
      </c>
    </row>
    <row r="39" spans="1:28" s="26" customFormat="1" ht="13.5" customHeight="1" x14ac:dyDescent="0.2">
      <c r="A39" s="4"/>
      <c r="B39" s="4"/>
      <c r="C39" s="4"/>
      <c r="D39" s="1"/>
      <c r="E39" s="1"/>
      <c r="F39" s="31"/>
      <c r="G39" s="1"/>
      <c r="H39" s="1"/>
      <c r="I39" s="1"/>
      <c r="J39" s="25"/>
      <c r="K39" s="4"/>
      <c r="L39" s="4"/>
      <c r="M39" s="4"/>
      <c r="N39" s="1"/>
      <c r="O39" s="1"/>
      <c r="P39" s="31"/>
      <c r="Q39" s="1"/>
      <c r="R39" s="1"/>
      <c r="S39" s="1"/>
    </row>
    <row r="40" spans="1:28" s="26" customFormat="1" ht="13.5" customHeight="1" x14ac:dyDescent="0.2">
      <c r="A40" s="4"/>
      <c r="B40" s="4"/>
      <c r="C40" s="4"/>
      <c r="D40" s="1"/>
      <c r="E40" s="1"/>
      <c r="F40" s="31"/>
      <c r="G40" s="1"/>
      <c r="H40" s="1"/>
      <c r="I40" s="1"/>
      <c r="J40" s="25"/>
      <c r="K40" s="4"/>
      <c r="L40" s="4"/>
      <c r="M40" s="4"/>
      <c r="N40" s="1"/>
      <c r="O40" s="1"/>
      <c r="P40" s="31"/>
      <c r="Q40" s="1"/>
      <c r="R40" s="1"/>
      <c r="S40" s="1"/>
    </row>
    <row r="41" spans="1:28" s="26" customFormat="1" ht="13.5" customHeight="1" x14ac:dyDescent="0.2">
      <c r="A41" s="5"/>
      <c r="B41" s="5"/>
      <c r="C41" s="5"/>
      <c r="D41" s="6"/>
      <c r="E41" s="6"/>
      <c r="F41" s="31"/>
      <c r="G41" s="2"/>
      <c r="H41" s="2"/>
      <c r="I41" s="2"/>
      <c r="J41" s="25"/>
      <c r="K41" s="5"/>
      <c r="L41" s="5"/>
      <c r="M41" s="5"/>
      <c r="N41" s="6"/>
      <c r="O41" s="6"/>
      <c r="P41" s="31"/>
      <c r="Q41" s="2"/>
      <c r="R41" s="2"/>
      <c r="S41" s="2"/>
    </row>
    <row r="42" spans="1:28" s="26" customFormat="1" ht="13.5" customHeight="1" x14ac:dyDescent="0.2">
      <c r="A42" s="5"/>
      <c r="B42" s="5"/>
      <c r="C42" s="5"/>
      <c r="D42" s="6"/>
      <c r="E42" s="6"/>
      <c r="F42" s="31"/>
      <c r="G42" s="2"/>
      <c r="H42" s="2"/>
      <c r="I42" s="2"/>
      <c r="J42" s="25"/>
      <c r="K42" s="5"/>
      <c r="L42" s="5"/>
      <c r="M42" s="5"/>
      <c r="N42" s="6"/>
      <c r="O42" s="6"/>
      <c r="P42" s="31"/>
      <c r="Q42" s="2"/>
      <c r="R42" s="2"/>
      <c r="S42" s="2"/>
    </row>
    <row r="43" spans="1:28" s="26" customFormat="1" ht="13.5" customHeight="1" x14ac:dyDescent="0.2">
      <c r="A43" s="5"/>
      <c r="B43" s="5"/>
      <c r="C43" s="5"/>
      <c r="D43" s="6"/>
      <c r="E43" s="6"/>
      <c r="F43" s="31"/>
      <c r="G43" s="2"/>
      <c r="H43" s="2"/>
      <c r="I43" s="2"/>
      <c r="J43" s="25"/>
      <c r="K43" s="5"/>
      <c r="L43" s="5"/>
      <c r="M43" s="5"/>
      <c r="N43" s="6"/>
      <c r="O43" s="6"/>
      <c r="P43" s="31"/>
      <c r="Q43" s="2"/>
      <c r="R43" s="2"/>
      <c r="S43" s="2"/>
    </row>
    <row r="44" spans="1:28" s="26" customFormat="1" ht="13.5" customHeight="1" x14ac:dyDescent="0.2">
      <c r="A44" s="5"/>
      <c r="B44" s="5"/>
      <c r="C44" s="5"/>
      <c r="D44" s="6"/>
      <c r="E44" s="6"/>
      <c r="F44" s="31"/>
      <c r="G44" s="2"/>
      <c r="H44" s="2"/>
      <c r="I44" s="2"/>
      <c r="J44" s="25"/>
      <c r="K44" s="5"/>
      <c r="L44" s="5"/>
      <c r="M44" s="5"/>
      <c r="N44" s="6"/>
      <c r="O44" s="6"/>
      <c r="P44" s="31"/>
      <c r="Q44" s="2"/>
      <c r="R44" s="2"/>
      <c r="S44" s="2"/>
    </row>
    <row r="45" spans="1:28" s="26" customFormat="1" ht="13.5" customHeight="1" x14ac:dyDescent="0.2">
      <c r="A45" s="5"/>
      <c r="B45" s="5"/>
      <c r="C45" s="5"/>
      <c r="D45" s="6"/>
      <c r="E45" s="6"/>
      <c r="F45" s="31"/>
      <c r="G45" s="2"/>
      <c r="H45" s="2"/>
      <c r="I45" s="2"/>
      <c r="J45" s="25"/>
      <c r="K45" s="5"/>
      <c r="L45" s="5"/>
      <c r="M45" s="5"/>
      <c r="N45" s="6"/>
      <c r="O45" s="6"/>
      <c r="P45" s="31"/>
      <c r="Q45" s="2"/>
      <c r="R45" s="2"/>
      <c r="S45" s="2"/>
    </row>
    <row r="46" spans="1:28" s="26" customFormat="1" ht="13.5" customHeight="1" x14ac:dyDescent="0.2">
      <c r="A46" s="5"/>
      <c r="B46" s="5"/>
      <c r="C46" s="5"/>
      <c r="D46" s="6"/>
      <c r="E46" s="6"/>
      <c r="F46" s="31" t="str">
        <f>'GPA Formulas'!E44</f>
        <v/>
      </c>
      <c r="G46" s="2"/>
      <c r="H46" s="2"/>
      <c r="I46" s="2"/>
      <c r="J46" s="25"/>
      <c r="K46" s="5"/>
      <c r="L46" s="5"/>
      <c r="M46" s="5"/>
      <c r="N46" s="6"/>
      <c r="O46" s="6"/>
      <c r="P46" s="31" t="str">
        <f>'GPA Formulas'!W44</f>
        <v/>
      </c>
      <c r="Q46" s="2"/>
      <c r="R46" s="2"/>
      <c r="S46" s="2"/>
    </row>
    <row r="47" spans="1:28" s="26" customFormat="1" ht="13.5" customHeight="1" x14ac:dyDescent="0.2">
      <c r="A47" s="5"/>
      <c r="B47" s="5"/>
      <c r="C47" s="5"/>
      <c r="D47" s="6"/>
      <c r="E47" s="6"/>
      <c r="F47" s="31" t="str">
        <f>'GPA Formulas'!E45</f>
        <v/>
      </c>
      <c r="G47" s="2"/>
      <c r="H47" s="2"/>
      <c r="I47" s="2"/>
      <c r="J47" s="25"/>
      <c r="K47" s="5"/>
      <c r="L47" s="5"/>
      <c r="M47" s="5"/>
      <c r="N47" s="6"/>
      <c r="O47" s="6"/>
      <c r="P47" s="31" t="str">
        <f>'GPA Formulas'!W45</f>
        <v/>
      </c>
      <c r="Q47" s="2"/>
      <c r="R47" s="2"/>
      <c r="S47" s="2"/>
    </row>
    <row r="48" spans="1:28" s="26" customFormat="1" ht="13.5" customHeight="1" x14ac:dyDescent="0.2">
      <c r="A48" s="33"/>
      <c r="B48" s="34"/>
      <c r="C48" s="35" t="s">
        <v>37</v>
      </c>
      <c r="D48" s="36">
        <f>SUM(D39:D47)</f>
        <v>0</v>
      </c>
      <c r="E48" s="36">
        <f t="shared" ref="E48" si="4">SUM(E39:E47)</f>
        <v>0</v>
      </c>
      <c r="F48" s="36">
        <f t="shared" ref="F48" si="5">SUM(F39:F47)</f>
        <v>0</v>
      </c>
      <c r="G48" s="37"/>
      <c r="H48" s="37"/>
      <c r="I48" s="37"/>
      <c r="J48" s="25"/>
      <c r="K48" s="33"/>
      <c r="L48" s="34"/>
      <c r="M48" s="35" t="s">
        <v>37</v>
      </c>
      <c r="N48" s="36">
        <f>SUM(N39:N47)</f>
        <v>0</v>
      </c>
      <c r="O48" s="36">
        <f t="shared" ref="O48" si="6">SUM(O39:O47)</f>
        <v>0</v>
      </c>
      <c r="P48" s="36">
        <f t="shared" ref="P48" si="7">SUM(P39:P47)</f>
        <v>0</v>
      </c>
      <c r="Q48" s="37"/>
      <c r="R48" s="37"/>
      <c r="S48" s="37"/>
    </row>
    <row r="49" spans="1:27" s="26" customFormat="1" ht="13.5" customHeight="1" x14ac:dyDescent="0.25">
      <c r="A49" s="38"/>
      <c r="B49" s="38"/>
      <c r="C49" s="39" t="s">
        <v>10</v>
      </c>
      <c r="D49" s="40" t="str">
        <f>IF('GPA Formulas'!L46=0,"",'GPA Formulas'!M47)</f>
        <v/>
      </c>
      <c r="F49" s="43"/>
      <c r="G49" s="38"/>
      <c r="H49" s="38"/>
      <c r="I49" s="38"/>
      <c r="J49" s="25"/>
      <c r="K49" s="38"/>
      <c r="L49" s="38"/>
      <c r="M49" s="39" t="s">
        <v>10</v>
      </c>
      <c r="N49" s="40" t="str">
        <f>IF('GPA Formulas'!AD46=0,"",'GPA Formulas'!AE47)</f>
        <v/>
      </c>
      <c r="P49" s="43"/>
      <c r="Q49" s="38"/>
      <c r="R49" s="38"/>
      <c r="S49" s="38"/>
      <c r="AA49" s="20"/>
    </row>
    <row r="50" spans="1:27" s="26" customFormat="1" ht="13.5" customHeight="1" x14ac:dyDescent="0.2">
      <c r="A50" s="38"/>
      <c r="B50" s="38"/>
      <c r="C50" s="39" t="s">
        <v>31</v>
      </c>
      <c r="D50" s="40" t="str">
        <f>IF('GPA Formulas'!N46=0,"",'GPA Formulas'!O47)</f>
        <v/>
      </c>
      <c r="F50" s="43"/>
      <c r="G50" s="38"/>
      <c r="H50" s="38"/>
      <c r="I50" s="38"/>
      <c r="J50" s="25"/>
      <c r="K50" s="38"/>
      <c r="L50" s="38"/>
      <c r="M50" s="39" t="s">
        <v>31</v>
      </c>
      <c r="N50" s="40" t="str">
        <f>IF('GPA Formulas'!AF46=0,"",'GPA Formulas'!AG47)</f>
        <v/>
      </c>
      <c r="P50" s="43"/>
      <c r="Q50" s="38"/>
      <c r="R50" s="38"/>
      <c r="S50" s="38"/>
    </row>
    <row r="51" spans="1:27" s="26" customFormat="1" ht="13.5" customHeight="1" x14ac:dyDescent="0.2">
      <c r="A51" s="38"/>
      <c r="B51" s="38"/>
      <c r="C51" s="39" t="s">
        <v>82</v>
      </c>
      <c r="D51" s="40" t="str">
        <f>IF('BCMP GPA Calc'!E43=0,"",'BCMP GPA Calc'!E43)</f>
        <v/>
      </c>
      <c r="F51" s="43"/>
      <c r="G51" s="38"/>
      <c r="H51" s="38"/>
      <c r="I51" s="38"/>
      <c r="J51" s="25"/>
      <c r="K51" s="38"/>
      <c r="L51" s="38"/>
      <c r="M51" s="39" t="s">
        <v>82</v>
      </c>
      <c r="N51" s="40" t="str">
        <f>IF('BCMP GPA Calc'!L43=0,"",'BCMP GPA Calc'!L43)</f>
        <v/>
      </c>
      <c r="P51" s="43"/>
      <c r="Q51" s="38"/>
      <c r="R51" s="38"/>
      <c r="S51" s="38"/>
    </row>
    <row r="52" spans="1:27" s="26" customFormat="1" ht="13.5" customHeight="1" x14ac:dyDescent="0.25">
      <c r="A52" s="38"/>
      <c r="B52" s="38"/>
      <c r="C52" s="39" t="s">
        <v>32</v>
      </c>
      <c r="D52" s="40" t="str">
        <f>IF('GPA Formulas'!P46=0,"",'GPA Formulas'!Q47)</f>
        <v/>
      </c>
      <c r="F52" s="43"/>
      <c r="G52" s="38"/>
      <c r="H52" s="38"/>
      <c r="I52" s="38"/>
      <c r="J52" s="25"/>
      <c r="K52" s="38"/>
      <c r="L52" s="38"/>
      <c r="M52" s="39" t="s">
        <v>32</v>
      </c>
      <c r="N52" s="40" t="str">
        <f>IF('GPA Formulas'!AH46=0,"",'GPA Formulas'!AI47)</f>
        <v/>
      </c>
      <c r="P52" s="43"/>
      <c r="Q52" s="38"/>
      <c r="R52" s="38"/>
      <c r="S52" s="38"/>
      <c r="AA52" s="20"/>
    </row>
    <row r="53" spans="1:27" s="26" customFormat="1" ht="13.5" customHeight="1" x14ac:dyDescent="0.25">
      <c r="A53" s="38"/>
      <c r="B53" s="38"/>
      <c r="C53" s="39"/>
      <c r="D53" s="40"/>
      <c r="F53" s="43"/>
      <c r="G53" s="38"/>
      <c r="H53" s="38"/>
      <c r="I53" s="38"/>
      <c r="J53" s="25"/>
      <c r="K53" s="38"/>
      <c r="L53" s="38"/>
      <c r="M53" s="39"/>
      <c r="N53" s="40"/>
      <c r="P53" s="43"/>
      <c r="Q53" s="38"/>
      <c r="R53" s="38"/>
      <c r="S53" s="38"/>
      <c r="AA53" s="20"/>
    </row>
    <row r="54" spans="1:27" s="26" customFormat="1" ht="13.5" customHeight="1" x14ac:dyDescent="0.25">
      <c r="A54" s="69" t="s">
        <v>0</v>
      </c>
      <c r="B54" s="70"/>
      <c r="C54" s="3"/>
      <c r="D54" s="24" t="s">
        <v>1</v>
      </c>
      <c r="E54" s="80"/>
      <c r="F54" s="80"/>
      <c r="G54" s="80"/>
      <c r="H54" s="80"/>
      <c r="I54" s="81"/>
      <c r="J54" s="25"/>
      <c r="K54" s="69" t="s">
        <v>0</v>
      </c>
      <c r="L54" s="70"/>
      <c r="M54" s="3"/>
      <c r="N54" s="24" t="s">
        <v>1</v>
      </c>
      <c r="O54" s="80"/>
      <c r="P54" s="80"/>
      <c r="Q54" s="80"/>
      <c r="R54" s="80"/>
      <c r="S54" s="81"/>
      <c r="AA54" s="20"/>
    </row>
    <row r="55" spans="1:27" s="26" customFormat="1" ht="13.5" customHeight="1" x14ac:dyDescent="0.2">
      <c r="A55" s="28" t="s">
        <v>33</v>
      </c>
      <c r="B55" s="28" t="s">
        <v>2</v>
      </c>
      <c r="C55" s="28" t="s">
        <v>3</v>
      </c>
      <c r="D55" s="29" t="s">
        <v>4</v>
      </c>
      <c r="E55" s="29" t="s">
        <v>5</v>
      </c>
      <c r="F55" s="29" t="s">
        <v>6</v>
      </c>
      <c r="G55" s="30" t="s">
        <v>34</v>
      </c>
      <c r="H55" s="30" t="s">
        <v>35</v>
      </c>
      <c r="I55" s="30" t="s">
        <v>36</v>
      </c>
      <c r="J55" s="25"/>
      <c r="K55" s="28" t="s">
        <v>33</v>
      </c>
      <c r="L55" s="28" t="s">
        <v>2</v>
      </c>
      <c r="M55" s="28" t="s">
        <v>3</v>
      </c>
      <c r="N55" s="29" t="s">
        <v>4</v>
      </c>
      <c r="O55" s="29" t="s">
        <v>5</v>
      </c>
      <c r="P55" s="29" t="s">
        <v>6</v>
      </c>
      <c r="Q55" s="30" t="s">
        <v>34</v>
      </c>
      <c r="R55" s="30" t="s">
        <v>35</v>
      </c>
      <c r="S55" s="30" t="s">
        <v>36</v>
      </c>
      <c r="AA55" s="27" t="s">
        <v>40</v>
      </c>
    </row>
    <row r="56" spans="1:27" s="26" customFormat="1" ht="13.5" customHeight="1" x14ac:dyDescent="0.2">
      <c r="A56" s="4"/>
      <c r="B56" s="4"/>
      <c r="C56" s="4"/>
      <c r="D56" s="1"/>
      <c r="E56" s="1"/>
      <c r="F56" s="31"/>
      <c r="G56" s="1"/>
      <c r="H56" s="1"/>
      <c r="I56" s="1"/>
      <c r="J56" s="25"/>
      <c r="K56" s="4"/>
      <c r="L56" s="4"/>
      <c r="M56" s="4"/>
      <c r="N56" s="1"/>
      <c r="O56" s="1"/>
      <c r="P56" s="31"/>
      <c r="Q56" s="1"/>
      <c r="R56" s="1"/>
      <c r="S56" s="1"/>
    </row>
    <row r="57" spans="1:27" s="26" customFormat="1" ht="13.5" customHeight="1" x14ac:dyDescent="0.2">
      <c r="A57" s="4"/>
      <c r="B57" s="4"/>
      <c r="C57" s="4"/>
      <c r="D57" s="1"/>
      <c r="E57" s="1"/>
      <c r="F57" s="31"/>
      <c r="G57" s="1"/>
      <c r="H57" s="1"/>
      <c r="I57" s="1"/>
      <c r="J57" s="25"/>
      <c r="K57" s="4"/>
      <c r="L57" s="4"/>
      <c r="M57" s="4"/>
      <c r="N57" s="1"/>
      <c r="O57" s="1"/>
      <c r="P57" s="31"/>
      <c r="Q57" s="1"/>
      <c r="R57" s="1"/>
      <c r="S57" s="1"/>
    </row>
    <row r="58" spans="1:27" s="26" customFormat="1" ht="13.5" customHeight="1" x14ac:dyDescent="0.2">
      <c r="A58" s="5"/>
      <c r="B58" s="5"/>
      <c r="C58" s="5"/>
      <c r="D58" s="6"/>
      <c r="E58" s="6"/>
      <c r="F58" s="31"/>
      <c r="G58" s="2"/>
      <c r="H58" s="2"/>
      <c r="I58" s="2"/>
      <c r="J58" s="25"/>
      <c r="K58" s="5"/>
      <c r="L58" s="5"/>
      <c r="M58" s="5"/>
      <c r="N58" s="6"/>
      <c r="O58" s="6"/>
      <c r="P58" s="31"/>
      <c r="Q58" s="2"/>
      <c r="R58" s="2"/>
      <c r="S58" s="2"/>
    </row>
    <row r="59" spans="1:27" s="26" customFormat="1" ht="13.5" customHeight="1" x14ac:dyDescent="0.2">
      <c r="A59" s="5"/>
      <c r="B59" s="5"/>
      <c r="C59" s="5"/>
      <c r="D59" s="6"/>
      <c r="E59" s="6"/>
      <c r="F59" s="31"/>
      <c r="G59" s="2"/>
      <c r="H59" s="2"/>
      <c r="I59" s="2"/>
      <c r="J59" s="25"/>
      <c r="K59" s="5"/>
      <c r="L59" s="5"/>
      <c r="M59" s="5"/>
      <c r="N59" s="6"/>
      <c r="O59" s="6"/>
      <c r="P59" s="31"/>
      <c r="Q59" s="2"/>
      <c r="R59" s="2"/>
      <c r="S59" s="2"/>
    </row>
    <row r="60" spans="1:27" s="26" customFormat="1" ht="13.5" customHeight="1" x14ac:dyDescent="0.2">
      <c r="A60" s="5"/>
      <c r="B60" s="5"/>
      <c r="C60" s="5"/>
      <c r="D60" s="6"/>
      <c r="E60" s="6"/>
      <c r="F60" s="31"/>
      <c r="G60" s="2"/>
      <c r="H60" s="2"/>
      <c r="I60" s="2"/>
      <c r="J60" s="25"/>
      <c r="K60" s="5"/>
      <c r="L60" s="5"/>
      <c r="M60" s="5"/>
      <c r="N60" s="6"/>
      <c r="O60" s="6"/>
      <c r="P60" s="31"/>
      <c r="Q60" s="2"/>
      <c r="R60" s="2"/>
      <c r="S60" s="2"/>
    </row>
    <row r="61" spans="1:27" s="26" customFormat="1" ht="13.5" customHeight="1" x14ac:dyDescent="0.2">
      <c r="A61" s="5"/>
      <c r="B61" s="5"/>
      <c r="C61" s="5"/>
      <c r="D61" s="6"/>
      <c r="E61" s="6"/>
      <c r="F61" s="31"/>
      <c r="G61" s="2"/>
      <c r="H61" s="2"/>
      <c r="I61" s="2"/>
      <c r="J61" s="25"/>
      <c r="K61" s="5"/>
      <c r="L61" s="5"/>
      <c r="M61" s="5"/>
      <c r="N61" s="6"/>
      <c r="O61" s="6"/>
      <c r="P61" s="31"/>
      <c r="Q61" s="2"/>
      <c r="R61" s="2"/>
      <c r="S61" s="2"/>
    </row>
    <row r="62" spans="1:27" s="26" customFormat="1" ht="13.5" customHeight="1" x14ac:dyDescent="0.2">
      <c r="A62" s="5"/>
      <c r="B62" s="5"/>
      <c r="C62" s="5"/>
      <c r="D62" s="6"/>
      <c r="E62" s="6"/>
      <c r="F62" s="31" t="str">
        <f>'GPA Formulas'!E59</f>
        <v/>
      </c>
      <c r="G62" s="2"/>
      <c r="H62" s="2"/>
      <c r="I62" s="2"/>
      <c r="J62" s="25"/>
      <c r="K62" s="5"/>
      <c r="L62" s="5"/>
      <c r="M62" s="5"/>
      <c r="N62" s="6"/>
      <c r="O62" s="6"/>
      <c r="P62" s="31" t="str">
        <f>'GPA Formulas'!W59</f>
        <v/>
      </c>
      <c r="Q62" s="2"/>
      <c r="R62" s="2"/>
      <c r="S62" s="2"/>
    </row>
    <row r="63" spans="1:27" s="26" customFormat="1" ht="13.5" customHeight="1" x14ac:dyDescent="0.2">
      <c r="A63" s="5"/>
      <c r="B63" s="5"/>
      <c r="C63" s="5"/>
      <c r="D63" s="6"/>
      <c r="E63" s="6"/>
      <c r="F63" s="31" t="str">
        <f>'GPA Formulas'!E60</f>
        <v/>
      </c>
      <c r="G63" s="2"/>
      <c r="H63" s="2"/>
      <c r="I63" s="2"/>
      <c r="J63" s="25"/>
      <c r="K63" s="5"/>
      <c r="L63" s="5"/>
      <c r="M63" s="5"/>
      <c r="N63" s="6"/>
      <c r="O63" s="6"/>
      <c r="P63" s="31" t="str">
        <f>'GPA Formulas'!W60</f>
        <v/>
      </c>
      <c r="Q63" s="2"/>
      <c r="R63" s="2"/>
      <c r="S63" s="2"/>
    </row>
    <row r="64" spans="1:27" s="26" customFormat="1" ht="13.5" customHeight="1" x14ac:dyDescent="0.2">
      <c r="A64" s="5"/>
      <c r="B64" s="5"/>
      <c r="C64" s="5"/>
      <c r="D64" s="6"/>
      <c r="E64" s="6"/>
      <c r="F64" s="31" t="str">
        <f>'GPA Formulas'!E61</f>
        <v/>
      </c>
      <c r="G64" s="2"/>
      <c r="H64" s="2"/>
      <c r="I64" s="2"/>
      <c r="J64" s="25"/>
      <c r="K64" s="5"/>
      <c r="L64" s="5"/>
      <c r="M64" s="5"/>
      <c r="N64" s="6"/>
      <c r="O64" s="6"/>
      <c r="P64" s="31" t="str">
        <f>'GPA Formulas'!W61</f>
        <v/>
      </c>
      <c r="Q64" s="2"/>
      <c r="R64" s="2"/>
      <c r="S64" s="2"/>
    </row>
    <row r="65" spans="1:28" s="26" customFormat="1" ht="13.5" customHeight="1" x14ac:dyDescent="0.2">
      <c r="A65" s="33"/>
      <c r="B65" s="34"/>
      <c r="C65" s="35" t="s">
        <v>37</v>
      </c>
      <c r="D65" s="36">
        <f>SUM(D56:D64)</f>
        <v>0</v>
      </c>
      <c r="E65" s="36">
        <f t="shared" ref="E65" si="8">SUM(E56:E64)</f>
        <v>0</v>
      </c>
      <c r="F65" s="36">
        <f t="shared" ref="F65" si="9">SUM(F56:F64)</f>
        <v>0</v>
      </c>
      <c r="G65" s="37"/>
      <c r="H65" s="37"/>
      <c r="I65" s="37"/>
      <c r="J65" s="25"/>
      <c r="K65" s="33"/>
      <c r="L65" s="34"/>
      <c r="M65" s="35" t="s">
        <v>37</v>
      </c>
      <c r="N65" s="36">
        <f>SUM(N56:N64)</f>
        <v>0</v>
      </c>
      <c r="O65" s="36">
        <f t="shared" ref="O65" si="10">SUM(O56:O64)</f>
        <v>0</v>
      </c>
      <c r="P65" s="36">
        <f t="shared" ref="P65" si="11">SUM(P56:P64)</f>
        <v>0</v>
      </c>
      <c r="Q65" s="37"/>
      <c r="R65" s="37"/>
      <c r="S65" s="37"/>
    </row>
    <row r="66" spans="1:28" s="26" customFormat="1" ht="13.5" customHeight="1" x14ac:dyDescent="0.25">
      <c r="A66" s="38"/>
      <c r="B66" s="38"/>
      <c r="C66" s="39" t="s">
        <v>10</v>
      </c>
      <c r="D66" s="40" t="str">
        <f>IF('GPA Formulas'!L62=0,"",'GPA Formulas'!M63)</f>
        <v/>
      </c>
      <c r="F66" s="43"/>
      <c r="G66" s="38"/>
      <c r="H66" s="38"/>
      <c r="I66" s="38"/>
      <c r="J66" s="25"/>
      <c r="K66" s="38"/>
      <c r="L66" s="38"/>
      <c r="M66" s="39" t="s">
        <v>10</v>
      </c>
      <c r="N66" s="40" t="str">
        <f>IF('GPA Formulas'!AD62=0,"",'GPA Formulas'!AE63)</f>
        <v/>
      </c>
      <c r="P66" s="43"/>
      <c r="Q66" s="38"/>
      <c r="R66" s="38"/>
      <c r="S66" s="38"/>
      <c r="AA66" s="20"/>
    </row>
    <row r="67" spans="1:28" s="26" customFormat="1" ht="13.5" customHeight="1" x14ac:dyDescent="0.2">
      <c r="A67" s="38"/>
      <c r="B67" s="38"/>
      <c r="C67" s="39" t="s">
        <v>31</v>
      </c>
      <c r="D67" s="40" t="str">
        <f>IF('GPA Formulas'!N62=0,"",'GPA Formulas'!O63)</f>
        <v/>
      </c>
      <c r="F67" s="43"/>
      <c r="G67" s="38"/>
      <c r="H67" s="38"/>
      <c r="I67" s="38"/>
      <c r="J67" s="25"/>
      <c r="K67" s="38"/>
      <c r="L67" s="38"/>
      <c r="M67" s="39" t="s">
        <v>31</v>
      </c>
      <c r="N67" s="40" t="str">
        <f>IF('GPA Formulas'!AF62=0,"",'GPA Formulas'!AG63)</f>
        <v/>
      </c>
      <c r="P67" s="43"/>
      <c r="Q67" s="38"/>
      <c r="R67" s="38"/>
      <c r="S67" s="38"/>
    </row>
    <row r="68" spans="1:28" s="26" customFormat="1" ht="13.5" customHeight="1" x14ac:dyDescent="0.2">
      <c r="A68" s="38"/>
      <c r="B68" s="38"/>
      <c r="C68" s="39" t="s">
        <v>82</v>
      </c>
      <c r="D68" s="40" t="str">
        <f>IF('BCMP GPA Calc'!E58=0,"",'BCMP GPA Calc'!E58)</f>
        <v/>
      </c>
      <c r="F68" s="43"/>
      <c r="G68" s="38"/>
      <c r="H68" s="38"/>
      <c r="I68" s="38"/>
      <c r="J68" s="25"/>
      <c r="K68" s="38"/>
      <c r="L68" s="38"/>
      <c r="M68" s="39" t="s">
        <v>82</v>
      </c>
      <c r="N68" s="40" t="str">
        <f>IF('BCMP GPA Calc'!L58=0,"",'BCMP GPA Calc'!L58)</f>
        <v/>
      </c>
      <c r="P68" s="43"/>
      <c r="Q68" s="38"/>
      <c r="R68" s="38"/>
      <c r="S68" s="38"/>
    </row>
    <row r="69" spans="1:28" s="26" customFormat="1" ht="13.5" customHeight="1" x14ac:dyDescent="0.25">
      <c r="A69" s="38"/>
      <c r="B69" s="38"/>
      <c r="C69" s="39" t="s">
        <v>32</v>
      </c>
      <c r="D69" s="40" t="str">
        <f>IF('GPA Formulas'!P62=0,"",'GPA Formulas'!Q63)</f>
        <v/>
      </c>
      <c r="F69" s="43"/>
      <c r="G69" s="38"/>
      <c r="H69" s="38"/>
      <c r="I69" s="38"/>
      <c r="J69" s="25"/>
      <c r="K69" s="38"/>
      <c r="L69" s="38"/>
      <c r="M69" s="39" t="s">
        <v>32</v>
      </c>
      <c r="N69" s="40" t="str">
        <f>IF('GPA Formulas'!AH62=0,"",'GPA Formulas'!AI63)</f>
        <v/>
      </c>
      <c r="P69" s="43"/>
      <c r="Q69" s="38"/>
      <c r="R69" s="38"/>
      <c r="S69" s="38"/>
      <c r="AA69" s="20"/>
    </row>
    <row r="70" spans="1:28" ht="7.5" customHeight="1" x14ac:dyDescent="0.25">
      <c r="AB70" s="26"/>
    </row>
    <row r="71" spans="1:28" s="26" customFormat="1" ht="13.5" customHeight="1" x14ac:dyDescent="0.25">
      <c r="A71" s="69" t="s">
        <v>0</v>
      </c>
      <c r="B71" s="70"/>
      <c r="C71" s="3"/>
      <c r="D71" s="24" t="s">
        <v>1</v>
      </c>
      <c r="E71" s="80"/>
      <c r="F71" s="80"/>
      <c r="G71" s="80"/>
      <c r="H71" s="80"/>
      <c r="I71" s="81"/>
      <c r="J71" s="25"/>
      <c r="K71" s="69" t="s">
        <v>0</v>
      </c>
      <c r="L71" s="70"/>
      <c r="M71" s="3"/>
      <c r="N71" s="24" t="s">
        <v>1</v>
      </c>
      <c r="O71" s="80"/>
      <c r="P71" s="80"/>
      <c r="Q71" s="80"/>
      <c r="R71" s="80"/>
      <c r="S71" s="81"/>
      <c r="AA71" s="20"/>
    </row>
    <row r="72" spans="1:28" s="26" customFormat="1" ht="13.5" customHeight="1" x14ac:dyDescent="0.2">
      <c r="A72" s="28" t="s">
        <v>33</v>
      </c>
      <c r="B72" s="28" t="s">
        <v>2</v>
      </c>
      <c r="C72" s="28" t="s">
        <v>3</v>
      </c>
      <c r="D72" s="29" t="s">
        <v>4</v>
      </c>
      <c r="E72" s="29" t="s">
        <v>5</v>
      </c>
      <c r="F72" s="29" t="s">
        <v>6</v>
      </c>
      <c r="G72" s="30" t="s">
        <v>34</v>
      </c>
      <c r="H72" s="30" t="s">
        <v>35</v>
      </c>
      <c r="I72" s="30" t="s">
        <v>36</v>
      </c>
      <c r="J72" s="25"/>
      <c r="K72" s="28" t="s">
        <v>33</v>
      </c>
      <c r="L72" s="28" t="s">
        <v>2</v>
      </c>
      <c r="M72" s="28" t="s">
        <v>3</v>
      </c>
      <c r="N72" s="29" t="s">
        <v>4</v>
      </c>
      <c r="O72" s="29" t="s">
        <v>5</v>
      </c>
      <c r="P72" s="29" t="s">
        <v>6</v>
      </c>
      <c r="Q72" s="30" t="s">
        <v>34</v>
      </c>
      <c r="R72" s="30" t="s">
        <v>35</v>
      </c>
      <c r="S72" s="30" t="s">
        <v>36</v>
      </c>
      <c r="AA72" s="27" t="s">
        <v>40</v>
      </c>
    </row>
    <row r="73" spans="1:28" s="26" customFormat="1" ht="13.5" customHeight="1" x14ac:dyDescent="0.2">
      <c r="A73" s="4"/>
      <c r="B73" s="4"/>
      <c r="C73" s="4"/>
      <c r="D73" s="1"/>
      <c r="E73" s="1"/>
      <c r="F73" s="31"/>
      <c r="G73" s="1"/>
      <c r="H73" s="1"/>
      <c r="I73" s="1"/>
      <c r="J73" s="25"/>
      <c r="K73" s="4"/>
      <c r="L73" s="4"/>
      <c r="M73" s="4"/>
      <c r="N73" s="1"/>
      <c r="O73" s="1"/>
      <c r="P73" s="31"/>
      <c r="Q73" s="1"/>
      <c r="R73" s="1"/>
      <c r="S73" s="1"/>
    </row>
    <row r="74" spans="1:28" s="26" customFormat="1" ht="13.5" customHeight="1" x14ac:dyDescent="0.2">
      <c r="A74" s="4"/>
      <c r="B74" s="4"/>
      <c r="C74" s="4"/>
      <c r="D74" s="1"/>
      <c r="E74" s="1"/>
      <c r="F74" s="31"/>
      <c r="G74" s="1"/>
      <c r="H74" s="1"/>
      <c r="I74" s="1"/>
      <c r="J74" s="25"/>
      <c r="K74" s="4"/>
      <c r="L74" s="4"/>
      <c r="M74" s="4"/>
      <c r="N74" s="1"/>
      <c r="O74" s="1"/>
      <c r="P74" s="31"/>
      <c r="Q74" s="1"/>
      <c r="R74" s="1"/>
      <c r="S74" s="1"/>
    </row>
    <row r="75" spans="1:28" s="26" customFormat="1" ht="13.5" customHeight="1" x14ac:dyDescent="0.2">
      <c r="A75" s="5"/>
      <c r="B75" s="5"/>
      <c r="C75" s="5"/>
      <c r="D75" s="6"/>
      <c r="E75" s="6"/>
      <c r="F75" s="31"/>
      <c r="G75" s="2"/>
      <c r="H75" s="2"/>
      <c r="I75" s="2"/>
      <c r="J75" s="25"/>
      <c r="K75" s="5"/>
      <c r="L75" s="5"/>
      <c r="M75" s="5"/>
      <c r="N75" s="6"/>
      <c r="O75" s="6"/>
      <c r="P75" s="31"/>
      <c r="Q75" s="2"/>
      <c r="R75" s="2"/>
      <c r="S75" s="2"/>
    </row>
    <row r="76" spans="1:28" s="26" customFormat="1" ht="13.5" customHeight="1" x14ac:dyDescent="0.2">
      <c r="A76" s="5"/>
      <c r="B76" s="5"/>
      <c r="C76" s="5"/>
      <c r="D76" s="6"/>
      <c r="E76" s="6"/>
      <c r="F76" s="31"/>
      <c r="G76" s="2"/>
      <c r="H76" s="2"/>
      <c r="I76" s="2"/>
      <c r="J76" s="25"/>
      <c r="K76" s="5"/>
      <c r="L76" s="5"/>
      <c r="M76" s="5"/>
      <c r="N76" s="6"/>
      <c r="O76" s="6"/>
      <c r="P76" s="31"/>
      <c r="Q76" s="2"/>
      <c r="R76" s="2"/>
      <c r="S76" s="2"/>
    </row>
    <row r="77" spans="1:28" s="26" customFormat="1" ht="13.5" customHeight="1" x14ac:dyDescent="0.2">
      <c r="A77" s="5"/>
      <c r="B77" s="5"/>
      <c r="C77" s="5"/>
      <c r="D77" s="6"/>
      <c r="E77" s="6"/>
      <c r="F77" s="31"/>
      <c r="G77" s="2"/>
      <c r="H77" s="2"/>
      <c r="I77" s="2"/>
      <c r="J77" s="25"/>
      <c r="K77" s="5"/>
      <c r="L77" s="5"/>
      <c r="M77" s="5"/>
      <c r="N77" s="6"/>
      <c r="O77" s="6"/>
      <c r="P77" s="31"/>
      <c r="Q77" s="2"/>
      <c r="R77" s="2"/>
      <c r="S77" s="2"/>
    </row>
    <row r="78" spans="1:28" s="26" customFormat="1" ht="13.5" customHeight="1" x14ac:dyDescent="0.2">
      <c r="A78" s="5"/>
      <c r="B78" s="5"/>
      <c r="C78" s="5"/>
      <c r="D78" s="6"/>
      <c r="E78" s="6"/>
      <c r="F78" s="31" t="str">
        <f>'GPA Formulas'!E74</f>
        <v/>
      </c>
      <c r="G78" s="2"/>
      <c r="H78" s="2"/>
      <c r="I78" s="2"/>
      <c r="J78" s="25"/>
      <c r="K78" s="5"/>
      <c r="L78" s="5"/>
      <c r="M78" s="5"/>
      <c r="N78" s="6"/>
      <c r="O78" s="6"/>
      <c r="P78" s="31" t="str">
        <f>'GPA Formulas'!W74</f>
        <v/>
      </c>
      <c r="Q78" s="2"/>
      <c r="R78" s="2"/>
      <c r="S78" s="2"/>
    </row>
    <row r="79" spans="1:28" s="26" customFormat="1" ht="13.5" customHeight="1" x14ac:dyDescent="0.2">
      <c r="A79" s="5"/>
      <c r="B79" s="5"/>
      <c r="C79" s="5"/>
      <c r="D79" s="6"/>
      <c r="E79" s="6"/>
      <c r="F79" s="31" t="str">
        <f>'GPA Formulas'!E75</f>
        <v/>
      </c>
      <c r="G79" s="2"/>
      <c r="H79" s="2"/>
      <c r="I79" s="2"/>
      <c r="J79" s="25"/>
      <c r="K79" s="5"/>
      <c r="L79" s="5"/>
      <c r="M79" s="5"/>
      <c r="N79" s="6"/>
      <c r="O79" s="6"/>
      <c r="P79" s="31" t="str">
        <f>'GPA Formulas'!W75</f>
        <v/>
      </c>
      <c r="Q79" s="2"/>
      <c r="R79" s="2"/>
      <c r="S79" s="2"/>
    </row>
    <row r="80" spans="1:28" s="26" customFormat="1" ht="13.5" customHeight="1" x14ac:dyDescent="0.2">
      <c r="A80" s="5"/>
      <c r="B80" s="5"/>
      <c r="C80" s="5"/>
      <c r="D80" s="6"/>
      <c r="E80" s="6"/>
      <c r="F80" s="31" t="str">
        <f>'GPA Formulas'!E76</f>
        <v/>
      </c>
      <c r="G80" s="2"/>
      <c r="H80" s="2"/>
      <c r="I80" s="2"/>
      <c r="J80" s="25"/>
      <c r="K80" s="5"/>
      <c r="L80" s="5"/>
      <c r="M80" s="5"/>
      <c r="N80" s="6"/>
      <c r="O80" s="6"/>
      <c r="P80" s="31" t="str">
        <f>'GPA Formulas'!W76</f>
        <v/>
      </c>
      <c r="Q80" s="2"/>
      <c r="R80" s="2"/>
      <c r="S80" s="2"/>
    </row>
    <row r="81" spans="1:28" s="26" customFormat="1" ht="13.5" customHeight="1" x14ac:dyDescent="0.2">
      <c r="A81" s="5"/>
      <c r="B81" s="5"/>
      <c r="C81" s="5"/>
      <c r="D81" s="6"/>
      <c r="E81" s="6"/>
      <c r="F81" s="31" t="str">
        <f>'GPA Formulas'!E77</f>
        <v/>
      </c>
      <c r="G81" s="2"/>
      <c r="H81" s="2"/>
      <c r="I81" s="2"/>
      <c r="J81" s="25"/>
      <c r="K81" s="5"/>
      <c r="L81" s="5"/>
      <c r="M81" s="5"/>
      <c r="N81" s="6"/>
      <c r="O81" s="6"/>
      <c r="P81" s="31" t="str">
        <f>'GPA Formulas'!W77</f>
        <v/>
      </c>
      <c r="Q81" s="2"/>
      <c r="R81" s="2"/>
      <c r="S81" s="2"/>
    </row>
    <row r="82" spans="1:28" s="26" customFormat="1" ht="13.5" customHeight="1" x14ac:dyDescent="0.2">
      <c r="A82" s="33"/>
      <c r="B82" s="34"/>
      <c r="C82" s="35" t="s">
        <v>37</v>
      </c>
      <c r="D82" s="36">
        <f>SUM(D73:D81)</f>
        <v>0</v>
      </c>
      <c r="E82" s="36">
        <f t="shared" ref="E82:F82" si="12">SUM(E73:E81)</f>
        <v>0</v>
      </c>
      <c r="F82" s="36">
        <f t="shared" si="12"/>
        <v>0</v>
      </c>
      <c r="G82" s="37"/>
      <c r="H82" s="37"/>
      <c r="I82" s="37"/>
      <c r="J82" s="25"/>
      <c r="K82" s="33"/>
      <c r="L82" s="34"/>
      <c r="M82" s="35" t="s">
        <v>37</v>
      </c>
      <c r="N82" s="36">
        <f>SUM(N73:N81)</f>
        <v>0</v>
      </c>
      <c r="O82" s="36">
        <f t="shared" ref="O82:P82" si="13">SUM(O73:O81)</f>
        <v>0</v>
      </c>
      <c r="P82" s="36">
        <f t="shared" si="13"/>
        <v>0</v>
      </c>
      <c r="Q82" s="37"/>
      <c r="R82" s="37"/>
      <c r="S82" s="37"/>
    </row>
    <row r="83" spans="1:28" s="26" customFormat="1" ht="13.5" customHeight="1" x14ac:dyDescent="0.25">
      <c r="A83" s="38"/>
      <c r="B83" s="38"/>
      <c r="C83" s="39" t="s">
        <v>10</v>
      </c>
      <c r="D83" s="40" t="str">
        <f>IF('GPA Formulas'!L78=0,"",'GPA Formulas'!M79)</f>
        <v/>
      </c>
      <c r="F83" s="43"/>
      <c r="G83" s="38"/>
      <c r="H83" s="38"/>
      <c r="I83" s="38"/>
      <c r="J83" s="25"/>
      <c r="K83" s="38"/>
      <c r="L83" s="38"/>
      <c r="M83" s="39" t="s">
        <v>10</v>
      </c>
      <c r="N83" s="40" t="str">
        <f>IF('GPA Formulas'!AD78=0,"",'GPA Formulas'!AE79)</f>
        <v/>
      </c>
      <c r="P83" s="43"/>
      <c r="Q83" s="38"/>
      <c r="R83" s="38"/>
      <c r="S83" s="38"/>
      <c r="AA83" s="20"/>
    </row>
    <row r="84" spans="1:28" s="26" customFormat="1" ht="13.5" customHeight="1" x14ac:dyDescent="0.2">
      <c r="A84" s="38"/>
      <c r="B84" s="38"/>
      <c r="C84" s="39" t="s">
        <v>31</v>
      </c>
      <c r="D84" s="40" t="str">
        <f>IF('GPA Formulas'!N78=0,"",'GPA Formulas'!O79)</f>
        <v/>
      </c>
      <c r="F84" s="43"/>
      <c r="G84" s="38"/>
      <c r="H84" s="38"/>
      <c r="I84" s="38"/>
      <c r="J84" s="25"/>
      <c r="K84" s="38"/>
      <c r="L84" s="38"/>
      <c r="M84" s="39" t="s">
        <v>31</v>
      </c>
      <c r="N84" s="40" t="str">
        <f>IF('GPA Formulas'!AF78=0,"",'GPA Formulas'!AG79)</f>
        <v/>
      </c>
      <c r="P84" s="43"/>
      <c r="Q84" s="38"/>
      <c r="R84" s="38"/>
      <c r="S84" s="38"/>
    </row>
    <row r="85" spans="1:28" s="26" customFormat="1" ht="13.5" customHeight="1" x14ac:dyDescent="0.2">
      <c r="A85" s="38"/>
      <c r="B85" s="38"/>
      <c r="C85" s="39" t="s">
        <v>82</v>
      </c>
      <c r="D85" s="40"/>
      <c r="F85" s="43"/>
      <c r="G85" s="38"/>
      <c r="H85" s="38"/>
      <c r="I85" s="38"/>
      <c r="J85" s="25"/>
      <c r="K85" s="38"/>
      <c r="L85" s="38"/>
      <c r="M85" s="39" t="s">
        <v>82</v>
      </c>
      <c r="N85" s="40"/>
      <c r="P85" s="43"/>
      <c r="Q85" s="38"/>
      <c r="R85" s="38"/>
      <c r="S85" s="38"/>
    </row>
    <row r="86" spans="1:28" s="26" customFormat="1" ht="13.5" customHeight="1" x14ac:dyDescent="0.25">
      <c r="A86" s="38"/>
      <c r="B86" s="38"/>
      <c r="C86" s="39" t="s">
        <v>32</v>
      </c>
      <c r="D86" s="40" t="str">
        <f>IF('GPA Formulas'!P78=0,"",'GPA Formulas'!Q79)</f>
        <v/>
      </c>
      <c r="F86" s="43"/>
      <c r="G86" s="38"/>
      <c r="H86" s="38"/>
      <c r="I86" s="38"/>
      <c r="J86" s="25"/>
      <c r="K86" s="38"/>
      <c r="L86" s="38"/>
      <c r="M86" s="39" t="s">
        <v>32</v>
      </c>
      <c r="N86" s="40" t="str">
        <f>IF('GPA Formulas'!AH78=0,"",'GPA Formulas'!AI79)</f>
        <v/>
      </c>
      <c r="P86" s="43"/>
      <c r="Q86" s="38"/>
      <c r="R86" s="38"/>
      <c r="S86" s="38"/>
      <c r="AA86" s="20"/>
    </row>
    <row r="87" spans="1:28" ht="7.5" customHeight="1" x14ac:dyDescent="0.25">
      <c r="AB87" s="26"/>
    </row>
    <row r="88" spans="1:28" s="26" customFormat="1" ht="13.5" customHeight="1" x14ac:dyDescent="0.25">
      <c r="A88" s="69" t="s">
        <v>0</v>
      </c>
      <c r="B88" s="70"/>
      <c r="C88" s="3"/>
      <c r="D88" s="24" t="s">
        <v>1</v>
      </c>
      <c r="E88" s="80"/>
      <c r="F88" s="80"/>
      <c r="G88" s="80"/>
      <c r="H88" s="80"/>
      <c r="I88" s="81"/>
      <c r="J88" s="25"/>
      <c r="K88" s="69" t="s">
        <v>0</v>
      </c>
      <c r="L88" s="70"/>
      <c r="M88" s="3"/>
      <c r="N88" s="24" t="s">
        <v>1</v>
      </c>
      <c r="O88" s="80"/>
      <c r="P88" s="80"/>
      <c r="Q88" s="80"/>
      <c r="R88" s="80"/>
      <c r="S88" s="81"/>
      <c r="AA88" s="20"/>
    </row>
    <row r="89" spans="1:28" s="26" customFormat="1" ht="13.5" customHeight="1" x14ac:dyDescent="0.2">
      <c r="A89" s="28" t="s">
        <v>33</v>
      </c>
      <c r="B89" s="28" t="s">
        <v>2</v>
      </c>
      <c r="C89" s="28" t="s">
        <v>3</v>
      </c>
      <c r="D89" s="29" t="s">
        <v>4</v>
      </c>
      <c r="E89" s="29" t="s">
        <v>5</v>
      </c>
      <c r="F89" s="29" t="s">
        <v>6</v>
      </c>
      <c r="G89" s="30" t="s">
        <v>34</v>
      </c>
      <c r="H89" s="30" t="s">
        <v>35</v>
      </c>
      <c r="I89" s="30" t="s">
        <v>36</v>
      </c>
      <c r="J89" s="25"/>
      <c r="K89" s="28" t="s">
        <v>33</v>
      </c>
      <c r="L89" s="28" t="s">
        <v>2</v>
      </c>
      <c r="M89" s="28" t="s">
        <v>3</v>
      </c>
      <c r="N89" s="29" t="s">
        <v>4</v>
      </c>
      <c r="O89" s="29" t="s">
        <v>5</v>
      </c>
      <c r="P89" s="29" t="s">
        <v>6</v>
      </c>
      <c r="Q89" s="30" t="s">
        <v>34</v>
      </c>
      <c r="R89" s="30" t="s">
        <v>35</v>
      </c>
      <c r="S89" s="30" t="s">
        <v>36</v>
      </c>
      <c r="AA89" s="27" t="s">
        <v>40</v>
      </c>
    </row>
    <row r="90" spans="1:28" s="26" customFormat="1" ht="13.5" customHeight="1" x14ac:dyDescent="0.2">
      <c r="A90" s="4"/>
      <c r="B90" s="4"/>
      <c r="C90" s="4"/>
      <c r="D90" s="1"/>
      <c r="E90" s="1"/>
      <c r="F90" s="31"/>
      <c r="G90" s="1"/>
      <c r="H90" s="1"/>
      <c r="I90" s="1"/>
      <c r="J90" s="25"/>
      <c r="K90" s="4"/>
      <c r="L90" s="4"/>
      <c r="M90" s="4"/>
      <c r="N90" s="1"/>
      <c r="O90" s="1"/>
      <c r="P90" s="31"/>
      <c r="Q90" s="1"/>
      <c r="R90" s="1"/>
      <c r="S90" s="1"/>
    </row>
    <row r="91" spans="1:28" s="26" customFormat="1" ht="13.5" customHeight="1" x14ac:dyDescent="0.2">
      <c r="A91" s="4"/>
      <c r="B91" s="4"/>
      <c r="C91" s="4"/>
      <c r="D91" s="1"/>
      <c r="E91" s="1"/>
      <c r="F91" s="31"/>
      <c r="G91" s="1"/>
      <c r="H91" s="1"/>
      <c r="I91" s="1"/>
      <c r="J91" s="25"/>
      <c r="K91" s="4"/>
      <c r="L91" s="4"/>
      <c r="M91" s="4"/>
      <c r="N91" s="1"/>
      <c r="O91" s="1"/>
      <c r="P91" s="31"/>
      <c r="Q91" s="1"/>
      <c r="R91" s="1"/>
      <c r="S91" s="1"/>
    </row>
    <row r="92" spans="1:28" s="26" customFormat="1" ht="13.5" customHeight="1" x14ac:dyDescent="0.2">
      <c r="A92" s="5"/>
      <c r="B92" s="5"/>
      <c r="C92" s="5"/>
      <c r="D92" s="6"/>
      <c r="E92" s="6"/>
      <c r="F92" s="31"/>
      <c r="G92" s="2"/>
      <c r="H92" s="2"/>
      <c r="I92" s="2"/>
      <c r="J92" s="25"/>
      <c r="K92" s="5"/>
      <c r="L92" s="5"/>
      <c r="M92" s="5"/>
      <c r="N92" s="6"/>
      <c r="O92" s="6"/>
      <c r="P92" s="31"/>
      <c r="Q92" s="2"/>
      <c r="R92" s="2"/>
      <c r="S92" s="2"/>
    </row>
    <row r="93" spans="1:28" s="26" customFormat="1" ht="13.5" customHeight="1" x14ac:dyDescent="0.2">
      <c r="A93" s="5"/>
      <c r="B93" s="5"/>
      <c r="C93" s="5"/>
      <c r="D93" s="6"/>
      <c r="E93" s="6"/>
      <c r="F93" s="31"/>
      <c r="G93" s="2"/>
      <c r="H93" s="2"/>
      <c r="I93" s="2"/>
      <c r="J93" s="25"/>
      <c r="K93" s="5"/>
      <c r="L93" s="5"/>
      <c r="M93" s="5"/>
      <c r="N93" s="6"/>
      <c r="O93" s="6"/>
      <c r="P93" s="31"/>
      <c r="Q93" s="2"/>
      <c r="R93" s="2"/>
      <c r="S93" s="2"/>
    </row>
    <row r="94" spans="1:28" s="26" customFormat="1" ht="13.5" customHeight="1" x14ac:dyDescent="0.2">
      <c r="A94" s="5"/>
      <c r="B94" s="5"/>
      <c r="C94" s="5"/>
      <c r="D94" s="6"/>
      <c r="E94" s="6"/>
      <c r="F94" s="31" t="str">
        <f>'GPA Formulas'!E89</f>
        <v/>
      </c>
      <c r="G94" s="2"/>
      <c r="H94" s="2"/>
      <c r="I94" s="2"/>
      <c r="J94" s="25"/>
      <c r="K94" s="5"/>
      <c r="L94" s="5"/>
      <c r="M94" s="5"/>
      <c r="N94" s="6"/>
      <c r="O94" s="6"/>
      <c r="P94" s="31" t="str">
        <f>'GPA Formulas'!W89</f>
        <v/>
      </c>
      <c r="Q94" s="2"/>
      <c r="R94" s="2"/>
      <c r="S94" s="2"/>
    </row>
    <row r="95" spans="1:28" s="26" customFormat="1" ht="13.5" customHeight="1" x14ac:dyDescent="0.2">
      <c r="A95" s="5"/>
      <c r="B95" s="5"/>
      <c r="C95" s="5"/>
      <c r="D95" s="6"/>
      <c r="E95" s="6"/>
      <c r="F95" s="31" t="str">
        <f>'GPA Formulas'!E90</f>
        <v/>
      </c>
      <c r="G95" s="2"/>
      <c r="H95" s="2"/>
      <c r="I95" s="2"/>
      <c r="J95" s="25"/>
      <c r="K95" s="5"/>
      <c r="L95" s="5"/>
      <c r="M95" s="5"/>
      <c r="N95" s="6"/>
      <c r="O95" s="6"/>
      <c r="P95" s="31" t="str">
        <f>'GPA Formulas'!W90</f>
        <v/>
      </c>
      <c r="Q95" s="2"/>
      <c r="R95" s="2"/>
      <c r="S95" s="2"/>
    </row>
    <row r="96" spans="1:28" s="26" customFormat="1" ht="13.5" customHeight="1" x14ac:dyDescent="0.2">
      <c r="A96" s="5"/>
      <c r="B96" s="5"/>
      <c r="C96" s="5"/>
      <c r="D96" s="6"/>
      <c r="E96" s="6"/>
      <c r="F96" s="31" t="str">
        <f>'GPA Formulas'!E91</f>
        <v/>
      </c>
      <c r="G96" s="2"/>
      <c r="H96" s="2"/>
      <c r="I96" s="2"/>
      <c r="J96" s="25"/>
      <c r="K96" s="5"/>
      <c r="L96" s="5"/>
      <c r="M96" s="5"/>
      <c r="N96" s="6"/>
      <c r="O96" s="6"/>
      <c r="P96" s="31" t="str">
        <f>'GPA Formulas'!W91</f>
        <v/>
      </c>
      <c r="Q96" s="2"/>
      <c r="R96" s="2"/>
      <c r="S96" s="2"/>
    </row>
    <row r="97" spans="1:28" s="26" customFormat="1" ht="13.5" customHeight="1" x14ac:dyDescent="0.2">
      <c r="A97" s="5"/>
      <c r="B97" s="5"/>
      <c r="C97" s="5"/>
      <c r="D97" s="6"/>
      <c r="E97" s="6"/>
      <c r="F97" s="31" t="str">
        <f>'GPA Formulas'!E92</f>
        <v/>
      </c>
      <c r="G97" s="2"/>
      <c r="H97" s="2"/>
      <c r="I97" s="2"/>
      <c r="J97" s="25"/>
      <c r="K97" s="5"/>
      <c r="L97" s="5"/>
      <c r="M97" s="5"/>
      <c r="N97" s="6"/>
      <c r="O97" s="6"/>
      <c r="P97" s="31" t="str">
        <f>'GPA Formulas'!W92</f>
        <v/>
      </c>
      <c r="Q97" s="2"/>
      <c r="R97" s="2"/>
      <c r="S97" s="2"/>
    </row>
    <row r="98" spans="1:28" s="26" customFormat="1" ht="13.5" customHeight="1" x14ac:dyDescent="0.2">
      <c r="A98" s="5"/>
      <c r="B98" s="5"/>
      <c r="C98" s="5"/>
      <c r="D98" s="6"/>
      <c r="E98" s="6"/>
      <c r="F98" s="31" t="str">
        <f>'GPA Formulas'!E93</f>
        <v/>
      </c>
      <c r="G98" s="2"/>
      <c r="H98" s="2"/>
      <c r="I98" s="2"/>
      <c r="J98" s="25"/>
      <c r="K98" s="5"/>
      <c r="L98" s="5"/>
      <c r="M98" s="5"/>
      <c r="N98" s="6"/>
      <c r="O98" s="6"/>
      <c r="P98" s="31" t="str">
        <f>'GPA Formulas'!W93</f>
        <v/>
      </c>
      <c r="Q98" s="2"/>
      <c r="R98" s="2"/>
      <c r="S98" s="2"/>
    </row>
    <row r="99" spans="1:28" s="26" customFormat="1" ht="13.5" customHeight="1" x14ac:dyDescent="0.2">
      <c r="A99" s="33"/>
      <c r="B99" s="34"/>
      <c r="C99" s="35" t="s">
        <v>37</v>
      </c>
      <c r="D99" s="36">
        <f>SUM(D90:D98)</f>
        <v>0</v>
      </c>
      <c r="E99" s="36">
        <f t="shared" ref="E99:F99" si="14">SUM(E90:E98)</f>
        <v>0</v>
      </c>
      <c r="F99" s="36">
        <f t="shared" si="14"/>
        <v>0</v>
      </c>
      <c r="G99" s="37"/>
      <c r="H99" s="37"/>
      <c r="I99" s="37"/>
      <c r="J99" s="25"/>
      <c r="K99" s="33"/>
      <c r="L99" s="34"/>
      <c r="M99" s="35" t="s">
        <v>37</v>
      </c>
      <c r="N99" s="36">
        <f>SUM(N90:N98)</f>
        <v>0</v>
      </c>
      <c r="O99" s="36">
        <f t="shared" ref="O99:P99" si="15">SUM(O90:O98)</f>
        <v>0</v>
      </c>
      <c r="P99" s="36">
        <f t="shared" si="15"/>
        <v>0</v>
      </c>
      <c r="Q99" s="37"/>
      <c r="R99" s="37"/>
      <c r="S99" s="37"/>
    </row>
    <row r="100" spans="1:28" s="26" customFormat="1" ht="13.5" customHeight="1" x14ac:dyDescent="0.25">
      <c r="A100" s="38"/>
      <c r="B100" s="38"/>
      <c r="C100" s="39" t="s">
        <v>10</v>
      </c>
      <c r="D100" s="40" t="str">
        <f>IF('GPA Formulas'!L94=0,"",'GPA Formulas'!M95)</f>
        <v/>
      </c>
      <c r="F100" s="43"/>
      <c r="G100" s="38"/>
      <c r="H100" s="38"/>
      <c r="I100" s="38"/>
      <c r="J100" s="25"/>
      <c r="K100" s="38"/>
      <c r="L100" s="38"/>
      <c r="M100" s="39" t="s">
        <v>10</v>
      </c>
      <c r="N100" s="40" t="str">
        <f>IF('GPA Formulas'!AD94=0,"",'GPA Formulas'!AE95)</f>
        <v/>
      </c>
      <c r="P100" s="43"/>
      <c r="Q100" s="38"/>
      <c r="R100" s="38"/>
      <c r="S100" s="38"/>
      <c r="AA100" s="20"/>
    </row>
    <row r="101" spans="1:28" s="26" customFormat="1" ht="13.5" customHeight="1" x14ac:dyDescent="0.2">
      <c r="A101" s="38"/>
      <c r="B101" s="38"/>
      <c r="C101" s="39" t="s">
        <v>31</v>
      </c>
      <c r="D101" s="40" t="str">
        <f>IF('GPA Formulas'!N94=0,"",'GPA Formulas'!O95)</f>
        <v/>
      </c>
      <c r="F101" s="43"/>
      <c r="G101" s="38"/>
      <c r="H101" s="38"/>
      <c r="I101" s="38"/>
      <c r="J101" s="38"/>
      <c r="K101" s="38"/>
      <c r="L101" s="38"/>
      <c r="M101" s="39" t="s">
        <v>31</v>
      </c>
      <c r="N101" s="40" t="str">
        <f>IF('GPA Formulas'!AF94=0,"",'GPA Formulas'!AG95)</f>
        <v/>
      </c>
      <c r="P101" s="43"/>
      <c r="Q101" s="38"/>
      <c r="R101" s="38"/>
      <c r="S101" s="38"/>
    </row>
    <row r="102" spans="1:28" s="26" customFormat="1" ht="13.5" customHeight="1" x14ac:dyDescent="0.2">
      <c r="A102" s="38"/>
      <c r="B102" s="38"/>
      <c r="C102" s="39" t="s">
        <v>82</v>
      </c>
      <c r="D102" s="40" t="str">
        <f>IF('BCMP GPA Calc'!E90=0,"",'BCMP GPA Calc'!E90)</f>
        <v/>
      </c>
      <c r="F102" s="43"/>
      <c r="G102" s="38"/>
      <c r="H102" s="38"/>
      <c r="I102" s="38"/>
      <c r="J102" s="38"/>
      <c r="K102" s="38"/>
      <c r="L102" s="38"/>
      <c r="M102" s="39" t="s">
        <v>82</v>
      </c>
      <c r="N102" s="40" t="str">
        <f>IF('BCMP GPA Calc'!L90=0,"",'BCMP GPA Calc'!L90)</f>
        <v/>
      </c>
      <c r="P102" s="43"/>
      <c r="Q102" s="38"/>
      <c r="R102" s="38"/>
      <c r="S102" s="38"/>
    </row>
    <row r="103" spans="1:28" s="26" customFormat="1" ht="13.5" customHeight="1" x14ac:dyDescent="0.25">
      <c r="A103" s="38"/>
      <c r="B103" s="38"/>
      <c r="C103" s="39" t="s">
        <v>32</v>
      </c>
      <c r="D103" s="40" t="str">
        <f>IF('GPA Formulas'!P94=0,"",'GPA Formulas'!Q95)</f>
        <v/>
      </c>
      <c r="F103" s="43"/>
      <c r="G103" s="38"/>
      <c r="H103" s="38"/>
      <c r="I103" s="38"/>
      <c r="J103" s="25"/>
      <c r="K103" s="38"/>
      <c r="L103" s="38"/>
      <c r="M103" s="39" t="s">
        <v>32</v>
      </c>
      <c r="N103" s="40" t="str">
        <f>IF('GPA Formulas'!AH94=0,"",'GPA Formulas'!AI95)</f>
        <v/>
      </c>
      <c r="P103" s="43"/>
      <c r="Q103" s="38"/>
      <c r="R103" s="38"/>
      <c r="S103" s="38"/>
      <c r="AA103" s="20"/>
    </row>
    <row r="104" spans="1:28" x14ac:dyDescent="0.25">
      <c r="O104" s="44"/>
      <c r="AB104" s="26"/>
    </row>
    <row r="105" spans="1:28" ht="15.75" thickBot="1" x14ac:dyDescent="0.3">
      <c r="O105" s="44"/>
      <c r="AB105" s="26"/>
    </row>
    <row r="106" spans="1:28" x14ac:dyDescent="0.25">
      <c r="B106" s="71" t="s">
        <v>11</v>
      </c>
      <c r="C106" s="71"/>
      <c r="D106" s="57" t="str">
        <f>'GPA Formulas'!N97</f>
        <v/>
      </c>
      <c r="E106" s="20"/>
      <c r="K106" s="72" t="s">
        <v>68</v>
      </c>
      <c r="L106" s="73"/>
      <c r="M106" s="73"/>
      <c r="N106" s="53">
        <f>N99+D99+D82+N82+N65+D65+D48+N48+N31+D31+D14+N14</f>
        <v>0</v>
      </c>
      <c r="O106" s="62"/>
      <c r="P106" s="62"/>
      <c r="Q106" s="62"/>
      <c r="R106" s="62"/>
      <c r="S106" s="62"/>
      <c r="AB106" s="26"/>
    </row>
    <row r="107" spans="1:28" x14ac:dyDescent="0.25">
      <c r="A107" s="45">
        <f>D99+N99+N82+D82+D65+N65+N48+D48+D31+N31+N14+D14</f>
        <v>0</v>
      </c>
      <c r="B107" s="64" t="s">
        <v>38</v>
      </c>
      <c r="C107" s="64"/>
      <c r="D107" s="57" t="str">
        <f>'GPA Formulas'!N98</f>
        <v/>
      </c>
      <c r="E107" s="20"/>
      <c r="K107" s="74" t="s">
        <v>71</v>
      </c>
      <c r="L107" s="75"/>
      <c r="M107" s="76"/>
      <c r="N107" s="56">
        <f>'Upper-level Calcs'!X101</f>
        <v>0</v>
      </c>
      <c r="O107" s="62"/>
      <c r="P107" s="62"/>
      <c r="Q107" s="62"/>
      <c r="R107" s="62"/>
      <c r="S107" s="62"/>
    </row>
    <row r="108" spans="1:28" x14ac:dyDescent="0.25">
      <c r="B108" s="64" t="s">
        <v>29</v>
      </c>
      <c r="C108" s="64"/>
      <c r="D108" s="57" t="str">
        <f>'GPA Formulas'!N99</f>
        <v/>
      </c>
      <c r="K108" s="65" t="s">
        <v>69</v>
      </c>
      <c r="L108" s="66"/>
      <c r="M108" s="66"/>
      <c r="N108" s="54">
        <v>124</v>
      </c>
      <c r="O108" s="62"/>
      <c r="P108" s="62"/>
      <c r="Q108" s="62"/>
      <c r="R108" s="62"/>
      <c r="S108" s="62"/>
    </row>
    <row r="109" spans="1:28" ht="15.75" thickBot="1" x14ac:dyDescent="0.3">
      <c r="B109" s="64" t="s">
        <v>77</v>
      </c>
      <c r="C109" s="64"/>
      <c r="D109" s="57" t="str">
        <f>IF('BCMP GPA Calc'!R2=0,"",'BCMP GPA Calc'!R2)</f>
        <v/>
      </c>
      <c r="K109" s="67" t="s">
        <v>70</v>
      </c>
      <c r="L109" s="68"/>
      <c r="M109" s="68"/>
      <c r="N109" s="55">
        <f>N108-N106</f>
        <v>124</v>
      </c>
      <c r="O109" s="63"/>
      <c r="P109" s="63"/>
      <c r="Q109" s="63"/>
      <c r="R109" s="63"/>
      <c r="S109" s="63"/>
    </row>
  </sheetData>
  <sheetProtection password="D0A3" sheet="1" objects="1" scenarios="1" selectLockedCells="1"/>
  <mergeCells count="37">
    <mergeCell ref="O71:S71"/>
    <mergeCell ref="E88:I88"/>
    <mergeCell ref="O88:S88"/>
    <mergeCell ref="E54:I54"/>
    <mergeCell ref="O54:S54"/>
    <mergeCell ref="A1:S1"/>
    <mergeCell ref="E20:I20"/>
    <mergeCell ref="O20:S20"/>
    <mergeCell ref="E37:I37"/>
    <mergeCell ref="O37:S37"/>
    <mergeCell ref="E3:I3"/>
    <mergeCell ref="O3:S3"/>
    <mergeCell ref="A3:B3"/>
    <mergeCell ref="K3:L3"/>
    <mergeCell ref="A20:B20"/>
    <mergeCell ref="K20:L20"/>
    <mergeCell ref="B106:C106"/>
    <mergeCell ref="K88:L88"/>
    <mergeCell ref="A88:B88"/>
    <mergeCell ref="A37:B37"/>
    <mergeCell ref="K37:L37"/>
    <mergeCell ref="A71:B71"/>
    <mergeCell ref="A54:B54"/>
    <mergeCell ref="K54:L54"/>
    <mergeCell ref="K71:L71"/>
    <mergeCell ref="K106:M106"/>
    <mergeCell ref="E71:I71"/>
    <mergeCell ref="O106:S106"/>
    <mergeCell ref="O107:S107"/>
    <mergeCell ref="O108:S108"/>
    <mergeCell ref="O109:S109"/>
    <mergeCell ref="B107:C107"/>
    <mergeCell ref="B108:C108"/>
    <mergeCell ref="K108:M108"/>
    <mergeCell ref="K109:M109"/>
    <mergeCell ref="K107:M107"/>
    <mergeCell ref="B109:C109"/>
  </mergeCells>
  <dataValidations count="1">
    <dataValidation type="list" allowBlank="1" showInputMessage="1" showErrorMessage="1" prompt="Enter the correct term; i.e. Fall, Spring, Summer, Winter" sqref="M37 C37 M54 C54 M71 C71 C3 M3 M20 C20 M88 C88">
      <formula1>$AA$3:$AA$5</formula1>
    </dataValidation>
  </dataValidations>
  <printOptions horizontalCentered="1" verticalCentered="1"/>
  <pageMargins left="0.45" right="0.45" top="0.25" bottom="0.4" header="0.5" footer="0.2"/>
  <pageSetup scale="72" fitToHeight="6" orientation="landscape" r:id="rId1"/>
  <headerFooter differentFirst="1">
    <oddFooter>&amp;CPage &amp;P of &amp;N</oddFooter>
    <firstHeader>&amp;L                                  NAME : ____________________________________________________&amp;RDegree and Major: ___________________________</firstHeader>
    <firstFooter>&amp;LDeveloped by Robert J Shipp Jr.
University Advisement, Baylor University&amp;CPage &amp;P of &amp;N&amp;RVersion Date:  June 9, 2014</firstFooter>
  </headerFooter>
  <rowBreaks count="1" manualBreakCount="1">
    <brk id="53"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M107"/>
  <sheetViews>
    <sheetView zoomScaleNormal="100" workbookViewId="0">
      <selection activeCell="Q63" sqref="Q63"/>
    </sheetView>
  </sheetViews>
  <sheetFormatPr defaultColWidth="6.28515625" defaultRowHeight="9" x14ac:dyDescent="0.25"/>
  <cols>
    <col min="1" max="1" width="6.28515625" style="46"/>
    <col min="2" max="2" width="7" style="46" bestFit="1" customWidth="1"/>
    <col min="3" max="3" width="6.42578125" style="46" bestFit="1" customWidth="1"/>
    <col min="4" max="4" width="6.85546875" style="46" bestFit="1" customWidth="1"/>
    <col min="5" max="5" width="6.140625" style="46" bestFit="1" customWidth="1"/>
    <col min="6" max="6" width="3.42578125" style="46" bestFit="1" customWidth="1"/>
    <col min="7" max="7" width="2.140625" style="46" bestFit="1" customWidth="1"/>
    <col min="8" max="8" width="4.7109375" style="46" bestFit="1" customWidth="1"/>
    <col min="9" max="9" width="2.140625" style="46" bestFit="1" customWidth="1"/>
    <col min="10" max="10" width="4.42578125" style="46" bestFit="1" customWidth="1"/>
    <col min="11" max="11" width="2.140625" style="46" bestFit="1" customWidth="1"/>
    <col min="12" max="12" width="8.85546875" style="46" bestFit="1" customWidth="1"/>
    <col min="13" max="13" width="6" style="46" customWidth="1"/>
    <col min="14" max="14" width="7.28515625" style="46" bestFit="1" customWidth="1"/>
    <col min="15" max="15" width="6.42578125" style="46" bestFit="1" customWidth="1"/>
    <col min="16" max="17" width="8.5703125" style="46" bestFit="1" customWidth="1"/>
    <col min="18" max="18" width="6.28515625" style="46"/>
    <col min="19" max="19" width="5.7109375" style="46" bestFit="1" customWidth="1"/>
    <col min="20" max="20" width="6.28515625" style="46"/>
    <col min="21" max="21" width="6.42578125" style="46" bestFit="1" customWidth="1"/>
    <col min="22" max="22" width="6.85546875" style="46" bestFit="1" customWidth="1"/>
    <col min="23" max="23" width="6.140625" style="46" bestFit="1" customWidth="1"/>
    <col min="24" max="24" width="3.42578125" style="46" bestFit="1" customWidth="1"/>
    <col min="25" max="25" width="2.140625" style="46" bestFit="1" customWidth="1"/>
    <col min="26" max="26" width="4.7109375" style="46" bestFit="1" customWidth="1"/>
    <col min="27" max="27" width="2.140625" style="46" bestFit="1" customWidth="1"/>
    <col min="28" max="28" width="4.42578125" style="46" bestFit="1" customWidth="1"/>
    <col min="29" max="29" width="2.140625" style="46" bestFit="1" customWidth="1"/>
    <col min="30" max="30" width="8.85546875" style="46" bestFit="1" customWidth="1"/>
    <col min="31" max="31" width="6.28515625" style="46"/>
    <col min="32" max="32" width="7.28515625" style="46" bestFit="1" customWidth="1"/>
    <col min="33" max="33" width="6.42578125" style="46" bestFit="1" customWidth="1"/>
    <col min="34" max="35" width="8.5703125" style="46" bestFit="1" customWidth="1"/>
    <col min="36" max="37" width="6.28515625" style="46"/>
    <col min="38" max="38" width="3.140625" style="46" bestFit="1" customWidth="1"/>
    <col min="39" max="39" width="4.28515625" style="46" bestFit="1" customWidth="1"/>
    <col min="40" max="16384" width="6.28515625" style="46"/>
  </cols>
  <sheetData>
    <row r="1" spans="1:39" x14ac:dyDescent="0.25">
      <c r="AL1" s="82" t="s">
        <v>12</v>
      </c>
      <c r="AM1" s="82"/>
    </row>
    <row r="2" spans="1:39" x14ac:dyDescent="0.25">
      <c r="AL2" s="47" t="s">
        <v>13</v>
      </c>
      <c r="AM2" s="61">
        <v>4</v>
      </c>
    </row>
    <row r="3" spans="1:39" x14ac:dyDescent="0.25">
      <c r="AL3" s="47" t="s">
        <v>78</v>
      </c>
      <c r="AM3" s="61">
        <v>3.67</v>
      </c>
    </row>
    <row r="4" spans="1:39" x14ac:dyDescent="0.25">
      <c r="A4" s="46" t="s">
        <v>4</v>
      </c>
      <c r="B4" s="46" t="s">
        <v>61</v>
      </c>
      <c r="C4" s="46" t="s">
        <v>12</v>
      </c>
      <c r="D4" s="46" t="s">
        <v>58</v>
      </c>
      <c r="E4" s="46" t="s">
        <v>6</v>
      </c>
      <c r="F4" s="46" t="s">
        <v>7</v>
      </c>
      <c r="H4" s="46" t="s">
        <v>26</v>
      </c>
      <c r="J4" s="46" t="s">
        <v>27</v>
      </c>
      <c r="L4" s="46" t="s">
        <v>60</v>
      </c>
      <c r="M4" s="46" t="s">
        <v>59</v>
      </c>
      <c r="N4" s="46" t="s">
        <v>24</v>
      </c>
      <c r="O4" s="46" t="s">
        <v>22</v>
      </c>
      <c r="P4" s="46" t="s">
        <v>25</v>
      </c>
      <c r="Q4" s="46" t="s">
        <v>21</v>
      </c>
      <c r="S4" s="46" t="s">
        <v>4</v>
      </c>
      <c r="T4" s="46" t="s">
        <v>61</v>
      </c>
      <c r="U4" s="46" t="s">
        <v>12</v>
      </c>
      <c r="V4" s="46" t="s">
        <v>58</v>
      </c>
      <c r="W4" s="46" t="s">
        <v>6</v>
      </c>
      <c r="X4" s="46" t="s">
        <v>7</v>
      </c>
      <c r="Z4" s="46" t="s">
        <v>26</v>
      </c>
      <c r="AB4" s="46" t="s">
        <v>27</v>
      </c>
      <c r="AD4" s="46" t="s">
        <v>60</v>
      </c>
      <c r="AE4" s="46" t="s">
        <v>59</v>
      </c>
      <c r="AF4" s="46" t="s">
        <v>24</v>
      </c>
      <c r="AG4" s="46" t="s">
        <v>22</v>
      </c>
      <c r="AH4" s="46" t="s">
        <v>25</v>
      </c>
      <c r="AI4" s="46" t="s">
        <v>21</v>
      </c>
      <c r="AL4" s="47" t="s">
        <v>18</v>
      </c>
      <c r="AM4" s="61">
        <v>3.33</v>
      </c>
    </row>
    <row r="5" spans="1:39" x14ac:dyDescent="0.25">
      <c r="A5" s="46">
        <f>'GPA Calculator'!D5</f>
        <v>0</v>
      </c>
      <c r="B5" s="46">
        <f>IF('GPA Calculator'!E5="W",0,IF('GPA Calculator'!E5="P",0,IF('GPA Calculator'!E5="FA",0,IF('GPA Calculator'!E5="CR",0,IF('GPA Calculator'!E5="NC",0,IF('GPA Calculator'!E5="",0,A5))))))</f>
        <v>0</v>
      </c>
      <c r="C5" s="46">
        <f>IF('GPA Calculator'!E5="W",0,IF('GPA Calculator'!E5="P",0,IF('GPA Calculator'!E5="FA",0,IF('GPA Calculator'!E5="CR",0,IF('GPA Calculator'!E5="NC",0,IF('GPA Calculator'!E5="",0,'GPA Calculator'!E5))))))</f>
        <v>0</v>
      </c>
      <c r="D5" s="46">
        <f t="shared" ref="D5:D13" si="0">IF(C5=0,0,VLOOKUP(C5,$AL$2:$AM$14,2,FALSE))</f>
        <v>0</v>
      </c>
      <c r="E5" s="46" t="str">
        <f>IF(D5=0,"",B5*D5)</f>
        <v/>
      </c>
      <c r="F5" s="46">
        <f>'GPA Calculator'!G5</f>
        <v>0</v>
      </c>
      <c r="G5" s="46">
        <f>IF(F5=0,0,1)</f>
        <v>0</v>
      </c>
      <c r="H5" s="46">
        <f>'GPA Calculator'!H5</f>
        <v>0</v>
      </c>
      <c r="I5" s="46">
        <f t="shared" ref="I5:I13" si="1">IF(H5=0,0,1)</f>
        <v>0</v>
      </c>
      <c r="J5" s="46">
        <f>'GPA Calculator'!I5</f>
        <v>0</v>
      </c>
      <c r="K5" s="46">
        <f t="shared" ref="K5:K13" si="2">IF(J5=0,0,1)</f>
        <v>0</v>
      </c>
      <c r="L5" s="46">
        <f>B5</f>
        <v>0</v>
      </c>
      <c r="M5" s="46" t="str">
        <f>E5</f>
        <v/>
      </c>
      <c r="N5" s="46">
        <f>IF(G5=1,"",IF(K5=1,"",B5))</f>
        <v>0</v>
      </c>
      <c r="O5" s="46" t="str">
        <f>IF(G5=1,"",IF(K5=1,"",E5))</f>
        <v/>
      </c>
      <c r="P5" s="46" t="str">
        <f>IF(G5=1,"",IF(K5=1,"",IF(I5=0,"",B5)))</f>
        <v/>
      </c>
      <c r="Q5" s="46" t="str">
        <f>IF(G5=1,"",IF(K5=1,"",IF(I5=0,"",E5)))</f>
        <v/>
      </c>
      <c r="S5" s="46">
        <f>'GPA Calculator'!N5</f>
        <v>0</v>
      </c>
      <c r="T5" s="46">
        <f>IF('GPA Calculator'!O5="DP",0,IF('GPA Calculator'!O5="WP",0,IF('GPA Calculator'!O5="P",0,IF('GPA Calculator'!O5="FA",0,IF('GPA Calculator'!O5="CR",0,IF('GPA Calculator'!O5="NC",0,IF('GPA Calculator'!O5="",0,S5)))))))</f>
        <v>0</v>
      </c>
      <c r="U5" s="46">
        <f>IF('GPA Calculator'!O5="W",0,IF('GPA Calculator'!O5="P",0,IF('GPA Calculator'!O5="FA",0,IF('GPA Calculator'!O5="CR",0,IF('GPA Calculator'!O5="NC",0,IF('GPA Calculator'!O5="",0,'GPA Calculator'!O5))))))</f>
        <v>0</v>
      </c>
      <c r="V5" s="46">
        <f t="shared" ref="V5:V13" si="3">IF(U5=0,0,VLOOKUP(U5,$AL$2:$AM$14,2,FALSE))</f>
        <v>0</v>
      </c>
      <c r="W5" s="46" t="str">
        <f t="shared" ref="W5:W13" si="4">IF(V5=0,"",T5*V5)</f>
        <v/>
      </c>
      <c r="X5" s="46">
        <f>'GPA Calculator'!Q5</f>
        <v>0</v>
      </c>
      <c r="Y5" s="46">
        <f t="shared" ref="Y5:Y13" si="5">IF(X5=0,0,1)</f>
        <v>0</v>
      </c>
      <c r="Z5" s="46">
        <f>'GPA Calculator'!R5</f>
        <v>0</v>
      </c>
      <c r="AA5" s="46">
        <f t="shared" ref="AA5:AA13" si="6">IF(Z5=0,0,1)</f>
        <v>0</v>
      </c>
      <c r="AB5" s="46">
        <f>'GPA Calculator'!S5</f>
        <v>0</v>
      </c>
      <c r="AC5" s="46">
        <f t="shared" ref="AC5:AC13" si="7">IF(AB5=0,0,1)</f>
        <v>0</v>
      </c>
      <c r="AD5" s="46">
        <f t="shared" ref="AD5:AD13" si="8">T5</f>
        <v>0</v>
      </c>
      <c r="AE5" s="46" t="str">
        <f t="shared" ref="AE5:AE13" si="9">W5</f>
        <v/>
      </c>
      <c r="AF5" s="46">
        <f t="shared" ref="AF5:AF13" si="10">IF(Y5=1,"",IF(AC5=1,"",T5))</f>
        <v>0</v>
      </c>
      <c r="AG5" s="46" t="str">
        <f t="shared" ref="AG5:AG13" si="11">IF(Y5=1,"",IF(AC5=1,"",W5))</f>
        <v/>
      </c>
      <c r="AH5" s="46" t="str">
        <f t="shared" ref="AH5:AH13" si="12">IF(Y5=1,"",IF(AC5=1,"",IF(AA5=0,"",T5)))</f>
        <v/>
      </c>
      <c r="AI5" s="46" t="str">
        <f t="shared" ref="AI5:AI13" si="13">IF(Y5=1,"",IF(AC5=1,"",IF(AA5=0,"",W5)))</f>
        <v/>
      </c>
      <c r="AL5" s="47" t="s">
        <v>14</v>
      </c>
      <c r="AM5" s="61">
        <v>3</v>
      </c>
    </row>
    <row r="6" spans="1:39" x14ac:dyDescent="0.25">
      <c r="A6" s="46">
        <f>'GPA Calculator'!D6</f>
        <v>0</v>
      </c>
      <c r="B6" s="46">
        <f>IF('GPA Calculator'!E6="W",0,IF('GPA Calculator'!E6="P",0,IF('GPA Calculator'!E6="FA",0,IF('GPA Calculator'!E6="CR",0,IF('GPA Calculator'!E6="NC",0,IF('GPA Calculator'!E6="",0,A6))))))</f>
        <v>0</v>
      </c>
      <c r="C6" s="46">
        <f>IF('GPA Calculator'!E6="W",0,IF('GPA Calculator'!E6="P",0,IF('GPA Calculator'!E6="FA",0,IF('GPA Calculator'!E6="CR",0,IF('GPA Calculator'!E6="NC",0,IF('GPA Calculator'!E6="",0,'GPA Calculator'!E6))))))</f>
        <v>0</v>
      </c>
      <c r="D6" s="46">
        <f t="shared" si="0"/>
        <v>0</v>
      </c>
      <c r="E6" s="46" t="str">
        <f t="shared" ref="E6:E69" si="14">IF(D6=0,"",B6*D6)</f>
        <v/>
      </c>
      <c r="F6" s="46">
        <f>'GPA Calculator'!G6</f>
        <v>0</v>
      </c>
      <c r="G6" s="46">
        <f t="shared" ref="G6:G13" si="15">IF(F6=0,0,1)</f>
        <v>0</v>
      </c>
      <c r="H6" s="46">
        <f>'GPA Calculator'!H6</f>
        <v>0</v>
      </c>
      <c r="I6" s="46">
        <f t="shared" si="1"/>
        <v>0</v>
      </c>
      <c r="J6" s="46">
        <f>'GPA Calculator'!I6</f>
        <v>0</v>
      </c>
      <c r="K6" s="46">
        <f t="shared" si="2"/>
        <v>0</v>
      </c>
      <c r="L6" s="46">
        <f t="shared" ref="L6:L13" si="16">B6</f>
        <v>0</v>
      </c>
      <c r="M6" s="46" t="str">
        <f t="shared" ref="M6:M13" si="17">E6</f>
        <v/>
      </c>
      <c r="N6" s="46">
        <f t="shared" ref="N6:N13" si="18">IF(G6=1,"",IF(K6=1,"",B6))</f>
        <v>0</v>
      </c>
      <c r="O6" s="46" t="str">
        <f t="shared" ref="O6:O13" si="19">IF(G6=1,"",IF(K6=1,"",E6))</f>
        <v/>
      </c>
      <c r="P6" s="46" t="str">
        <f t="shared" ref="P6:P13" si="20">IF(G6=1,"",IF(K6=1,"",IF(I6=0,"",B6)))</f>
        <v/>
      </c>
      <c r="Q6" s="46" t="str">
        <f t="shared" ref="Q6:Q13" si="21">IF(G6=1,"",IF(K6=1,"",IF(I6=0,"",E6)))</f>
        <v/>
      </c>
      <c r="S6" s="46">
        <f>'GPA Calculator'!N6</f>
        <v>0</v>
      </c>
      <c r="T6" s="46">
        <f>IF('GPA Calculator'!O6="DP",0,IF('GPA Calculator'!O6="WP",0,IF('GPA Calculator'!O6="P",0,IF('GPA Calculator'!O6="FA",0,IF('GPA Calculator'!O6="CR",0,IF('GPA Calculator'!O6="NC",0,IF('GPA Calculator'!O6="",0,S6)))))))</f>
        <v>0</v>
      </c>
      <c r="U6" s="46">
        <f>IF('GPA Calculator'!O6="W",0,IF('GPA Calculator'!O6="P",0,IF('GPA Calculator'!O6="FA",0,IF('GPA Calculator'!O6="CR",0,IF('GPA Calculator'!O6="NC",0,IF('GPA Calculator'!O6="",0,'GPA Calculator'!O6))))))</f>
        <v>0</v>
      </c>
      <c r="V6" s="46">
        <f t="shared" si="3"/>
        <v>0</v>
      </c>
      <c r="W6" s="46" t="str">
        <f t="shared" si="4"/>
        <v/>
      </c>
      <c r="X6" s="46">
        <f>'GPA Calculator'!Q6</f>
        <v>0</v>
      </c>
      <c r="Y6" s="46">
        <f t="shared" si="5"/>
        <v>0</v>
      </c>
      <c r="Z6" s="46">
        <f>'GPA Calculator'!R6</f>
        <v>0</v>
      </c>
      <c r="AA6" s="46">
        <f t="shared" si="6"/>
        <v>0</v>
      </c>
      <c r="AB6" s="46">
        <f>'GPA Calculator'!S6</f>
        <v>0</v>
      </c>
      <c r="AC6" s="46">
        <f t="shared" si="7"/>
        <v>0</v>
      </c>
      <c r="AD6" s="46">
        <f t="shared" si="8"/>
        <v>0</v>
      </c>
      <c r="AE6" s="46" t="str">
        <f t="shared" si="9"/>
        <v/>
      </c>
      <c r="AF6" s="46">
        <f t="shared" si="10"/>
        <v>0</v>
      </c>
      <c r="AG6" s="46" t="str">
        <f t="shared" si="11"/>
        <v/>
      </c>
      <c r="AH6" s="46" t="str">
        <f t="shared" si="12"/>
        <v/>
      </c>
      <c r="AI6" s="46" t="str">
        <f t="shared" si="13"/>
        <v/>
      </c>
      <c r="AL6" s="47" t="s">
        <v>79</v>
      </c>
      <c r="AM6" s="61">
        <v>2.67</v>
      </c>
    </row>
    <row r="7" spans="1:39" x14ac:dyDescent="0.25">
      <c r="A7" s="46">
        <f>'GPA Calculator'!D7</f>
        <v>0</v>
      </c>
      <c r="B7" s="46">
        <f>IF('GPA Calculator'!E7="W",0,IF('GPA Calculator'!E7="P",0,IF('GPA Calculator'!E7="FA",0,IF('GPA Calculator'!E7="CR",0,IF('GPA Calculator'!E7="NC",0,IF('GPA Calculator'!E7="",0,A7))))))</f>
        <v>0</v>
      </c>
      <c r="C7" s="46">
        <f>IF('GPA Calculator'!E7="W",0,IF('GPA Calculator'!E7="P",0,IF('GPA Calculator'!E7="FA",0,IF('GPA Calculator'!E7="CR",0,IF('GPA Calculator'!E7="NC",0,IF('GPA Calculator'!E7="",0,'GPA Calculator'!E7))))))</f>
        <v>0</v>
      </c>
      <c r="D7" s="46">
        <f t="shared" si="0"/>
        <v>0</v>
      </c>
      <c r="E7" s="46" t="str">
        <f t="shared" si="14"/>
        <v/>
      </c>
      <c r="F7" s="46">
        <f>'GPA Calculator'!G7</f>
        <v>0</v>
      </c>
      <c r="G7" s="46">
        <f t="shared" si="15"/>
        <v>0</v>
      </c>
      <c r="H7" s="46">
        <f>'GPA Calculator'!H7</f>
        <v>0</v>
      </c>
      <c r="I7" s="46">
        <f t="shared" si="1"/>
        <v>0</v>
      </c>
      <c r="J7" s="46">
        <f>'GPA Calculator'!I7</f>
        <v>0</v>
      </c>
      <c r="K7" s="46">
        <f t="shared" si="2"/>
        <v>0</v>
      </c>
      <c r="L7" s="46">
        <f t="shared" si="16"/>
        <v>0</v>
      </c>
      <c r="M7" s="46" t="str">
        <f t="shared" si="17"/>
        <v/>
      </c>
      <c r="N7" s="46">
        <f t="shared" si="18"/>
        <v>0</v>
      </c>
      <c r="O7" s="46" t="str">
        <f t="shared" si="19"/>
        <v/>
      </c>
      <c r="P7" s="46" t="str">
        <f t="shared" si="20"/>
        <v/>
      </c>
      <c r="Q7" s="46" t="str">
        <f t="shared" si="21"/>
        <v/>
      </c>
      <c r="S7" s="46">
        <f>'GPA Calculator'!N7</f>
        <v>0</v>
      </c>
      <c r="T7" s="46">
        <f>IF('GPA Calculator'!O7="DP",0,IF('GPA Calculator'!O7="WP",0,IF('GPA Calculator'!O7="P",0,IF('GPA Calculator'!O7="FA",0,IF('GPA Calculator'!O7="CR",0,IF('GPA Calculator'!O7="NC",0,IF('GPA Calculator'!O7="",0,S7)))))))</f>
        <v>0</v>
      </c>
      <c r="U7" s="46">
        <f>IF('GPA Calculator'!O7="W",0,IF('GPA Calculator'!O7="P",0,IF('GPA Calculator'!O7="FA",0,IF('GPA Calculator'!O7="CR",0,IF('GPA Calculator'!O7="NC",0,IF('GPA Calculator'!O7="",0,'GPA Calculator'!O7))))))</f>
        <v>0</v>
      </c>
      <c r="V7" s="46">
        <f t="shared" si="3"/>
        <v>0</v>
      </c>
      <c r="W7" s="46" t="str">
        <f t="shared" si="4"/>
        <v/>
      </c>
      <c r="X7" s="46">
        <f>'GPA Calculator'!Q7</f>
        <v>0</v>
      </c>
      <c r="Y7" s="46">
        <f t="shared" si="5"/>
        <v>0</v>
      </c>
      <c r="Z7" s="46">
        <f>'GPA Calculator'!R7</f>
        <v>0</v>
      </c>
      <c r="AA7" s="46">
        <f t="shared" si="6"/>
        <v>0</v>
      </c>
      <c r="AB7" s="46">
        <f>'GPA Calculator'!S7</f>
        <v>0</v>
      </c>
      <c r="AC7" s="46">
        <f t="shared" si="7"/>
        <v>0</v>
      </c>
      <c r="AD7" s="46">
        <f t="shared" si="8"/>
        <v>0</v>
      </c>
      <c r="AE7" s="46" t="str">
        <f t="shared" si="9"/>
        <v/>
      </c>
      <c r="AF7" s="46">
        <f t="shared" si="10"/>
        <v>0</v>
      </c>
      <c r="AG7" s="46" t="str">
        <f t="shared" si="11"/>
        <v/>
      </c>
      <c r="AH7" s="46" t="str">
        <f t="shared" si="12"/>
        <v/>
      </c>
      <c r="AI7" s="46" t="str">
        <f t="shared" si="13"/>
        <v/>
      </c>
      <c r="AL7" s="47" t="s">
        <v>19</v>
      </c>
      <c r="AM7" s="61">
        <v>2.33</v>
      </c>
    </row>
    <row r="8" spans="1:39" x14ac:dyDescent="0.25">
      <c r="A8" s="46">
        <f>'GPA Calculator'!D8</f>
        <v>0</v>
      </c>
      <c r="B8" s="46">
        <f>IF('GPA Calculator'!E8="W",0,IF('GPA Calculator'!E8="P",0,IF('GPA Calculator'!E8="FA",0,IF('GPA Calculator'!E8="CR",0,IF('GPA Calculator'!E8="NC",0,IF('GPA Calculator'!E8="",0,A8))))))</f>
        <v>0</v>
      </c>
      <c r="C8" s="46">
        <f>IF('GPA Calculator'!E8="W",0,IF('GPA Calculator'!E8="P",0,IF('GPA Calculator'!E8="FA",0,IF('GPA Calculator'!E8="CR",0,IF('GPA Calculator'!E8="NC",0,IF('GPA Calculator'!E8="",0,'GPA Calculator'!E8))))))</f>
        <v>0</v>
      </c>
      <c r="D8" s="46">
        <f t="shared" si="0"/>
        <v>0</v>
      </c>
      <c r="E8" s="46" t="str">
        <f t="shared" si="14"/>
        <v/>
      </c>
      <c r="F8" s="46">
        <f>'GPA Calculator'!G8</f>
        <v>0</v>
      </c>
      <c r="G8" s="46">
        <f t="shared" si="15"/>
        <v>0</v>
      </c>
      <c r="H8" s="46">
        <f>'GPA Calculator'!H8</f>
        <v>0</v>
      </c>
      <c r="I8" s="46">
        <f t="shared" si="1"/>
        <v>0</v>
      </c>
      <c r="J8" s="46">
        <f>'GPA Calculator'!I8</f>
        <v>0</v>
      </c>
      <c r="K8" s="46">
        <f t="shared" si="2"/>
        <v>0</v>
      </c>
      <c r="L8" s="46">
        <f t="shared" si="16"/>
        <v>0</v>
      </c>
      <c r="M8" s="46" t="str">
        <f t="shared" si="17"/>
        <v/>
      </c>
      <c r="N8" s="46">
        <f t="shared" si="18"/>
        <v>0</v>
      </c>
      <c r="O8" s="46" t="str">
        <f t="shared" si="19"/>
        <v/>
      </c>
      <c r="P8" s="46" t="str">
        <f t="shared" si="20"/>
        <v/>
      </c>
      <c r="Q8" s="46" t="str">
        <f t="shared" si="21"/>
        <v/>
      </c>
      <c r="S8" s="46">
        <f>'GPA Calculator'!N8</f>
        <v>0</v>
      </c>
      <c r="T8" s="46">
        <f>IF('GPA Calculator'!O8="DP",0,IF('GPA Calculator'!O8="WP",0,IF('GPA Calculator'!O8="P",0,IF('GPA Calculator'!O8="FA",0,IF('GPA Calculator'!O8="CR",0,IF('GPA Calculator'!O8="NC",0,IF('GPA Calculator'!O8="",0,S8)))))))</f>
        <v>0</v>
      </c>
      <c r="U8" s="46">
        <f>IF('GPA Calculator'!O8="W",0,IF('GPA Calculator'!O8="P",0,IF('GPA Calculator'!O8="FA",0,IF('GPA Calculator'!O8="CR",0,IF('GPA Calculator'!O8="NC",0,IF('GPA Calculator'!O8="",0,'GPA Calculator'!O8))))))</f>
        <v>0</v>
      </c>
      <c r="V8" s="46">
        <f t="shared" si="3"/>
        <v>0</v>
      </c>
      <c r="W8" s="46" t="str">
        <f t="shared" si="4"/>
        <v/>
      </c>
      <c r="X8" s="46">
        <f>'GPA Calculator'!Q8</f>
        <v>0</v>
      </c>
      <c r="Y8" s="46">
        <f t="shared" si="5"/>
        <v>0</v>
      </c>
      <c r="Z8" s="46">
        <f>'GPA Calculator'!R8</f>
        <v>0</v>
      </c>
      <c r="AA8" s="46">
        <f t="shared" si="6"/>
        <v>0</v>
      </c>
      <c r="AB8" s="46">
        <f>'GPA Calculator'!S8</f>
        <v>0</v>
      </c>
      <c r="AC8" s="46">
        <f t="shared" si="7"/>
        <v>0</v>
      </c>
      <c r="AD8" s="46">
        <f t="shared" si="8"/>
        <v>0</v>
      </c>
      <c r="AE8" s="46" t="str">
        <f t="shared" si="9"/>
        <v/>
      </c>
      <c r="AF8" s="46">
        <f t="shared" si="10"/>
        <v>0</v>
      </c>
      <c r="AG8" s="46" t="str">
        <f t="shared" si="11"/>
        <v/>
      </c>
      <c r="AH8" s="46" t="str">
        <f t="shared" si="12"/>
        <v/>
      </c>
      <c r="AI8" s="46" t="str">
        <f t="shared" si="13"/>
        <v/>
      </c>
      <c r="AL8" s="47" t="s">
        <v>15</v>
      </c>
      <c r="AM8" s="61">
        <v>2</v>
      </c>
    </row>
    <row r="9" spans="1:39" x14ac:dyDescent="0.25">
      <c r="A9" s="46">
        <f>'GPA Calculator'!D9</f>
        <v>0</v>
      </c>
      <c r="B9" s="46">
        <f>IF('GPA Calculator'!E9="W",0,IF('GPA Calculator'!E9="P",0,IF('GPA Calculator'!E9="FA",0,IF('GPA Calculator'!E9="CR",0,IF('GPA Calculator'!E9="NC",0,IF('GPA Calculator'!E9="",0,A9))))))</f>
        <v>0</v>
      </c>
      <c r="C9" s="46">
        <f>IF('GPA Calculator'!E9="W",0,IF('GPA Calculator'!E9="P",0,IF('GPA Calculator'!E9="FA",0,IF('GPA Calculator'!E9="CR",0,IF('GPA Calculator'!E9="NC",0,IF('GPA Calculator'!E9="",0,'GPA Calculator'!E9))))))</f>
        <v>0</v>
      </c>
      <c r="D9" s="46">
        <f t="shared" si="0"/>
        <v>0</v>
      </c>
      <c r="E9" s="46" t="str">
        <f t="shared" si="14"/>
        <v/>
      </c>
      <c r="F9" s="46">
        <f>'GPA Calculator'!G9</f>
        <v>0</v>
      </c>
      <c r="G9" s="46">
        <f t="shared" si="15"/>
        <v>0</v>
      </c>
      <c r="H9" s="46">
        <f>'GPA Calculator'!H9</f>
        <v>0</v>
      </c>
      <c r="I9" s="46">
        <f t="shared" si="1"/>
        <v>0</v>
      </c>
      <c r="J9" s="46">
        <f>'GPA Calculator'!I9</f>
        <v>0</v>
      </c>
      <c r="K9" s="46">
        <f t="shared" si="2"/>
        <v>0</v>
      </c>
      <c r="L9" s="46">
        <f t="shared" si="16"/>
        <v>0</v>
      </c>
      <c r="M9" s="46" t="str">
        <f t="shared" si="17"/>
        <v/>
      </c>
      <c r="N9" s="46">
        <f t="shared" si="18"/>
        <v>0</v>
      </c>
      <c r="O9" s="46" t="str">
        <f t="shared" si="19"/>
        <v/>
      </c>
      <c r="P9" s="46" t="str">
        <f t="shared" si="20"/>
        <v/>
      </c>
      <c r="Q9" s="46" t="str">
        <f t="shared" si="21"/>
        <v/>
      </c>
      <c r="S9" s="46">
        <f>'GPA Calculator'!N9</f>
        <v>0</v>
      </c>
      <c r="T9" s="46">
        <f>IF('GPA Calculator'!O9="DP",0,IF('GPA Calculator'!O9="WP",0,IF('GPA Calculator'!O9="P",0,IF('GPA Calculator'!O9="FA",0,IF('GPA Calculator'!O9="CR",0,IF('GPA Calculator'!O9="NC",0,IF('GPA Calculator'!O9="",0,S9)))))))</f>
        <v>0</v>
      </c>
      <c r="U9" s="46">
        <f>IF('GPA Calculator'!O9="W",0,IF('GPA Calculator'!O9="P",0,IF('GPA Calculator'!O9="FA",0,IF('GPA Calculator'!O9="CR",0,IF('GPA Calculator'!O9="NC",0,IF('GPA Calculator'!O9="",0,'GPA Calculator'!O9))))))</f>
        <v>0</v>
      </c>
      <c r="V9" s="46">
        <f t="shared" si="3"/>
        <v>0</v>
      </c>
      <c r="W9" s="46" t="str">
        <f t="shared" si="4"/>
        <v/>
      </c>
      <c r="X9" s="46">
        <f>'GPA Calculator'!Q9</f>
        <v>0</v>
      </c>
      <c r="Y9" s="46">
        <f t="shared" si="5"/>
        <v>0</v>
      </c>
      <c r="Z9" s="46">
        <f>'GPA Calculator'!R9</f>
        <v>0</v>
      </c>
      <c r="AA9" s="46">
        <f t="shared" si="6"/>
        <v>0</v>
      </c>
      <c r="AB9" s="46">
        <f>'GPA Calculator'!S9</f>
        <v>0</v>
      </c>
      <c r="AC9" s="46">
        <f t="shared" si="7"/>
        <v>0</v>
      </c>
      <c r="AD9" s="46">
        <f t="shared" si="8"/>
        <v>0</v>
      </c>
      <c r="AE9" s="46" t="str">
        <f t="shared" si="9"/>
        <v/>
      </c>
      <c r="AF9" s="46">
        <f t="shared" si="10"/>
        <v>0</v>
      </c>
      <c r="AG9" s="46" t="str">
        <f t="shared" si="11"/>
        <v/>
      </c>
      <c r="AH9" s="46" t="str">
        <f t="shared" si="12"/>
        <v/>
      </c>
      <c r="AI9" s="46" t="str">
        <f t="shared" si="13"/>
        <v/>
      </c>
      <c r="AL9" s="47" t="s">
        <v>80</v>
      </c>
      <c r="AM9" s="61">
        <v>1.67</v>
      </c>
    </row>
    <row r="10" spans="1:39" x14ac:dyDescent="0.25">
      <c r="A10" s="46">
        <f>'GPA Calculator'!D10</f>
        <v>0</v>
      </c>
      <c r="B10" s="46">
        <f>IF('GPA Calculator'!E10="W",0,IF('GPA Calculator'!E10="P",0,IF('GPA Calculator'!E10="FA",0,IF('GPA Calculator'!E10="CR",0,IF('GPA Calculator'!E10="NC",0,IF('GPA Calculator'!E10="",0,A10))))))</f>
        <v>0</v>
      </c>
      <c r="C10" s="46">
        <f>IF('GPA Calculator'!E10="W",0,IF('GPA Calculator'!E10="P",0,IF('GPA Calculator'!E10="FA",0,IF('GPA Calculator'!E10="CR",0,IF('GPA Calculator'!E10="NC",0,IF('GPA Calculator'!E10="",0,'GPA Calculator'!E10))))))</f>
        <v>0</v>
      </c>
      <c r="D10" s="46">
        <f t="shared" si="0"/>
        <v>0</v>
      </c>
      <c r="E10" s="46" t="str">
        <f t="shared" si="14"/>
        <v/>
      </c>
      <c r="F10" s="46">
        <f>'GPA Calculator'!G10</f>
        <v>0</v>
      </c>
      <c r="G10" s="46">
        <f t="shared" si="15"/>
        <v>0</v>
      </c>
      <c r="H10" s="46">
        <f>'GPA Calculator'!H10</f>
        <v>0</v>
      </c>
      <c r="I10" s="46">
        <f t="shared" si="1"/>
        <v>0</v>
      </c>
      <c r="J10" s="46">
        <f>'GPA Calculator'!I10</f>
        <v>0</v>
      </c>
      <c r="K10" s="46">
        <f t="shared" si="2"/>
        <v>0</v>
      </c>
      <c r="L10" s="46">
        <f t="shared" si="16"/>
        <v>0</v>
      </c>
      <c r="M10" s="46" t="str">
        <f t="shared" si="17"/>
        <v/>
      </c>
      <c r="N10" s="46">
        <f t="shared" si="18"/>
        <v>0</v>
      </c>
      <c r="O10" s="46" t="str">
        <f t="shared" si="19"/>
        <v/>
      </c>
      <c r="P10" s="46" t="str">
        <f t="shared" si="20"/>
        <v/>
      </c>
      <c r="Q10" s="46" t="str">
        <f t="shared" si="21"/>
        <v/>
      </c>
      <c r="S10" s="46">
        <f>'GPA Calculator'!N10</f>
        <v>0</v>
      </c>
      <c r="T10" s="46">
        <f>IF('GPA Calculator'!O10="DP",0,IF('GPA Calculator'!O10="WP",0,IF('GPA Calculator'!O10="P",0,IF('GPA Calculator'!O10="FA",0,IF('GPA Calculator'!O10="CR",0,IF('GPA Calculator'!O10="NC",0,IF('GPA Calculator'!O10="",0,S10)))))))</f>
        <v>0</v>
      </c>
      <c r="U10" s="46">
        <f>IF('GPA Calculator'!O10="W",0,IF('GPA Calculator'!O10="P",0,IF('GPA Calculator'!O10="FA",0,IF('GPA Calculator'!O10="CR",0,IF('GPA Calculator'!O10="NC",0,IF('GPA Calculator'!O10="",0,'GPA Calculator'!O10))))))</f>
        <v>0</v>
      </c>
      <c r="V10" s="46">
        <f t="shared" si="3"/>
        <v>0</v>
      </c>
      <c r="W10" s="46" t="str">
        <f t="shared" si="4"/>
        <v/>
      </c>
      <c r="X10" s="46">
        <f>'GPA Calculator'!Q10</f>
        <v>0</v>
      </c>
      <c r="Y10" s="46">
        <f t="shared" si="5"/>
        <v>0</v>
      </c>
      <c r="Z10" s="46">
        <f>'GPA Calculator'!R10</f>
        <v>0</v>
      </c>
      <c r="AA10" s="46">
        <f t="shared" si="6"/>
        <v>0</v>
      </c>
      <c r="AB10" s="46">
        <f>'GPA Calculator'!S10</f>
        <v>0</v>
      </c>
      <c r="AC10" s="46">
        <f t="shared" si="7"/>
        <v>0</v>
      </c>
      <c r="AD10" s="46">
        <f t="shared" si="8"/>
        <v>0</v>
      </c>
      <c r="AE10" s="46" t="str">
        <f t="shared" si="9"/>
        <v/>
      </c>
      <c r="AF10" s="46">
        <f t="shared" si="10"/>
        <v>0</v>
      </c>
      <c r="AG10" s="46" t="str">
        <f t="shared" si="11"/>
        <v/>
      </c>
      <c r="AH10" s="46" t="str">
        <f t="shared" si="12"/>
        <v/>
      </c>
      <c r="AI10" s="46" t="str">
        <f t="shared" si="13"/>
        <v/>
      </c>
      <c r="AL10" s="47" t="s">
        <v>84</v>
      </c>
      <c r="AM10" s="61">
        <v>1.33</v>
      </c>
    </row>
    <row r="11" spans="1:39" x14ac:dyDescent="0.25">
      <c r="A11" s="46">
        <f>'GPA Calculator'!D11</f>
        <v>0</v>
      </c>
      <c r="B11" s="46">
        <f>IF('GPA Calculator'!E11="W",0,IF('GPA Calculator'!E11="P",0,IF('GPA Calculator'!E11="FA",0,IF('GPA Calculator'!E11="CR",0,IF('GPA Calculator'!E11="NC",0,IF('GPA Calculator'!E11="",0,A11))))))</f>
        <v>0</v>
      </c>
      <c r="C11" s="46">
        <f>IF('GPA Calculator'!E11="W",0,IF('GPA Calculator'!E11="P",0,IF('GPA Calculator'!E11="FA",0,IF('GPA Calculator'!E11="CR",0,IF('GPA Calculator'!E11="NC",0,IF('GPA Calculator'!E11="",0,'GPA Calculator'!E11))))))</f>
        <v>0</v>
      </c>
      <c r="D11" s="46">
        <f t="shared" si="0"/>
        <v>0</v>
      </c>
      <c r="E11" s="46" t="str">
        <f t="shared" si="14"/>
        <v/>
      </c>
      <c r="F11" s="46">
        <f>'GPA Calculator'!G11</f>
        <v>0</v>
      </c>
      <c r="G11" s="46">
        <f t="shared" si="15"/>
        <v>0</v>
      </c>
      <c r="H11" s="46">
        <f>'GPA Calculator'!H11</f>
        <v>0</v>
      </c>
      <c r="I11" s="46">
        <f t="shared" si="1"/>
        <v>0</v>
      </c>
      <c r="J11" s="46">
        <f>'GPA Calculator'!I11</f>
        <v>0</v>
      </c>
      <c r="K11" s="46">
        <f t="shared" si="2"/>
        <v>0</v>
      </c>
      <c r="L11" s="46">
        <f t="shared" si="16"/>
        <v>0</v>
      </c>
      <c r="M11" s="46" t="str">
        <f t="shared" si="17"/>
        <v/>
      </c>
      <c r="N11" s="46">
        <f t="shared" si="18"/>
        <v>0</v>
      </c>
      <c r="O11" s="46" t="str">
        <f t="shared" si="19"/>
        <v/>
      </c>
      <c r="P11" s="46" t="str">
        <f t="shared" si="20"/>
        <v/>
      </c>
      <c r="Q11" s="46" t="str">
        <f t="shared" si="21"/>
        <v/>
      </c>
      <c r="S11" s="46">
        <f>'GPA Calculator'!N11</f>
        <v>0</v>
      </c>
      <c r="T11" s="46">
        <f>IF('GPA Calculator'!O11="DP",0,IF('GPA Calculator'!O11="WP",0,IF('GPA Calculator'!O11="P",0,IF('GPA Calculator'!O11="FA",0,IF('GPA Calculator'!O11="CR",0,IF('GPA Calculator'!O11="NC",0,IF('GPA Calculator'!O11="",0,S11)))))))</f>
        <v>0</v>
      </c>
      <c r="U11" s="46">
        <f>IF('GPA Calculator'!O11="W",0,IF('GPA Calculator'!O11="P",0,IF('GPA Calculator'!O11="FA",0,IF('GPA Calculator'!O11="CR",0,IF('GPA Calculator'!O11="NC",0,IF('GPA Calculator'!O11="",0,'GPA Calculator'!O11))))))</f>
        <v>0</v>
      </c>
      <c r="V11" s="46">
        <f t="shared" si="3"/>
        <v>0</v>
      </c>
      <c r="W11" s="46" t="str">
        <f t="shared" si="4"/>
        <v/>
      </c>
      <c r="X11" s="46">
        <f>'GPA Calculator'!Q11</f>
        <v>0</v>
      </c>
      <c r="Y11" s="46">
        <f t="shared" si="5"/>
        <v>0</v>
      </c>
      <c r="Z11" s="46">
        <f>'GPA Calculator'!R11</f>
        <v>0</v>
      </c>
      <c r="AA11" s="46">
        <f t="shared" si="6"/>
        <v>0</v>
      </c>
      <c r="AB11" s="46">
        <f>'GPA Calculator'!S11</f>
        <v>0</v>
      </c>
      <c r="AC11" s="46">
        <f t="shared" si="7"/>
        <v>0</v>
      </c>
      <c r="AD11" s="46">
        <f t="shared" si="8"/>
        <v>0</v>
      </c>
      <c r="AE11" s="46" t="str">
        <f t="shared" si="9"/>
        <v/>
      </c>
      <c r="AF11" s="46">
        <f t="shared" si="10"/>
        <v>0</v>
      </c>
      <c r="AG11" s="46" t="str">
        <f t="shared" si="11"/>
        <v/>
      </c>
      <c r="AH11" s="46" t="str">
        <f t="shared" si="12"/>
        <v/>
      </c>
      <c r="AI11" s="46" t="str">
        <f t="shared" si="13"/>
        <v/>
      </c>
      <c r="AL11" s="47" t="s">
        <v>16</v>
      </c>
      <c r="AM11" s="61">
        <v>1</v>
      </c>
    </row>
    <row r="12" spans="1:39" x14ac:dyDescent="0.25">
      <c r="A12" s="46">
        <f>'GPA Calculator'!D12</f>
        <v>0</v>
      </c>
      <c r="B12" s="46">
        <f>IF('GPA Calculator'!E12="W",0,IF('GPA Calculator'!E12="P",0,IF('GPA Calculator'!E12="FA",0,IF('GPA Calculator'!E12="CR",0,IF('GPA Calculator'!E12="NC",0,IF('GPA Calculator'!E12="",0,A12))))))</f>
        <v>0</v>
      </c>
      <c r="C12" s="46">
        <f>IF('GPA Calculator'!E12="W",0,IF('GPA Calculator'!E12="P",0,IF('GPA Calculator'!E12="FA",0,IF('GPA Calculator'!E12="CR",0,IF('GPA Calculator'!E12="NC",0,IF('GPA Calculator'!E12="",0,'GPA Calculator'!E12))))))</f>
        <v>0</v>
      </c>
      <c r="D12" s="46">
        <f t="shared" si="0"/>
        <v>0</v>
      </c>
      <c r="E12" s="46" t="str">
        <f t="shared" si="14"/>
        <v/>
      </c>
      <c r="F12" s="46">
        <f>'GPA Calculator'!G12</f>
        <v>0</v>
      </c>
      <c r="G12" s="46">
        <f t="shared" si="15"/>
        <v>0</v>
      </c>
      <c r="H12" s="46">
        <f>'GPA Calculator'!H12</f>
        <v>0</v>
      </c>
      <c r="I12" s="46">
        <f t="shared" si="1"/>
        <v>0</v>
      </c>
      <c r="J12" s="46">
        <f>'GPA Calculator'!I12</f>
        <v>0</v>
      </c>
      <c r="K12" s="46">
        <f t="shared" si="2"/>
        <v>0</v>
      </c>
      <c r="L12" s="46">
        <f t="shared" si="16"/>
        <v>0</v>
      </c>
      <c r="M12" s="46" t="str">
        <f t="shared" si="17"/>
        <v/>
      </c>
      <c r="N12" s="46">
        <f t="shared" si="18"/>
        <v>0</v>
      </c>
      <c r="O12" s="46" t="str">
        <f t="shared" si="19"/>
        <v/>
      </c>
      <c r="P12" s="46" t="str">
        <f t="shared" si="20"/>
        <v/>
      </c>
      <c r="Q12" s="46" t="str">
        <f t="shared" si="21"/>
        <v/>
      </c>
      <c r="S12" s="46">
        <f>'GPA Calculator'!N12</f>
        <v>0</v>
      </c>
      <c r="T12" s="46">
        <f>IF('GPA Calculator'!O12="DP",0,IF('GPA Calculator'!O12="WP",0,IF('GPA Calculator'!O12="P",0,IF('GPA Calculator'!O12="FA",0,IF('GPA Calculator'!O12="CR",0,IF('GPA Calculator'!O12="NC",0,IF('GPA Calculator'!O12="",0,S12)))))))</f>
        <v>0</v>
      </c>
      <c r="U12" s="46">
        <f>IF('GPA Calculator'!O12="W",0,IF('GPA Calculator'!O12="P",0,IF('GPA Calculator'!O12="FA",0,IF('GPA Calculator'!O12="CR",0,IF('GPA Calculator'!O12="NC",0,IF('GPA Calculator'!O12="",0,'GPA Calculator'!O12))))))</f>
        <v>0</v>
      </c>
      <c r="V12" s="46">
        <f t="shared" si="3"/>
        <v>0</v>
      </c>
      <c r="W12" s="46" t="str">
        <f t="shared" si="4"/>
        <v/>
      </c>
      <c r="X12" s="46">
        <f>'GPA Calculator'!Q12</f>
        <v>0</v>
      </c>
      <c r="Y12" s="46">
        <f t="shared" si="5"/>
        <v>0</v>
      </c>
      <c r="Z12" s="46">
        <f>'GPA Calculator'!R12</f>
        <v>0</v>
      </c>
      <c r="AA12" s="46">
        <f t="shared" si="6"/>
        <v>0</v>
      </c>
      <c r="AB12" s="46">
        <f>'GPA Calculator'!S12</f>
        <v>0</v>
      </c>
      <c r="AC12" s="46">
        <f t="shared" si="7"/>
        <v>0</v>
      </c>
      <c r="AD12" s="46">
        <f t="shared" si="8"/>
        <v>0</v>
      </c>
      <c r="AE12" s="46" t="str">
        <f t="shared" si="9"/>
        <v/>
      </c>
      <c r="AF12" s="46">
        <f t="shared" si="10"/>
        <v>0</v>
      </c>
      <c r="AG12" s="46" t="str">
        <f t="shared" si="11"/>
        <v/>
      </c>
      <c r="AH12" s="46" t="str">
        <f t="shared" si="12"/>
        <v/>
      </c>
      <c r="AI12" s="46" t="str">
        <f t="shared" si="13"/>
        <v/>
      </c>
      <c r="AL12" s="47" t="s">
        <v>81</v>
      </c>
      <c r="AM12" s="61">
        <v>0.67</v>
      </c>
    </row>
    <row r="13" spans="1:39" x14ac:dyDescent="0.25">
      <c r="A13" s="46">
        <f>'GPA Calculator'!D13</f>
        <v>0</v>
      </c>
      <c r="B13" s="46">
        <f>IF('GPA Calculator'!E13="W",0,IF('GPA Calculator'!E13="P",0,IF('GPA Calculator'!E13="FA",0,IF('GPA Calculator'!E13="CR",0,IF('GPA Calculator'!E13="NC",0,IF('GPA Calculator'!E13="",0,A13))))))</f>
        <v>0</v>
      </c>
      <c r="C13" s="46">
        <f>IF('GPA Calculator'!E13="W",0,IF('GPA Calculator'!E13="P",0,IF('GPA Calculator'!E13="FA",0,IF('GPA Calculator'!E13="CR",0,IF('GPA Calculator'!E13="NC",0,IF('GPA Calculator'!E13="",0,'GPA Calculator'!E13))))))</f>
        <v>0</v>
      </c>
      <c r="D13" s="46">
        <f t="shared" si="0"/>
        <v>0</v>
      </c>
      <c r="E13" s="46" t="str">
        <f t="shared" si="14"/>
        <v/>
      </c>
      <c r="F13" s="46">
        <f>'GPA Calculator'!G13</f>
        <v>0</v>
      </c>
      <c r="G13" s="46">
        <f t="shared" si="15"/>
        <v>0</v>
      </c>
      <c r="H13" s="46">
        <f>'GPA Calculator'!H13</f>
        <v>0</v>
      </c>
      <c r="I13" s="46">
        <f t="shared" si="1"/>
        <v>0</v>
      </c>
      <c r="J13" s="46">
        <f>'GPA Calculator'!I13</f>
        <v>0</v>
      </c>
      <c r="K13" s="46">
        <f t="shared" si="2"/>
        <v>0</v>
      </c>
      <c r="L13" s="46">
        <f t="shared" si="16"/>
        <v>0</v>
      </c>
      <c r="M13" s="46" t="str">
        <f t="shared" si="17"/>
        <v/>
      </c>
      <c r="N13" s="46">
        <f t="shared" si="18"/>
        <v>0</v>
      </c>
      <c r="O13" s="46" t="str">
        <f t="shared" si="19"/>
        <v/>
      </c>
      <c r="P13" s="46" t="str">
        <f t="shared" si="20"/>
        <v/>
      </c>
      <c r="Q13" s="46" t="str">
        <f t="shared" si="21"/>
        <v/>
      </c>
      <c r="S13" s="46">
        <f>'GPA Calculator'!N13</f>
        <v>0</v>
      </c>
      <c r="T13" s="46">
        <f>IF('GPA Calculator'!O13="DP",0,IF('GPA Calculator'!O13="WP",0,IF('GPA Calculator'!O13="P",0,IF('GPA Calculator'!O13="FA",0,IF('GPA Calculator'!O13="CR",0,IF('GPA Calculator'!O13="NC",0,IF('GPA Calculator'!O13="",0,S13)))))))</f>
        <v>0</v>
      </c>
      <c r="U13" s="46">
        <f>IF('GPA Calculator'!O13="W",0,IF('GPA Calculator'!O13="P",0,IF('GPA Calculator'!O13="FA",0,IF('GPA Calculator'!O13="CR",0,IF('GPA Calculator'!O13="NC",0,IF('GPA Calculator'!O13="",0,'GPA Calculator'!O13))))))</f>
        <v>0</v>
      </c>
      <c r="V13" s="46">
        <f t="shared" si="3"/>
        <v>0</v>
      </c>
      <c r="W13" s="46" t="str">
        <f t="shared" si="4"/>
        <v/>
      </c>
      <c r="X13" s="46">
        <f>'GPA Calculator'!Q13</f>
        <v>0</v>
      </c>
      <c r="Y13" s="46">
        <f t="shared" si="5"/>
        <v>0</v>
      </c>
      <c r="Z13" s="46">
        <f>'GPA Calculator'!R13</f>
        <v>0</v>
      </c>
      <c r="AA13" s="46">
        <f t="shared" si="6"/>
        <v>0</v>
      </c>
      <c r="AB13" s="46">
        <f>'GPA Calculator'!S13</f>
        <v>0</v>
      </c>
      <c r="AC13" s="46">
        <f t="shared" si="7"/>
        <v>0</v>
      </c>
      <c r="AD13" s="46">
        <f t="shared" si="8"/>
        <v>0</v>
      </c>
      <c r="AE13" s="46" t="str">
        <f t="shared" si="9"/>
        <v/>
      </c>
      <c r="AF13" s="46">
        <f t="shared" si="10"/>
        <v>0</v>
      </c>
      <c r="AG13" s="46" t="str">
        <f t="shared" si="11"/>
        <v/>
      </c>
      <c r="AH13" s="46" t="str">
        <f t="shared" si="12"/>
        <v/>
      </c>
      <c r="AI13" s="46" t="str">
        <f t="shared" si="13"/>
        <v/>
      </c>
      <c r="AL13" s="47" t="s">
        <v>17</v>
      </c>
      <c r="AM13" s="61">
        <v>0</v>
      </c>
    </row>
    <row r="14" spans="1:39" x14ac:dyDescent="0.25">
      <c r="B14" s="46">
        <f t="shared" ref="B14:E14" si="22">SUM(B5:B13)</f>
        <v>0</v>
      </c>
      <c r="E14" s="46">
        <f t="shared" si="22"/>
        <v>0</v>
      </c>
      <c r="L14" s="46">
        <f>SUM(L5:L13)</f>
        <v>0</v>
      </c>
      <c r="M14" s="46">
        <f t="shared" ref="M14:Q14" si="23">SUM(M5:M13)</f>
        <v>0</v>
      </c>
      <c r="N14" s="46">
        <f t="shared" si="23"/>
        <v>0</v>
      </c>
      <c r="O14" s="46">
        <f t="shared" si="23"/>
        <v>0</v>
      </c>
      <c r="P14" s="46">
        <f t="shared" si="23"/>
        <v>0</v>
      </c>
      <c r="Q14" s="46">
        <f t="shared" si="23"/>
        <v>0</v>
      </c>
      <c r="T14" s="46">
        <f t="shared" ref="T14:W14" si="24">SUM(T5:T13)</f>
        <v>0</v>
      </c>
      <c r="V14" s="46">
        <f t="shared" si="24"/>
        <v>0</v>
      </c>
      <c r="W14" s="46">
        <f t="shared" si="24"/>
        <v>0</v>
      </c>
      <c r="AD14" s="46">
        <f t="shared" ref="AD14:AH14" si="25">SUM(AD5:AD13)</f>
        <v>0</v>
      </c>
      <c r="AE14" s="46">
        <f t="shared" si="25"/>
        <v>0</v>
      </c>
      <c r="AF14" s="46">
        <f t="shared" si="25"/>
        <v>0</v>
      </c>
      <c r="AG14" s="46">
        <f t="shared" si="25"/>
        <v>0</v>
      </c>
      <c r="AH14" s="46">
        <f t="shared" si="25"/>
        <v>0</v>
      </c>
      <c r="AI14" s="46">
        <f>SUM(AI5:AI13)</f>
        <v>0</v>
      </c>
      <c r="AL14" s="47" t="s">
        <v>73</v>
      </c>
      <c r="AM14" s="61">
        <v>0</v>
      </c>
    </row>
    <row r="15" spans="1:39" x14ac:dyDescent="0.25">
      <c r="L15" s="46" t="s">
        <v>10</v>
      </c>
      <c r="M15" s="46" t="str">
        <f>IF(L14=0,"",M14/L14)</f>
        <v/>
      </c>
      <c r="N15" s="46" t="s">
        <v>20</v>
      </c>
      <c r="O15" s="46" t="str">
        <f>IF(N14=0,"",O14/N14)</f>
        <v/>
      </c>
      <c r="P15" s="46" t="s">
        <v>23</v>
      </c>
      <c r="Q15" s="46" t="str">
        <f>IF(P14=0,"",Q14/P14)</f>
        <v/>
      </c>
      <c r="AD15" s="46" t="s">
        <v>10</v>
      </c>
      <c r="AE15" s="46" t="str">
        <f>IF(AD14=0,"",AE14/AD14)</f>
        <v/>
      </c>
      <c r="AF15" s="46" t="s">
        <v>20</v>
      </c>
      <c r="AG15" s="46" t="str">
        <f>IF(AF14=0,"",AG14/AF14)</f>
        <v/>
      </c>
      <c r="AH15" s="46" t="s">
        <v>23</v>
      </c>
      <c r="AI15" s="46" t="str">
        <f>IF(AH14=0,"",AI14/AH14)</f>
        <v/>
      </c>
    </row>
    <row r="20" spans="1:35" x14ac:dyDescent="0.25">
      <c r="A20" s="46" t="s">
        <v>4</v>
      </c>
      <c r="B20" s="46" t="s">
        <v>61</v>
      </c>
      <c r="C20" s="46" t="s">
        <v>12</v>
      </c>
      <c r="D20" s="46" t="s">
        <v>58</v>
      </c>
      <c r="E20" s="46" t="s">
        <v>6</v>
      </c>
      <c r="F20" s="46" t="s">
        <v>7</v>
      </c>
      <c r="H20" s="46" t="s">
        <v>26</v>
      </c>
      <c r="J20" s="46" t="s">
        <v>27</v>
      </c>
      <c r="L20" s="46" t="s">
        <v>60</v>
      </c>
      <c r="M20" s="46" t="s">
        <v>59</v>
      </c>
      <c r="N20" s="46" t="s">
        <v>24</v>
      </c>
      <c r="O20" s="46" t="s">
        <v>22</v>
      </c>
      <c r="P20" s="46" t="s">
        <v>25</v>
      </c>
      <c r="Q20" s="46" t="s">
        <v>21</v>
      </c>
      <c r="S20" s="46" t="s">
        <v>4</v>
      </c>
      <c r="T20" s="46" t="s">
        <v>61</v>
      </c>
      <c r="U20" s="46" t="s">
        <v>12</v>
      </c>
      <c r="V20" s="46" t="s">
        <v>58</v>
      </c>
      <c r="W20" s="46" t="s">
        <v>6</v>
      </c>
      <c r="X20" s="46" t="s">
        <v>7</v>
      </c>
      <c r="Z20" s="46" t="s">
        <v>26</v>
      </c>
      <c r="AB20" s="46" t="s">
        <v>27</v>
      </c>
      <c r="AD20" s="46" t="s">
        <v>60</v>
      </c>
      <c r="AE20" s="46" t="s">
        <v>59</v>
      </c>
      <c r="AF20" s="46" t="s">
        <v>24</v>
      </c>
      <c r="AG20" s="46" t="s">
        <v>22</v>
      </c>
      <c r="AH20" s="46" t="s">
        <v>25</v>
      </c>
      <c r="AI20" s="46" t="s">
        <v>21</v>
      </c>
    </row>
    <row r="21" spans="1:35" x14ac:dyDescent="0.25">
      <c r="A21" s="46">
        <f>'GPA Calculator'!D22</f>
        <v>0</v>
      </c>
      <c r="B21" s="46">
        <f>IF('GPA Calculator'!E22="W",0,IF('GPA Calculator'!E22="P",0,IF('GPA Calculator'!E22="FA",0,IF('GPA Calculator'!E22="CR",0,IF('GPA Calculator'!E22="NC",0,IF('GPA Calculator'!E22="",0,A21))))))</f>
        <v>0</v>
      </c>
      <c r="C21" s="46">
        <f>IF('GPA Calculator'!E22="W",0,IF('GPA Calculator'!E22="P",0,IF('GPA Calculator'!E22="FA",0,IF('GPA Calculator'!E22="CR",0,IF('GPA Calculator'!E22="NC",0,IF('GPA Calculator'!E22="",0,'GPA Calculator'!E22))))))</f>
        <v>0</v>
      </c>
      <c r="D21" s="46">
        <f t="shared" ref="D21:D29" si="26">IF(C21=0,0,VLOOKUP(C21,$AL$2:$AM$14,2,FALSE))</f>
        <v>0</v>
      </c>
      <c r="E21" s="46" t="str">
        <f t="shared" si="14"/>
        <v/>
      </c>
      <c r="F21" s="46">
        <f>'GPA Calculator'!G22</f>
        <v>0</v>
      </c>
      <c r="G21" s="46">
        <f t="shared" ref="G21:G29" si="27">IF(F21=0,0,1)</f>
        <v>0</v>
      </c>
      <c r="H21" s="46">
        <f>'GPA Calculator'!H22</f>
        <v>0</v>
      </c>
      <c r="I21" s="46">
        <f t="shared" ref="I21:I29" si="28">IF(H21=0,0,1)</f>
        <v>0</v>
      </c>
      <c r="J21" s="46">
        <f>'GPA Calculator'!I22</f>
        <v>0</v>
      </c>
      <c r="K21" s="46">
        <f t="shared" ref="K21:K29" si="29">IF(J21=0,0,1)</f>
        <v>0</v>
      </c>
      <c r="L21" s="46">
        <f t="shared" ref="L21:L29" si="30">B21</f>
        <v>0</v>
      </c>
      <c r="M21" s="46" t="str">
        <f t="shared" ref="M21:M29" si="31">E21</f>
        <v/>
      </c>
      <c r="N21" s="46">
        <f t="shared" ref="N21:N29" si="32">IF(G21=1,"",IF(K21=1,"",B21))</f>
        <v>0</v>
      </c>
      <c r="O21" s="46" t="str">
        <f t="shared" ref="O21:O29" si="33">IF(G21=1,"",IF(K21=1,"",E21))</f>
        <v/>
      </c>
      <c r="P21" s="46" t="str">
        <f t="shared" ref="P21:P29" si="34">IF(G21=1,"",IF(K21=1,"",IF(I21=0,"",B21)))</f>
        <v/>
      </c>
      <c r="Q21" s="46" t="str">
        <f t="shared" ref="Q21:Q29" si="35">IF(G21=1,"",IF(K21=1,"",IF(I21=0,"",E21)))</f>
        <v/>
      </c>
      <c r="S21" s="46">
        <f>'GPA Calculator'!N22</f>
        <v>0</v>
      </c>
      <c r="T21" s="46">
        <f>IF('GPA Calculator'!O22="DP",0,IF('GPA Calculator'!O22="WP",0,IF('GPA Calculator'!O22="P",0,IF('GPA Calculator'!O22="FA",0,IF('GPA Calculator'!O22="CR",0,IF('GPA Calculator'!O22="NC",0,IF('GPA Calculator'!O22="",0,S21)))))))</f>
        <v>0</v>
      </c>
      <c r="U21" s="46">
        <f>IF('GPA Calculator'!O22="W",0,IF('GPA Calculator'!O22="P",0,IF('GPA Calculator'!O22="FA",0,IF('GPA Calculator'!O22="CR",0,IF('GPA Calculator'!O22="NC",0,IF('GPA Calculator'!O22="",0,'GPA Calculator'!O22))))))</f>
        <v>0</v>
      </c>
      <c r="V21" s="46">
        <f t="shared" ref="V21:V29" si="36">IF(U21=0,0,VLOOKUP(U21,$AL$2:$AM$14,2,FALSE))</f>
        <v>0</v>
      </c>
      <c r="W21" s="46" t="str">
        <f t="shared" ref="W21:W29" si="37">IF(V21=0,"",T21*V21)</f>
        <v/>
      </c>
      <c r="X21" s="46">
        <f>'GPA Calculator'!Q22</f>
        <v>0</v>
      </c>
      <c r="Y21" s="46">
        <f t="shared" ref="Y21:Y29" si="38">IF(X21=0,0,1)</f>
        <v>0</v>
      </c>
      <c r="Z21" s="46">
        <f>'GPA Calculator'!R22</f>
        <v>0</v>
      </c>
      <c r="AA21" s="46">
        <f t="shared" ref="AA21:AA29" si="39">IF(Z21=0,0,1)</f>
        <v>0</v>
      </c>
      <c r="AB21" s="46">
        <f>'GPA Calculator'!S22</f>
        <v>0</v>
      </c>
      <c r="AC21" s="46">
        <f t="shared" ref="AC21:AC29" si="40">IF(AB21=0,0,1)</f>
        <v>0</v>
      </c>
      <c r="AD21" s="46">
        <f t="shared" ref="AD21:AD29" si="41">T21</f>
        <v>0</v>
      </c>
      <c r="AE21" s="46" t="str">
        <f t="shared" ref="AE21:AE29" si="42">W21</f>
        <v/>
      </c>
      <c r="AF21" s="46">
        <f t="shared" ref="AF21:AF29" si="43">IF(Y21=1,"",IF(AC21=1,"",T21))</f>
        <v>0</v>
      </c>
      <c r="AG21" s="46" t="str">
        <f t="shared" ref="AG21:AG29" si="44">IF(Y21=1,"",IF(AC21=1,"",W21))</f>
        <v/>
      </c>
      <c r="AH21" s="46" t="str">
        <f t="shared" ref="AH21:AH29" si="45">IF(Y21=1,"",IF(AC21=1,"",IF(AA21=0,"",T21)))</f>
        <v/>
      </c>
      <c r="AI21" s="46" t="str">
        <f t="shared" ref="AI21:AI29" si="46">IF(Y21=1,"",IF(AC21=1,"",IF(AA21=0,"",W21)))</f>
        <v/>
      </c>
    </row>
    <row r="22" spans="1:35" x14ac:dyDescent="0.25">
      <c r="A22" s="46">
        <f>'GPA Calculator'!D23</f>
        <v>0</v>
      </c>
      <c r="B22" s="46">
        <f>IF('GPA Calculator'!E23="DP",0,IF('GPA Calculator'!E23="WP",0,IF('GPA Calculator'!E23="P",0,IF('GPA Calculator'!E23="FA",0,IF('GPA Calculator'!E23="CR",0,IF('GPA Calculator'!E23="NC",0,IF('GPA Calculator'!E23="",0,A22)))))))</f>
        <v>0</v>
      </c>
      <c r="C22" s="46">
        <f>IF('GPA Calculator'!E23="W",0,IF('GPA Calculator'!E23="P",0,IF('GPA Calculator'!E23="FA",0,IF('GPA Calculator'!E23="CR",0,IF('GPA Calculator'!E23="NC",0,IF('GPA Calculator'!E23="",0,'GPA Calculator'!E23))))))</f>
        <v>0</v>
      </c>
      <c r="D22" s="46">
        <f t="shared" si="26"/>
        <v>0</v>
      </c>
      <c r="E22" s="46" t="str">
        <f t="shared" si="14"/>
        <v/>
      </c>
      <c r="F22" s="46">
        <f>'GPA Calculator'!G23</f>
        <v>0</v>
      </c>
      <c r="G22" s="46">
        <f t="shared" si="27"/>
        <v>0</v>
      </c>
      <c r="H22" s="46">
        <f>'GPA Calculator'!H23</f>
        <v>0</v>
      </c>
      <c r="I22" s="46">
        <f t="shared" si="28"/>
        <v>0</v>
      </c>
      <c r="J22" s="46">
        <f>'GPA Calculator'!I23</f>
        <v>0</v>
      </c>
      <c r="K22" s="46">
        <f t="shared" si="29"/>
        <v>0</v>
      </c>
      <c r="L22" s="46">
        <f t="shared" si="30"/>
        <v>0</v>
      </c>
      <c r="M22" s="46" t="str">
        <f t="shared" si="31"/>
        <v/>
      </c>
      <c r="N22" s="46">
        <f t="shared" si="32"/>
        <v>0</v>
      </c>
      <c r="O22" s="46" t="str">
        <f t="shared" si="33"/>
        <v/>
      </c>
      <c r="P22" s="46" t="str">
        <f t="shared" si="34"/>
        <v/>
      </c>
      <c r="Q22" s="46" t="str">
        <f t="shared" si="35"/>
        <v/>
      </c>
      <c r="S22" s="46">
        <f>'GPA Calculator'!N23</f>
        <v>0</v>
      </c>
      <c r="T22" s="46">
        <f>IF('GPA Calculator'!O23="DP",0,IF('GPA Calculator'!O23="WP",0,IF('GPA Calculator'!O23="P",0,IF('GPA Calculator'!O23="FA",0,IF('GPA Calculator'!O23="CR",0,IF('GPA Calculator'!O23="NC",0,IF('GPA Calculator'!O23="",0,S22)))))))</f>
        <v>0</v>
      </c>
      <c r="U22" s="46">
        <f>IF('GPA Calculator'!O23="W",0,IF('GPA Calculator'!O23="P",0,IF('GPA Calculator'!O23="FA",0,IF('GPA Calculator'!O23="CR",0,IF('GPA Calculator'!O23="NC",0,IF('GPA Calculator'!O23="",0,'GPA Calculator'!O23))))))</f>
        <v>0</v>
      </c>
      <c r="V22" s="46">
        <f t="shared" si="36"/>
        <v>0</v>
      </c>
      <c r="W22" s="46" t="str">
        <f t="shared" si="37"/>
        <v/>
      </c>
      <c r="X22" s="46">
        <f>'GPA Calculator'!Q23</f>
        <v>0</v>
      </c>
      <c r="Y22" s="46">
        <f t="shared" si="38"/>
        <v>0</v>
      </c>
      <c r="Z22" s="46">
        <f>'GPA Calculator'!R23</f>
        <v>0</v>
      </c>
      <c r="AA22" s="46">
        <f t="shared" si="39"/>
        <v>0</v>
      </c>
      <c r="AB22" s="46">
        <f>'GPA Calculator'!S23</f>
        <v>0</v>
      </c>
      <c r="AC22" s="46">
        <f t="shared" si="40"/>
        <v>0</v>
      </c>
      <c r="AD22" s="46">
        <f t="shared" si="41"/>
        <v>0</v>
      </c>
      <c r="AE22" s="46" t="str">
        <f t="shared" si="42"/>
        <v/>
      </c>
      <c r="AF22" s="46">
        <f t="shared" si="43"/>
        <v>0</v>
      </c>
      <c r="AG22" s="46" t="str">
        <f t="shared" si="44"/>
        <v/>
      </c>
      <c r="AH22" s="46" t="str">
        <f t="shared" si="45"/>
        <v/>
      </c>
      <c r="AI22" s="46" t="str">
        <f t="shared" si="46"/>
        <v/>
      </c>
    </row>
    <row r="23" spans="1:35" x14ac:dyDescent="0.25">
      <c r="A23" s="46">
        <f>'GPA Calculator'!D24</f>
        <v>0</v>
      </c>
      <c r="B23" s="46">
        <f>IF('GPA Calculator'!E24="DP",0,IF('GPA Calculator'!E24="WP",0,IF('GPA Calculator'!E24="P",0,IF('GPA Calculator'!E24="FA",0,IF('GPA Calculator'!E24="CR",0,IF('GPA Calculator'!E24="NC",0,IF('GPA Calculator'!E24="",0,A23)))))))</f>
        <v>0</v>
      </c>
      <c r="C23" s="46">
        <f>IF('GPA Calculator'!E24="W",0,IF('GPA Calculator'!E24="P",0,IF('GPA Calculator'!E24="FA",0,IF('GPA Calculator'!E24="CR",0,IF('GPA Calculator'!E24="NC",0,IF('GPA Calculator'!E24="",0,'GPA Calculator'!E24))))))</f>
        <v>0</v>
      </c>
      <c r="D23" s="46">
        <f t="shared" si="26"/>
        <v>0</v>
      </c>
      <c r="E23" s="46" t="str">
        <f t="shared" si="14"/>
        <v/>
      </c>
      <c r="F23" s="46">
        <f>'GPA Calculator'!G24</f>
        <v>0</v>
      </c>
      <c r="G23" s="46">
        <f t="shared" si="27"/>
        <v>0</v>
      </c>
      <c r="H23" s="46">
        <f>'GPA Calculator'!H24</f>
        <v>0</v>
      </c>
      <c r="I23" s="46">
        <f t="shared" si="28"/>
        <v>0</v>
      </c>
      <c r="J23" s="46">
        <f>'GPA Calculator'!I24</f>
        <v>0</v>
      </c>
      <c r="K23" s="46">
        <f t="shared" si="29"/>
        <v>0</v>
      </c>
      <c r="L23" s="46">
        <f t="shared" si="30"/>
        <v>0</v>
      </c>
      <c r="M23" s="46" t="str">
        <f t="shared" si="31"/>
        <v/>
      </c>
      <c r="N23" s="46">
        <f t="shared" si="32"/>
        <v>0</v>
      </c>
      <c r="O23" s="46" t="str">
        <f t="shared" si="33"/>
        <v/>
      </c>
      <c r="P23" s="46" t="str">
        <f t="shared" si="34"/>
        <v/>
      </c>
      <c r="Q23" s="46" t="str">
        <f t="shared" si="35"/>
        <v/>
      </c>
      <c r="S23" s="46">
        <f>'GPA Calculator'!N24</f>
        <v>0</v>
      </c>
      <c r="T23" s="46">
        <f>IF('GPA Calculator'!O24="DP",0,IF('GPA Calculator'!O24="WP",0,IF('GPA Calculator'!O24="P",0,IF('GPA Calculator'!O24="FA",0,IF('GPA Calculator'!O24="CR",0,IF('GPA Calculator'!O24="NC",0,IF('GPA Calculator'!O24="",0,S23)))))))</f>
        <v>0</v>
      </c>
      <c r="U23" s="46">
        <f>IF('GPA Calculator'!O24="W",0,IF('GPA Calculator'!O24="P",0,IF('GPA Calculator'!O24="FA",0,IF('GPA Calculator'!O24="CR",0,IF('GPA Calculator'!O24="NC",0,IF('GPA Calculator'!O24="",0,'GPA Calculator'!O24))))))</f>
        <v>0</v>
      </c>
      <c r="V23" s="46">
        <f t="shared" si="36"/>
        <v>0</v>
      </c>
      <c r="W23" s="46" t="str">
        <f t="shared" si="37"/>
        <v/>
      </c>
      <c r="X23" s="46">
        <f>'GPA Calculator'!Q24</f>
        <v>0</v>
      </c>
      <c r="Y23" s="46">
        <f t="shared" si="38"/>
        <v>0</v>
      </c>
      <c r="Z23" s="46">
        <f>'GPA Calculator'!R24</f>
        <v>0</v>
      </c>
      <c r="AA23" s="46">
        <f t="shared" si="39"/>
        <v>0</v>
      </c>
      <c r="AB23" s="46">
        <f>'GPA Calculator'!S24</f>
        <v>0</v>
      </c>
      <c r="AC23" s="46">
        <f t="shared" si="40"/>
        <v>0</v>
      </c>
      <c r="AD23" s="46">
        <f t="shared" si="41"/>
        <v>0</v>
      </c>
      <c r="AE23" s="46" t="str">
        <f t="shared" si="42"/>
        <v/>
      </c>
      <c r="AF23" s="46">
        <f t="shared" si="43"/>
        <v>0</v>
      </c>
      <c r="AG23" s="46" t="str">
        <f t="shared" si="44"/>
        <v/>
      </c>
      <c r="AH23" s="46" t="str">
        <f t="shared" si="45"/>
        <v/>
      </c>
      <c r="AI23" s="46" t="str">
        <f t="shared" si="46"/>
        <v/>
      </c>
    </row>
    <row r="24" spans="1:35" x14ac:dyDescent="0.25">
      <c r="A24" s="46">
        <f>'GPA Calculator'!D25</f>
        <v>0</v>
      </c>
      <c r="B24" s="46">
        <f>IF('GPA Calculator'!E25="DP",0,IF('GPA Calculator'!E25="WP",0,IF('GPA Calculator'!E25="P",0,IF('GPA Calculator'!E25="FA",0,IF('GPA Calculator'!E25="CR",0,IF('GPA Calculator'!E25="NC",0,IF('GPA Calculator'!E25="",0,A24)))))))</f>
        <v>0</v>
      </c>
      <c r="C24" s="46">
        <f>IF('GPA Calculator'!E25="W",0,IF('GPA Calculator'!E25="P",0,IF('GPA Calculator'!E25="FA",0,IF('GPA Calculator'!E25="CR",0,IF('GPA Calculator'!E25="NC",0,IF('GPA Calculator'!E25="",0,'GPA Calculator'!E25))))))</f>
        <v>0</v>
      </c>
      <c r="D24" s="46">
        <f t="shared" si="26"/>
        <v>0</v>
      </c>
      <c r="E24" s="46" t="str">
        <f t="shared" si="14"/>
        <v/>
      </c>
      <c r="F24" s="46">
        <f>'GPA Calculator'!G25</f>
        <v>0</v>
      </c>
      <c r="G24" s="46">
        <f t="shared" si="27"/>
        <v>0</v>
      </c>
      <c r="H24" s="46">
        <f>'GPA Calculator'!H25</f>
        <v>0</v>
      </c>
      <c r="I24" s="46">
        <f t="shared" si="28"/>
        <v>0</v>
      </c>
      <c r="J24" s="46">
        <f>'GPA Calculator'!I25</f>
        <v>0</v>
      </c>
      <c r="K24" s="46">
        <f t="shared" si="29"/>
        <v>0</v>
      </c>
      <c r="L24" s="46">
        <f t="shared" si="30"/>
        <v>0</v>
      </c>
      <c r="M24" s="46" t="str">
        <f t="shared" si="31"/>
        <v/>
      </c>
      <c r="N24" s="46">
        <f t="shared" si="32"/>
        <v>0</v>
      </c>
      <c r="O24" s="46" t="str">
        <f t="shared" si="33"/>
        <v/>
      </c>
      <c r="P24" s="46" t="str">
        <f t="shared" si="34"/>
        <v/>
      </c>
      <c r="Q24" s="46" t="str">
        <f t="shared" si="35"/>
        <v/>
      </c>
      <c r="S24" s="46">
        <f>'GPA Calculator'!N25</f>
        <v>0</v>
      </c>
      <c r="T24" s="46">
        <f>IF('GPA Calculator'!O25="DP",0,IF('GPA Calculator'!O25="WP",0,IF('GPA Calculator'!O25="P",0,IF('GPA Calculator'!O25="FA",0,IF('GPA Calculator'!O25="CR",0,IF('GPA Calculator'!O25="NC",0,IF('GPA Calculator'!O25="",0,S24)))))))</f>
        <v>0</v>
      </c>
      <c r="U24" s="46">
        <f>IF('GPA Calculator'!O25="W",0,IF('GPA Calculator'!O25="P",0,IF('GPA Calculator'!O25="FA",0,IF('GPA Calculator'!O25="CR",0,IF('GPA Calculator'!O25="NC",0,IF('GPA Calculator'!O25="",0,'GPA Calculator'!O25))))))</f>
        <v>0</v>
      </c>
      <c r="V24" s="46">
        <f t="shared" si="36"/>
        <v>0</v>
      </c>
      <c r="W24" s="46" t="str">
        <f t="shared" si="37"/>
        <v/>
      </c>
      <c r="X24" s="46">
        <f>'GPA Calculator'!Q25</f>
        <v>0</v>
      </c>
      <c r="Y24" s="46">
        <f t="shared" si="38"/>
        <v>0</v>
      </c>
      <c r="Z24" s="46">
        <f>'GPA Calculator'!R25</f>
        <v>0</v>
      </c>
      <c r="AA24" s="46">
        <f t="shared" si="39"/>
        <v>0</v>
      </c>
      <c r="AB24" s="46">
        <f>'GPA Calculator'!S25</f>
        <v>0</v>
      </c>
      <c r="AC24" s="46">
        <f t="shared" si="40"/>
        <v>0</v>
      </c>
      <c r="AD24" s="46">
        <f t="shared" si="41"/>
        <v>0</v>
      </c>
      <c r="AE24" s="46" t="str">
        <f t="shared" si="42"/>
        <v/>
      </c>
      <c r="AF24" s="46">
        <f t="shared" si="43"/>
        <v>0</v>
      </c>
      <c r="AG24" s="46" t="str">
        <f t="shared" si="44"/>
        <v/>
      </c>
      <c r="AH24" s="46" t="str">
        <f t="shared" si="45"/>
        <v/>
      </c>
      <c r="AI24" s="46" t="str">
        <f t="shared" si="46"/>
        <v/>
      </c>
    </row>
    <row r="25" spans="1:35" x14ac:dyDescent="0.25">
      <c r="A25" s="46">
        <f>'GPA Calculator'!D26</f>
        <v>0</v>
      </c>
      <c r="B25" s="46">
        <f>IF('GPA Calculator'!E26="DP",0,IF('GPA Calculator'!E26="WP",0,IF('GPA Calculator'!E26="P",0,IF('GPA Calculator'!E26="FA",0,IF('GPA Calculator'!E26="CR",0,IF('GPA Calculator'!E26="NC",0,IF('GPA Calculator'!E26="",0,A25)))))))</f>
        <v>0</v>
      </c>
      <c r="C25" s="46">
        <f>IF('GPA Calculator'!E26="W",0,IF('GPA Calculator'!E26="P",0,IF('GPA Calculator'!E26="FA",0,IF('GPA Calculator'!E26="CR",0,IF('GPA Calculator'!E26="NC",0,IF('GPA Calculator'!E26="",0,'GPA Calculator'!E26))))))</f>
        <v>0</v>
      </c>
      <c r="D25" s="46">
        <f t="shared" si="26"/>
        <v>0</v>
      </c>
      <c r="E25" s="46" t="str">
        <f t="shared" si="14"/>
        <v/>
      </c>
      <c r="F25" s="46">
        <f>'GPA Calculator'!G26</f>
        <v>0</v>
      </c>
      <c r="G25" s="46">
        <f t="shared" si="27"/>
        <v>0</v>
      </c>
      <c r="H25" s="46">
        <f>'GPA Calculator'!H26</f>
        <v>0</v>
      </c>
      <c r="I25" s="46">
        <f t="shared" si="28"/>
        <v>0</v>
      </c>
      <c r="J25" s="46">
        <f>'GPA Calculator'!I26</f>
        <v>0</v>
      </c>
      <c r="K25" s="46">
        <f t="shared" si="29"/>
        <v>0</v>
      </c>
      <c r="L25" s="46">
        <f t="shared" si="30"/>
        <v>0</v>
      </c>
      <c r="M25" s="46" t="str">
        <f t="shared" si="31"/>
        <v/>
      </c>
      <c r="N25" s="46">
        <f t="shared" si="32"/>
        <v>0</v>
      </c>
      <c r="O25" s="46" t="str">
        <f t="shared" si="33"/>
        <v/>
      </c>
      <c r="P25" s="46" t="str">
        <f t="shared" si="34"/>
        <v/>
      </c>
      <c r="Q25" s="46" t="str">
        <f t="shared" si="35"/>
        <v/>
      </c>
      <c r="S25" s="46">
        <f>'GPA Calculator'!N26</f>
        <v>0</v>
      </c>
      <c r="T25" s="46">
        <f>IF('GPA Calculator'!O26="DP",0,IF('GPA Calculator'!O26="WP",0,IF('GPA Calculator'!O26="P",0,IF('GPA Calculator'!O26="FA",0,IF('GPA Calculator'!O26="CR",0,IF('GPA Calculator'!O26="NC",0,IF('GPA Calculator'!O26="",0,S25)))))))</f>
        <v>0</v>
      </c>
      <c r="U25" s="46">
        <f>IF('GPA Calculator'!O26="W",0,IF('GPA Calculator'!O26="P",0,IF('GPA Calculator'!O26="FA",0,IF('GPA Calculator'!O26="CR",0,IF('GPA Calculator'!O26="NC",0,IF('GPA Calculator'!O26="",0,'GPA Calculator'!O26))))))</f>
        <v>0</v>
      </c>
      <c r="V25" s="46">
        <f t="shared" si="36"/>
        <v>0</v>
      </c>
      <c r="W25" s="46" t="str">
        <f t="shared" si="37"/>
        <v/>
      </c>
      <c r="X25" s="46">
        <f>'GPA Calculator'!Q26</f>
        <v>0</v>
      </c>
      <c r="Y25" s="46">
        <f t="shared" si="38"/>
        <v>0</v>
      </c>
      <c r="Z25" s="46">
        <f>'GPA Calculator'!R26</f>
        <v>0</v>
      </c>
      <c r="AA25" s="46">
        <f t="shared" si="39"/>
        <v>0</v>
      </c>
      <c r="AB25" s="46">
        <f>'GPA Calculator'!S26</f>
        <v>0</v>
      </c>
      <c r="AC25" s="46">
        <f t="shared" si="40"/>
        <v>0</v>
      </c>
      <c r="AD25" s="46">
        <f t="shared" si="41"/>
        <v>0</v>
      </c>
      <c r="AE25" s="46" t="str">
        <f t="shared" si="42"/>
        <v/>
      </c>
      <c r="AF25" s="46">
        <f t="shared" si="43"/>
        <v>0</v>
      </c>
      <c r="AG25" s="46" t="str">
        <f t="shared" si="44"/>
        <v/>
      </c>
      <c r="AH25" s="46" t="str">
        <f t="shared" si="45"/>
        <v/>
      </c>
      <c r="AI25" s="46" t="str">
        <f t="shared" si="46"/>
        <v/>
      </c>
    </row>
    <row r="26" spans="1:35" x14ac:dyDescent="0.25">
      <c r="A26" s="46">
        <f>'GPA Calculator'!D27</f>
        <v>0</v>
      </c>
      <c r="B26" s="46">
        <f>IF('GPA Calculator'!E27="DP",0,IF('GPA Calculator'!E27="WP",0,IF('GPA Calculator'!E27="P",0,IF('GPA Calculator'!E27="FA",0,IF('GPA Calculator'!E27="CR",0,IF('GPA Calculator'!E27="NC",0,IF('GPA Calculator'!E27="",0,A26)))))))</f>
        <v>0</v>
      </c>
      <c r="C26" s="46">
        <f>IF('GPA Calculator'!E27="W",0,IF('GPA Calculator'!E27="P",0,IF('GPA Calculator'!E27="FA",0,IF('GPA Calculator'!E27="CR",0,IF('GPA Calculator'!E27="NC",0,IF('GPA Calculator'!E27="",0,'GPA Calculator'!E27))))))</f>
        <v>0</v>
      </c>
      <c r="D26" s="46">
        <f t="shared" si="26"/>
        <v>0</v>
      </c>
      <c r="E26" s="46" t="str">
        <f t="shared" si="14"/>
        <v/>
      </c>
      <c r="F26" s="46">
        <f>'GPA Calculator'!G27</f>
        <v>0</v>
      </c>
      <c r="G26" s="46">
        <f t="shared" si="27"/>
        <v>0</v>
      </c>
      <c r="H26" s="46">
        <f>'GPA Calculator'!H27</f>
        <v>0</v>
      </c>
      <c r="I26" s="46">
        <f t="shared" si="28"/>
        <v>0</v>
      </c>
      <c r="J26" s="46">
        <f>'GPA Calculator'!I27</f>
        <v>0</v>
      </c>
      <c r="K26" s="46">
        <f t="shared" si="29"/>
        <v>0</v>
      </c>
      <c r="L26" s="46">
        <f t="shared" si="30"/>
        <v>0</v>
      </c>
      <c r="M26" s="46" t="str">
        <f t="shared" si="31"/>
        <v/>
      </c>
      <c r="N26" s="46">
        <f t="shared" si="32"/>
        <v>0</v>
      </c>
      <c r="O26" s="46" t="str">
        <f t="shared" si="33"/>
        <v/>
      </c>
      <c r="P26" s="46" t="str">
        <f t="shared" si="34"/>
        <v/>
      </c>
      <c r="Q26" s="46" t="str">
        <f t="shared" si="35"/>
        <v/>
      </c>
      <c r="S26" s="46">
        <f>'GPA Calculator'!N27</f>
        <v>0</v>
      </c>
      <c r="T26" s="46">
        <f>IF('GPA Calculator'!O27="DP",0,IF('GPA Calculator'!O27="WP",0,IF('GPA Calculator'!O27="P",0,IF('GPA Calculator'!O27="FA",0,IF('GPA Calculator'!O27="CR",0,IF('GPA Calculator'!O27="NC",0,IF('GPA Calculator'!O27="",0,S26)))))))</f>
        <v>0</v>
      </c>
      <c r="U26" s="46">
        <f>IF('GPA Calculator'!O27="W",0,IF('GPA Calculator'!O27="P",0,IF('GPA Calculator'!O27="FA",0,IF('GPA Calculator'!O27="CR",0,IF('GPA Calculator'!O27="NC",0,IF('GPA Calculator'!O27="",0,'GPA Calculator'!O27))))))</f>
        <v>0</v>
      </c>
      <c r="V26" s="46">
        <f t="shared" si="36"/>
        <v>0</v>
      </c>
      <c r="W26" s="46" t="str">
        <f t="shared" si="37"/>
        <v/>
      </c>
      <c r="X26" s="46">
        <f>'GPA Calculator'!Q27</f>
        <v>0</v>
      </c>
      <c r="Y26" s="46">
        <f t="shared" si="38"/>
        <v>0</v>
      </c>
      <c r="Z26" s="46">
        <f>'GPA Calculator'!R27</f>
        <v>0</v>
      </c>
      <c r="AA26" s="46">
        <f t="shared" si="39"/>
        <v>0</v>
      </c>
      <c r="AB26" s="46">
        <f>'GPA Calculator'!S27</f>
        <v>0</v>
      </c>
      <c r="AC26" s="46">
        <f t="shared" si="40"/>
        <v>0</v>
      </c>
      <c r="AD26" s="46">
        <f t="shared" si="41"/>
        <v>0</v>
      </c>
      <c r="AE26" s="46" t="str">
        <f t="shared" si="42"/>
        <v/>
      </c>
      <c r="AF26" s="46">
        <f t="shared" si="43"/>
        <v>0</v>
      </c>
      <c r="AG26" s="46" t="str">
        <f t="shared" si="44"/>
        <v/>
      </c>
      <c r="AH26" s="46" t="str">
        <f t="shared" si="45"/>
        <v/>
      </c>
      <c r="AI26" s="46" t="str">
        <f t="shared" si="46"/>
        <v/>
      </c>
    </row>
    <row r="27" spans="1:35" x14ac:dyDescent="0.25">
      <c r="A27" s="46">
        <f>'GPA Calculator'!D28</f>
        <v>0</v>
      </c>
      <c r="B27" s="46">
        <f>IF('GPA Calculator'!E28="DP",0,IF('GPA Calculator'!E28="WP",0,IF('GPA Calculator'!E28="P",0,IF('GPA Calculator'!E28="FA",0,IF('GPA Calculator'!E28="CR",0,IF('GPA Calculator'!E28="NC",0,IF('GPA Calculator'!E28="",0,A27)))))))</f>
        <v>0</v>
      </c>
      <c r="C27" s="46">
        <f>IF('GPA Calculator'!E28="W",0,IF('GPA Calculator'!E28="P",0,IF('GPA Calculator'!E28="FA",0,IF('GPA Calculator'!E28="CR",0,IF('GPA Calculator'!E28="NC",0,IF('GPA Calculator'!E28="",0,'GPA Calculator'!E28))))))</f>
        <v>0</v>
      </c>
      <c r="D27" s="46">
        <f t="shared" si="26"/>
        <v>0</v>
      </c>
      <c r="E27" s="46" t="str">
        <f t="shared" si="14"/>
        <v/>
      </c>
      <c r="F27" s="46">
        <f>'GPA Calculator'!G28</f>
        <v>0</v>
      </c>
      <c r="G27" s="46">
        <f t="shared" si="27"/>
        <v>0</v>
      </c>
      <c r="H27" s="46">
        <f>'GPA Calculator'!H28</f>
        <v>0</v>
      </c>
      <c r="I27" s="46">
        <f t="shared" si="28"/>
        <v>0</v>
      </c>
      <c r="J27" s="46">
        <f>'GPA Calculator'!I28</f>
        <v>0</v>
      </c>
      <c r="K27" s="46">
        <f t="shared" si="29"/>
        <v>0</v>
      </c>
      <c r="L27" s="46">
        <f t="shared" si="30"/>
        <v>0</v>
      </c>
      <c r="M27" s="46" t="str">
        <f t="shared" si="31"/>
        <v/>
      </c>
      <c r="N27" s="46">
        <f t="shared" si="32"/>
        <v>0</v>
      </c>
      <c r="O27" s="46" t="str">
        <f t="shared" si="33"/>
        <v/>
      </c>
      <c r="P27" s="46" t="str">
        <f t="shared" si="34"/>
        <v/>
      </c>
      <c r="Q27" s="46" t="str">
        <f t="shared" si="35"/>
        <v/>
      </c>
      <c r="S27" s="46">
        <f>'GPA Calculator'!N28</f>
        <v>0</v>
      </c>
      <c r="T27" s="46">
        <f>IF('GPA Calculator'!O28="DP",0,IF('GPA Calculator'!O28="WP",0,IF('GPA Calculator'!O28="P",0,IF('GPA Calculator'!O28="FA",0,IF('GPA Calculator'!O28="CR",0,IF('GPA Calculator'!O28="NC",0,IF('GPA Calculator'!O28="",0,S27)))))))</f>
        <v>0</v>
      </c>
      <c r="U27" s="46">
        <f>IF('GPA Calculator'!O28="W",0,IF('GPA Calculator'!O28="P",0,IF('GPA Calculator'!O28="FA",0,IF('GPA Calculator'!O28="CR",0,IF('GPA Calculator'!O28="NC",0,IF('GPA Calculator'!O28="",0,'GPA Calculator'!O28))))))</f>
        <v>0</v>
      </c>
      <c r="V27" s="46">
        <f t="shared" si="36"/>
        <v>0</v>
      </c>
      <c r="W27" s="46" t="str">
        <f t="shared" si="37"/>
        <v/>
      </c>
      <c r="X27" s="46">
        <f>'GPA Calculator'!Q28</f>
        <v>0</v>
      </c>
      <c r="Y27" s="46">
        <f t="shared" si="38"/>
        <v>0</v>
      </c>
      <c r="Z27" s="46">
        <f>'GPA Calculator'!R28</f>
        <v>0</v>
      </c>
      <c r="AA27" s="46">
        <f t="shared" si="39"/>
        <v>0</v>
      </c>
      <c r="AB27" s="46">
        <f>'GPA Calculator'!S28</f>
        <v>0</v>
      </c>
      <c r="AC27" s="46">
        <f t="shared" si="40"/>
        <v>0</v>
      </c>
      <c r="AD27" s="46">
        <f t="shared" si="41"/>
        <v>0</v>
      </c>
      <c r="AE27" s="46" t="str">
        <f t="shared" si="42"/>
        <v/>
      </c>
      <c r="AF27" s="46">
        <f t="shared" si="43"/>
        <v>0</v>
      </c>
      <c r="AG27" s="46" t="str">
        <f t="shared" si="44"/>
        <v/>
      </c>
      <c r="AH27" s="46" t="str">
        <f t="shared" si="45"/>
        <v/>
      </c>
      <c r="AI27" s="46" t="str">
        <f t="shared" si="46"/>
        <v/>
      </c>
    </row>
    <row r="28" spans="1:35" x14ac:dyDescent="0.25">
      <c r="A28" s="46">
        <f>'GPA Calculator'!D29</f>
        <v>0</v>
      </c>
      <c r="B28" s="46">
        <f>IF('GPA Calculator'!E29="DP",0,IF('GPA Calculator'!E29="WP",0,IF('GPA Calculator'!E29="P",0,IF('GPA Calculator'!E29="FA",0,IF('GPA Calculator'!E29="CR",0,IF('GPA Calculator'!E29="NC",0,IF('GPA Calculator'!E29="",0,A28)))))))</f>
        <v>0</v>
      </c>
      <c r="C28" s="46">
        <f>IF('GPA Calculator'!E29="W",0,IF('GPA Calculator'!E29="P",0,IF('GPA Calculator'!E29="FA",0,IF('GPA Calculator'!E29="CR",0,IF('GPA Calculator'!E29="NC",0,IF('GPA Calculator'!E29="",0,'GPA Calculator'!E29))))))</f>
        <v>0</v>
      </c>
      <c r="D28" s="46">
        <f t="shared" si="26"/>
        <v>0</v>
      </c>
      <c r="E28" s="46" t="str">
        <f t="shared" si="14"/>
        <v/>
      </c>
      <c r="F28" s="46">
        <f>'GPA Calculator'!G29</f>
        <v>0</v>
      </c>
      <c r="G28" s="46">
        <f t="shared" si="27"/>
        <v>0</v>
      </c>
      <c r="H28" s="46">
        <f>'GPA Calculator'!H29</f>
        <v>0</v>
      </c>
      <c r="I28" s="46">
        <f t="shared" si="28"/>
        <v>0</v>
      </c>
      <c r="J28" s="46">
        <f>'GPA Calculator'!I29</f>
        <v>0</v>
      </c>
      <c r="K28" s="46">
        <f t="shared" si="29"/>
        <v>0</v>
      </c>
      <c r="L28" s="46">
        <f t="shared" si="30"/>
        <v>0</v>
      </c>
      <c r="M28" s="46" t="str">
        <f t="shared" si="31"/>
        <v/>
      </c>
      <c r="N28" s="46">
        <f t="shared" si="32"/>
        <v>0</v>
      </c>
      <c r="O28" s="46" t="str">
        <f t="shared" si="33"/>
        <v/>
      </c>
      <c r="P28" s="46" t="str">
        <f t="shared" si="34"/>
        <v/>
      </c>
      <c r="Q28" s="46" t="str">
        <f t="shared" si="35"/>
        <v/>
      </c>
      <c r="S28" s="46">
        <f>'GPA Calculator'!N29</f>
        <v>0</v>
      </c>
      <c r="T28" s="46">
        <f>IF('GPA Calculator'!O29="DP",0,IF('GPA Calculator'!O29="WP",0,IF('GPA Calculator'!O29="P",0,IF('GPA Calculator'!O29="FA",0,IF('GPA Calculator'!O29="CR",0,IF('GPA Calculator'!O29="NC",0,IF('GPA Calculator'!O29="",0,S28)))))))</f>
        <v>0</v>
      </c>
      <c r="U28" s="46">
        <f>IF('GPA Calculator'!O29="W",0,IF('GPA Calculator'!O29="P",0,IF('GPA Calculator'!O29="FA",0,IF('GPA Calculator'!O29="CR",0,IF('GPA Calculator'!O29="NC",0,IF('GPA Calculator'!O29="",0,'GPA Calculator'!O29))))))</f>
        <v>0</v>
      </c>
      <c r="V28" s="46">
        <f t="shared" si="36"/>
        <v>0</v>
      </c>
      <c r="W28" s="46" t="str">
        <f t="shared" si="37"/>
        <v/>
      </c>
      <c r="X28" s="46">
        <f>'GPA Calculator'!Q29</f>
        <v>0</v>
      </c>
      <c r="Y28" s="46">
        <f t="shared" si="38"/>
        <v>0</v>
      </c>
      <c r="Z28" s="46">
        <f>'GPA Calculator'!R29</f>
        <v>0</v>
      </c>
      <c r="AA28" s="46">
        <f t="shared" si="39"/>
        <v>0</v>
      </c>
      <c r="AB28" s="46">
        <f>'GPA Calculator'!S29</f>
        <v>0</v>
      </c>
      <c r="AC28" s="46">
        <f t="shared" si="40"/>
        <v>0</v>
      </c>
      <c r="AD28" s="46">
        <f t="shared" si="41"/>
        <v>0</v>
      </c>
      <c r="AE28" s="46" t="str">
        <f t="shared" si="42"/>
        <v/>
      </c>
      <c r="AF28" s="46">
        <f t="shared" si="43"/>
        <v>0</v>
      </c>
      <c r="AG28" s="46" t="str">
        <f t="shared" si="44"/>
        <v/>
      </c>
      <c r="AH28" s="46" t="str">
        <f t="shared" si="45"/>
        <v/>
      </c>
      <c r="AI28" s="46" t="str">
        <f t="shared" si="46"/>
        <v/>
      </c>
    </row>
    <row r="29" spans="1:35" x14ac:dyDescent="0.25">
      <c r="A29" s="46">
        <f>'GPA Calculator'!D30</f>
        <v>0</v>
      </c>
      <c r="B29" s="46">
        <f>IF('GPA Calculator'!E30="DP",0,IF('GPA Calculator'!E30="WP",0,IF('GPA Calculator'!E30="P",0,IF('GPA Calculator'!E30="FA",0,IF('GPA Calculator'!E30="CR",0,IF('GPA Calculator'!E30="NC",0,IF('GPA Calculator'!E30="",0,A29)))))))</f>
        <v>0</v>
      </c>
      <c r="C29" s="46">
        <f>IF('GPA Calculator'!E30="W",0,IF('GPA Calculator'!E30="P",0,IF('GPA Calculator'!E30="FA",0,IF('GPA Calculator'!E30="CR",0,IF('GPA Calculator'!E30="NC",0,IF('GPA Calculator'!E30="",0,'GPA Calculator'!E30))))))</f>
        <v>0</v>
      </c>
      <c r="D29" s="46">
        <f t="shared" si="26"/>
        <v>0</v>
      </c>
      <c r="E29" s="46" t="str">
        <f t="shared" si="14"/>
        <v/>
      </c>
      <c r="F29" s="46">
        <f>'GPA Calculator'!G30</f>
        <v>0</v>
      </c>
      <c r="G29" s="46">
        <f t="shared" si="27"/>
        <v>0</v>
      </c>
      <c r="H29" s="46">
        <f>'GPA Calculator'!H30</f>
        <v>0</v>
      </c>
      <c r="I29" s="46">
        <f t="shared" si="28"/>
        <v>0</v>
      </c>
      <c r="J29" s="46">
        <f>'GPA Calculator'!I30</f>
        <v>0</v>
      </c>
      <c r="K29" s="46">
        <f t="shared" si="29"/>
        <v>0</v>
      </c>
      <c r="L29" s="46">
        <f t="shared" si="30"/>
        <v>0</v>
      </c>
      <c r="M29" s="46" t="str">
        <f t="shared" si="31"/>
        <v/>
      </c>
      <c r="N29" s="46">
        <f t="shared" si="32"/>
        <v>0</v>
      </c>
      <c r="O29" s="46" t="str">
        <f t="shared" si="33"/>
        <v/>
      </c>
      <c r="P29" s="46" t="str">
        <f t="shared" si="34"/>
        <v/>
      </c>
      <c r="Q29" s="46" t="str">
        <f t="shared" si="35"/>
        <v/>
      </c>
      <c r="S29" s="46">
        <f>'GPA Calculator'!N30</f>
        <v>0</v>
      </c>
      <c r="T29" s="46">
        <f>IF('GPA Calculator'!O30="DP",0,IF('GPA Calculator'!O30="WP",0,IF('GPA Calculator'!O30="P",0,IF('GPA Calculator'!O30="FA",0,IF('GPA Calculator'!O30="CR",0,IF('GPA Calculator'!O30="NC",0,IF('GPA Calculator'!O30="",0,S29)))))))</f>
        <v>0</v>
      </c>
      <c r="U29" s="46">
        <f>IF('GPA Calculator'!O30="W",0,IF('GPA Calculator'!O30="P",0,IF('GPA Calculator'!O30="FA",0,IF('GPA Calculator'!O30="CR",0,IF('GPA Calculator'!O30="NC",0,IF('GPA Calculator'!O30="",0,'GPA Calculator'!O30))))))</f>
        <v>0</v>
      </c>
      <c r="V29" s="46">
        <f t="shared" si="36"/>
        <v>0</v>
      </c>
      <c r="W29" s="46" t="str">
        <f t="shared" si="37"/>
        <v/>
      </c>
      <c r="X29" s="46">
        <f>'GPA Calculator'!Q30</f>
        <v>0</v>
      </c>
      <c r="Y29" s="46">
        <f t="shared" si="38"/>
        <v>0</v>
      </c>
      <c r="Z29" s="46">
        <f>'GPA Calculator'!R30</f>
        <v>0</v>
      </c>
      <c r="AA29" s="46">
        <f t="shared" si="39"/>
        <v>0</v>
      </c>
      <c r="AB29" s="46">
        <f>'GPA Calculator'!S30</f>
        <v>0</v>
      </c>
      <c r="AC29" s="46">
        <f t="shared" si="40"/>
        <v>0</v>
      </c>
      <c r="AD29" s="46">
        <f t="shared" si="41"/>
        <v>0</v>
      </c>
      <c r="AE29" s="46" t="str">
        <f t="shared" si="42"/>
        <v/>
      </c>
      <c r="AF29" s="46">
        <f t="shared" si="43"/>
        <v>0</v>
      </c>
      <c r="AG29" s="46" t="str">
        <f t="shared" si="44"/>
        <v/>
      </c>
      <c r="AH29" s="46" t="str">
        <f t="shared" si="45"/>
        <v/>
      </c>
      <c r="AI29" s="46" t="str">
        <f t="shared" si="46"/>
        <v/>
      </c>
    </row>
    <row r="30" spans="1:35" x14ac:dyDescent="0.25">
      <c r="B30" s="46">
        <f t="shared" ref="B30:E30" si="47">SUM(B21:B29)</f>
        <v>0</v>
      </c>
      <c r="E30" s="46">
        <f t="shared" si="47"/>
        <v>0</v>
      </c>
      <c r="L30" s="46">
        <f>SUM(L21:L29)</f>
        <v>0</v>
      </c>
      <c r="M30" s="46">
        <f t="shared" ref="M30" si="48">SUM(M21:M29)</f>
        <v>0</v>
      </c>
      <c r="N30" s="46">
        <f t="shared" ref="N30" si="49">SUM(N21:N29)</f>
        <v>0</v>
      </c>
      <c r="O30" s="46">
        <f t="shared" ref="O30" si="50">SUM(O21:O29)</f>
        <v>0</v>
      </c>
      <c r="P30" s="46">
        <f t="shared" ref="P30" si="51">SUM(P21:P29)</f>
        <v>0</v>
      </c>
      <c r="Q30" s="46">
        <f t="shared" ref="Q30" si="52">SUM(Q21:Q29)</f>
        <v>0</v>
      </c>
      <c r="T30" s="46">
        <f t="shared" ref="T30:W30" si="53">SUM(T21:T29)</f>
        <v>0</v>
      </c>
      <c r="V30" s="46">
        <f t="shared" si="53"/>
        <v>0</v>
      </c>
      <c r="W30" s="46">
        <f t="shared" si="53"/>
        <v>0</v>
      </c>
      <c r="AD30" s="46">
        <f t="shared" ref="AD30" si="54">SUM(AD21:AD29)</f>
        <v>0</v>
      </c>
      <c r="AE30" s="46">
        <f t="shared" ref="AE30" si="55">SUM(AE21:AE29)</f>
        <v>0</v>
      </c>
      <c r="AF30" s="46">
        <f t="shared" ref="AF30" si="56">SUM(AF21:AF29)</f>
        <v>0</v>
      </c>
      <c r="AG30" s="46">
        <f t="shared" ref="AG30" si="57">SUM(AG21:AG29)</f>
        <v>0</v>
      </c>
      <c r="AH30" s="46">
        <f t="shared" ref="AH30" si="58">SUM(AH21:AH29)</f>
        <v>0</v>
      </c>
      <c r="AI30" s="46">
        <f>SUM(AI21:AI29)</f>
        <v>0</v>
      </c>
    </row>
    <row r="31" spans="1:35" x14ac:dyDescent="0.25">
      <c r="L31" s="46" t="s">
        <v>10</v>
      </c>
      <c r="M31" s="46" t="str">
        <f>IF(L30=0,"",M30/L30)</f>
        <v/>
      </c>
      <c r="N31" s="46" t="s">
        <v>20</v>
      </c>
      <c r="O31" s="46" t="str">
        <f>IF(N30=0,"",O30/N30)</f>
        <v/>
      </c>
      <c r="P31" s="46" t="s">
        <v>23</v>
      </c>
      <c r="Q31" s="46" t="str">
        <f>IF(P30=0,"",Q30/P30)</f>
        <v/>
      </c>
      <c r="AD31" s="46" t="s">
        <v>10</v>
      </c>
      <c r="AE31" s="46" t="str">
        <f>IF(AD30=0,"",AE30/AD30)</f>
        <v/>
      </c>
      <c r="AF31" s="46" t="s">
        <v>20</v>
      </c>
      <c r="AG31" s="46" t="str">
        <f>IF(AF30=0,"",AG30/AF30)</f>
        <v/>
      </c>
      <c r="AH31" s="46" t="s">
        <v>23</v>
      </c>
      <c r="AI31" s="46" t="str">
        <f>IF(AH30=0,"",AI30/AH30)</f>
        <v/>
      </c>
    </row>
    <row r="36" spans="1:35" x14ac:dyDescent="0.25">
      <c r="A36" s="46" t="s">
        <v>4</v>
      </c>
      <c r="B36" s="46" t="s">
        <v>61</v>
      </c>
      <c r="C36" s="46" t="s">
        <v>12</v>
      </c>
      <c r="D36" s="46" t="s">
        <v>58</v>
      </c>
      <c r="E36" s="46" t="s">
        <v>6</v>
      </c>
      <c r="F36" s="46" t="s">
        <v>7</v>
      </c>
      <c r="H36" s="46" t="s">
        <v>26</v>
      </c>
      <c r="J36" s="46" t="s">
        <v>27</v>
      </c>
      <c r="L36" s="46" t="s">
        <v>60</v>
      </c>
      <c r="M36" s="46" t="s">
        <v>59</v>
      </c>
      <c r="N36" s="46" t="s">
        <v>24</v>
      </c>
      <c r="O36" s="46" t="s">
        <v>22</v>
      </c>
      <c r="P36" s="46" t="s">
        <v>25</v>
      </c>
      <c r="Q36" s="46" t="s">
        <v>21</v>
      </c>
      <c r="S36" s="46" t="s">
        <v>4</v>
      </c>
      <c r="T36" s="46" t="s">
        <v>61</v>
      </c>
      <c r="U36" s="46" t="s">
        <v>12</v>
      </c>
      <c r="V36" s="46" t="s">
        <v>58</v>
      </c>
      <c r="W36" s="46" t="s">
        <v>6</v>
      </c>
      <c r="X36" s="46" t="s">
        <v>7</v>
      </c>
      <c r="Z36" s="46" t="s">
        <v>26</v>
      </c>
      <c r="AB36" s="46" t="s">
        <v>27</v>
      </c>
      <c r="AD36" s="46" t="s">
        <v>60</v>
      </c>
      <c r="AE36" s="46" t="s">
        <v>59</v>
      </c>
      <c r="AF36" s="46" t="s">
        <v>24</v>
      </c>
      <c r="AG36" s="46" t="s">
        <v>22</v>
      </c>
      <c r="AH36" s="46" t="s">
        <v>25</v>
      </c>
      <c r="AI36" s="46" t="s">
        <v>21</v>
      </c>
    </row>
    <row r="37" spans="1:35" x14ac:dyDescent="0.25">
      <c r="A37" s="46">
        <f>'GPA Calculator'!D39</f>
        <v>0</v>
      </c>
      <c r="B37" s="46">
        <f>IF('GPA Calculator'!E39="W",0,IF('GPA Calculator'!E39="P",0,IF('GPA Calculator'!E39="FA",0,IF('GPA Calculator'!E39="CR",0,IF('GPA Calculator'!E39="NC",0,IF('GPA Calculator'!E39="",0,A37))))))</f>
        <v>0</v>
      </c>
      <c r="C37" s="46">
        <f>IF('GPA Calculator'!E39="W",0,IF('GPA Calculator'!E39="P",0,IF('GPA Calculator'!E39="FA",0,IF('GPA Calculator'!E39="CR",0,IF('GPA Calculator'!E39="NC",0,IF('GPA Calculator'!E39="",0,'GPA Calculator'!E39))))))</f>
        <v>0</v>
      </c>
      <c r="D37" s="46">
        <f t="shared" ref="D37:D45" si="59">IF(C37=0,0,VLOOKUP(C37,$AL$2:$AM$14,2,FALSE))</f>
        <v>0</v>
      </c>
      <c r="E37" s="46" t="str">
        <f t="shared" si="14"/>
        <v/>
      </c>
      <c r="F37" s="46">
        <f>'GPA Calculator'!G39</f>
        <v>0</v>
      </c>
      <c r="G37" s="46">
        <f t="shared" ref="G37:G45" si="60">IF(F37=0,0,1)</f>
        <v>0</v>
      </c>
      <c r="H37" s="46">
        <f>'GPA Calculator'!H39</f>
        <v>0</v>
      </c>
      <c r="I37" s="46">
        <f t="shared" ref="I37:I45" si="61">IF(H37=0,0,1)</f>
        <v>0</v>
      </c>
      <c r="J37" s="46">
        <f>'GPA Calculator'!I39</f>
        <v>0</v>
      </c>
      <c r="K37" s="46">
        <f t="shared" ref="K37:K45" si="62">IF(J37=0,0,1)</f>
        <v>0</v>
      </c>
      <c r="L37" s="46">
        <f t="shared" ref="L37:L45" si="63">B37</f>
        <v>0</v>
      </c>
      <c r="M37" s="46" t="str">
        <f t="shared" ref="M37:M45" si="64">E37</f>
        <v/>
      </c>
      <c r="N37" s="46">
        <f t="shared" ref="N37:N45" si="65">IF(G37=1,"",IF(K37=1,"",B37))</f>
        <v>0</v>
      </c>
      <c r="O37" s="46" t="str">
        <f t="shared" ref="O37:O45" si="66">IF(G37=1,"",IF(K37=1,"",E37))</f>
        <v/>
      </c>
      <c r="P37" s="46" t="str">
        <f t="shared" ref="P37:P45" si="67">IF(G37=1,"",IF(K37=1,"",IF(I37=0,"",B37)))</f>
        <v/>
      </c>
      <c r="Q37" s="46" t="str">
        <f t="shared" ref="Q37:Q45" si="68">IF(G37=1,"",IF(K37=1,"",IF(I37=0,"",E37)))</f>
        <v/>
      </c>
      <c r="S37" s="46">
        <f>'GPA Calculator'!N39</f>
        <v>0</v>
      </c>
      <c r="T37" s="46">
        <f>IF('GPA Calculator'!O39="DP",0,IF('GPA Calculator'!O39="WP",0,IF('GPA Calculator'!O39="P",0,IF('GPA Calculator'!O39="FA",0,IF('GPA Calculator'!O39="CR",0,IF('GPA Calculator'!O39="NC",0,IF('GPA Calculator'!O39="",0,S37)))))))</f>
        <v>0</v>
      </c>
      <c r="U37" s="46">
        <f>IF('GPA Calculator'!O39="W",0,IF('GPA Calculator'!O39="P",0,IF('GPA Calculator'!O39="FA",0,IF('GPA Calculator'!O39="CR",0,IF('GPA Calculator'!O39="NC",0,IF('GPA Calculator'!O39="",0,'GPA Calculator'!O39))))))</f>
        <v>0</v>
      </c>
      <c r="V37" s="46">
        <f t="shared" ref="V37:V45" si="69">IF(U37=0,0,VLOOKUP(U37,$AL$2:$AM$14,2,FALSE))</f>
        <v>0</v>
      </c>
      <c r="W37" s="46" t="str">
        <f t="shared" ref="W37:W45" si="70">IF(V37=0,"",T37*V37)</f>
        <v/>
      </c>
      <c r="X37" s="46">
        <f>'GPA Calculator'!Q39</f>
        <v>0</v>
      </c>
      <c r="Y37" s="46">
        <f t="shared" ref="Y37:Y45" si="71">IF(X37=0,0,1)</f>
        <v>0</v>
      </c>
      <c r="Z37" s="46">
        <f>'GPA Calculator'!R39</f>
        <v>0</v>
      </c>
      <c r="AA37" s="46">
        <f t="shared" ref="AA37:AA45" si="72">IF(Z37=0,0,1)</f>
        <v>0</v>
      </c>
      <c r="AB37" s="46">
        <f>'GPA Calculator'!S39</f>
        <v>0</v>
      </c>
      <c r="AC37" s="46">
        <f t="shared" ref="AC37:AC45" si="73">IF(AB37=0,0,1)</f>
        <v>0</v>
      </c>
      <c r="AD37" s="46">
        <f t="shared" ref="AD37:AD45" si="74">T37</f>
        <v>0</v>
      </c>
      <c r="AE37" s="46" t="str">
        <f t="shared" ref="AE37:AE45" si="75">W37</f>
        <v/>
      </c>
      <c r="AF37" s="46">
        <f t="shared" ref="AF37:AF45" si="76">IF(Y37=1,"",IF(AC37=1,"",T37))</f>
        <v>0</v>
      </c>
      <c r="AG37" s="46" t="str">
        <f t="shared" ref="AG37:AG45" si="77">IF(Y37=1,"",IF(AC37=1,"",W37))</f>
        <v/>
      </c>
      <c r="AH37" s="46" t="str">
        <f t="shared" ref="AH37:AH45" si="78">IF(Y37=1,"",IF(AC37=1,"",IF(AA37=0,"",T37)))</f>
        <v/>
      </c>
      <c r="AI37" s="46" t="str">
        <f t="shared" ref="AI37:AI45" si="79">IF(Y37=1,"",IF(AC37=1,"",IF(AA37=0,"",W37)))</f>
        <v/>
      </c>
    </row>
    <row r="38" spans="1:35" x14ac:dyDescent="0.25">
      <c r="A38" s="46">
        <f>'GPA Calculator'!D40</f>
        <v>0</v>
      </c>
      <c r="B38" s="46">
        <f>IF('GPA Calculator'!E40="DP",0,IF('GPA Calculator'!E40="WP",0,IF('GPA Calculator'!E40="P",0,IF('GPA Calculator'!E40="FA",0,IF('GPA Calculator'!E40="CR",0,IF('GPA Calculator'!E40="NC",0,IF('GPA Calculator'!E40="",0,A38)))))))</f>
        <v>0</v>
      </c>
      <c r="C38" s="46">
        <f>IF('GPA Calculator'!E40="W",0,IF('GPA Calculator'!E40="P",0,IF('GPA Calculator'!E40="FA",0,IF('GPA Calculator'!E40="CR",0,IF('GPA Calculator'!E40="NC",0,IF('GPA Calculator'!E40="",0,'GPA Calculator'!E40))))))</f>
        <v>0</v>
      </c>
      <c r="D38" s="46">
        <f t="shared" si="59"/>
        <v>0</v>
      </c>
      <c r="E38" s="46" t="str">
        <f t="shared" si="14"/>
        <v/>
      </c>
      <c r="F38" s="46">
        <f>'GPA Calculator'!G40</f>
        <v>0</v>
      </c>
      <c r="G38" s="46">
        <f t="shared" si="60"/>
        <v>0</v>
      </c>
      <c r="H38" s="46">
        <f>'GPA Calculator'!H40</f>
        <v>0</v>
      </c>
      <c r="I38" s="46">
        <f t="shared" si="61"/>
        <v>0</v>
      </c>
      <c r="J38" s="46">
        <f>'GPA Calculator'!I40</f>
        <v>0</v>
      </c>
      <c r="K38" s="46">
        <f t="shared" si="62"/>
        <v>0</v>
      </c>
      <c r="L38" s="46">
        <f t="shared" si="63"/>
        <v>0</v>
      </c>
      <c r="M38" s="46" t="str">
        <f t="shared" si="64"/>
        <v/>
      </c>
      <c r="N38" s="46">
        <f t="shared" si="65"/>
        <v>0</v>
      </c>
      <c r="O38" s="46" t="str">
        <f t="shared" si="66"/>
        <v/>
      </c>
      <c r="P38" s="46" t="str">
        <f t="shared" si="67"/>
        <v/>
      </c>
      <c r="Q38" s="46" t="str">
        <f t="shared" si="68"/>
        <v/>
      </c>
      <c r="S38" s="46">
        <f>'GPA Calculator'!N40</f>
        <v>0</v>
      </c>
      <c r="T38" s="46">
        <f>IF('GPA Calculator'!O40="DP",0,IF('GPA Calculator'!O40="WP",0,IF('GPA Calculator'!O40="P",0,IF('GPA Calculator'!O40="FA",0,IF('GPA Calculator'!O40="CR",0,IF('GPA Calculator'!O40="NC",0,IF('GPA Calculator'!O40="",0,S38)))))))</f>
        <v>0</v>
      </c>
      <c r="U38" s="46">
        <f>IF('GPA Calculator'!O40="W",0,IF('GPA Calculator'!O40="P",0,IF('GPA Calculator'!O40="FA",0,IF('GPA Calculator'!O40="CR",0,IF('GPA Calculator'!O40="NC",0,IF('GPA Calculator'!O40="",0,'GPA Calculator'!O40))))))</f>
        <v>0</v>
      </c>
      <c r="V38" s="46">
        <f t="shared" si="69"/>
        <v>0</v>
      </c>
      <c r="W38" s="46" t="str">
        <f t="shared" si="70"/>
        <v/>
      </c>
      <c r="X38" s="46">
        <f>'GPA Calculator'!Q40</f>
        <v>0</v>
      </c>
      <c r="Y38" s="46">
        <f t="shared" si="71"/>
        <v>0</v>
      </c>
      <c r="Z38" s="46">
        <f>'GPA Calculator'!R40</f>
        <v>0</v>
      </c>
      <c r="AA38" s="46">
        <f t="shared" si="72"/>
        <v>0</v>
      </c>
      <c r="AB38" s="46">
        <f>'GPA Calculator'!S40</f>
        <v>0</v>
      </c>
      <c r="AC38" s="46">
        <f t="shared" si="73"/>
        <v>0</v>
      </c>
      <c r="AD38" s="46">
        <f t="shared" si="74"/>
        <v>0</v>
      </c>
      <c r="AE38" s="46" t="str">
        <f t="shared" si="75"/>
        <v/>
      </c>
      <c r="AF38" s="46">
        <f t="shared" si="76"/>
        <v>0</v>
      </c>
      <c r="AG38" s="46" t="str">
        <f t="shared" si="77"/>
        <v/>
      </c>
      <c r="AH38" s="46" t="str">
        <f t="shared" si="78"/>
        <v/>
      </c>
      <c r="AI38" s="46" t="str">
        <f t="shared" si="79"/>
        <v/>
      </c>
    </row>
    <row r="39" spans="1:35" x14ac:dyDescent="0.25">
      <c r="A39" s="46">
        <f>'GPA Calculator'!D41</f>
        <v>0</v>
      </c>
      <c r="B39" s="46">
        <f>IF('GPA Calculator'!E41="DP",0,IF('GPA Calculator'!E41="WP",0,IF('GPA Calculator'!E41="P",0,IF('GPA Calculator'!E41="FA",0,IF('GPA Calculator'!E41="CR",0,IF('GPA Calculator'!E41="NC",0,IF('GPA Calculator'!E41="",0,A39)))))))</f>
        <v>0</v>
      </c>
      <c r="C39" s="46">
        <f>IF('GPA Calculator'!E41="W",0,IF('GPA Calculator'!E41="P",0,IF('GPA Calculator'!E41="FA",0,IF('GPA Calculator'!E41="CR",0,IF('GPA Calculator'!E41="NC",0,IF('GPA Calculator'!E41="",0,'GPA Calculator'!E41))))))</f>
        <v>0</v>
      </c>
      <c r="D39" s="46">
        <f t="shared" si="59"/>
        <v>0</v>
      </c>
      <c r="E39" s="46" t="str">
        <f t="shared" si="14"/>
        <v/>
      </c>
      <c r="F39" s="46">
        <f>'GPA Calculator'!G41</f>
        <v>0</v>
      </c>
      <c r="G39" s="46">
        <f t="shared" si="60"/>
        <v>0</v>
      </c>
      <c r="H39" s="46">
        <f>'GPA Calculator'!H41</f>
        <v>0</v>
      </c>
      <c r="I39" s="46">
        <f t="shared" si="61"/>
        <v>0</v>
      </c>
      <c r="J39" s="46">
        <f>'GPA Calculator'!I41</f>
        <v>0</v>
      </c>
      <c r="K39" s="46">
        <f t="shared" si="62"/>
        <v>0</v>
      </c>
      <c r="L39" s="46">
        <f t="shared" si="63"/>
        <v>0</v>
      </c>
      <c r="M39" s="46" t="str">
        <f t="shared" si="64"/>
        <v/>
      </c>
      <c r="N39" s="46">
        <f t="shared" si="65"/>
        <v>0</v>
      </c>
      <c r="O39" s="46" t="str">
        <f t="shared" si="66"/>
        <v/>
      </c>
      <c r="P39" s="46" t="str">
        <f t="shared" si="67"/>
        <v/>
      </c>
      <c r="Q39" s="46" t="str">
        <f t="shared" si="68"/>
        <v/>
      </c>
      <c r="S39" s="46">
        <f>'GPA Calculator'!N41</f>
        <v>0</v>
      </c>
      <c r="T39" s="46">
        <f>IF('GPA Calculator'!O41="DP",0,IF('GPA Calculator'!O41="WP",0,IF('GPA Calculator'!O41="P",0,IF('GPA Calculator'!O41="FA",0,IF('GPA Calculator'!O41="CR",0,IF('GPA Calculator'!O41="NC",0,IF('GPA Calculator'!O41="",0,S39)))))))</f>
        <v>0</v>
      </c>
      <c r="U39" s="46">
        <f>IF('GPA Calculator'!O41="W",0,IF('GPA Calculator'!O41="P",0,IF('GPA Calculator'!O41="FA",0,IF('GPA Calculator'!O41="CR",0,IF('GPA Calculator'!O41="NC",0,IF('GPA Calculator'!O41="",0,'GPA Calculator'!O41))))))</f>
        <v>0</v>
      </c>
      <c r="V39" s="46">
        <f t="shared" si="69"/>
        <v>0</v>
      </c>
      <c r="W39" s="46" t="str">
        <f t="shared" si="70"/>
        <v/>
      </c>
      <c r="X39" s="46">
        <f>'GPA Calculator'!Q41</f>
        <v>0</v>
      </c>
      <c r="Y39" s="46">
        <f t="shared" si="71"/>
        <v>0</v>
      </c>
      <c r="Z39" s="46">
        <f>'GPA Calculator'!R41</f>
        <v>0</v>
      </c>
      <c r="AA39" s="46">
        <f t="shared" si="72"/>
        <v>0</v>
      </c>
      <c r="AB39" s="46">
        <f>'GPA Calculator'!S41</f>
        <v>0</v>
      </c>
      <c r="AC39" s="46">
        <f t="shared" si="73"/>
        <v>0</v>
      </c>
      <c r="AD39" s="46">
        <f t="shared" si="74"/>
        <v>0</v>
      </c>
      <c r="AE39" s="46" t="str">
        <f t="shared" si="75"/>
        <v/>
      </c>
      <c r="AF39" s="46">
        <f t="shared" si="76"/>
        <v>0</v>
      </c>
      <c r="AG39" s="46" t="str">
        <f t="shared" si="77"/>
        <v/>
      </c>
      <c r="AH39" s="46" t="str">
        <f t="shared" si="78"/>
        <v/>
      </c>
      <c r="AI39" s="46" t="str">
        <f t="shared" si="79"/>
        <v/>
      </c>
    </row>
    <row r="40" spans="1:35" x14ac:dyDescent="0.25">
      <c r="A40" s="46">
        <f>'GPA Calculator'!D42</f>
        <v>0</v>
      </c>
      <c r="B40" s="46">
        <f>IF('GPA Calculator'!E42="DP",0,IF('GPA Calculator'!E42="WP",0,IF('GPA Calculator'!E42="P",0,IF('GPA Calculator'!E42="FA",0,IF('GPA Calculator'!E42="CR",0,IF('GPA Calculator'!E42="NC",0,IF('GPA Calculator'!E42="",0,A40)))))))</f>
        <v>0</v>
      </c>
      <c r="C40" s="46">
        <f>IF('GPA Calculator'!E42="W",0,IF('GPA Calculator'!E42="P",0,IF('GPA Calculator'!E42="FA",0,IF('GPA Calculator'!E42="CR",0,IF('GPA Calculator'!E42="NC",0,IF('GPA Calculator'!E42="",0,'GPA Calculator'!E42))))))</f>
        <v>0</v>
      </c>
      <c r="D40" s="46">
        <f t="shared" si="59"/>
        <v>0</v>
      </c>
      <c r="E40" s="46" t="str">
        <f t="shared" si="14"/>
        <v/>
      </c>
      <c r="F40" s="46">
        <f>'GPA Calculator'!G42</f>
        <v>0</v>
      </c>
      <c r="G40" s="46">
        <f t="shared" si="60"/>
        <v>0</v>
      </c>
      <c r="H40" s="46">
        <f>'GPA Calculator'!H42</f>
        <v>0</v>
      </c>
      <c r="I40" s="46">
        <f t="shared" si="61"/>
        <v>0</v>
      </c>
      <c r="J40" s="46">
        <f>'GPA Calculator'!I42</f>
        <v>0</v>
      </c>
      <c r="K40" s="46">
        <f t="shared" si="62"/>
        <v>0</v>
      </c>
      <c r="L40" s="46">
        <f t="shared" si="63"/>
        <v>0</v>
      </c>
      <c r="M40" s="46" t="str">
        <f t="shared" si="64"/>
        <v/>
      </c>
      <c r="N40" s="46">
        <f t="shared" si="65"/>
        <v>0</v>
      </c>
      <c r="O40" s="46" t="str">
        <f t="shared" si="66"/>
        <v/>
      </c>
      <c r="P40" s="46" t="str">
        <f t="shared" si="67"/>
        <v/>
      </c>
      <c r="Q40" s="46" t="str">
        <f t="shared" si="68"/>
        <v/>
      </c>
      <c r="S40" s="46">
        <f>'GPA Calculator'!N42</f>
        <v>0</v>
      </c>
      <c r="T40" s="46">
        <f>IF('GPA Calculator'!O42="DP",0,IF('GPA Calculator'!O42="WP",0,IF('GPA Calculator'!O42="P",0,IF('GPA Calculator'!O42="FA",0,IF('GPA Calculator'!O42="CR",0,IF('GPA Calculator'!O42="NC",0,IF('GPA Calculator'!O42="",0,S40)))))))</f>
        <v>0</v>
      </c>
      <c r="U40" s="46">
        <f>IF('GPA Calculator'!O42="W",0,IF('GPA Calculator'!O42="P",0,IF('GPA Calculator'!O42="FA",0,IF('GPA Calculator'!O42="CR",0,IF('GPA Calculator'!O42="NC",0,IF('GPA Calculator'!O42="",0,'GPA Calculator'!O42))))))</f>
        <v>0</v>
      </c>
      <c r="V40" s="46">
        <f t="shared" si="69"/>
        <v>0</v>
      </c>
      <c r="W40" s="46" t="str">
        <f t="shared" si="70"/>
        <v/>
      </c>
      <c r="X40" s="46">
        <f>'GPA Calculator'!Q42</f>
        <v>0</v>
      </c>
      <c r="Y40" s="46">
        <f t="shared" si="71"/>
        <v>0</v>
      </c>
      <c r="Z40" s="46">
        <f>'GPA Calculator'!R42</f>
        <v>0</v>
      </c>
      <c r="AA40" s="46">
        <f t="shared" si="72"/>
        <v>0</v>
      </c>
      <c r="AB40" s="46">
        <f>'GPA Calculator'!S42</f>
        <v>0</v>
      </c>
      <c r="AC40" s="46">
        <f t="shared" si="73"/>
        <v>0</v>
      </c>
      <c r="AD40" s="46">
        <f t="shared" si="74"/>
        <v>0</v>
      </c>
      <c r="AE40" s="46" t="str">
        <f t="shared" si="75"/>
        <v/>
      </c>
      <c r="AF40" s="46">
        <f t="shared" si="76"/>
        <v>0</v>
      </c>
      <c r="AG40" s="46" t="str">
        <f t="shared" si="77"/>
        <v/>
      </c>
      <c r="AH40" s="46" t="str">
        <f t="shared" si="78"/>
        <v/>
      </c>
      <c r="AI40" s="46" t="str">
        <f t="shared" si="79"/>
        <v/>
      </c>
    </row>
    <row r="41" spans="1:35" x14ac:dyDescent="0.25">
      <c r="A41" s="46">
        <f>'GPA Calculator'!D43</f>
        <v>0</v>
      </c>
      <c r="B41" s="46">
        <f>IF('GPA Calculator'!E43="DP",0,IF('GPA Calculator'!E43="WP",0,IF('GPA Calculator'!E43="P",0,IF('GPA Calculator'!E43="FA",0,IF('GPA Calculator'!E43="CR",0,IF('GPA Calculator'!E43="NC",0,IF('GPA Calculator'!E43="",0,A41)))))))</f>
        <v>0</v>
      </c>
      <c r="C41" s="46">
        <f>IF('GPA Calculator'!E43="W",0,IF('GPA Calculator'!E43="P",0,IF('GPA Calculator'!E43="FA",0,IF('GPA Calculator'!E43="CR",0,IF('GPA Calculator'!E43="NC",0,IF('GPA Calculator'!E43="",0,'GPA Calculator'!E43))))))</f>
        <v>0</v>
      </c>
      <c r="D41" s="46">
        <f t="shared" si="59"/>
        <v>0</v>
      </c>
      <c r="E41" s="46" t="str">
        <f t="shared" si="14"/>
        <v/>
      </c>
      <c r="F41" s="46">
        <f>'GPA Calculator'!G43</f>
        <v>0</v>
      </c>
      <c r="G41" s="46">
        <f t="shared" si="60"/>
        <v>0</v>
      </c>
      <c r="H41" s="46">
        <f>'GPA Calculator'!H43</f>
        <v>0</v>
      </c>
      <c r="I41" s="46">
        <f t="shared" si="61"/>
        <v>0</v>
      </c>
      <c r="J41" s="46">
        <f>'GPA Calculator'!I43</f>
        <v>0</v>
      </c>
      <c r="K41" s="46">
        <f t="shared" si="62"/>
        <v>0</v>
      </c>
      <c r="L41" s="46">
        <f t="shared" si="63"/>
        <v>0</v>
      </c>
      <c r="M41" s="46" t="str">
        <f t="shared" si="64"/>
        <v/>
      </c>
      <c r="N41" s="46">
        <f t="shared" si="65"/>
        <v>0</v>
      </c>
      <c r="O41" s="46" t="str">
        <f t="shared" si="66"/>
        <v/>
      </c>
      <c r="P41" s="46" t="str">
        <f t="shared" si="67"/>
        <v/>
      </c>
      <c r="Q41" s="46" t="str">
        <f t="shared" si="68"/>
        <v/>
      </c>
      <c r="S41" s="46">
        <f>'GPA Calculator'!N43</f>
        <v>0</v>
      </c>
      <c r="T41" s="46">
        <f>IF('GPA Calculator'!O43="DP",0,IF('GPA Calculator'!O43="WP",0,IF('GPA Calculator'!O43="P",0,IF('GPA Calculator'!O43="FA",0,IF('GPA Calculator'!O43="CR",0,IF('GPA Calculator'!O43="NC",0,IF('GPA Calculator'!O43="",0,S41)))))))</f>
        <v>0</v>
      </c>
      <c r="U41" s="46">
        <f>IF('GPA Calculator'!O43="W",0,IF('GPA Calculator'!O43="P",0,IF('GPA Calculator'!O43="FA",0,IF('GPA Calculator'!O43="CR",0,IF('GPA Calculator'!O43="NC",0,IF('GPA Calculator'!O43="",0,'GPA Calculator'!O43))))))</f>
        <v>0</v>
      </c>
      <c r="V41" s="46">
        <f t="shared" si="69"/>
        <v>0</v>
      </c>
      <c r="W41" s="46" t="str">
        <f t="shared" si="70"/>
        <v/>
      </c>
      <c r="X41" s="46">
        <f>'GPA Calculator'!Q43</f>
        <v>0</v>
      </c>
      <c r="Y41" s="46">
        <f t="shared" si="71"/>
        <v>0</v>
      </c>
      <c r="Z41" s="46">
        <f>'GPA Calculator'!R43</f>
        <v>0</v>
      </c>
      <c r="AA41" s="46">
        <f t="shared" si="72"/>
        <v>0</v>
      </c>
      <c r="AB41" s="46">
        <f>'GPA Calculator'!S43</f>
        <v>0</v>
      </c>
      <c r="AC41" s="46">
        <f t="shared" si="73"/>
        <v>0</v>
      </c>
      <c r="AD41" s="46">
        <f t="shared" si="74"/>
        <v>0</v>
      </c>
      <c r="AE41" s="46" t="str">
        <f t="shared" si="75"/>
        <v/>
      </c>
      <c r="AF41" s="46">
        <f t="shared" si="76"/>
        <v>0</v>
      </c>
      <c r="AG41" s="46" t="str">
        <f t="shared" si="77"/>
        <v/>
      </c>
      <c r="AH41" s="46" t="str">
        <f t="shared" si="78"/>
        <v/>
      </c>
      <c r="AI41" s="46" t="str">
        <f t="shared" si="79"/>
        <v/>
      </c>
    </row>
    <row r="42" spans="1:35" x14ac:dyDescent="0.25">
      <c r="A42" s="46">
        <f>'GPA Calculator'!D44</f>
        <v>0</v>
      </c>
      <c r="B42" s="46">
        <f>IF('GPA Calculator'!E44="DP",0,IF('GPA Calculator'!E44="WP",0,IF('GPA Calculator'!E44="P",0,IF('GPA Calculator'!E44="FA",0,IF('GPA Calculator'!E44="CR",0,IF('GPA Calculator'!E44="NC",0,IF('GPA Calculator'!E44="",0,A42)))))))</f>
        <v>0</v>
      </c>
      <c r="C42" s="46">
        <f>IF('GPA Calculator'!E44="W",0,IF('GPA Calculator'!E44="P",0,IF('GPA Calculator'!E44="FA",0,IF('GPA Calculator'!E44="CR",0,IF('GPA Calculator'!E44="NC",0,IF('GPA Calculator'!E44="",0,'GPA Calculator'!E44))))))</f>
        <v>0</v>
      </c>
      <c r="D42" s="46">
        <f t="shared" si="59"/>
        <v>0</v>
      </c>
      <c r="E42" s="46" t="str">
        <f t="shared" si="14"/>
        <v/>
      </c>
      <c r="F42" s="46">
        <f>'GPA Calculator'!G44</f>
        <v>0</v>
      </c>
      <c r="G42" s="46">
        <f t="shared" si="60"/>
        <v>0</v>
      </c>
      <c r="H42" s="46">
        <f>'GPA Calculator'!H44</f>
        <v>0</v>
      </c>
      <c r="I42" s="46">
        <f t="shared" si="61"/>
        <v>0</v>
      </c>
      <c r="J42" s="46">
        <f>'GPA Calculator'!I44</f>
        <v>0</v>
      </c>
      <c r="K42" s="46">
        <f t="shared" si="62"/>
        <v>0</v>
      </c>
      <c r="L42" s="46">
        <f t="shared" si="63"/>
        <v>0</v>
      </c>
      <c r="M42" s="46" t="str">
        <f t="shared" si="64"/>
        <v/>
      </c>
      <c r="N42" s="46">
        <f t="shared" si="65"/>
        <v>0</v>
      </c>
      <c r="O42" s="46" t="str">
        <f t="shared" si="66"/>
        <v/>
      </c>
      <c r="P42" s="46" t="str">
        <f t="shared" si="67"/>
        <v/>
      </c>
      <c r="Q42" s="46" t="str">
        <f t="shared" si="68"/>
        <v/>
      </c>
      <c r="S42" s="46">
        <f>'GPA Calculator'!N44</f>
        <v>0</v>
      </c>
      <c r="T42" s="46">
        <f>IF('GPA Calculator'!O44="DP",0,IF('GPA Calculator'!O44="WP",0,IF('GPA Calculator'!O44="P",0,IF('GPA Calculator'!O44="FA",0,IF('GPA Calculator'!O44="CR",0,IF('GPA Calculator'!O44="NC",0,IF('GPA Calculator'!O44="",0,S42)))))))</f>
        <v>0</v>
      </c>
      <c r="U42" s="46">
        <f>IF('GPA Calculator'!O44="W",0,IF('GPA Calculator'!O44="P",0,IF('GPA Calculator'!O44="FA",0,IF('GPA Calculator'!O44="CR",0,IF('GPA Calculator'!O44="NC",0,IF('GPA Calculator'!O44="",0,'GPA Calculator'!O44))))))</f>
        <v>0</v>
      </c>
      <c r="V42" s="46">
        <f t="shared" si="69"/>
        <v>0</v>
      </c>
      <c r="W42" s="46" t="str">
        <f t="shared" si="70"/>
        <v/>
      </c>
      <c r="X42" s="46">
        <f>'GPA Calculator'!Q44</f>
        <v>0</v>
      </c>
      <c r="Y42" s="46">
        <f t="shared" si="71"/>
        <v>0</v>
      </c>
      <c r="Z42" s="46">
        <f>'GPA Calculator'!R44</f>
        <v>0</v>
      </c>
      <c r="AA42" s="46">
        <f t="shared" si="72"/>
        <v>0</v>
      </c>
      <c r="AB42" s="46">
        <f>'GPA Calculator'!S44</f>
        <v>0</v>
      </c>
      <c r="AC42" s="46">
        <f t="shared" si="73"/>
        <v>0</v>
      </c>
      <c r="AD42" s="46">
        <f t="shared" si="74"/>
        <v>0</v>
      </c>
      <c r="AE42" s="46" t="str">
        <f t="shared" si="75"/>
        <v/>
      </c>
      <c r="AF42" s="46">
        <f t="shared" si="76"/>
        <v>0</v>
      </c>
      <c r="AG42" s="46" t="str">
        <f t="shared" si="77"/>
        <v/>
      </c>
      <c r="AH42" s="46" t="str">
        <f t="shared" si="78"/>
        <v/>
      </c>
      <c r="AI42" s="46" t="str">
        <f t="shared" si="79"/>
        <v/>
      </c>
    </row>
    <row r="43" spans="1:35" x14ac:dyDescent="0.25">
      <c r="A43" s="46">
        <f>'GPA Calculator'!D45</f>
        <v>0</v>
      </c>
      <c r="B43" s="46">
        <f>IF('GPA Calculator'!E45="DP",0,IF('GPA Calculator'!E45="WP",0,IF('GPA Calculator'!E45="P",0,IF('GPA Calculator'!E45="FA",0,IF('GPA Calculator'!E45="CR",0,IF('GPA Calculator'!E45="NC",0,IF('GPA Calculator'!E45="",0,A43)))))))</f>
        <v>0</v>
      </c>
      <c r="C43" s="46">
        <f>IF('GPA Calculator'!E45="W",0,IF('GPA Calculator'!E45="P",0,IF('GPA Calculator'!E45="FA",0,IF('GPA Calculator'!E45="CR",0,IF('GPA Calculator'!E45="NC",0,IF('GPA Calculator'!E45="",0,'GPA Calculator'!E45))))))</f>
        <v>0</v>
      </c>
      <c r="D43" s="46">
        <f t="shared" si="59"/>
        <v>0</v>
      </c>
      <c r="E43" s="46" t="str">
        <f t="shared" si="14"/>
        <v/>
      </c>
      <c r="F43" s="46">
        <f>'GPA Calculator'!G45</f>
        <v>0</v>
      </c>
      <c r="G43" s="46">
        <f t="shared" si="60"/>
        <v>0</v>
      </c>
      <c r="H43" s="46">
        <f>'GPA Calculator'!H45</f>
        <v>0</v>
      </c>
      <c r="I43" s="46">
        <f t="shared" si="61"/>
        <v>0</v>
      </c>
      <c r="J43" s="46">
        <f>'GPA Calculator'!I45</f>
        <v>0</v>
      </c>
      <c r="K43" s="46">
        <f t="shared" si="62"/>
        <v>0</v>
      </c>
      <c r="L43" s="46">
        <f t="shared" si="63"/>
        <v>0</v>
      </c>
      <c r="M43" s="46" t="str">
        <f t="shared" si="64"/>
        <v/>
      </c>
      <c r="N43" s="46">
        <f t="shared" si="65"/>
        <v>0</v>
      </c>
      <c r="O43" s="46" t="str">
        <f t="shared" si="66"/>
        <v/>
      </c>
      <c r="P43" s="46" t="str">
        <f t="shared" si="67"/>
        <v/>
      </c>
      <c r="Q43" s="46" t="str">
        <f t="shared" si="68"/>
        <v/>
      </c>
      <c r="S43" s="46">
        <f>'GPA Calculator'!N45</f>
        <v>0</v>
      </c>
      <c r="T43" s="46">
        <f>IF('GPA Calculator'!O45="DP",0,IF('GPA Calculator'!O45="WP",0,IF('GPA Calculator'!O45="P",0,IF('GPA Calculator'!O45="FA",0,IF('GPA Calculator'!O45="CR",0,IF('GPA Calculator'!O45="NC",0,IF('GPA Calculator'!O45="",0,S43)))))))</f>
        <v>0</v>
      </c>
      <c r="U43" s="46">
        <f>IF('GPA Calculator'!O45="W",0,IF('GPA Calculator'!O45="P",0,IF('GPA Calculator'!O45="FA",0,IF('GPA Calculator'!O45="CR",0,IF('GPA Calculator'!O45="NC",0,IF('GPA Calculator'!O45="",0,'GPA Calculator'!O45))))))</f>
        <v>0</v>
      </c>
      <c r="V43" s="46">
        <f t="shared" si="69"/>
        <v>0</v>
      </c>
      <c r="W43" s="46" t="str">
        <f t="shared" si="70"/>
        <v/>
      </c>
      <c r="X43" s="46">
        <f>'GPA Calculator'!Q45</f>
        <v>0</v>
      </c>
      <c r="Y43" s="46">
        <f t="shared" si="71"/>
        <v>0</v>
      </c>
      <c r="Z43" s="46">
        <f>'GPA Calculator'!R45</f>
        <v>0</v>
      </c>
      <c r="AA43" s="46">
        <f t="shared" si="72"/>
        <v>0</v>
      </c>
      <c r="AB43" s="46">
        <f>'GPA Calculator'!S45</f>
        <v>0</v>
      </c>
      <c r="AC43" s="46">
        <f t="shared" si="73"/>
        <v>0</v>
      </c>
      <c r="AD43" s="46">
        <f t="shared" si="74"/>
        <v>0</v>
      </c>
      <c r="AE43" s="46" t="str">
        <f t="shared" si="75"/>
        <v/>
      </c>
      <c r="AF43" s="46">
        <f t="shared" si="76"/>
        <v>0</v>
      </c>
      <c r="AG43" s="46" t="str">
        <f t="shared" si="77"/>
        <v/>
      </c>
      <c r="AH43" s="46" t="str">
        <f t="shared" si="78"/>
        <v/>
      </c>
      <c r="AI43" s="46" t="str">
        <f t="shared" si="79"/>
        <v/>
      </c>
    </row>
    <row r="44" spans="1:35" x14ac:dyDescent="0.25">
      <c r="A44" s="46">
        <f>'GPA Calculator'!D46</f>
        <v>0</v>
      </c>
      <c r="B44" s="46">
        <f>IF('GPA Calculator'!E46="DP",0,IF('GPA Calculator'!E46="WP",0,IF('GPA Calculator'!E46="P",0,IF('GPA Calculator'!E46="FA",0,IF('GPA Calculator'!E46="CR",0,IF('GPA Calculator'!E46="NC",0,IF('GPA Calculator'!E46="",0,A44)))))))</f>
        <v>0</v>
      </c>
      <c r="C44" s="46">
        <f>IF('GPA Calculator'!E46="W",0,IF('GPA Calculator'!E46="P",0,IF('GPA Calculator'!E46="FA",0,IF('GPA Calculator'!E46="CR",0,IF('GPA Calculator'!E46="NC",0,IF('GPA Calculator'!E46="",0,'GPA Calculator'!E46))))))</f>
        <v>0</v>
      </c>
      <c r="D44" s="46">
        <f t="shared" si="59"/>
        <v>0</v>
      </c>
      <c r="E44" s="46" t="str">
        <f t="shared" si="14"/>
        <v/>
      </c>
      <c r="F44" s="46">
        <f>'GPA Calculator'!G46</f>
        <v>0</v>
      </c>
      <c r="G44" s="46">
        <f t="shared" si="60"/>
        <v>0</v>
      </c>
      <c r="H44" s="46">
        <f>'GPA Calculator'!H46</f>
        <v>0</v>
      </c>
      <c r="I44" s="46">
        <f t="shared" si="61"/>
        <v>0</v>
      </c>
      <c r="J44" s="46">
        <f>'GPA Calculator'!I46</f>
        <v>0</v>
      </c>
      <c r="K44" s="46">
        <f t="shared" si="62"/>
        <v>0</v>
      </c>
      <c r="L44" s="46">
        <f t="shared" si="63"/>
        <v>0</v>
      </c>
      <c r="M44" s="46" t="str">
        <f t="shared" si="64"/>
        <v/>
      </c>
      <c r="N44" s="46">
        <f t="shared" si="65"/>
        <v>0</v>
      </c>
      <c r="O44" s="46" t="str">
        <f t="shared" si="66"/>
        <v/>
      </c>
      <c r="P44" s="46" t="str">
        <f t="shared" si="67"/>
        <v/>
      </c>
      <c r="Q44" s="46" t="str">
        <f t="shared" si="68"/>
        <v/>
      </c>
      <c r="S44" s="46">
        <f>'GPA Calculator'!N46</f>
        <v>0</v>
      </c>
      <c r="T44" s="46">
        <f>IF('GPA Calculator'!O46="DP",0,IF('GPA Calculator'!O46="WP",0,IF('GPA Calculator'!O46="P",0,IF('GPA Calculator'!O46="FA",0,IF('GPA Calculator'!O46="CR",0,IF('GPA Calculator'!O46="NC",0,IF('GPA Calculator'!O46="",0,S44)))))))</f>
        <v>0</v>
      </c>
      <c r="U44" s="46">
        <f>IF('GPA Calculator'!O46="W",0,IF('GPA Calculator'!O46="P",0,IF('GPA Calculator'!O46="FA",0,IF('GPA Calculator'!O46="CR",0,IF('GPA Calculator'!O46="NC",0,IF('GPA Calculator'!O46="",0,'GPA Calculator'!O46))))))</f>
        <v>0</v>
      </c>
      <c r="V44" s="46">
        <f t="shared" si="69"/>
        <v>0</v>
      </c>
      <c r="W44" s="46" t="str">
        <f t="shared" si="70"/>
        <v/>
      </c>
      <c r="X44" s="46">
        <f>'GPA Calculator'!Q46</f>
        <v>0</v>
      </c>
      <c r="Y44" s="46">
        <f t="shared" si="71"/>
        <v>0</v>
      </c>
      <c r="Z44" s="46">
        <f>'GPA Calculator'!R46</f>
        <v>0</v>
      </c>
      <c r="AA44" s="46">
        <f t="shared" si="72"/>
        <v>0</v>
      </c>
      <c r="AB44" s="46">
        <f>'GPA Calculator'!S46</f>
        <v>0</v>
      </c>
      <c r="AC44" s="46">
        <f t="shared" si="73"/>
        <v>0</v>
      </c>
      <c r="AD44" s="46">
        <f t="shared" si="74"/>
        <v>0</v>
      </c>
      <c r="AE44" s="46" t="str">
        <f t="shared" si="75"/>
        <v/>
      </c>
      <c r="AF44" s="46">
        <f t="shared" si="76"/>
        <v>0</v>
      </c>
      <c r="AG44" s="46" t="str">
        <f t="shared" si="77"/>
        <v/>
      </c>
      <c r="AH44" s="46" t="str">
        <f t="shared" si="78"/>
        <v/>
      </c>
      <c r="AI44" s="46" t="str">
        <f t="shared" si="79"/>
        <v/>
      </c>
    </row>
    <row r="45" spans="1:35" x14ac:dyDescent="0.25">
      <c r="A45" s="46">
        <f>'GPA Calculator'!D47</f>
        <v>0</v>
      </c>
      <c r="B45" s="46">
        <f>IF('GPA Calculator'!E47="DP",0,IF('GPA Calculator'!E47="WP",0,IF('GPA Calculator'!E47="P",0,IF('GPA Calculator'!E47="FA",0,IF('GPA Calculator'!E47="CR",0,IF('GPA Calculator'!E47="NC",0,IF('GPA Calculator'!E47="",0,A45)))))))</f>
        <v>0</v>
      </c>
      <c r="C45" s="46">
        <f>IF('GPA Calculator'!E47="W",0,IF('GPA Calculator'!E47="P",0,IF('GPA Calculator'!E47="FA",0,IF('GPA Calculator'!E47="CR",0,IF('GPA Calculator'!E47="NC",0,IF('GPA Calculator'!E47="",0,'GPA Calculator'!E47))))))</f>
        <v>0</v>
      </c>
      <c r="D45" s="46">
        <f t="shared" si="59"/>
        <v>0</v>
      </c>
      <c r="E45" s="46" t="str">
        <f t="shared" si="14"/>
        <v/>
      </c>
      <c r="F45" s="46">
        <f>'GPA Calculator'!G47</f>
        <v>0</v>
      </c>
      <c r="G45" s="46">
        <f t="shared" si="60"/>
        <v>0</v>
      </c>
      <c r="H45" s="46">
        <f>'GPA Calculator'!H47</f>
        <v>0</v>
      </c>
      <c r="I45" s="46">
        <f t="shared" si="61"/>
        <v>0</v>
      </c>
      <c r="J45" s="46">
        <f>'GPA Calculator'!I47</f>
        <v>0</v>
      </c>
      <c r="K45" s="46">
        <f t="shared" si="62"/>
        <v>0</v>
      </c>
      <c r="L45" s="46">
        <f t="shared" si="63"/>
        <v>0</v>
      </c>
      <c r="M45" s="46" t="str">
        <f t="shared" si="64"/>
        <v/>
      </c>
      <c r="N45" s="46">
        <f t="shared" si="65"/>
        <v>0</v>
      </c>
      <c r="O45" s="46" t="str">
        <f t="shared" si="66"/>
        <v/>
      </c>
      <c r="P45" s="46" t="str">
        <f t="shared" si="67"/>
        <v/>
      </c>
      <c r="Q45" s="46" t="str">
        <f t="shared" si="68"/>
        <v/>
      </c>
      <c r="S45" s="46">
        <f>'GPA Calculator'!N47</f>
        <v>0</v>
      </c>
      <c r="T45" s="46">
        <f>IF('GPA Calculator'!O47="DP",0,IF('GPA Calculator'!O47="WP",0,IF('GPA Calculator'!O47="P",0,IF('GPA Calculator'!O47="FA",0,IF('GPA Calculator'!O47="CR",0,IF('GPA Calculator'!O47="NC",0,IF('GPA Calculator'!O47="",0,S45)))))))</f>
        <v>0</v>
      </c>
      <c r="U45" s="46">
        <f>IF('GPA Calculator'!O47="W",0,IF('GPA Calculator'!O47="P",0,IF('GPA Calculator'!O47="FA",0,IF('GPA Calculator'!O47="CR",0,IF('GPA Calculator'!O47="NC",0,IF('GPA Calculator'!O47="",0,'GPA Calculator'!O47))))))</f>
        <v>0</v>
      </c>
      <c r="V45" s="46">
        <f t="shared" si="69"/>
        <v>0</v>
      </c>
      <c r="W45" s="46" t="str">
        <f t="shared" si="70"/>
        <v/>
      </c>
      <c r="X45" s="46">
        <f>'GPA Calculator'!Q47</f>
        <v>0</v>
      </c>
      <c r="Y45" s="46">
        <f t="shared" si="71"/>
        <v>0</v>
      </c>
      <c r="Z45" s="46">
        <f>'GPA Calculator'!R47</f>
        <v>0</v>
      </c>
      <c r="AA45" s="46">
        <f t="shared" si="72"/>
        <v>0</v>
      </c>
      <c r="AB45" s="46">
        <f>'GPA Calculator'!S47</f>
        <v>0</v>
      </c>
      <c r="AC45" s="46">
        <f t="shared" si="73"/>
        <v>0</v>
      </c>
      <c r="AD45" s="46">
        <f t="shared" si="74"/>
        <v>0</v>
      </c>
      <c r="AE45" s="46" t="str">
        <f t="shared" si="75"/>
        <v/>
      </c>
      <c r="AF45" s="46">
        <f t="shared" si="76"/>
        <v>0</v>
      </c>
      <c r="AG45" s="46" t="str">
        <f t="shared" si="77"/>
        <v/>
      </c>
      <c r="AH45" s="46" t="str">
        <f t="shared" si="78"/>
        <v/>
      </c>
      <c r="AI45" s="46" t="str">
        <f t="shared" si="79"/>
        <v/>
      </c>
    </row>
    <row r="46" spans="1:35" x14ac:dyDescent="0.25">
      <c r="B46" s="46">
        <f t="shared" ref="B46:E46" si="80">SUM(B37:B45)</f>
        <v>0</v>
      </c>
      <c r="E46" s="46">
        <f t="shared" si="80"/>
        <v>0</v>
      </c>
      <c r="L46" s="46">
        <f>SUM(L37:L45)</f>
        <v>0</v>
      </c>
      <c r="M46" s="46">
        <f t="shared" ref="M46" si="81">SUM(M37:M45)</f>
        <v>0</v>
      </c>
      <c r="N46" s="46">
        <f t="shared" ref="N46" si="82">SUM(N37:N45)</f>
        <v>0</v>
      </c>
      <c r="O46" s="46">
        <f t="shared" ref="O46" si="83">SUM(O37:O45)</f>
        <v>0</v>
      </c>
      <c r="P46" s="46">
        <f t="shared" ref="P46" si="84">SUM(P37:P45)</f>
        <v>0</v>
      </c>
      <c r="Q46" s="46">
        <f t="shared" ref="Q46" si="85">SUM(Q37:Q45)</f>
        <v>0</v>
      </c>
      <c r="T46" s="46">
        <f t="shared" ref="T46:W46" si="86">SUM(T37:T45)</f>
        <v>0</v>
      </c>
      <c r="V46" s="46">
        <f t="shared" si="86"/>
        <v>0</v>
      </c>
      <c r="W46" s="46">
        <f t="shared" si="86"/>
        <v>0</v>
      </c>
      <c r="AD46" s="46">
        <f t="shared" ref="AD46" si="87">SUM(AD37:AD45)</f>
        <v>0</v>
      </c>
      <c r="AE46" s="46">
        <f t="shared" ref="AE46" si="88">SUM(AE37:AE45)</f>
        <v>0</v>
      </c>
      <c r="AF46" s="46">
        <f t="shared" ref="AF46" si="89">SUM(AF37:AF45)</f>
        <v>0</v>
      </c>
      <c r="AG46" s="46">
        <f t="shared" ref="AG46" si="90">SUM(AG37:AG45)</f>
        <v>0</v>
      </c>
      <c r="AH46" s="46">
        <f t="shared" ref="AH46" si="91">SUM(AH37:AH45)</f>
        <v>0</v>
      </c>
      <c r="AI46" s="46">
        <f>SUM(AI37:AI45)</f>
        <v>0</v>
      </c>
    </row>
    <row r="47" spans="1:35" x14ac:dyDescent="0.25">
      <c r="L47" s="46" t="s">
        <v>10</v>
      </c>
      <c r="M47" s="46" t="str">
        <f>IF(L46=0,"",M46/L46)</f>
        <v/>
      </c>
      <c r="N47" s="46" t="s">
        <v>20</v>
      </c>
      <c r="O47" s="46" t="str">
        <f>IF(N46=0,"",O46/N46)</f>
        <v/>
      </c>
      <c r="P47" s="46" t="s">
        <v>23</v>
      </c>
      <c r="Q47" s="46" t="str">
        <f>IF(P46=0,"",Q46/P46)</f>
        <v/>
      </c>
      <c r="AD47" s="46" t="s">
        <v>10</v>
      </c>
      <c r="AE47" s="46" t="str">
        <f>IF(AD46=0,"",AE46/AD46)</f>
        <v/>
      </c>
      <c r="AF47" s="46" t="s">
        <v>20</v>
      </c>
      <c r="AG47" s="46" t="str">
        <f>IF(AF46=0,"",AG46/AF46)</f>
        <v/>
      </c>
      <c r="AH47" s="46" t="s">
        <v>23</v>
      </c>
      <c r="AI47" s="46" t="str">
        <f>IF(AH46=0,"",AI46/AH46)</f>
        <v/>
      </c>
    </row>
    <row r="52" spans="1:35" x14ac:dyDescent="0.25">
      <c r="A52" s="46" t="s">
        <v>4</v>
      </c>
      <c r="B52" s="46" t="s">
        <v>61</v>
      </c>
      <c r="C52" s="46" t="s">
        <v>12</v>
      </c>
      <c r="D52" s="46" t="s">
        <v>58</v>
      </c>
      <c r="E52" s="46" t="s">
        <v>6</v>
      </c>
      <c r="F52" s="46" t="s">
        <v>7</v>
      </c>
      <c r="H52" s="46" t="s">
        <v>26</v>
      </c>
      <c r="J52" s="46" t="s">
        <v>27</v>
      </c>
      <c r="L52" s="46" t="s">
        <v>60</v>
      </c>
      <c r="M52" s="46" t="s">
        <v>59</v>
      </c>
      <c r="N52" s="46" t="s">
        <v>24</v>
      </c>
      <c r="O52" s="46" t="s">
        <v>22</v>
      </c>
      <c r="P52" s="46" t="s">
        <v>25</v>
      </c>
      <c r="Q52" s="46" t="s">
        <v>21</v>
      </c>
      <c r="S52" s="46" t="s">
        <v>4</v>
      </c>
      <c r="T52" s="46" t="s">
        <v>61</v>
      </c>
      <c r="U52" s="46" t="s">
        <v>12</v>
      </c>
      <c r="V52" s="46" t="s">
        <v>58</v>
      </c>
      <c r="W52" s="46" t="s">
        <v>6</v>
      </c>
      <c r="X52" s="46" t="s">
        <v>7</v>
      </c>
      <c r="Z52" s="46" t="s">
        <v>26</v>
      </c>
      <c r="AB52" s="46" t="s">
        <v>27</v>
      </c>
      <c r="AD52" s="46" t="s">
        <v>60</v>
      </c>
      <c r="AE52" s="46" t="s">
        <v>59</v>
      </c>
      <c r="AF52" s="46" t="s">
        <v>24</v>
      </c>
      <c r="AG52" s="46" t="s">
        <v>22</v>
      </c>
      <c r="AH52" s="46" t="s">
        <v>25</v>
      </c>
      <c r="AI52" s="46" t="s">
        <v>21</v>
      </c>
    </row>
    <row r="53" spans="1:35" x14ac:dyDescent="0.25">
      <c r="A53" s="46">
        <f>'GPA Calculator'!D56</f>
        <v>0</v>
      </c>
      <c r="B53" s="46">
        <f>IF('GPA Calculator'!E56="W",0,IF('GPA Calculator'!E56="P",0,IF('GPA Calculator'!E56="FA",0,IF('GPA Calculator'!E56="CR",0,IF('GPA Calculator'!E56="NC",0,IF('GPA Calculator'!E56="",0,A53))))))</f>
        <v>0</v>
      </c>
      <c r="C53" s="46">
        <f>IF('GPA Calculator'!E56="W",0,IF('GPA Calculator'!E56="P",0,IF('GPA Calculator'!E56="FA",0,IF('GPA Calculator'!E56="CR",0,IF('GPA Calculator'!E56="NC",0,IF('GPA Calculator'!E56="",0,'GPA Calculator'!E56))))))</f>
        <v>0</v>
      </c>
      <c r="D53" s="46">
        <f t="shared" ref="D53:D61" si="92">IF(C53=0,0,VLOOKUP(C53,$AL$2:$AM$14,2,FALSE))</f>
        <v>0</v>
      </c>
      <c r="E53" s="46" t="str">
        <f t="shared" si="14"/>
        <v/>
      </c>
      <c r="F53" s="46">
        <f>'GPA Calculator'!G56</f>
        <v>0</v>
      </c>
      <c r="G53" s="46">
        <f t="shared" ref="G53:G61" si="93">IF(F53=0,0,1)</f>
        <v>0</v>
      </c>
      <c r="H53" s="46">
        <f>'GPA Calculator'!H56</f>
        <v>0</v>
      </c>
      <c r="I53" s="46">
        <f t="shared" ref="I53:I61" si="94">IF(H53=0,0,1)</f>
        <v>0</v>
      </c>
      <c r="J53" s="46">
        <f>'GPA Calculator'!I56</f>
        <v>0</v>
      </c>
      <c r="K53" s="46">
        <f t="shared" ref="K53:K61" si="95">IF(J53=0,0,1)</f>
        <v>0</v>
      </c>
      <c r="L53" s="46">
        <f t="shared" ref="L53:L61" si="96">B53</f>
        <v>0</v>
      </c>
      <c r="M53" s="46" t="str">
        <f t="shared" ref="M53:M61" si="97">E53</f>
        <v/>
      </c>
      <c r="N53" s="46">
        <f t="shared" ref="N53:N61" si="98">IF(G53=1,"",IF(K53=1,"",B53))</f>
        <v>0</v>
      </c>
      <c r="O53" s="46" t="str">
        <f t="shared" ref="O53:O61" si="99">IF(G53=1,"",IF(K53=1,"",E53))</f>
        <v/>
      </c>
      <c r="P53" s="46" t="str">
        <f t="shared" ref="P53:P61" si="100">IF(G53=1,"",IF(K53=1,"",IF(I53=0,"",B53)))</f>
        <v/>
      </c>
      <c r="Q53" s="46" t="str">
        <f t="shared" ref="Q53:Q61" si="101">IF(G53=1,"",IF(K53=1,"",IF(I53=0,"",E53)))</f>
        <v/>
      </c>
      <c r="S53" s="46">
        <f>'GPA Calculator'!N56</f>
        <v>0</v>
      </c>
      <c r="T53" s="46">
        <f>IF('GPA Calculator'!O56="DP",0,IF('GPA Calculator'!O56="WP",0,IF('GPA Calculator'!O56="P",0,IF('GPA Calculator'!O56="FA",0,IF('GPA Calculator'!O56="CR",0,IF('GPA Calculator'!O56="NC",0,IF('GPA Calculator'!O56="",0,S53)))))))</f>
        <v>0</v>
      </c>
      <c r="U53" s="46">
        <f>IF('GPA Calculator'!O56="W",0,IF('GPA Calculator'!O56="P",0,IF('GPA Calculator'!O56="FA",0,IF('GPA Calculator'!O56="CR",0,IF('GPA Calculator'!O56="NC",0,IF('GPA Calculator'!O56="",0,'GPA Calculator'!O56))))))</f>
        <v>0</v>
      </c>
      <c r="V53" s="46">
        <f t="shared" ref="V53:V61" si="102">IF(U53=0,0,VLOOKUP(U53,$AL$2:$AM$14,2,FALSE))</f>
        <v>0</v>
      </c>
      <c r="W53" s="46" t="str">
        <f t="shared" ref="W53:W61" si="103">IF(V53=0,"",T53*V53)</f>
        <v/>
      </c>
      <c r="X53" s="46">
        <f>'GPA Calculator'!Q56</f>
        <v>0</v>
      </c>
      <c r="Y53" s="46">
        <f t="shared" ref="Y53:Y61" si="104">IF(X53=0,0,1)</f>
        <v>0</v>
      </c>
      <c r="Z53" s="46">
        <f>'GPA Calculator'!R56</f>
        <v>0</v>
      </c>
      <c r="AA53" s="46">
        <f t="shared" ref="AA53:AA61" si="105">IF(Z53=0,0,1)</f>
        <v>0</v>
      </c>
      <c r="AB53" s="46">
        <f>'GPA Calculator'!S56</f>
        <v>0</v>
      </c>
      <c r="AC53" s="46">
        <f t="shared" ref="AC53:AC61" si="106">IF(AB53=0,0,1)</f>
        <v>0</v>
      </c>
      <c r="AD53" s="46">
        <f t="shared" ref="AD53:AD61" si="107">T53</f>
        <v>0</v>
      </c>
      <c r="AE53" s="46" t="str">
        <f t="shared" ref="AE53:AE61" si="108">W53</f>
        <v/>
      </c>
      <c r="AF53" s="46">
        <f t="shared" ref="AF53:AF61" si="109">IF(Y53=1,"",IF(AC53=1,"",T53))</f>
        <v>0</v>
      </c>
      <c r="AG53" s="46" t="str">
        <f t="shared" ref="AG53:AG61" si="110">IF(Y53=1,"",IF(AC53=1,"",W53))</f>
        <v/>
      </c>
      <c r="AH53" s="46" t="str">
        <f t="shared" ref="AH53:AH61" si="111">IF(Y53=1,"",IF(AC53=1,"",IF(AA53=0,"",T53)))</f>
        <v/>
      </c>
      <c r="AI53" s="46" t="str">
        <f t="shared" ref="AI53:AI61" si="112">IF(Y53=1,"",IF(AC53=1,"",IF(AA53=0,"",W53)))</f>
        <v/>
      </c>
    </row>
    <row r="54" spans="1:35" x14ac:dyDescent="0.25">
      <c r="A54" s="46">
        <f>'GPA Calculator'!D57</f>
        <v>0</v>
      </c>
      <c r="B54" s="46">
        <f>IF('GPA Calculator'!E57="DP",0,IF('GPA Calculator'!E57="WP",0,IF('GPA Calculator'!E57="P",0,IF('GPA Calculator'!E57="FA",0,IF('GPA Calculator'!E57="CR",0,IF('GPA Calculator'!E57="NC",0,IF('GPA Calculator'!E57="",0,A54)))))))</f>
        <v>0</v>
      </c>
      <c r="C54" s="46">
        <f>IF('GPA Calculator'!E57="W",0,IF('GPA Calculator'!E57="P",0,IF('GPA Calculator'!E57="FA",0,IF('GPA Calculator'!E57="CR",0,IF('GPA Calculator'!E57="NC",0,IF('GPA Calculator'!E57="",0,'GPA Calculator'!E57))))))</f>
        <v>0</v>
      </c>
      <c r="D54" s="46">
        <f t="shared" si="92"/>
        <v>0</v>
      </c>
      <c r="E54" s="46" t="str">
        <f t="shared" si="14"/>
        <v/>
      </c>
      <c r="F54" s="46">
        <f>'GPA Calculator'!G57</f>
        <v>0</v>
      </c>
      <c r="G54" s="46">
        <f t="shared" si="93"/>
        <v>0</v>
      </c>
      <c r="H54" s="46">
        <f>'GPA Calculator'!H57</f>
        <v>0</v>
      </c>
      <c r="I54" s="46">
        <f t="shared" si="94"/>
        <v>0</v>
      </c>
      <c r="J54" s="46">
        <f>'GPA Calculator'!I57</f>
        <v>0</v>
      </c>
      <c r="K54" s="46">
        <f t="shared" si="95"/>
        <v>0</v>
      </c>
      <c r="L54" s="46">
        <f t="shared" si="96"/>
        <v>0</v>
      </c>
      <c r="M54" s="46" t="str">
        <f t="shared" si="97"/>
        <v/>
      </c>
      <c r="N54" s="46">
        <f t="shared" si="98"/>
        <v>0</v>
      </c>
      <c r="O54" s="46" t="str">
        <f t="shared" si="99"/>
        <v/>
      </c>
      <c r="P54" s="46" t="str">
        <f t="shared" si="100"/>
        <v/>
      </c>
      <c r="Q54" s="46" t="str">
        <f t="shared" si="101"/>
        <v/>
      </c>
      <c r="S54" s="46">
        <f>'GPA Calculator'!N57</f>
        <v>0</v>
      </c>
      <c r="T54" s="46">
        <f>IF('GPA Calculator'!O57="DP",0,IF('GPA Calculator'!O57="WP",0,IF('GPA Calculator'!O57="P",0,IF('GPA Calculator'!O57="FA",0,IF('GPA Calculator'!O57="CR",0,IF('GPA Calculator'!O57="NC",0,IF('GPA Calculator'!O57="",0,S54)))))))</f>
        <v>0</v>
      </c>
      <c r="U54" s="46">
        <f>IF('GPA Calculator'!O57="W",0,IF('GPA Calculator'!O57="P",0,IF('GPA Calculator'!O57="FA",0,IF('GPA Calculator'!O57="CR",0,IF('GPA Calculator'!O57="NC",0,IF('GPA Calculator'!O57="",0,'GPA Calculator'!O57))))))</f>
        <v>0</v>
      </c>
      <c r="V54" s="46">
        <f t="shared" si="102"/>
        <v>0</v>
      </c>
      <c r="W54" s="46" t="str">
        <f t="shared" si="103"/>
        <v/>
      </c>
      <c r="X54" s="46">
        <f>'GPA Calculator'!Q57</f>
        <v>0</v>
      </c>
      <c r="Y54" s="46">
        <f t="shared" si="104"/>
        <v>0</v>
      </c>
      <c r="Z54" s="46">
        <f>'GPA Calculator'!R57</f>
        <v>0</v>
      </c>
      <c r="AA54" s="46">
        <f t="shared" si="105"/>
        <v>0</v>
      </c>
      <c r="AB54" s="46">
        <f>'GPA Calculator'!S57</f>
        <v>0</v>
      </c>
      <c r="AC54" s="46">
        <f t="shared" si="106"/>
        <v>0</v>
      </c>
      <c r="AD54" s="46">
        <f t="shared" si="107"/>
        <v>0</v>
      </c>
      <c r="AE54" s="46" t="str">
        <f t="shared" si="108"/>
        <v/>
      </c>
      <c r="AF54" s="46">
        <f t="shared" si="109"/>
        <v>0</v>
      </c>
      <c r="AG54" s="46" t="str">
        <f t="shared" si="110"/>
        <v/>
      </c>
      <c r="AH54" s="46" t="str">
        <f t="shared" si="111"/>
        <v/>
      </c>
      <c r="AI54" s="46" t="str">
        <f t="shared" si="112"/>
        <v/>
      </c>
    </row>
    <row r="55" spans="1:35" x14ac:dyDescent="0.25">
      <c r="A55" s="46">
        <f>'GPA Calculator'!D58</f>
        <v>0</v>
      </c>
      <c r="B55" s="46">
        <f>IF('GPA Calculator'!E58="DP",0,IF('GPA Calculator'!E58="WP",0,IF('GPA Calculator'!E58="P",0,IF('GPA Calculator'!E58="FA",0,IF('GPA Calculator'!E58="CR",0,IF('GPA Calculator'!E58="NC",0,IF('GPA Calculator'!E58="",0,A55)))))))</f>
        <v>0</v>
      </c>
      <c r="C55" s="46">
        <f>IF('GPA Calculator'!E58="W",0,IF('GPA Calculator'!E58="P",0,IF('GPA Calculator'!E58="FA",0,IF('GPA Calculator'!E58="CR",0,IF('GPA Calculator'!E58="NC",0,IF('GPA Calculator'!E58="",0,'GPA Calculator'!E58))))))</f>
        <v>0</v>
      </c>
      <c r="D55" s="46">
        <f t="shared" si="92"/>
        <v>0</v>
      </c>
      <c r="E55" s="46" t="str">
        <f t="shared" si="14"/>
        <v/>
      </c>
      <c r="F55" s="46">
        <f>'GPA Calculator'!G58</f>
        <v>0</v>
      </c>
      <c r="G55" s="46">
        <f t="shared" si="93"/>
        <v>0</v>
      </c>
      <c r="H55" s="46">
        <f>'GPA Calculator'!H58</f>
        <v>0</v>
      </c>
      <c r="I55" s="46">
        <f t="shared" si="94"/>
        <v>0</v>
      </c>
      <c r="J55" s="46">
        <f>'GPA Calculator'!I58</f>
        <v>0</v>
      </c>
      <c r="K55" s="46">
        <f t="shared" si="95"/>
        <v>0</v>
      </c>
      <c r="L55" s="46">
        <f t="shared" si="96"/>
        <v>0</v>
      </c>
      <c r="M55" s="46" t="str">
        <f t="shared" si="97"/>
        <v/>
      </c>
      <c r="N55" s="46">
        <f t="shared" si="98"/>
        <v>0</v>
      </c>
      <c r="O55" s="46" t="str">
        <f t="shared" si="99"/>
        <v/>
      </c>
      <c r="P55" s="46" t="str">
        <f t="shared" si="100"/>
        <v/>
      </c>
      <c r="Q55" s="46" t="str">
        <f t="shared" si="101"/>
        <v/>
      </c>
      <c r="S55" s="46">
        <f>'GPA Calculator'!N58</f>
        <v>0</v>
      </c>
      <c r="T55" s="46">
        <f>IF('GPA Calculator'!O58="DP",0,IF('GPA Calculator'!O58="WP",0,IF('GPA Calculator'!O58="P",0,IF('GPA Calculator'!O58="FA",0,IF('GPA Calculator'!O58="CR",0,IF('GPA Calculator'!O58="NC",0,IF('GPA Calculator'!O58="",0,S55)))))))</f>
        <v>0</v>
      </c>
      <c r="U55" s="46">
        <f>IF('GPA Calculator'!O58="W",0,IF('GPA Calculator'!O58="P",0,IF('GPA Calculator'!O58="FA",0,IF('GPA Calculator'!O58="CR",0,IF('GPA Calculator'!O58="NC",0,IF('GPA Calculator'!O58="",0,'GPA Calculator'!O58))))))</f>
        <v>0</v>
      </c>
      <c r="V55" s="46">
        <f t="shared" si="102"/>
        <v>0</v>
      </c>
      <c r="W55" s="46" t="str">
        <f t="shared" si="103"/>
        <v/>
      </c>
      <c r="X55" s="46">
        <f>'GPA Calculator'!Q58</f>
        <v>0</v>
      </c>
      <c r="Y55" s="46">
        <f t="shared" si="104"/>
        <v>0</v>
      </c>
      <c r="Z55" s="46">
        <f>'GPA Calculator'!R58</f>
        <v>0</v>
      </c>
      <c r="AA55" s="46">
        <f t="shared" si="105"/>
        <v>0</v>
      </c>
      <c r="AB55" s="46">
        <f>'GPA Calculator'!S58</f>
        <v>0</v>
      </c>
      <c r="AC55" s="46">
        <f t="shared" si="106"/>
        <v>0</v>
      </c>
      <c r="AD55" s="46">
        <f t="shared" si="107"/>
        <v>0</v>
      </c>
      <c r="AE55" s="46" t="str">
        <f t="shared" si="108"/>
        <v/>
      </c>
      <c r="AF55" s="46">
        <f t="shared" si="109"/>
        <v>0</v>
      </c>
      <c r="AG55" s="46" t="str">
        <f t="shared" si="110"/>
        <v/>
      </c>
      <c r="AH55" s="46" t="str">
        <f t="shared" si="111"/>
        <v/>
      </c>
      <c r="AI55" s="46" t="str">
        <f t="shared" si="112"/>
        <v/>
      </c>
    </row>
    <row r="56" spans="1:35" x14ac:dyDescent="0.25">
      <c r="A56" s="46">
        <f>'GPA Calculator'!D59</f>
        <v>0</v>
      </c>
      <c r="B56" s="46">
        <f>IF('GPA Calculator'!E59="DP",0,IF('GPA Calculator'!E59="WP",0,IF('GPA Calculator'!E59="P",0,IF('GPA Calculator'!E59="FA",0,IF('GPA Calculator'!E59="CR",0,IF('GPA Calculator'!E59="NC",0,IF('GPA Calculator'!E59="",0,A56)))))))</f>
        <v>0</v>
      </c>
      <c r="C56" s="46">
        <f>IF('GPA Calculator'!E59="W",0,IF('GPA Calculator'!E59="P",0,IF('GPA Calculator'!E59="FA",0,IF('GPA Calculator'!E59="CR",0,IF('GPA Calculator'!E59="NC",0,IF('GPA Calculator'!E59="",0,'GPA Calculator'!E59))))))</f>
        <v>0</v>
      </c>
      <c r="D56" s="46">
        <f t="shared" si="92"/>
        <v>0</v>
      </c>
      <c r="E56" s="46" t="str">
        <f t="shared" si="14"/>
        <v/>
      </c>
      <c r="F56" s="46">
        <f>'GPA Calculator'!G59</f>
        <v>0</v>
      </c>
      <c r="G56" s="46">
        <f t="shared" si="93"/>
        <v>0</v>
      </c>
      <c r="H56" s="46">
        <f>'GPA Calculator'!H59</f>
        <v>0</v>
      </c>
      <c r="I56" s="46">
        <f t="shared" si="94"/>
        <v>0</v>
      </c>
      <c r="J56" s="46">
        <f>'GPA Calculator'!I59</f>
        <v>0</v>
      </c>
      <c r="K56" s="46">
        <f t="shared" si="95"/>
        <v>0</v>
      </c>
      <c r="L56" s="46">
        <f t="shared" si="96"/>
        <v>0</v>
      </c>
      <c r="M56" s="46" t="str">
        <f t="shared" si="97"/>
        <v/>
      </c>
      <c r="N56" s="46">
        <f t="shared" si="98"/>
        <v>0</v>
      </c>
      <c r="O56" s="46" t="str">
        <f t="shared" si="99"/>
        <v/>
      </c>
      <c r="P56" s="46" t="str">
        <f t="shared" si="100"/>
        <v/>
      </c>
      <c r="Q56" s="46" t="str">
        <f t="shared" si="101"/>
        <v/>
      </c>
      <c r="S56" s="46">
        <f>'GPA Calculator'!N59</f>
        <v>0</v>
      </c>
      <c r="T56" s="46">
        <f>IF('GPA Calculator'!O59="DP",0,IF('GPA Calculator'!O59="WP",0,IF('GPA Calculator'!O59="P",0,IF('GPA Calculator'!O59="FA",0,IF('GPA Calculator'!O59="CR",0,IF('GPA Calculator'!O59="NC",0,IF('GPA Calculator'!O59="",0,S56)))))))</f>
        <v>0</v>
      </c>
      <c r="U56" s="46">
        <f>IF('GPA Calculator'!O59="W",0,IF('GPA Calculator'!O59="P",0,IF('GPA Calculator'!O59="FA",0,IF('GPA Calculator'!O59="CR",0,IF('GPA Calculator'!O59="NC",0,IF('GPA Calculator'!O59="",0,'GPA Calculator'!O59))))))</f>
        <v>0</v>
      </c>
      <c r="V56" s="46">
        <f t="shared" si="102"/>
        <v>0</v>
      </c>
      <c r="W56" s="46" t="str">
        <f t="shared" si="103"/>
        <v/>
      </c>
      <c r="X56" s="46">
        <f>'GPA Calculator'!Q59</f>
        <v>0</v>
      </c>
      <c r="Y56" s="46">
        <f t="shared" si="104"/>
        <v>0</v>
      </c>
      <c r="Z56" s="46">
        <f>'GPA Calculator'!R59</f>
        <v>0</v>
      </c>
      <c r="AA56" s="46">
        <f t="shared" si="105"/>
        <v>0</v>
      </c>
      <c r="AB56" s="46">
        <f>'GPA Calculator'!S59</f>
        <v>0</v>
      </c>
      <c r="AC56" s="46">
        <f t="shared" si="106"/>
        <v>0</v>
      </c>
      <c r="AD56" s="46">
        <f t="shared" si="107"/>
        <v>0</v>
      </c>
      <c r="AE56" s="46" t="str">
        <f t="shared" si="108"/>
        <v/>
      </c>
      <c r="AF56" s="46">
        <f t="shared" si="109"/>
        <v>0</v>
      </c>
      <c r="AG56" s="46" t="str">
        <f t="shared" si="110"/>
        <v/>
      </c>
      <c r="AH56" s="46" t="str">
        <f t="shared" si="111"/>
        <v/>
      </c>
      <c r="AI56" s="46" t="str">
        <f t="shared" si="112"/>
        <v/>
      </c>
    </row>
    <row r="57" spans="1:35" x14ac:dyDescent="0.25">
      <c r="A57" s="46">
        <f>'GPA Calculator'!D60</f>
        <v>0</v>
      </c>
      <c r="B57" s="46">
        <f>IF('GPA Calculator'!E60="DP",0,IF('GPA Calculator'!E60="WP",0,IF('GPA Calculator'!E60="P",0,IF('GPA Calculator'!E60="FA",0,IF('GPA Calculator'!E60="CR",0,IF('GPA Calculator'!E60="NC",0,IF('GPA Calculator'!E60="",0,A57)))))))</f>
        <v>0</v>
      </c>
      <c r="C57" s="46">
        <f>IF('GPA Calculator'!E60="W",0,IF('GPA Calculator'!E60="P",0,IF('GPA Calculator'!E60="FA",0,IF('GPA Calculator'!E60="CR",0,IF('GPA Calculator'!E60="NC",0,IF('GPA Calculator'!E60="",0,'GPA Calculator'!E60))))))</f>
        <v>0</v>
      </c>
      <c r="D57" s="46">
        <f t="shared" si="92"/>
        <v>0</v>
      </c>
      <c r="E57" s="46" t="str">
        <f t="shared" si="14"/>
        <v/>
      </c>
      <c r="F57" s="46">
        <f>'GPA Calculator'!G60</f>
        <v>0</v>
      </c>
      <c r="G57" s="46">
        <f t="shared" si="93"/>
        <v>0</v>
      </c>
      <c r="H57" s="46">
        <f>'GPA Calculator'!H60</f>
        <v>0</v>
      </c>
      <c r="I57" s="46">
        <f t="shared" si="94"/>
        <v>0</v>
      </c>
      <c r="J57" s="46">
        <f>'GPA Calculator'!I60</f>
        <v>0</v>
      </c>
      <c r="K57" s="46">
        <f t="shared" si="95"/>
        <v>0</v>
      </c>
      <c r="L57" s="46">
        <f t="shared" si="96"/>
        <v>0</v>
      </c>
      <c r="M57" s="46" t="str">
        <f t="shared" si="97"/>
        <v/>
      </c>
      <c r="N57" s="46">
        <f t="shared" si="98"/>
        <v>0</v>
      </c>
      <c r="O57" s="46" t="str">
        <f t="shared" si="99"/>
        <v/>
      </c>
      <c r="P57" s="46" t="str">
        <f t="shared" si="100"/>
        <v/>
      </c>
      <c r="Q57" s="46" t="str">
        <f t="shared" si="101"/>
        <v/>
      </c>
      <c r="S57" s="46">
        <f>'GPA Calculator'!N60</f>
        <v>0</v>
      </c>
      <c r="T57" s="46">
        <f>IF('GPA Calculator'!O60="DP",0,IF('GPA Calculator'!O60="WP",0,IF('GPA Calculator'!O60="P",0,IF('GPA Calculator'!O60="FA",0,IF('GPA Calculator'!O60="CR",0,IF('GPA Calculator'!O60="NC",0,IF('GPA Calculator'!O60="",0,S57)))))))</f>
        <v>0</v>
      </c>
      <c r="U57" s="46">
        <f>IF('GPA Calculator'!O60="W",0,IF('GPA Calculator'!O60="P",0,IF('GPA Calculator'!O60="FA",0,IF('GPA Calculator'!O60="CR",0,IF('GPA Calculator'!O60="NC",0,IF('GPA Calculator'!O60="",0,'GPA Calculator'!O60))))))</f>
        <v>0</v>
      </c>
      <c r="V57" s="46">
        <f t="shared" si="102"/>
        <v>0</v>
      </c>
      <c r="W57" s="46" t="str">
        <f t="shared" si="103"/>
        <v/>
      </c>
      <c r="X57" s="46">
        <f>'GPA Calculator'!Q60</f>
        <v>0</v>
      </c>
      <c r="Y57" s="46">
        <f t="shared" si="104"/>
        <v>0</v>
      </c>
      <c r="Z57" s="46">
        <f>'GPA Calculator'!R60</f>
        <v>0</v>
      </c>
      <c r="AA57" s="46">
        <f t="shared" si="105"/>
        <v>0</v>
      </c>
      <c r="AB57" s="46">
        <f>'GPA Calculator'!S60</f>
        <v>0</v>
      </c>
      <c r="AC57" s="46">
        <f t="shared" si="106"/>
        <v>0</v>
      </c>
      <c r="AD57" s="46">
        <f t="shared" si="107"/>
        <v>0</v>
      </c>
      <c r="AE57" s="46" t="str">
        <f t="shared" si="108"/>
        <v/>
      </c>
      <c r="AF57" s="46">
        <f t="shared" si="109"/>
        <v>0</v>
      </c>
      <c r="AG57" s="46" t="str">
        <f t="shared" si="110"/>
        <v/>
      </c>
      <c r="AH57" s="46" t="str">
        <f t="shared" si="111"/>
        <v/>
      </c>
      <c r="AI57" s="46" t="str">
        <f t="shared" si="112"/>
        <v/>
      </c>
    </row>
    <row r="58" spans="1:35" x14ac:dyDescent="0.25">
      <c r="A58" s="46">
        <f>'GPA Calculator'!D61</f>
        <v>0</v>
      </c>
      <c r="B58" s="46">
        <f>IF('GPA Calculator'!E61="DP",0,IF('GPA Calculator'!E61="WP",0,IF('GPA Calculator'!E61="P",0,IF('GPA Calculator'!E61="FA",0,IF('GPA Calculator'!E61="CR",0,IF('GPA Calculator'!E61="NC",0,IF('GPA Calculator'!E61="",0,A58)))))))</f>
        <v>0</v>
      </c>
      <c r="C58" s="46">
        <f>IF('GPA Calculator'!E61="W",0,IF('GPA Calculator'!E61="P",0,IF('GPA Calculator'!E61="FA",0,IF('GPA Calculator'!E61="CR",0,IF('GPA Calculator'!E61="NC",0,IF('GPA Calculator'!E61="",0,'GPA Calculator'!E61))))))</f>
        <v>0</v>
      </c>
      <c r="D58" s="46">
        <f t="shared" si="92"/>
        <v>0</v>
      </c>
      <c r="E58" s="46" t="str">
        <f t="shared" si="14"/>
        <v/>
      </c>
      <c r="F58" s="46">
        <f>'GPA Calculator'!G61</f>
        <v>0</v>
      </c>
      <c r="G58" s="46">
        <f t="shared" si="93"/>
        <v>0</v>
      </c>
      <c r="H58" s="46">
        <f>'GPA Calculator'!H61</f>
        <v>0</v>
      </c>
      <c r="I58" s="46">
        <f t="shared" si="94"/>
        <v>0</v>
      </c>
      <c r="J58" s="46">
        <f>'GPA Calculator'!I61</f>
        <v>0</v>
      </c>
      <c r="K58" s="46">
        <f t="shared" si="95"/>
        <v>0</v>
      </c>
      <c r="L58" s="46">
        <f t="shared" si="96"/>
        <v>0</v>
      </c>
      <c r="M58" s="46" t="str">
        <f t="shared" si="97"/>
        <v/>
      </c>
      <c r="N58" s="46">
        <f t="shared" si="98"/>
        <v>0</v>
      </c>
      <c r="O58" s="46" t="str">
        <f t="shared" si="99"/>
        <v/>
      </c>
      <c r="P58" s="46" t="str">
        <f t="shared" si="100"/>
        <v/>
      </c>
      <c r="Q58" s="46" t="str">
        <f t="shared" si="101"/>
        <v/>
      </c>
      <c r="S58" s="46">
        <f>'GPA Calculator'!N61</f>
        <v>0</v>
      </c>
      <c r="T58" s="46">
        <f>IF('GPA Calculator'!O61="DP",0,IF('GPA Calculator'!O61="WP",0,IF('GPA Calculator'!O61="P",0,IF('GPA Calculator'!O61="FA",0,IF('GPA Calculator'!O61="CR",0,IF('GPA Calculator'!O61="NC",0,IF('GPA Calculator'!O61="",0,S58)))))))</f>
        <v>0</v>
      </c>
      <c r="U58" s="46">
        <f>IF('GPA Calculator'!O61="W",0,IF('GPA Calculator'!O61="P",0,IF('GPA Calculator'!O61="FA",0,IF('GPA Calculator'!O61="CR",0,IF('GPA Calculator'!O61="NC",0,IF('GPA Calculator'!O61="",0,'GPA Calculator'!O61))))))</f>
        <v>0</v>
      </c>
      <c r="V58" s="46">
        <f t="shared" si="102"/>
        <v>0</v>
      </c>
      <c r="W58" s="46" t="str">
        <f t="shared" si="103"/>
        <v/>
      </c>
      <c r="X58" s="46">
        <f>'GPA Calculator'!Q61</f>
        <v>0</v>
      </c>
      <c r="Y58" s="46">
        <f t="shared" si="104"/>
        <v>0</v>
      </c>
      <c r="Z58" s="46">
        <f>'GPA Calculator'!R61</f>
        <v>0</v>
      </c>
      <c r="AA58" s="46">
        <f t="shared" si="105"/>
        <v>0</v>
      </c>
      <c r="AB58" s="46">
        <f>'GPA Calculator'!S61</f>
        <v>0</v>
      </c>
      <c r="AC58" s="46">
        <f t="shared" si="106"/>
        <v>0</v>
      </c>
      <c r="AD58" s="46">
        <f t="shared" si="107"/>
        <v>0</v>
      </c>
      <c r="AE58" s="46" t="str">
        <f t="shared" si="108"/>
        <v/>
      </c>
      <c r="AF58" s="46">
        <f t="shared" si="109"/>
        <v>0</v>
      </c>
      <c r="AG58" s="46" t="str">
        <f t="shared" si="110"/>
        <v/>
      </c>
      <c r="AH58" s="46" t="str">
        <f t="shared" si="111"/>
        <v/>
      </c>
      <c r="AI58" s="46" t="str">
        <f t="shared" si="112"/>
        <v/>
      </c>
    </row>
    <row r="59" spans="1:35" x14ac:dyDescent="0.25">
      <c r="A59" s="46">
        <f>'GPA Calculator'!D62</f>
        <v>0</v>
      </c>
      <c r="B59" s="46">
        <f>IF('GPA Calculator'!E62="DP",0,IF('GPA Calculator'!E62="WP",0,IF('GPA Calculator'!E62="P",0,IF('GPA Calculator'!E62="FA",0,IF('GPA Calculator'!E62="CR",0,IF('GPA Calculator'!E62="NC",0,IF('GPA Calculator'!E62="",0,A59)))))))</f>
        <v>0</v>
      </c>
      <c r="C59" s="46">
        <f>IF('GPA Calculator'!E62="W",0,IF('GPA Calculator'!E62="P",0,IF('GPA Calculator'!E62="FA",0,IF('GPA Calculator'!E62="CR",0,IF('GPA Calculator'!E62="NC",0,IF('GPA Calculator'!E62="",0,'GPA Calculator'!E62))))))</f>
        <v>0</v>
      </c>
      <c r="D59" s="46">
        <f t="shared" si="92"/>
        <v>0</v>
      </c>
      <c r="E59" s="46" t="str">
        <f t="shared" si="14"/>
        <v/>
      </c>
      <c r="F59" s="46">
        <f>'GPA Calculator'!G62</f>
        <v>0</v>
      </c>
      <c r="G59" s="46">
        <f t="shared" si="93"/>
        <v>0</v>
      </c>
      <c r="H59" s="46">
        <f>'GPA Calculator'!H62</f>
        <v>0</v>
      </c>
      <c r="I59" s="46">
        <f t="shared" si="94"/>
        <v>0</v>
      </c>
      <c r="J59" s="46">
        <f>'GPA Calculator'!I62</f>
        <v>0</v>
      </c>
      <c r="K59" s="46">
        <f t="shared" si="95"/>
        <v>0</v>
      </c>
      <c r="L59" s="46">
        <f t="shared" si="96"/>
        <v>0</v>
      </c>
      <c r="M59" s="46" t="str">
        <f t="shared" si="97"/>
        <v/>
      </c>
      <c r="N59" s="46">
        <f t="shared" si="98"/>
        <v>0</v>
      </c>
      <c r="O59" s="46" t="str">
        <f t="shared" si="99"/>
        <v/>
      </c>
      <c r="P59" s="46" t="str">
        <f t="shared" si="100"/>
        <v/>
      </c>
      <c r="Q59" s="46" t="str">
        <f t="shared" si="101"/>
        <v/>
      </c>
      <c r="S59" s="46">
        <f>'GPA Calculator'!N62</f>
        <v>0</v>
      </c>
      <c r="T59" s="46">
        <f>IF('GPA Calculator'!O62="DP",0,IF('GPA Calculator'!O62="WP",0,IF('GPA Calculator'!O62="P",0,IF('GPA Calculator'!O62="FA",0,IF('GPA Calculator'!O62="CR",0,IF('GPA Calculator'!O62="NC",0,IF('GPA Calculator'!O62="",0,S59)))))))</f>
        <v>0</v>
      </c>
      <c r="U59" s="46">
        <f>IF('GPA Calculator'!O62="W",0,IF('GPA Calculator'!O62="P",0,IF('GPA Calculator'!O62="FA",0,IF('GPA Calculator'!O62="CR",0,IF('GPA Calculator'!O62="NC",0,IF('GPA Calculator'!O62="",0,'GPA Calculator'!O62))))))</f>
        <v>0</v>
      </c>
      <c r="V59" s="46">
        <f t="shared" si="102"/>
        <v>0</v>
      </c>
      <c r="W59" s="46" t="str">
        <f t="shared" si="103"/>
        <v/>
      </c>
      <c r="X59" s="46">
        <f>'GPA Calculator'!Q62</f>
        <v>0</v>
      </c>
      <c r="Y59" s="46">
        <f t="shared" si="104"/>
        <v>0</v>
      </c>
      <c r="Z59" s="46">
        <f>'GPA Calculator'!R62</f>
        <v>0</v>
      </c>
      <c r="AA59" s="46">
        <f t="shared" si="105"/>
        <v>0</v>
      </c>
      <c r="AB59" s="46">
        <f>'GPA Calculator'!S62</f>
        <v>0</v>
      </c>
      <c r="AC59" s="46">
        <f t="shared" si="106"/>
        <v>0</v>
      </c>
      <c r="AD59" s="46">
        <f t="shared" si="107"/>
        <v>0</v>
      </c>
      <c r="AE59" s="46" t="str">
        <f t="shared" si="108"/>
        <v/>
      </c>
      <c r="AF59" s="46">
        <f t="shared" si="109"/>
        <v>0</v>
      </c>
      <c r="AG59" s="46" t="str">
        <f t="shared" si="110"/>
        <v/>
      </c>
      <c r="AH59" s="46" t="str">
        <f t="shared" si="111"/>
        <v/>
      </c>
      <c r="AI59" s="46" t="str">
        <f t="shared" si="112"/>
        <v/>
      </c>
    </row>
    <row r="60" spans="1:35" x14ac:dyDescent="0.25">
      <c r="A60" s="46">
        <f>'GPA Calculator'!D63</f>
        <v>0</v>
      </c>
      <c r="B60" s="46">
        <f>IF('GPA Calculator'!E63="DP",0,IF('GPA Calculator'!E63="WP",0,IF('GPA Calculator'!E63="P",0,IF('GPA Calculator'!E63="FA",0,IF('GPA Calculator'!E63="CR",0,IF('GPA Calculator'!E63="NC",0,IF('GPA Calculator'!E63="",0,A60)))))))</f>
        <v>0</v>
      </c>
      <c r="C60" s="46">
        <f>IF('GPA Calculator'!E63="W",0,IF('GPA Calculator'!E63="P",0,IF('GPA Calculator'!E63="FA",0,IF('GPA Calculator'!E63="CR",0,IF('GPA Calculator'!E63="NC",0,IF('GPA Calculator'!E63="",0,'GPA Calculator'!E63))))))</f>
        <v>0</v>
      </c>
      <c r="D60" s="46">
        <f t="shared" si="92"/>
        <v>0</v>
      </c>
      <c r="E60" s="46" t="str">
        <f t="shared" si="14"/>
        <v/>
      </c>
      <c r="F60" s="46">
        <f>'GPA Calculator'!G63</f>
        <v>0</v>
      </c>
      <c r="G60" s="46">
        <f t="shared" si="93"/>
        <v>0</v>
      </c>
      <c r="H60" s="46">
        <f>'GPA Calculator'!H63</f>
        <v>0</v>
      </c>
      <c r="I60" s="46">
        <f t="shared" si="94"/>
        <v>0</v>
      </c>
      <c r="J60" s="46">
        <f>'GPA Calculator'!I63</f>
        <v>0</v>
      </c>
      <c r="K60" s="46">
        <f t="shared" si="95"/>
        <v>0</v>
      </c>
      <c r="L60" s="46">
        <f t="shared" si="96"/>
        <v>0</v>
      </c>
      <c r="M60" s="46" t="str">
        <f t="shared" si="97"/>
        <v/>
      </c>
      <c r="N60" s="46">
        <f t="shared" si="98"/>
        <v>0</v>
      </c>
      <c r="O60" s="46" t="str">
        <f t="shared" si="99"/>
        <v/>
      </c>
      <c r="P60" s="46" t="str">
        <f t="shared" si="100"/>
        <v/>
      </c>
      <c r="Q60" s="46" t="str">
        <f t="shared" si="101"/>
        <v/>
      </c>
      <c r="S60" s="46">
        <f>'GPA Calculator'!N63</f>
        <v>0</v>
      </c>
      <c r="T60" s="46">
        <f>IF('GPA Calculator'!O63="DP",0,IF('GPA Calculator'!O63="WP",0,IF('GPA Calculator'!O63="P",0,IF('GPA Calculator'!O63="FA",0,IF('GPA Calculator'!O63="CR",0,IF('GPA Calculator'!O63="NC",0,IF('GPA Calculator'!O63="",0,S60)))))))</f>
        <v>0</v>
      </c>
      <c r="U60" s="46">
        <f>IF('GPA Calculator'!O63="W",0,IF('GPA Calculator'!O63="P",0,IF('GPA Calculator'!O63="FA",0,IF('GPA Calculator'!O63="CR",0,IF('GPA Calculator'!O63="NC",0,IF('GPA Calculator'!O63="",0,'GPA Calculator'!O63))))))</f>
        <v>0</v>
      </c>
      <c r="V60" s="46">
        <f t="shared" si="102"/>
        <v>0</v>
      </c>
      <c r="W60" s="46" t="str">
        <f t="shared" si="103"/>
        <v/>
      </c>
      <c r="X60" s="46">
        <f>'GPA Calculator'!Q63</f>
        <v>0</v>
      </c>
      <c r="Y60" s="46">
        <f t="shared" si="104"/>
        <v>0</v>
      </c>
      <c r="Z60" s="46">
        <f>'GPA Calculator'!R63</f>
        <v>0</v>
      </c>
      <c r="AA60" s="46">
        <f t="shared" si="105"/>
        <v>0</v>
      </c>
      <c r="AB60" s="46">
        <f>'GPA Calculator'!S63</f>
        <v>0</v>
      </c>
      <c r="AC60" s="46">
        <f t="shared" si="106"/>
        <v>0</v>
      </c>
      <c r="AD60" s="46">
        <f t="shared" si="107"/>
        <v>0</v>
      </c>
      <c r="AE60" s="46" t="str">
        <f t="shared" si="108"/>
        <v/>
      </c>
      <c r="AF60" s="46">
        <f t="shared" si="109"/>
        <v>0</v>
      </c>
      <c r="AG60" s="46" t="str">
        <f t="shared" si="110"/>
        <v/>
      </c>
      <c r="AH60" s="46" t="str">
        <f t="shared" si="111"/>
        <v/>
      </c>
      <c r="AI60" s="46" t="str">
        <f t="shared" si="112"/>
        <v/>
      </c>
    </row>
    <row r="61" spans="1:35" x14ac:dyDescent="0.25">
      <c r="A61" s="46">
        <f>'GPA Calculator'!D64</f>
        <v>0</v>
      </c>
      <c r="B61" s="46">
        <f>IF('GPA Calculator'!E64="DP",0,IF('GPA Calculator'!E64="WP",0,IF('GPA Calculator'!E64="P",0,IF('GPA Calculator'!E64="FA",0,IF('GPA Calculator'!E64="CR",0,IF('GPA Calculator'!E64="NC",0,IF('GPA Calculator'!E64="",0,A61)))))))</f>
        <v>0</v>
      </c>
      <c r="C61" s="46">
        <f>IF('GPA Calculator'!E64="W",0,IF('GPA Calculator'!E64="P",0,IF('GPA Calculator'!E64="FA",0,IF('GPA Calculator'!E64="CR",0,IF('GPA Calculator'!E64="NC",0,IF('GPA Calculator'!E64="",0,'GPA Calculator'!E64))))))</f>
        <v>0</v>
      </c>
      <c r="D61" s="46">
        <f t="shared" si="92"/>
        <v>0</v>
      </c>
      <c r="E61" s="46" t="str">
        <f t="shared" si="14"/>
        <v/>
      </c>
      <c r="F61" s="46">
        <f>'GPA Calculator'!G64</f>
        <v>0</v>
      </c>
      <c r="G61" s="46">
        <f t="shared" si="93"/>
        <v>0</v>
      </c>
      <c r="H61" s="46">
        <f>'GPA Calculator'!H64</f>
        <v>0</v>
      </c>
      <c r="I61" s="46">
        <f t="shared" si="94"/>
        <v>0</v>
      </c>
      <c r="J61" s="46">
        <f>'GPA Calculator'!I64</f>
        <v>0</v>
      </c>
      <c r="K61" s="46">
        <f t="shared" si="95"/>
        <v>0</v>
      </c>
      <c r="L61" s="46">
        <f t="shared" si="96"/>
        <v>0</v>
      </c>
      <c r="M61" s="46" t="str">
        <f t="shared" si="97"/>
        <v/>
      </c>
      <c r="N61" s="46">
        <f t="shared" si="98"/>
        <v>0</v>
      </c>
      <c r="O61" s="46" t="str">
        <f t="shared" si="99"/>
        <v/>
      </c>
      <c r="P61" s="46" t="str">
        <f t="shared" si="100"/>
        <v/>
      </c>
      <c r="Q61" s="46" t="str">
        <f t="shared" si="101"/>
        <v/>
      </c>
      <c r="S61" s="46">
        <f>'GPA Calculator'!N64</f>
        <v>0</v>
      </c>
      <c r="T61" s="46">
        <f>IF('GPA Calculator'!O64="DP",0,IF('GPA Calculator'!O64="WP",0,IF('GPA Calculator'!O64="P",0,IF('GPA Calculator'!O64="FA",0,IF('GPA Calculator'!O64="CR",0,IF('GPA Calculator'!O64="NC",0,IF('GPA Calculator'!O64="",0,S61)))))))</f>
        <v>0</v>
      </c>
      <c r="U61" s="46">
        <f>IF('GPA Calculator'!O64="W",0,IF('GPA Calculator'!O64="P",0,IF('GPA Calculator'!O64="FA",0,IF('GPA Calculator'!O64="CR",0,IF('GPA Calculator'!O64="NC",0,IF('GPA Calculator'!O64="",0,'GPA Calculator'!O64))))))</f>
        <v>0</v>
      </c>
      <c r="V61" s="46">
        <f t="shared" si="102"/>
        <v>0</v>
      </c>
      <c r="W61" s="46" t="str">
        <f t="shared" si="103"/>
        <v/>
      </c>
      <c r="X61" s="46">
        <f>'GPA Calculator'!Q64</f>
        <v>0</v>
      </c>
      <c r="Y61" s="46">
        <f t="shared" si="104"/>
        <v>0</v>
      </c>
      <c r="Z61" s="46">
        <f>'GPA Calculator'!R64</f>
        <v>0</v>
      </c>
      <c r="AA61" s="46">
        <f t="shared" si="105"/>
        <v>0</v>
      </c>
      <c r="AB61" s="46">
        <f>'GPA Calculator'!S64</f>
        <v>0</v>
      </c>
      <c r="AC61" s="46">
        <f t="shared" si="106"/>
        <v>0</v>
      </c>
      <c r="AD61" s="46">
        <f t="shared" si="107"/>
        <v>0</v>
      </c>
      <c r="AE61" s="46" t="str">
        <f t="shared" si="108"/>
        <v/>
      </c>
      <c r="AF61" s="46">
        <f t="shared" si="109"/>
        <v>0</v>
      </c>
      <c r="AG61" s="46" t="str">
        <f t="shared" si="110"/>
        <v/>
      </c>
      <c r="AH61" s="46" t="str">
        <f t="shared" si="111"/>
        <v/>
      </c>
      <c r="AI61" s="46" t="str">
        <f t="shared" si="112"/>
        <v/>
      </c>
    </row>
    <row r="62" spans="1:35" x14ac:dyDescent="0.25">
      <c r="B62" s="46">
        <f t="shared" ref="B62:E62" si="113">SUM(B53:B61)</f>
        <v>0</v>
      </c>
      <c r="E62" s="46">
        <f t="shared" si="113"/>
        <v>0</v>
      </c>
      <c r="L62" s="46">
        <f>SUM(L53:L61)</f>
        <v>0</v>
      </c>
      <c r="M62" s="46">
        <f t="shared" ref="M62" si="114">SUM(M53:M61)</f>
        <v>0</v>
      </c>
      <c r="N62" s="46">
        <f t="shared" ref="N62" si="115">SUM(N53:N61)</f>
        <v>0</v>
      </c>
      <c r="O62" s="46">
        <f t="shared" ref="O62" si="116">SUM(O53:O61)</f>
        <v>0</v>
      </c>
      <c r="P62" s="46">
        <f t="shared" ref="P62" si="117">SUM(P53:P61)</f>
        <v>0</v>
      </c>
      <c r="Q62" s="46">
        <f t="shared" ref="Q62" si="118">SUM(Q53:Q61)</f>
        <v>0</v>
      </c>
      <c r="T62" s="46">
        <f t="shared" ref="T62:W62" si="119">SUM(T53:T61)</f>
        <v>0</v>
      </c>
      <c r="V62" s="46">
        <f t="shared" si="119"/>
        <v>0</v>
      </c>
      <c r="W62" s="46">
        <f t="shared" si="119"/>
        <v>0</v>
      </c>
      <c r="AD62" s="46">
        <f t="shared" ref="AD62" si="120">SUM(AD53:AD61)</f>
        <v>0</v>
      </c>
      <c r="AE62" s="46">
        <f t="shared" ref="AE62" si="121">SUM(AE53:AE61)</f>
        <v>0</v>
      </c>
      <c r="AF62" s="46">
        <f t="shared" ref="AF62" si="122">SUM(AF53:AF61)</f>
        <v>0</v>
      </c>
      <c r="AG62" s="46">
        <f t="shared" ref="AG62" si="123">SUM(AG53:AG61)</f>
        <v>0</v>
      </c>
      <c r="AH62" s="46">
        <f t="shared" ref="AH62" si="124">SUM(AH53:AH61)</f>
        <v>0</v>
      </c>
      <c r="AI62" s="46">
        <f>SUM(AI53:AI61)</f>
        <v>0</v>
      </c>
    </row>
    <row r="63" spans="1:35" x14ac:dyDescent="0.25">
      <c r="L63" s="46" t="s">
        <v>10</v>
      </c>
      <c r="M63" s="46" t="str">
        <f>IF(L62=0,"",M62/L62)</f>
        <v/>
      </c>
      <c r="N63" s="46" t="s">
        <v>20</v>
      </c>
      <c r="O63" s="46" t="str">
        <f>IF(N62=0,"",O62/N62)</f>
        <v/>
      </c>
      <c r="P63" s="46" t="s">
        <v>23</v>
      </c>
      <c r="Q63" s="46" t="str">
        <f>IF(P62=0,"",Q62/P62)</f>
        <v/>
      </c>
      <c r="AD63" s="46" t="s">
        <v>10</v>
      </c>
      <c r="AE63" s="46" t="str">
        <f>IF(AD62=0,"",AE62/AD62)</f>
        <v/>
      </c>
      <c r="AF63" s="46" t="s">
        <v>20</v>
      </c>
      <c r="AG63" s="46" t="str">
        <f>IF(AF62=0,"",AG62/AF62)</f>
        <v/>
      </c>
      <c r="AH63" s="46" t="s">
        <v>23</v>
      </c>
      <c r="AI63" s="46" t="str">
        <f>IF(AH62=0,"",AI62/AH62)</f>
        <v/>
      </c>
    </row>
    <row r="68" spans="1:35" x14ac:dyDescent="0.25">
      <c r="A68" s="46" t="s">
        <v>4</v>
      </c>
      <c r="B68" s="46" t="s">
        <v>61</v>
      </c>
      <c r="C68" s="46" t="s">
        <v>12</v>
      </c>
      <c r="D68" s="46" t="s">
        <v>58</v>
      </c>
      <c r="E68" s="46" t="s">
        <v>6</v>
      </c>
      <c r="F68" s="46" t="s">
        <v>7</v>
      </c>
      <c r="H68" s="46" t="s">
        <v>26</v>
      </c>
      <c r="J68" s="46" t="s">
        <v>27</v>
      </c>
      <c r="L68" s="46" t="s">
        <v>60</v>
      </c>
      <c r="M68" s="46" t="s">
        <v>59</v>
      </c>
      <c r="N68" s="46" t="s">
        <v>24</v>
      </c>
      <c r="O68" s="46" t="s">
        <v>22</v>
      </c>
      <c r="P68" s="46" t="s">
        <v>25</v>
      </c>
      <c r="Q68" s="46" t="s">
        <v>21</v>
      </c>
      <c r="S68" s="46" t="s">
        <v>4</v>
      </c>
      <c r="T68" s="46" t="s">
        <v>61</v>
      </c>
      <c r="U68" s="46" t="s">
        <v>12</v>
      </c>
      <c r="V68" s="46" t="s">
        <v>58</v>
      </c>
      <c r="W68" s="46" t="s">
        <v>6</v>
      </c>
      <c r="X68" s="46" t="s">
        <v>7</v>
      </c>
      <c r="Z68" s="46" t="s">
        <v>26</v>
      </c>
      <c r="AB68" s="46" t="s">
        <v>27</v>
      </c>
      <c r="AD68" s="46" t="s">
        <v>60</v>
      </c>
      <c r="AE68" s="46" t="s">
        <v>59</v>
      </c>
      <c r="AF68" s="46" t="s">
        <v>24</v>
      </c>
      <c r="AG68" s="46" t="s">
        <v>22</v>
      </c>
      <c r="AH68" s="46" t="s">
        <v>25</v>
      </c>
      <c r="AI68" s="46" t="s">
        <v>21</v>
      </c>
    </row>
    <row r="69" spans="1:35" x14ac:dyDescent="0.25">
      <c r="A69" s="46">
        <f>'GPA Calculator'!D73</f>
        <v>0</v>
      </c>
      <c r="B69" s="46">
        <f>IF('GPA Calculator'!E73="W",0,IF('GPA Calculator'!E73="P",0,IF('GPA Calculator'!E73="FA",0,IF('GPA Calculator'!E73="CR",0,IF('GPA Calculator'!E73="NC",0,IF('GPA Calculator'!E73="",0,A69))))))</f>
        <v>0</v>
      </c>
      <c r="C69" s="46">
        <f>IF('GPA Calculator'!E73="W",0,IF('GPA Calculator'!E73="P",0,IF('GPA Calculator'!E73="FA",0,IF('GPA Calculator'!E73="CR",0,IF('GPA Calculator'!E73="NC",0,IF('GPA Calculator'!E73="",0,'GPA Calculator'!E73))))))</f>
        <v>0</v>
      </c>
      <c r="D69" s="46">
        <f t="shared" ref="D69:D77" si="125">IF(C69=0,0,VLOOKUP(C69,$AL$2:$AM$14,2,FALSE))</f>
        <v>0</v>
      </c>
      <c r="E69" s="46" t="str">
        <f t="shared" si="14"/>
        <v/>
      </c>
      <c r="F69" s="46">
        <f>'GPA Calculator'!G73</f>
        <v>0</v>
      </c>
      <c r="G69" s="46">
        <f t="shared" ref="G69:G77" si="126">IF(F69=0,0,1)</f>
        <v>0</v>
      </c>
      <c r="H69" s="46">
        <f>'GPA Calculator'!H73</f>
        <v>0</v>
      </c>
      <c r="I69" s="46">
        <f t="shared" ref="I69:I77" si="127">IF(H69=0,0,1)</f>
        <v>0</v>
      </c>
      <c r="J69" s="46">
        <f>'GPA Calculator'!I73</f>
        <v>0</v>
      </c>
      <c r="K69" s="46">
        <f t="shared" ref="K69:K77" si="128">IF(J69=0,0,1)</f>
        <v>0</v>
      </c>
      <c r="L69" s="46">
        <f t="shared" ref="L69:L77" si="129">B69</f>
        <v>0</v>
      </c>
      <c r="M69" s="46" t="str">
        <f t="shared" ref="M69:M77" si="130">E69</f>
        <v/>
      </c>
      <c r="N69" s="46">
        <f t="shared" ref="N69:N77" si="131">IF(G69=1,"",IF(K69=1,"",B69))</f>
        <v>0</v>
      </c>
      <c r="O69" s="46" t="str">
        <f t="shared" ref="O69:O77" si="132">IF(G69=1,"",IF(K69=1,"",E69))</f>
        <v/>
      </c>
      <c r="P69" s="46" t="str">
        <f t="shared" ref="P69:P77" si="133">IF(G69=1,"",IF(K69=1,"",IF(I69=0,"",B69)))</f>
        <v/>
      </c>
      <c r="Q69" s="46" t="str">
        <f t="shared" ref="Q69:Q77" si="134">IF(G69=1,"",IF(K69=1,"",IF(I69=0,"",E69)))</f>
        <v/>
      </c>
      <c r="S69" s="46">
        <f>'GPA Calculator'!N73</f>
        <v>0</v>
      </c>
      <c r="T69" s="46">
        <f>IF('GPA Calculator'!O73="DP",0,IF('GPA Calculator'!O73="WP",0,IF('GPA Calculator'!O73="P",0,IF('GPA Calculator'!O73="FA",0,IF('GPA Calculator'!O73="CR",0,IF('GPA Calculator'!O73="NC",0,IF('GPA Calculator'!O73="",0,S69)))))))</f>
        <v>0</v>
      </c>
      <c r="U69" s="46">
        <f>IF('GPA Calculator'!O73="W",0,IF('GPA Calculator'!O73="P",0,IF('GPA Calculator'!O73="FA",0,IF('GPA Calculator'!O73="CR",0,IF('GPA Calculator'!O73="NC",0,IF('GPA Calculator'!O73="",0,'GPA Calculator'!O73))))))</f>
        <v>0</v>
      </c>
      <c r="V69" s="46">
        <f t="shared" ref="V69:V77" si="135">IF(U69=0,0,VLOOKUP(U69,$AL$2:$AM$14,2,FALSE))</f>
        <v>0</v>
      </c>
      <c r="W69" s="46" t="str">
        <f t="shared" ref="W69:W77" si="136">IF(V69=0,"",T69*V69)</f>
        <v/>
      </c>
      <c r="X69" s="46">
        <f>'GPA Calculator'!Q73</f>
        <v>0</v>
      </c>
      <c r="Y69" s="46">
        <f t="shared" ref="Y69:Y77" si="137">IF(X69=0,0,1)</f>
        <v>0</v>
      </c>
      <c r="Z69" s="46">
        <f>'GPA Calculator'!R73</f>
        <v>0</v>
      </c>
      <c r="AA69" s="46">
        <f t="shared" ref="AA69:AA77" si="138">IF(Z69=0,0,1)</f>
        <v>0</v>
      </c>
      <c r="AB69" s="46">
        <f>'GPA Calculator'!S73</f>
        <v>0</v>
      </c>
      <c r="AC69" s="46">
        <f t="shared" ref="AC69:AC77" si="139">IF(AB69=0,0,1)</f>
        <v>0</v>
      </c>
      <c r="AD69" s="46">
        <f t="shared" ref="AD69:AD77" si="140">T69</f>
        <v>0</v>
      </c>
      <c r="AE69" s="46" t="str">
        <f t="shared" ref="AE69:AE77" si="141">W69</f>
        <v/>
      </c>
      <c r="AF69" s="46">
        <f t="shared" ref="AF69:AF77" si="142">IF(Y69=1,"",IF(AC69=1,"",T69))</f>
        <v>0</v>
      </c>
      <c r="AG69" s="46" t="str">
        <f t="shared" ref="AG69:AG77" si="143">IF(Y69=1,"",IF(AC69=1,"",W69))</f>
        <v/>
      </c>
      <c r="AH69" s="46" t="str">
        <f t="shared" ref="AH69:AH77" si="144">IF(Y69=1,"",IF(AC69=1,"",IF(AA69=0,"",T69)))</f>
        <v/>
      </c>
      <c r="AI69" s="46" t="str">
        <f t="shared" ref="AI69:AI77" si="145">IF(Y69=1,"",IF(AC69=1,"",IF(AA69=0,"",W69)))</f>
        <v/>
      </c>
    </row>
    <row r="70" spans="1:35" x14ac:dyDescent="0.25">
      <c r="A70" s="46">
        <f>'GPA Calculator'!D74</f>
        <v>0</v>
      </c>
      <c r="B70" s="46">
        <f>IF('GPA Calculator'!E74="DP",0,IF('GPA Calculator'!E74="WP",0,IF('GPA Calculator'!E74="P",0,IF('GPA Calculator'!E74="FA",0,IF('GPA Calculator'!E74="CR",0,IF('GPA Calculator'!E74="NC",0,IF('GPA Calculator'!E74="",0,A70)))))))</f>
        <v>0</v>
      </c>
      <c r="C70" s="46">
        <f>IF('GPA Calculator'!E74="W",0,IF('GPA Calculator'!E74="P",0,IF('GPA Calculator'!E74="FA",0,IF('GPA Calculator'!E74="CR",0,IF('GPA Calculator'!E74="NC",0,IF('GPA Calculator'!E74="",0,'GPA Calculator'!E74))))))</f>
        <v>0</v>
      </c>
      <c r="D70" s="46">
        <f t="shared" si="125"/>
        <v>0</v>
      </c>
      <c r="E70" s="46" t="str">
        <f t="shared" ref="E70:E93" si="146">IF(D70=0,"",B70*D70)</f>
        <v/>
      </c>
      <c r="F70" s="46">
        <f>'GPA Calculator'!G74</f>
        <v>0</v>
      </c>
      <c r="G70" s="46">
        <f t="shared" si="126"/>
        <v>0</v>
      </c>
      <c r="H70" s="46">
        <f>'GPA Calculator'!H74</f>
        <v>0</v>
      </c>
      <c r="I70" s="46">
        <f t="shared" si="127"/>
        <v>0</v>
      </c>
      <c r="J70" s="46">
        <f>'GPA Calculator'!I74</f>
        <v>0</v>
      </c>
      <c r="K70" s="46">
        <f t="shared" si="128"/>
        <v>0</v>
      </c>
      <c r="L70" s="46">
        <f t="shared" si="129"/>
        <v>0</v>
      </c>
      <c r="M70" s="46" t="str">
        <f t="shared" si="130"/>
        <v/>
      </c>
      <c r="N70" s="46">
        <f t="shared" si="131"/>
        <v>0</v>
      </c>
      <c r="O70" s="46" t="str">
        <f t="shared" si="132"/>
        <v/>
      </c>
      <c r="P70" s="46" t="str">
        <f t="shared" si="133"/>
        <v/>
      </c>
      <c r="Q70" s="46" t="str">
        <f t="shared" si="134"/>
        <v/>
      </c>
      <c r="S70" s="46">
        <f>'GPA Calculator'!N74</f>
        <v>0</v>
      </c>
      <c r="T70" s="46">
        <f>IF('GPA Calculator'!O74="DP",0,IF('GPA Calculator'!O74="WP",0,IF('GPA Calculator'!O74="P",0,IF('GPA Calculator'!O74="FA",0,IF('GPA Calculator'!O74="CR",0,IF('GPA Calculator'!O74="NC",0,IF('GPA Calculator'!O74="",0,S70)))))))</f>
        <v>0</v>
      </c>
      <c r="U70" s="46">
        <f>IF('GPA Calculator'!O74="W",0,IF('GPA Calculator'!O74="P",0,IF('GPA Calculator'!O74="FA",0,IF('GPA Calculator'!O74="CR",0,IF('GPA Calculator'!O74="NC",0,IF('GPA Calculator'!O74="",0,'GPA Calculator'!O74))))))</f>
        <v>0</v>
      </c>
      <c r="V70" s="46">
        <f t="shared" si="135"/>
        <v>0</v>
      </c>
      <c r="W70" s="46" t="str">
        <f t="shared" si="136"/>
        <v/>
      </c>
      <c r="X70" s="46">
        <f>'GPA Calculator'!Q74</f>
        <v>0</v>
      </c>
      <c r="Y70" s="46">
        <f t="shared" si="137"/>
        <v>0</v>
      </c>
      <c r="Z70" s="46">
        <f>'GPA Calculator'!R74</f>
        <v>0</v>
      </c>
      <c r="AA70" s="46">
        <f t="shared" si="138"/>
        <v>0</v>
      </c>
      <c r="AB70" s="46">
        <f>'GPA Calculator'!S74</f>
        <v>0</v>
      </c>
      <c r="AC70" s="46">
        <f t="shared" si="139"/>
        <v>0</v>
      </c>
      <c r="AD70" s="46">
        <f t="shared" si="140"/>
        <v>0</v>
      </c>
      <c r="AE70" s="46" t="str">
        <f t="shared" si="141"/>
        <v/>
      </c>
      <c r="AF70" s="46">
        <f t="shared" si="142"/>
        <v>0</v>
      </c>
      <c r="AG70" s="46" t="str">
        <f t="shared" si="143"/>
        <v/>
      </c>
      <c r="AH70" s="46" t="str">
        <f t="shared" si="144"/>
        <v/>
      </c>
      <c r="AI70" s="46" t="str">
        <f t="shared" si="145"/>
        <v/>
      </c>
    </row>
    <row r="71" spans="1:35" x14ac:dyDescent="0.25">
      <c r="A71" s="46">
        <f>'GPA Calculator'!D75</f>
        <v>0</v>
      </c>
      <c r="B71" s="46">
        <f>IF('GPA Calculator'!E75="DP",0,IF('GPA Calculator'!E75="WP",0,IF('GPA Calculator'!E75="P",0,IF('GPA Calculator'!E75="FA",0,IF('GPA Calculator'!E75="CR",0,IF('GPA Calculator'!E75="NC",0,IF('GPA Calculator'!E75="",0,A71)))))))</f>
        <v>0</v>
      </c>
      <c r="C71" s="46">
        <f>IF('GPA Calculator'!E75="W",0,IF('GPA Calculator'!E75="P",0,IF('GPA Calculator'!E75="FA",0,IF('GPA Calculator'!E75="CR",0,IF('GPA Calculator'!E75="NC",0,IF('GPA Calculator'!E75="",0,'GPA Calculator'!E75))))))</f>
        <v>0</v>
      </c>
      <c r="D71" s="46">
        <f t="shared" si="125"/>
        <v>0</v>
      </c>
      <c r="E71" s="46" t="str">
        <f t="shared" si="146"/>
        <v/>
      </c>
      <c r="F71" s="46">
        <f>'GPA Calculator'!G75</f>
        <v>0</v>
      </c>
      <c r="G71" s="46">
        <f t="shared" si="126"/>
        <v>0</v>
      </c>
      <c r="H71" s="46">
        <f>'GPA Calculator'!H75</f>
        <v>0</v>
      </c>
      <c r="I71" s="46">
        <f t="shared" si="127"/>
        <v>0</v>
      </c>
      <c r="J71" s="46">
        <f>'GPA Calculator'!I75</f>
        <v>0</v>
      </c>
      <c r="K71" s="46">
        <f t="shared" si="128"/>
        <v>0</v>
      </c>
      <c r="L71" s="46">
        <f t="shared" si="129"/>
        <v>0</v>
      </c>
      <c r="M71" s="46" t="str">
        <f t="shared" si="130"/>
        <v/>
      </c>
      <c r="N71" s="46">
        <f t="shared" si="131"/>
        <v>0</v>
      </c>
      <c r="O71" s="46" t="str">
        <f t="shared" si="132"/>
        <v/>
      </c>
      <c r="P71" s="46" t="str">
        <f t="shared" si="133"/>
        <v/>
      </c>
      <c r="Q71" s="46" t="str">
        <f t="shared" si="134"/>
        <v/>
      </c>
      <c r="S71" s="46">
        <f>'GPA Calculator'!N75</f>
        <v>0</v>
      </c>
      <c r="T71" s="46">
        <f>IF('GPA Calculator'!O75="DP",0,IF('GPA Calculator'!O75="WP",0,IF('GPA Calculator'!O75="P",0,IF('GPA Calculator'!O75="FA",0,IF('GPA Calculator'!O75="CR",0,IF('GPA Calculator'!O75="NC",0,IF('GPA Calculator'!O75="",0,S71)))))))</f>
        <v>0</v>
      </c>
      <c r="U71" s="46">
        <f>IF('GPA Calculator'!O75="W",0,IF('GPA Calculator'!O75="P",0,IF('GPA Calculator'!O75="FA",0,IF('GPA Calculator'!O75="CR",0,IF('GPA Calculator'!O75="NC",0,IF('GPA Calculator'!O75="",0,'GPA Calculator'!O75))))))</f>
        <v>0</v>
      </c>
      <c r="V71" s="46">
        <f t="shared" si="135"/>
        <v>0</v>
      </c>
      <c r="W71" s="46" t="str">
        <f t="shared" si="136"/>
        <v/>
      </c>
      <c r="X71" s="46">
        <f>'GPA Calculator'!Q75</f>
        <v>0</v>
      </c>
      <c r="Y71" s="46">
        <f t="shared" si="137"/>
        <v>0</v>
      </c>
      <c r="Z71" s="46">
        <f>'GPA Calculator'!R75</f>
        <v>0</v>
      </c>
      <c r="AA71" s="46">
        <f t="shared" si="138"/>
        <v>0</v>
      </c>
      <c r="AB71" s="46">
        <f>'GPA Calculator'!S75</f>
        <v>0</v>
      </c>
      <c r="AC71" s="46">
        <f t="shared" si="139"/>
        <v>0</v>
      </c>
      <c r="AD71" s="46">
        <f t="shared" si="140"/>
        <v>0</v>
      </c>
      <c r="AE71" s="46" t="str">
        <f t="shared" si="141"/>
        <v/>
      </c>
      <c r="AF71" s="46">
        <f t="shared" si="142"/>
        <v>0</v>
      </c>
      <c r="AG71" s="46" t="str">
        <f t="shared" si="143"/>
        <v/>
      </c>
      <c r="AH71" s="46" t="str">
        <f t="shared" si="144"/>
        <v/>
      </c>
      <c r="AI71" s="46" t="str">
        <f t="shared" si="145"/>
        <v/>
      </c>
    </row>
    <row r="72" spans="1:35" x14ac:dyDescent="0.25">
      <c r="A72" s="46">
        <f>'GPA Calculator'!D76</f>
        <v>0</v>
      </c>
      <c r="B72" s="46">
        <f>IF('GPA Calculator'!E76="DP",0,IF('GPA Calculator'!E76="WP",0,IF('GPA Calculator'!E76="P",0,IF('GPA Calculator'!E76="FA",0,IF('GPA Calculator'!E76="CR",0,IF('GPA Calculator'!E76="NC",0,IF('GPA Calculator'!E76="",0,A72)))))))</f>
        <v>0</v>
      </c>
      <c r="C72" s="46">
        <f>IF('GPA Calculator'!E76="W",0,IF('GPA Calculator'!E76="P",0,IF('GPA Calculator'!E76="FA",0,IF('GPA Calculator'!E76="CR",0,IF('GPA Calculator'!E76="NC",0,IF('GPA Calculator'!E76="",0,'GPA Calculator'!E76))))))</f>
        <v>0</v>
      </c>
      <c r="D72" s="46">
        <f t="shared" si="125"/>
        <v>0</v>
      </c>
      <c r="E72" s="46" t="str">
        <f t="shared" si="146"/>
        <v/>
      </c>
      <c r="F72" s="46">
        <f>'GPA Calculator'!G76</f>
        <v>0</v>
      </c>
      <c r="G72" s="46">
        <f t="shared" si="126"/>
        <v>0</v>
      </c>
      <c r="H72" s="46">
        <f>'GPA Calculator'!H76</f>
        <v>0</v>
      </c>
      <c r="I72" s="46">
        <f t="shared" si="127"/>
        <v>0</v>
      </c>
      <c r="J72" s="46">
        <f>'GPA Calculator'!I76</f>
        <v>0</v>
      </c>
      <c r="K72" s="46">
        <f t="shared" si="128"/>
        <v>0</v>
      </c>
      <c r="L72" s="46">
        <f t="shared" si="129"/>
        <v>0</v>
      </c>
      <c r="M72" s="46" t="str">
        <f t="shared" si="130"/>
        <v/>
      </c>
      <c r="N72" s="46">
        <f t="shared" si="131"/>
        <v>0</v>
      </c>
      <c r="O72" s="46" t="str">
        <f t="shared" si="132"/>
        <v/>
      </c>
      <c r="P72" s="46" t="str">
        <f t="shared" si="133"/>
        <v/>
      </c>
      <c r="Q72" s="46" t="str">
        <f t="shared" si="134"/>
        <v/>
      </c>
      <c r="S72" s="46">
        <f>'GPA Calculator'!N76</f>
        <v>0</v>
      </c>
      <c r="T72" s="46">
        <f>IF('GPA Calculator'!O76="DP",0,IF('GPA Calculator'!O76="WP",0,IF('GPA Calculator'!O76="P",0,IF('GPA Calculator'!O76="FA",0,IF('GPA Calculator'!O76="CR",0,IF('GPA Calculator'!O76="NC",0,IF('GPA Calculator'!O76="",0,S72)))))))</f>
        <v>0</v>
      </c>
      <c r="U72" s="46">
        <f>IF('GPA Calculator'!O76="W",0,IF('GPA Calculator'!O76="P",0,IF('GPA Calculator'!O76="FA",0,IF('GPA Calculator'!O76="CR",0,IF('GPA Calculator'!O76="NC",0,IF('GPA Calculator'!O76="",0,'GPA Calculator'!O76))))))</f>
        <v>0</v>
      </c>
      <c r="V72" s="46">
        <f t="shared" si="135"/>
        <v>0</v>
      </c>
      <c r="W72" s="46" t="str">
        <f t="shared" si="136"/>
        <v/>
      </c>
      <c r="X72" s="46">
        <f>'GPA Calculator'!Q76</f>
        <v>0</v>
      </c>
      <c r="Y72" s="46">
        <f t="shared" si="137"/>
        <v>0</v>
      </c>
      <c r="Z72" s="46">
        <f>'GPA Calculator'!R76</f>
        <v>0</v>
      </c>
      <c r="AA72" s="46">
        <f t="shared" si="138"/>
        <v>0</v>
      </c>
      <c r="AB72" s="46">
        <f>'GPA Calculator'!S76</f>
        <v>0</v>
      </c>
      <c r="AC72" s="46">
        <f t="shared" si="139"/>
        <v>0</v>
      </c>
      <c r="AD72" s="46">
        <f t="shared" si="140"/>
        <v>0</v>
      </c>
      <c r="AE72" s="46" t="str">
        <f t="shared" si="141"/>
        <v/>
      </c>
      <c r="AF72" s="46">
        <f t="shared" si="142"/>
        <v>0</v>
      </c>
      <c r="AG72" s="46" t="str">
        <f t="shared" si="143"/>
        <v/>
      </c>
      <c r="AH72" s="46" t="str">
        <f t="shared" si="144"/>
        <v/>
      </c>
      <c r="AI72" s="46" t="str">
        <f t="shared" si="145"/>
        <v/>
      </c>
    </row>
    <row r="73" spans="1:35" x14ac:dyDescent="0.25">
      <c r="A73" s="46">
        <f>'GPA Calculator'!D77</f>
        <v>0</v>
      </c>
      <c r="B73" s="46">
        <f>IF('GPA Calculator'!E77="DP",0,IF('GPA Calculator'!E77="WP",0,IF('GPA Calculator'!E77="P",0,IF('GPA Calculator'!E77="FA",0,IF('GPA Calculator'!E77="CR",0,IF('GPA Calculator'!E77="NC",0,IF('GPA Calculator'!E77="",0,A73)))))))</f>
        <v>0</v>
      </c>
      <c r="C73" s="46">
        <f>IF('GPA Calculator'!E77="W",0,IF('GPA Calculator'!E77="P",0,IF('GPA Calculator'!E77="FA",0,IF('GPA Calculator'!E77="CR",0,IF('GPA Calculator'!E77="NC",0,IF('GPA Calculator'!E77="",0,'GPA Calculator'!E77))))))</f>
        <v>0</v>
      </c>
      <c r="D73" s="46">
        <f t="shared" si="125"/>
        <v>0</v>
      </c>
      <c r="E73" s="46" t="str">
        <f t="shared" si="146"/>
        <v/>
      </c>
      <c r="F73" s="46">
        <f>'GPA Calculator'!G77</f>
        <v>0</v>
      </c>
      <c r="G73" s="46">
        <f t="shared" si="126"/>
        <v>0</v>
      </c>
      <c r="H73" s="46">
        <f>'GPA Calculator'!H77</f>
        <v>0</v>
      </c>
      <c r="I73" s="46">
        <f t="shared" si="127"/>
        <v>0</v>
      </c>
      <c r="J73" s="46">
        <f>'GPA Calculator'!I77</f>
        <v>0</v>
      </c>
      <c r="K73" s="46">
        <f t="shared" si="128"/>
        <v>0</v>
      </c>
      <c r="L73" s="46">
        <f t="shared" si="129"/>
        <v>0</v>
      </c>
      <c r="M73" s="46" t="str">
        <f t="shared" si="130"/>
        <v/>
      </c>
      <c r="N73" s="46">
        <f t="shared" si="131"/>
        <v>0</v>
      </c>
      <c r="O73" s="46" t="str">
        <f t="shared" si="132"/>
        <v/>
      </c>
      <c r="P73" s="46" t="str">
        <f t="shared" si="133"/>
        <v/>
      </c>
      <c r="Q73" s="46" t="str">
        <f t="shared" si="134"/>
        <v/>
      </c>
      <c r="S73" s="46">
        <f>'GPA Calculator'!N77</f>
        <v>0</v>
      </c>
      <c r="T73" s="46">
        <f>IF('GPA Calculator'!O77="DP",0,IF('GPA Calculator'!O77="WP",0,IF('GPA Calculator'!O77="P",0,IF('GPA Calculator'!O77="FA",0,IF('GPA Calculator'!O77="CR",0,IF('GPA Calculator'!O77="NC",0,IF('GPA Calculator'!O77="",0,S73)))))))</f>
        <v>0</v>
      </c>
      <c r="U73" s="46">
        <f>IF('GPA Calculator'!O77="W",0,IF('GPA Calculator'!O77="P",0,IF('GPA Calculator'!O77="FA",0,IF('GPA Calculator'!O77="CR",0,IF('GPA Calculator'!O77="NC",0,IF('GPA Calculator'!O77="",0,'GPA Calculator'!O77))))))</f>
        <v>0</v>
      </c>
      <c r="V73" s="46">
        <f t="shared" si="135"/>
        <v>0</v>
      </c>
      <c r="W73" s="46" t="str">
        <f t="shared" si="136"/>
        <v/>
      </c>
      <c r="X73" s="46">
        <f>'GPA Calculator'!Q77</f>
        <v>0</v>
      </c>
      <c r="Y73" s="46">
        <f t="shared" si="137"/>
        <v>0</v>
      </c>
      <c r="Z73" s="46">
        <f>'GPA Calculator'!R77</f>
        <v>0</v>
      </c>
      <c r="AA73" s="46">
        <f t="shared" si="138"/>
        <v>0</v>
      </c>
      <c r="AB73" s="46">
        <f>'GPA Calculator'!S77</f>
        <v>0</v>
      </c>
      <c r="AC73" s="46">
        <f t="shared" si="139"/>
        <v>0</v>
      </c>
      <c r="AD73" s="46">
        <f t="shared" si="140"/>
        <v>0</v>
      </c>
      <c r="AE73" s="46" t="str">
        <f t="shared" si="141"/>
        <v/>
      </c>
      <c r="AF73" s="46">
        <f t="shared" si="142"/>
        <v>0</v>
      </c>
      <c r="AG73" s="46" t="str">
        <f t="shared" si="143"/>
        <v/>
      </c>
      <c r="AH73" s="46" t="str">
        <f t="shared" si="144"/>
        <v/>
      </c>
      <c r="AI73" s="46" t="str">
        <f t="shared" si="145"/>
        <v/>
      </c>
    </row>
    <row r="74" spans="1:35" x14ac:dyDescent="0.25">
      <c r="A74" s="46">
        <f>'GPA Calculator'!D78</f>
        <v>0</v>
      </c>
      <c r="B74" s="46">
        <f>IF('GPA Calculator'!E78="DP",0,IF('GPA Calculator'!E78="WP",0,IF('GPA Calculator'!E78="P",0,IF('GPA Calculator'!E78="FA",0,IF('GPA Calculator'!E78="CR",0,IF('GPA Calculator'!E78="NC",0,IF('GPA Calculator'!E78="",0,A74)))))))</f>
        <v>0</v>
      </c>
      <c r="C74" s="46">
        <f>IF('GPA Calculator'!E78="W",0,IF('GPA Calculator'!E78="P",0,IF('GPA Calculator'!E78="FA",0,IF('GPA Calculator'!E78="CR",0,IF('GPA Calculator'!E78="NC",0,IF('GPA Calculator'!E78="",0,'GPA Calculator'!E78))))))</f>
        <v>0</v>
      </c>
      <c r="D74" s="46">
        <f t="shared" si="125"/>
        <v>0</v>
      </c>
      <c r="E74" s="46" t="str">
        <f t="shared" si="146"/>
        <v/>
      </c>
      <c r="F74" s="46">
        <f>'GPA Calculator'!G78</f>
        <v>0</v>
      </c>
      <c r="G74" s="46">
        <f t="shared" si="126"/>
        <v>0</v>
      </c>
      <c r="H74" s="46">
        <f>'GPA Calculator'!H78</f>
        <v>0</v>
      </c>
      <c r="I74" s="46">
        <f t="shared" si="127"/>
        <v>0</v>
      </c>
      <c r="J74" s="46">
        <f>'GPA Calculator'!I78</f>
        <v>0</v>
      </c>
      <c r="K74" s="46">
        <f t="shared" si="128"/>
        <v>0</v>
      </c>
      <c r="L74" s="46">
        <f t="shared" si="129"/>
        <v>0</v>
      </c>
      <c r="M74" s="46" t="str">
        <f t="shared" si="130"/>
        <v/>
      </c>
      <c r="N74" s="46">
        <f t="shared" si="131"/>
        <v>0</v>
      </c>
      <c r="O74" s="46" t="str">
        <f t="shared" si="132"/>
        <v/>
      </c>
      <c r="P74" s="46" t="str">
        <f t="shared" si="133"/>
        <v/>
      </c>
      <c r="Q74" s="46" t="str">
        <f t="shared" si="134"/>
        <v/>
      </c>
      <c r="S74" s="46">
        <f>'GPA Calculator'!N78</f>
        <v>0</v>
      </c>
      <c r="T74" s="46">
        <f>IF('GPA Calculator'!O78="DP",0,IF('GPA Calculator'!O78="WP",0,IF('GPA Calculator'!O78="P",0,IF('GPA Calculator'!O78="FA",0,IF('GPA Calculator'!O78="CR",0,IF('GPA Calculator'!O78="NC",0,IF('GPA Calculator'!O78="",0,S74)))))))</f>
        <v>0</v>
      </c>
      <c r="U74" s="46">
        <f>IF('GPA Calculator'!O78="W",0,IF('GPA Calculator'!O78="P",0,IF('GPA Calculator'!O78="FA",0,IF('GPA Calculator'!O78="CR",0,IF('GPA Calculator'!O78="NC",0,IF('GPA Calculator'!O78="",0,'GPA Calculator'!O78))))))</f>
        <v>0</v>
      </c>
      <c r="V74" s="46">
        <f t="shared" si="135"/>
        <v>0</v>
      </c>
      <c r="W74" s="46" t="str">
        <f t="shared" si="136"/>
        <v/>
      </c>
      <c r="X74" s="46">
        <f>'GPA Calculator'!Q78</f>
        <v>0</v>
      </c>
      <c r="Y74" s="46">
        <f t="shared" si="137"/>
        <v>0</v>
      </c>
      <c r="Z74" s="46">
        <f>'GPA Calculator'!R78</f>
        <v>0</v>
      </c>
      <c r="AA74" s="46">
        <f t="shared" si="138"/>
        <v>0</v>
      </c>
      <c r="AB74" s="46">
        <f>'GPA Calculator'!S78</f>
        <v>0</v>
      </c>
      <c r="AC74" s="46">
        <f t="shared" si="139"/>
        <v>0</v>
      </c>
      <c r="AD74" s="46">
        <f t="shared" si="140"/>
        <v>0</v>
      </c>
      <c r="AE74" s="46" t="str">
        <f t="shared" si="141"/>
        <v/>
      </c>
      <c r="AF74" s="46">
        <f t="shared" si="142"/>
        <v>0</v>
      </c>
      <c r="AG74" s="46" t="str">
        <f t="shared" si="143"/>
        <v/>
      </c>
      <c r="AH74" s="46" t="str">
        <f t="shared" si="144"/>
        <v/>
      </c>
      <c r="AI74" s="46" t="str">
        <f t="shared" si="145"/>
        <v/>
      </c>
    </row>
    <row r="75" spans="1:35" x14ac:dyDescent="0.25">
      <c r="A75" s="46">
        <f>'GPA Calculator'!D79</f>
        <v>0</v>
      </c>
      <c r="B75" s="46">
        <f>IF('GPA Calculator'!E79="DP",0,IF('GPA Calculator'!E79="WP",0,IF('GPA Calculator'!E79="P",0,IF('GPA Calculator'!E79="FA",0,IF('GPA Calculator'!E79="CR",0,IF('GPA Calculator'!E79="NC",0,IF('GPA Calculator'!E79="",0,A75)))))))</f>
        <v>0</v>
      </c>
      <c r="C75" s="46">
        <f>IF('GPA Calculator'!E79="W",0,IF('GPA Calculator'!E79="P",0,IF('GPA Calculator'!E79="FA",0,IF('GPA Calculator'!E79="CR",0,IF('GPA Calculator'!E79="NC",0,IF('GPA Calculator'!E79="",0,'GPA Calculator'!E79))))))</f>
        <v>0</v>
      </c>
      <c r="D75" s="46">
        <f t="shared" si="125"/>
        <v>0</v>
      </c>
      <c r="E75" s="46" t="str">
        <f t="shared" si="146"/>
        <v/>
      </c>
      <c r="F75" s="46">
        <f>'GPA Calculator'!G79</f>
        <v>0</v>
      </c>
      <c r="G75" s="46">
        <f t="shared" si="126"/>
        <v>0</v>
      </c>
      <c r="H75" s="46">
        <f>'GPA Calculator'!H79</f>
        <v>0</v>
      </c>
      <c r="I75" s="46">
        <f t="shared" si="127"/>
        <v>0</v>
      </c>
      <c r="J75" s="46">
        <f>'GPA Calculator'!I79</f>
        <v>0</v>
      </c>
      <c r="K75" s="46">
        <f t="shared" si="128"/>
        <v>0</v>
      </c>
      <c r="L75" s="46">
        <f t="shared" si="129"/>
        <v>0</v>
      </c>
      <c r="M75" s="46" t="str">
        <f t="shared" si="130"/>
        <v/>
      </c>
      <c r="N75" s="46">
        <f t="shared" si="131"/>
        <v>0</v>
      </c>
      <c r="O75" s="46" t="str">
        <f t="shared" si="132"/>
        <v/>
      </c>
      <c r="P75" s="46" t="str">
        <f t="shared" si="133"/>
        <v/>
      </c>
      <c r="Q75" s="46" t="str">
        <f t="shared" si="134"/>
        <v/>
      </c>
      <c r="S75" s="46">
        <f>'GPA Calculator'!N79</f>
        <v>0</v>
      </c>
      <c r="T75" s="46">
        <f>IF('GPA Calculator'!O79="DP",0,IF('GPA Calculator'!O79="WP",0,IF('GPA Calculator'!O79="P",0,IF('GPA Calculator'!O79="FA",0,IF('GPA Calculator'!O79="CR",0,IF('GPA Calculator'!O79="NC",0,IF('GPA Calculator'!O79="",0,S75)))))))</f>
        <v>0</v>
      </c>
      <c r="U75" s="46">
        <f>IF('GPA Calculator'!O79="W",0,IF('GPA Calculator'!O79="P",0,IF('GPA Calculator'!O79="FA",0,IF('GPA Calculator'!O79="CR",0,IF('GPA Calculator'!O79="NC",0,IF('GPA Calculator'!O79="",0,'GPA Calculator'!O79))))))</f>
        <v>0</v>
      </c>
      <c r="V75" s="46">
        <f t="shared" si="135"/>
        <v>0</v>
      </c>
      <c r="W75" s="46" t="str">
        <f t="shared" si="136"/>
        <v/>
      </c>
      <c r="X75" s="46">
        <f>'GPA Calculator'!Q79</f>
        <v>0</v>
      </c>
      <c r="Y75" s="46">
        <f t="shared" si="137"/>
        <v>0</v>
      </c>
      <c r="Z75" s="46">
        <f>'GPA Calculator'!R79</f>
        <v>0</v>
      </c>
      <c r="AA75" s="46">
        <f t="shared" si="138"/>
        <v>0</v>
      </c>
      <c r="AB75" s="46">
        <f>'GPA Calculator'!S79</f>
        <v>0</v>
      </c>
      <c r="AC75" s="46">
        <f t="shared" si="139"/>
        <v>0</v>
      </c>
      <c r="AD75" s="46">
        <f t="shared" si="140"/>
        <v>0</v>
      </c>
      <c r="AE75" s="46" t="str">
        <f t="shared" si="141"/>
        <v/>
      </c>
      <c r="AF75" s="46">
        <f t="shared" si="142"/>
        <v>0</v>
      </c>
      <c r="AG75" s="46" t="str">
        <f t="shared" si="143"/>
        <v/>
      </c>
      <c r="AH75" s="46" t="str">
        <f t="shared" si="144"/>
        <v/>
      </c>
      <c r="AI75" s="46" t="str">
        <f t="shared" si="145"/>
        <v/>
      </c>
    </row>
    <row r="76" spans="1:35" x14ac:dyDescent="0.25">
      <c r="A76" s="46">
        <f>'GPA Calculator'!D80</f>
        <v>0</v>
      </c>
      <c r="B76" s="46">
        <f>IF('GPA Calculator'!E80="DP",0,IF('GPA Calculator'!E80="WP",0,IF('GPA Calculator'!E80="P",0,IF('GPA Calculator'!E80="FA",0,IF('GPA Calculator'!E80="CR",0,IF('GPA Calculator'!E80="NC",0,IF('GPA Calculator'!E80="",0,A76)))))))</f>
        <v>0</v>
      </c>
      <c r="C76" s="46">
        <f>IF('GPA Calculator'!E80="W",0,IF('GPA Calculator'!E80="P",0,IF('GPA Calculator'!E80="FA",0,IF('GPA Calculator'!E80="CR",0,IF('GPA Calculator'!E80="NC",0,IF('GPA Calculator'!E80="",0,'GPA Calculator'!E80))))))</f>
        <v>0</v>
      </c>
      <c r="D76" s="46">
        <f t="shared" si="125"/>
        <v>0</v>
      </c>
      <c r="E76" s="46" t="str">
        <f t="shared" si="146"/>
        <v/>
      </c>
      <c r="F76" s="46">
        <f>'GPA Calculator'!G80</f>
        <v>0</v>
      </c>
      <c r="G76" s="46">
        <f t="shared" si="126"/>
        <v>0</v>
      </c>
      <c r="H76" s="46">
        <f>'GPA Calculator'!H80</f>
        <v>0</v>
      </c>
      <c r="I76" s="46">
        <f t="shared" si="127"/>
        <v>0</v>
      </c>
      <c r="J76" s="46">
        <f>'GPA Calculator'!I80</f>
        <v>0</v>
      </c>
      <c r="K76" s="46">
        <f t="shared" si="128"/>
        <v>0</v>
      </c>
      <c r="L76" s="46">
        <f t="shared" si="129"/>
        <v>0</v>
      </c>
      <c r="M76" s="46" t="str">
        <f t="shared" si="130"/>
        <v/>
      </c>
      <c r="N76" s="46">
        <f t="shared" si="131"/>
        <v>0</v>
      </c>
      <c r="O76" s="46" t="str">
        <f t="shared" si="132"/>
        <v/>
      </c>
      <c r="P76" s="46" t="str">
        <f t="shared" si="133"/>
        <v/>
      </c>
      <c r="Q76" s="46" t="str">
        <f t="shared" si="134"/>
        <v/>
      </c>
      <c r="S76" s="46">
        <f>'GPA Calculator'!N80</f>
        <v>0</v>
      </c>
      <c r="T76" s="46">
        <f>IF('GPA Calculator'!O80="DP",0,IF('GPA Calculator'!O80="WP",0,IF('GPA Calculator'!O80="P",0,IF('GPA Calculator'!O80="FA",0,IF('GPA Calculator'!O80="CR",0,IF('GPA Calculator'!O80="NC",0,IF('GPA Calculator'!O80="",0,S76)))))))</f>
        <v>0</v>
      </c>
      <c r="U76" s="46">
        <f>IF('GPA Calculator'!O80="W",0,IF('GPA Calculator'!O80="P",0,IF('GPA Calculator'!O80="FA",0,IF('GPA Calculator'!O80="CR",0,IF('GPA Calculator'!O80="NC",0,IF('GPA Calculator'!O80="",0,'GPA Calculator'!O80))))))</f>
        <v>0</v>
      </c>
      <c r="V76" s="46">
        <f t="shared" si="135"/>
        <v>0</v>
      </c>
      <c r="W76" s="46" t="str">
        <f t="shared" si="136"/>
        <v/>
      </c>
      <c r="X76" s="46">
        <f>'GPA Calculator'!Q80</f>
        <v>0</v>
      </c>
      <c r="Y76" s="46">
        <f t="shared" si="137"/>
        <v>0</v>
      </c>
      <c r="Z76" s="46">
        <f>'GPA Calculator'!R80</f>
        <v>0</v>
      </c>
      <c r="AA76" s="46">
        <f t="shared" si="138"/>
        <v>0</v>
      </c>
      <c r="AB76" s="46">
        <f>'GPA Calculator'!S80</f>
        <v>0</v>
      </c>
      <c r="AC76" s="46">
        <f t="shared" si="139"/>
        <v>0</v>
      </c>
      <c r="AD76" s="46">
        <f t="shared" si="140"/>
        <v>0</v>
      </c>
      <c r="AE76" s="46" t="str">
        <f t="shared" si="141"/>
        <v/>
      </c>
      <c r="AF76" s="46">
        <f t="shared" si="142"/>
        <v>0</v>
      </c>
      <c r="AG76" s="46" t="str">
        <f t="shared" si="143"/>
        <v/>
      </c>
      <c r="AH76" s="46" t="str">
        <f t="shared" si="144"/>
        <v/>
      </c>
      <c r="AI76" s="46" t="str">
        <f t="shared" si="145"/>
        <v/>
      </c>
    </row>
    <row r="77" spans="1:35" x14ac:dyDescent="0.25">
      <c r="A77" s="46">
        <f>'GPA Calculator'!D81</f>
        <v>0</v>
      </c>
      <c r="B77" s="46">
        <f>IF('GPA Calculator'!E81="DP",0,IF('GPA Calculator'!E81="WP",0,IF('GPA Calculator'!E81="P",0,IF('GPA Calculator'!E81="FA",0,IF('GPA Calculator'!E81="CR",0,IF('GPA Calculator'!E81="NC",0,IF('GPA Calculator'!E81="",0,A77)))))))</f>
        <v>0</v>
      </c>
      <c r="C77" s="46">
        <f>IF('GPA Calculator'!E81="W",0,IF('GPA Calculator'!E81="P",0,IF('GPA Calculator'!E81="FA",0,IF('GPA Calculator'!E81="CR",0,IF('GPA Calculator'!E81="NC",0,IF('GPA Calculator'!E81="",0,'GPA Calculator'!E81))))))</f>
        <v>0</v>
      </c>
      <c r="D77" s="46">
        <f t="shared" si="125"/>
        <v>0</v>
      </c>
      <c r="E77" s="46" t="str">
        <f t="shared" si="146"/>
        <v/>
      </c>
      <c r="F77" s="46">
        <f>'GPA Calculator'!G81</f>
        <v>0</v>
      </c>
      <c r="G77" s="46">
        <f t="shared" si="126"/>
        <v>0</v>
      </c>
      <c r="H77" s="46">
        <f>'GPA Calculator'!H81</f>
        <v>0</v>
      </c>
      <c r="I77" s="46">
        <f t="shared" si="127"/>
        <v>0</v>
      </c>
      <c r="J77" s="46">
        <f>'GPA Calculator'!I81</f>
        <v>0</v>
      </c>
      <c r="K77" s="46">
        <f t="shared" si="128"/>
        <v>0</v>
      </c>
      <c r="L77" s="46">
        <f t="shared" si="129"/>
        <v>0</v>
      </c>
      <c r="M77" s="46" t="str">
        <f t="shared" si="130"/>
        <v/>
      </c>
      <c r="N77" s="46">
        <f t="shared" si="131"/>
        <v>0</v>
      </c>
      <c r="O77" s="46" t="str">
        <f t="shared" si="132"/>
        <v/>
      </c>
      <c r="P77" s="46" t="str">
        <f t="shared" si="133"/>
        <v/>
      </c>
      <c r="Q77" s="46" t="str">
        <f t="shared" si="134"/>
        <v/>
      </c>
      <c r="S77" s="46">
        <f>'GPA Calculator'!N81</f>
        <v>0</v>
      </c>
      <c r="T77" s="46">
        <f>IF('GPA Calculator'!O81="DP",0,IF('GPA Calculator'!O81="WP",0,IF('GPA Calculator'!O81="P",0,IF('GPA Calculator'!O81="FA",0,IF('GPA Calculator'!O81="CR",0,IF('GPA Calculator'!O81="NC",0,IF('GPA Calculator'!O81="",0,S77)))))))</f>
        <v>0</v>
      </c>
      <c r="U77" s="46">
        <f>IF('GPA Calculator'!O81="W",0,IF('GPA Calculator'!O81="P",0,IF('GPA Calculator'!O81="FA",0,IF('GPA Calculator'!O81="CR",0,IF('GPA Calculator'!O81="NC",0,IF('GPA Calculator'!O81="",0,'GPA Calculator'!O81))))))</f>
        <v>0</v>
      </c>
      <c r="V77" s="46">
        <f t="shared" si="135"/>
        <v>0</v>
      </c>
      <c r="W77" s="46" t="str">
        <f t="shared" si="136"/>
        <v/>
      </c>
      <c r="X77" s="46">
        <f>'GPA Calculator'!Q81</f>
        <v>0</v>
      </c>
      <c r="Y77" s="46">
        <f t="shared" si="137"/>
        <v>0</v>
      </c>
      <c r="Z77" s="46">
        <f>'GPA Calculator'!R81</f>
        <v>0</v>
      </c>
      <c r="AA77" s="46">
        <f t="shared" si="138"/>
        <v>0</v>
      </c>
      <c r="AB77" s="46">
        <f>'GPA Calculator'!S81</f>
        <v>0</v>
      </c>
      <c r="AC77" s="46">
        <f t="shared" si="139"/>
        <v>0</v>
      </c>
      <c r="AD77" s="46">
        <f t="shared" si="140"/>
        <v>0</v>
      </c>
      <c r="AE77" s="46" t="str">
        <f t="shared" si="141"/>
        <v/>
      </c>
      <c r="AF77" s="46">
        <f t="shared" si="142"/>
        <v>0</v>
      </c>
      <c r="AG77" s="46" t="str">
        <f t="shared" si="143"/>
        <v/>
      </c>
      <c r="AH77" s="46" t="str">
        <f t="shared" si="144"/>
        <v/>
      </c>
      <c r="AI77" s="46" t="str">
        <f t="shared" si="145"/>
        <v/>
      </c>
    </row>
    <row r="78" spans="1:35" x14ac:dyDescent="0.25">
      <c r="B78" s="46">
        <f t="shared" ref="B78:E78" si="147">SUM(B69:B77)</f>
        <v>0</v>
      </c>
      <c r="E78" s="46">
        <f t="shared" si="147"/>
        <v>0</v>
      </c>
      <c r="L78" s="46">
        <f>SUM(L69:L77)</f>
        <v>0</v>
      </c>
      <c r="M78" s="46">
        <f t="shared" ref="M78" si="148">SUM(M69:M77)</f>
        <v>0</v>
      </c>
      <c r="N78" s="46">
        <f t="shared" ref="N78" si="149">SUM(N69:N77)</f>
        <v>0</v>
      </c>
      <c r="O78" s="46">
        <f t="shared" ref="O78" si="150">SUM(O69:O77)</f>
        <v>0</v>
      </c>
      <c r="P78" s="46">
        <f t="shared" ref="P78" si="151">SUM(P69:P77)</f>
        <v>0</v>
      </c>
      <c r="Q78" s="46">
        <f t="shared" ref="Q78" si="152">SUM(Q69:Q77)</f>
        <v>0</v>
      </c>
      <c r="T78" s="46">
        <f t="shared" ref="T78:W78" si="153">SUM(T69:T77)</f>
        <v>0</v>
      </c>
      <c r="V78" s="46">
        <f t="shared" si="153"/>
        <v>0</v>
      </c>
      <c r="W78" s="46">
        <f t="shared" si="153"/>
        <v>0</v>
      </c>
      <c r="AD78" s="46">
        <f t="shared" ref="AD78" si="154">SUM(AD69:AD77)</f>
        <v>0</v>
      </c>
      <c r="AE78" s="46">
        <f t="shared" ref="AE78" si="155">SUM(AE69:AE77)</f>
        <v>0</v>
      </c>
      <c r="AF78" s="46">
        <f t="shared" ref="AF78" si="156">SUM(AF69:AF77)</f>
        <v>0</v>
      </c>
      <c r="AG78" s="46">
        <f t="shared" ref="AG78" si="157">SUM(AG69:AG77)</f>
        <v>0</v>
      </c>
      <c r="AH78" s="46">
        <f t="shared" ref="AH78" si="158">SUM(AH69:AH77)</f>
        <v>0</v>
      </c>
      <c r="AI78" s="46">
        <f>SUM(AI69:AI77)</f>
        <v>0</v>
      </c>
    </row>
    <row r="79" spans="1:35" x14ac:dyDescent="0.25">
      <c r="L79" s="46" t="s">
        <v>10</v>
      </c>
      <c r="M79" s="46" t="str">
        <f>IF(L78=0,"",M78/L78)</f>
        <v/>
      </c>
      <c r="N79" s="46" t="s">
        <v>20</v>
      </c>
      <c r="O79" s="46" t="str">
        <f>IF(N78=0,"",O78/N78)</f>
        <v/>
      </c>
      <c r="P79" s="46" t="s">
        <v>23</v>
      </c>
      <c r="Q79" s="46" t="str">
        <f>IF(P78=0,"",Q78/P78)</f>
        <v/>
      </c>
      <c r="AD79" s="46" t="s">
        <v>10</v>
      </c>
      <c r="AE79" s="46" t="str">
        <f>IF(AD78=0,"",AE78/AD78)</f>
        <v/>
      </c>
      <c r="AF79" s="46" t="s">
        <v>20</v>
      </c>
      <c r="AG79" s="46" t="str">
        <f>IF(AF78=0,"",AG78/AF78)</f>
        <v/>
      </c>
      <c r="AH79" s="46" t="s">
        <v>23</v>
      </c>
      <c r="AI79" s="46" t="str">
        <f>IF(AH78=0,"",AI78/AH78)</f>
        <v/>
      </c>
    </row>
    <row r="84" spans="1:35" x14ac:dyDescent="0.25">
      <c r="A84" s="46" t="s">
        <v>4</v>
      </c>
      <c r="B84" s="46" t="s">
        <v>61</v>
      </c>
      <c r="C84" s="46" t="s">
        <v>12</v>
      </c>
      <c r="D84" s="46" t="s">
        <v>58</v>
      </c>
      <c r="E84" s="46" t="s">
        <v>6</v>
      </c>
      <c r="F84" s="46" t="s">
        <v>7</v>
      </c>
      <c r="H84" s="46" t="s">
        <v>26</v>
      </c>
      <c r="J84" s="46" t="s">
        <v>27</v>
      </c>
      <c r="L84" s="46" t="s">
        <v>60</v>
      </c>
      <c r="M84" s="46" t="s">
        <v>59</v>
      </c>
      <c r="N84" s="46" t="s">
        <v>24</v>
      </c>
      <c r="O84" s="46" t="s">
        <v>22</v>
      </c>
      <c r="P84" s="46" t="s">
        <v>25</v>
      </c>
      <c r="Q84" s="46" t="s">
        <v>21</v>
      </c>
      <c r="S84" s="46" t="s">
        <v>4</v>
      </c>
      <c r="T84" s="46" t="s">
        <v>61</v>
      </c>
      <c r="U84" s="46" t="s">
        <v>12</v>
      </c>
      <c r="V84" s="46" t="s">
        <v>58</v>
      </c>
      <c r="W84" s="46" t="s">
        <v>6</v>
      </c>
      <c r="X84" s="46" t="s">
        <v>7</v>
      </c>
      <c r="Z84" s="46" t="s">
        <v>26</v>
      </c>
      <c r="AB84" s="46" t="s">
        <v>27</v>
      </c>
      <c r="AD84" s="46" t="s">
        <v>60</v>
      </c>
      <c r="AE84" s="46" t="s">
        <v>59</v>
      </c>
      <c r="AF84" s="46" t="s">
        <v>24</v>
      </c>
      <c r="AG84" s="46" t="s">
        <v>22</v>
      </c>
      <c r="AH84" s="46" t="s">
        <v>25</v>
      </c>
      <c r="AI84" s="46" t="s">
        <v>21</v>
      </c>
    </row>
    <row r="85" spans="1:35" x14ac:dyDescent="0.25">
      <c r="A85" s="46">
        <f>'GPA Calculator'!D90</f>
        <v>0</v>
      </c>
      <c r="B85" s="46">
        <f>IF('GPA Calculator'!E90="W",0,IF('GPA Calculator'!E90="P",0,IF('GPA Calculator'!E90="FA",0,IF('GPA Calculator'!E90="CR",0,IF('GPA Calculator'!E90="NC",0,IF('GPA Calculator'!E90="",0,A85))))))</f>
        <v>0</v>
      </c>
      <c r="C85" s="46">
        <f>IF('GPA Calculator'!E90="W",0,IF('GPA Calculator'!E90="P",0,IF('GPA Calculator'!E90="FA",0,IF('GPA Calculator'!E90="CR",0,IF('GPA Calculator'!E90="NC",0,IF('GPA Calculator'!E90="",0,'GPA Calculator'!E90))))))</f>
        <v>0</v>
      </c>
      <c r="D85" s="46">
        <f t="shared" ref="D85:D93" si="159">IF(C85=0,0,VLOOKUP(C85,$AL$2:$AM$14,2,FALSE))</f>
        <v>0</v>
      </c>
      <c r="E85" s="46" t="str">
        <f t="shared" si="146"/>
        <v/>
      </c>
      <c r="F85" s="46">
        <f>'GPA Calculator'!G90</f>
        <v>0</v>
      </c>
      <c r="G85" s="46">
        <f t="shared" ref="G85:G93" si="160">IF(F85=0,0,1)</f>
        <v>0</v>
      </c>
      <c r="H85" s="46">
        <f>'GPA Calculator'!H90</f>
        <v>0</v>
      </c>
      <c r="I85" s="46">
        <f t="shared" ref="I85:I93" si="161">IF(H85=0,0,1)</f>
        <v>0</v>
      </c>
      <c r="J85" s="46">
        <f>'GPA Calculator'!I90</f>
        <v>0</v>
      </c>
      <c r="K85" s="46">
        <f t="shared" ref="K85:K93" si="162">IF(J85=0,0,1)</f>
        <v>0</v>
      </c>
      <c r="L85" s="46">
        <f t="shared" ref="L85:L93" si="163">B85</f>
        <v>0</v>
      </c>
      <c r="M85" s="46" t="str">
        <f t="shared" ref="M85:M93" si="164">E85</f>
        <v/>
      </c>
      <c r="N85" s="46">
        <f t="shared" ref="N85:N93" si="165">IF(G85=1,"",IF(K85=1,"",B85))</f>
        <v>0</v>
      </c>
      <c r="O85" s="46" t="str">
        <f t="shared" ref="O85:O93" si="166">IF(G85=1,"",IF(K85=1,"",E85))</f>
        <v/>
      </c>
      <c r="P85" s="46" t="str">
        <f t="shared" ref="P85:P93" si="167">IF(G85=1,"",IF(K85=1,"",IF(I85=0,"",B85)))</f>
        <v/>
      </c>
      <c r="Q85" s="46" t="str">
        <f t="shared" ref="Q85:Q93" si="168">IF(G85=1,"",IF(K85=1,"",IF(I85=0,"",E85)))</f>
        <v/>
      </c>
      <c r="S85" s="46">
        <f>'GPA Calculator'!N90</f>
        <v>0</v>
      </c>
      <c r="T85" s="46">
        <f>IF('GPA Calculator'!O90="DP",0,IF('GPA Calculator'!O90="WP",0,IF('GPA Calculator'!O90="P",0,IF('GPA Calculator'!O90="FA",0,IF('GPA Calculator'!O90="CR",0,IF('GPA Calculator'!O90="NC",0,IF('GPA Calculator'!O90="",0,S85)))))))</f>
        <v>0</v>
      </c>
      <c r="U85" s="46">
        <f>IF('GPA Calculator'!O90="W",0,IF('GPA Calculator'!O90="P",0,IF('GPA Calculator'!O90="FA",0,IF('GPA Calculator'!O90="CR",0,IF('GPA Calculator'!O90="NC",0,IF('GPA Calculator'!O90="",0,'GPA Calculator'!O90))))))</f>
        <v>0</v>
      </c>
      <c r="V85" s="46">
        <f t="shared" ref="V85:V93" si="169">IF(U85=0,0,VLOOKUP(U85,$AL$2:$AM$14,2,FALSE))</f>
        <v>0</v>
      </c>
      <c r="W85" s="46" t="str">
        <f t="shared" ref="W85:W93" si="170">IF(V85=0,"",T85*V85)</f>
        <v/>
      </c>
      <c r="X85" s="46">
        <f>'GPA Calculator'!Q90</f>
        <v>0</v>
      </c>
      <c r="Y85" s="46">
        <f t="shared" ref="Y85:Y93" si="171">IF(X85=0,0,1)</f>
        <v>0</v>
      </c>
      <c r="Z85" s="46">
        <f>'GPA Calculator'!R90</f>
        <v>0</v>
      </c>
      <c r="AA85" s="46">
        <f t="shared" ref="AA85:AA93" si="172">IF(Z85=0,0,1)</f>
        <v>0</v>
      </c>
      <c r="AB85" s="46">
        <f>'GPA Calculator'!S90</f>
        <v>0</v>
      </c>
      <c r="AC85" s="46">
        <f t="shared" ref="AC85:AC93" si="173">IF(AB85=0,0,1)</f>
        <v>0</v>
      </c>
      <c r="AD85" s="46">
        <f t="shared" ref="AD85:AD93" si="174">T85</f>
        <v>0</v>
      </c>
      <c r="AE85" s="46" t="str">
        <f t="shared" ref="AE85:AE93" si="175">W85</f>
        <v/>
      </c>
      <c r="AF85" s="46">
        <f t="shared" ref="AF85:AF93" si="176">IF(Y85=1,"",IF(AC85=1,"",T85))</f>
        <v>0</v>
      </c>
      <c r="AG85" s="46" t="str">
        <f t="shared" ref="AG85:AG93" si="177">IF(Y85=1,"",IF(AC85=1,"",W85))</f>
        <v/>
      </c>
      <c r="AH85" s="46" t="str">
        <f t="shared" ref="AH85:AH93" si="178">IF(Y85=1,"",IF(AC85=1,"",IF(AA85=0,"",T85)))</f>
        <v/>
      </c>
      <c r="AI85" s="46" t="str">
        <f t="shared" ref="AI85:AI93" si="179">IF(Y85=1,"",IF(AC85=1,"",IF(AA85=0,"",W85)))</f>
        <v/>
      </c>
    </row>
    <row r="86" spans="1:35" x14ac:dyDescent="0.25">
      <c r="A86" s="46">
        <f>'GPA Calculator'!D91</f>
        <v>0</v>
      </c>
      <c r="B86" s="46">
        <f>IF('GPA Calculator'!E91="DP",0,IF('GPA Calculator'!E91="WP",0,IF('GPA Calculator'!E91="P",0,IF('GPA Calculator'!E91="FA",0,IF('GPA Calculator'!E91="CR",0,IF('GPA Calculator'!E91="NC",0,IF('GPA Calculator'!E91="",0,A86)))))))</f>
        <v>0</v>
      </c>
      <c r="C86" s="46">
        <f>IF('GPA Calculator'!E91="W",0,IF('GPA Calculator'!E91="P",0,IF('GPA Calculator'!E91="FA",0,IF('GPA Calculator'!E91="CR",0,IF('GPA Calculator'!E91="NC",0,IF('GPA Calculator'!E91="",0,'GPA Calculator'!E91))))))</f>
        <v>0</v>
      </c>
      <c r="D86" s="46">
        <f t="shared" si="159"/>
        <v>0</v>
      </c>
      <c r="E86" s="46" t="str">
        <f t="shared" si="146"/>
        <v/>
      </c>
      <c r="F86" s="46">
        <f>'GPA Calculator'!G91</f>
        <v>0</v>
      </c>
      <c r="G86" s="46">
        <f t="shared" si="160"/>
        <v>0</v>
      </c>
      <c r="H86" s="46">
        <f>'GPA Calculator'!H91</f>
        <v>0</v>
      </c>
      <c r="I86" s="46">
        <f t="shared" si="161"/>
        <v>0</v>
      </c>
      <c r="J86" s="46">
        <f>'GPA Calculator'!I91</f>
        <v>0</v>
      </c>
      <c r="K86" s="46">
        <f t="shared" si="162"/>
        <v>0</v>
      </c>
      <c r="L86" s="46">
        <f t="shared" si="163"/>
        <v>0</v>
      </c>
      <c r="M86" s="46" t="str">
        <f t="shared" si="164"/>
        <v/>
      </c>
      <c r="N86" s="46">
        <f t="shared" si="165"/>
        <v>0</v>
      </c>
      <c r="O86" s="46" t="str">
        <f t="shared" si="166"/>
        <v/>
      </c>
      <c r="P86" s="46" t="str">
        <f t="shared" si="167"/>
        <v/>
      </c>
      <c r="Q86" s="46" t="str">
        <f t="shared" si="168"/>
        <v/>
      </c>
      <c r="S86" s="46">
        <f>'GPA Calculator'!N91</f>
        <v>0</v>
      </c>
      <c r="T86" s="46">
        <f>IF('GPA Calculator'!O91="DP",0,IF('GPA Calculator'!O91="WP",0,IF('GPA Calculator'!O91="P",0,IF('GPA Calculator'!O91="FA",0,IF('GPA Calculator'!O91="CR",0,IF('GPA Calculator'!O91="NC",0,IF('GPA Calculator'!O91="",0,S86)))))))</f>
        <v>0</v>
      </c>
      <c r="U86" s="46">
        <f>IF('GPA Calculator'!O91="W",0,IF('GPA Calculator'!O91="P",0,IF('GPA Calculator'!O91="FA",0,IF('GPA Calculator'!O91="CR",0,IF('GPA Calculator'!O91="NC",0,IF('GPA Calculator'!O91="",0,'GPA Calculator'!O91))))))</f>
        <v>0</v>
      </c>
      <c r="V86" s="46">
        <f t="shared" si="169"/>
        <v>0</v>
      </c>
      <c r="W86" s="46" t="str">
        <f t="shared" si="170"/>
        <v/>
      </c>
      <c r="X86" s="46">
        <f>'GPA Calculator'!Q91</f>
        <v>0</v>
      </c>
      <c r="Y86" s="46">
        <f t="shared" si="171"/>
        <v>0</v>
      </c>
      <c r="Z86" s="46">
        <f>'GPA Calculator'!R91</f>
        <v>0</v>
      </c>
      <c r="AA86" s="46">
        <f t="shared" si="172"/>
        <v>0</v>
      </c>
      <c r="AB86" s="46">
        <f>'GPA Calculator'!S91</f>
        <v>0</v>
      </c>
      <c r="AC86" s="46">
        <f t="shared" si="173"/>
        <v>0</v>
      </c>
      <c r="AD86" s="46">
        <f t="shared" si="174"/>
        <v>0</v>
      </c>
      <c r="AE86" s="46" t="str">
        <f t="shared" si="175"/>
        <v/>
      </c>
      <c r="AF86" s="46">
        <f t="shared" si="176"/>
        <v>0</v>
      </c>
      <c r="AG86" s="46" t="str">
        <f t="shared" si="177"/>
        <v/>
      </c>
      <c r="AH86" s="46" t="str">
        <f t="shared" si="178"/>
        <v/>
      </c>
      <c r="AI86" s="46" t="str">
        <f t="shared" si="179"/>
        <v/>
      </c>
    </row>
    <row r="87" spans="1:35" x14ac:dyDescent="0.25">
      <c r="A87" s="46">
        <f>'GPA Calculator'!D92</f>
        <v>0</v>
      </c>
      <c r="B87" s="46">
        <f>IF('GPA Calculator'!E92="DP",0,IF('GPA Calculator'!E92="WP",0,IF('GPA Calculator'!E92="P",0,IF('GPA Calculator'!E92="FA",0,IF('GPA Calculator'!E92="CR",0,IF('GPA Calculator'!E92="NC",0,IF('GPA Calculator'!E92="",0,A87)))))))</f>
        <v>0</v>
      </c>
      <c r="C87" s="46">
        <f>IF('GPA Calculator'!E92="W",0,IF('GPA Calculator'!E92="P",0,IF('GPA Calculator'!E92="FA",0,IF('GPA Calculator'!E92="CR",0,IF('GPA Calculator'!E92="NC",0,IF('GPA Calculator'!E92="",0,'GPA Calculator'!E92))))))</f>
        <v>0</v>
      </c>
      <c r="D87" s="46">
        <f t="shared" si="159"/>
        <v>0</v>
      </c>
      <c r="E87" s="46" t="str">
        <f t="shared" si="146"/>
        <v/>
      </c>
      <c r="F87" s="46">
        <f>'GPA Calculator'!G92</f>
        <v>0</v>
      </c>
      <c r="G87" s="46">
        <f t="shared" si="160"/>
        <v>0</v>
      </c>
      <c r="H87" s="46">
        <f>'GPA Calculator'!H92</f>
        <v>0</v>
      </c>
      <c r="I87" s="46">
        <f t="shared" si="161"/>
        <v>0</v>
      </c>
      <c r="J87" s="46">
        <f>'GPA Calculator'!I92</f>
        <v>0</v>
      </c>
      <c r="K87" s="46">
        <f t="shared" si="162"/>
        <v>0</v>
      </c>
      <c r="L87" s="46">
        <f t="shared" si="163"/>
        <v>0</v>
      </c>
      <c r="M87" s="46" t="str">
        <f t="shared" si="164"/>
        <v/>
      </c>
      <c r="N87" s="46">
        <f t="shared" si="165"/>
        <v>0</v>
      </c>
      <c r="O87" s="46" t="str">
        <f t="shared" si="166"/>
        <v/>
      </c>
      <c r="P87" s="46" t="str">
        <f t="shared" si="167"/>
        <v/>
      </c>
      <c r="Q87" s="46" t="str">
        <f t="shared" si="168"/>
        <v/>
      </c>
      <c r="S87" s="46">
        <f>'GPA Calculator'!N92</f>
        <v>0</v>
      </c>
      <c r="T87" s="46">
        <f>IF('GPA Calculator'!O92="DP",0,IF('GPA Calculator'!O92="WP",0,IF('GPA Calculator'!O92="P",0,IF('GPA Calculator'!O92="FA",0,IF('GPA Calculator'!O92="CR",0,IF('GPA Calculator'!O92="NC",0,IF('GPA Calculator'!O92="",0,S87)))))))</f>
        <v>0</v>
      </c>
      <c r="U87" s="46">
        <f>IF('GPA Calculator'!O92="W",0,IF('GPA Calculator'!O92="P",0,IF('GPA Calculator'!O92="FA",0,IF('GPA Calculator'!O92="CR",0,IF('GPA Calculator'!O92="NC",0,IF('GPA Calculator'!O92="",0,'GPA Calculator'!O92))))))</f>
        <v>0</v>
      </c>
      <c r="V87" s="46">
        <f t="shared" si="169"/>
        <v>0</v>
      </c>
      <c r="W87" s="46" t="str">
        <f t="shared" si="170"/>
        <v/>
      </c>
      <c r="X87" s="46">
        <f>'GPA Calculator'!Q92</f>
        <v>0</v>
      </c>
      <c r="Y87" s="46">
        <f t="shared" si="171"/>
        <v>0</v>
      </c>
      <c r="Z87" s="46">
        <f>'GPA Calculator'!R92</f>
        <v>0</v>
      </c>
      <c r="AA87" s="46">
        <f t="shared" si="172"/>
        <v>0</v>
      </c>
      <c r="AB87" s="46">
        <f>'GPA Calculator'!S92</f>
        <v>0</v>
      </c>
      <c r="AC87" s="46">
        <f t="shared" si="173"/>
        <v>0</v>
      </c>
      <c r="AD87" s="46">
        <f t="shared" si="174"/>
        <v>0</v>
      </c>
      <c r="AE87" s="46" t="str">
        <f t="shared" si="175"/>
        <v/>
      </c>
      <c r="AF87" s="46">
        <f t="shared" si="176"/>
        <v>0</v>
      </c>
      <c r="AG87" s="46" t="str">
        <f t="shared" si="177"/>
        <v/>
      </c>
      <c r="AH87" s="46" t="str">
        <f t="shared" si="178"/>
        <v/>
      </c>
      <c r="AI87" s="46" t="str">
        <f t="shared" si="179"/>
        <v/>
      </c>
    </row>
    <row r="88" spans="1:35" x14ac:dyDescent="0.25">
      <c r="A88" s="46">
        <f>'GPA Calculator'!D93</f>
        <v>0</v>
      </c>
      <c r="B88" s="46">
        <f>IF('GPA Calculator'!E93="DP",0,IF('GPA Calculator'!E93="WP",0,IF('GPA Calculator'!E93="P",0,IF('GPA Calculator'!E93="FA",0,IF('GPA Calculator'!E93="CR",0,IF('GPA Calculator'!E93="NC",0,IF('GPA Calculator'!E93="",0,A88)))))))</f>
        <v>0</v>
      </c>
      <c r="C88" s="46">
        <f>IF('GPA Calculator'!E93="W",0,IF('GPA Calculator'!E93="P",0,IF('GPA Calculator'!E93="FA",0,IF('GPA Calculator'!E93="CR",0,IF('GPA Calculator'!E93="NC",0,IF('GPA Calculator'!E93="",0,'GPA Calculator'!E93))))))</f>
        <v>0</v>
      </c>
      <c r="D88" s="46">
        <f t="shared" si="159"/>
        <v>0</v>
      </c>
      <c r="E88" s="46" t="str">
        <f t="shared" si="146"/>
        <v/>
      </c>
      <c r="F88" s="46">
        <f>'GPA Calculator'!G93</f>
        <v>0</v>
      </c>
      <c r="G88" s="46">
        <f t="shared" si="160"/>
        <v>0</v>
      </c>
      <c r="H88" s="46">
        <f>'GPA Calculator'!H93</f>
        <v>0</v>
      </c>
      <c r="I88" s="46">
        <f t="shared" si="161"/>
        <v>0</v>
      </c>
      <c r="J88" s="46">
        <f>'GPA Calculator'!I93</f>
        <v>0</v>
      </c>
      <c r="K88" s="46">
        <f t="shared" si="162"/>
        <v>0</v>
      </c>
      <c r="L88" s="46">
        <f t="shared" si="163"/>
        <v>0</v>
      </c>
      <c r="M88" s="46" t="str">
        <f t="shared" si="164"/>
        <v/>
      </c>
      <c r="N88" s="46">
        <f t="shared" si="165"/>
        <v>0</v>
      </c>
      <c r="O88" s="46" t="str">
        <f t="shared" si="166"/>
        <v/>
      </c>
      <c r="P88" s="46" t="str">
        <f t="shared" si="167"/>
        <v/>
      </c>
      <c r="Q88" s="46" t="str">
        <f t="shared" si="168"/>
        <v/>
      </c>
      <c r="S88" s="46">
        <f>'GPA Calculator'!N93</f>
        <v>0</v>
      </c>
      <c r="T88" s="46">
        <f>IF('GPA Calculator'!O93="DP",0,IF('GPA Calculator'!O93="WP",0,IF('GPA Calculator'!O93="P",0,IF('GPA Calculator'!O93="FA",0,IF('GPA Calculator'!O93="CR",0,IF('GPA Calculator'!O93="NC",0,IF('GPA Calculator'!O93="",0,S88)))))))</f>
        <v>0</v>
      </c>
      <c r="U88" s="46">
        <f>IF('GPA Calculator'!O93="W",0,IF('GPA Calculator'!O93="P",0,IF('GPA Calculator'!O93="FA",0,IF('GPA Calculator'!O93="CR",0,IF('GPA Calculator'!O93="NC",0,IF('GPA Calculator'!O93="",0,'GPA Calculator'!O93))))))</f>
        <v>0</v>
      </c>
      <c r="V88" s="46">
        <f t="shared" si="169"/>
        <v>0</v>
      </c>
      <c r="W88" s="46" t="str">
        <f t="shared" si="170"/>
        <v/>
      </c>
      <c r="X88" s="46">
        <f>'GPA Calculator'!Q93</f>
        <v>0</v>
      </c>
      <c r="Y88" s="46">
        <f t="shared" si="171"/>
        <v>0</v>
      </c>
      <c r="Z88" s="46">
        <f>'GPA Calculator'!R93</f>
        <v>0</v>
      </c>
      <c r="AA88" s="46">
        <f t="shared" si="172"/>
        <v>0</v>
      </c>
      <c r="AB88" s="46">
        <f>'GPA Calculator'!S93</f>
        <v>0</v>
      </c>
      <c r="AC88" s="46">
        <f t="shared" si="173"/>
        <v>0</v>
      </c>
      <c r="AD88" s="46">
        <f t="shared" si="174"/>
        <v>0</v>
      </c>
      <c r="AE88" s="46" t="str">
        <f t="shared" si="175"/>
        <v/>
      </c>
      <c r="AF88" s="46">
        <f t="shared" si="176"/>
        <v>0</v>
      </c>
      <c r="AG88" s="46" t="str">
        <f t="shared" si="177"/>
        <v/>
      </c>
      <c r="AH88" s="46" t="str">
        <f t="shared" si="178"/>
        <v/>
      </c>
      <c r="AI88" s="46" t="str">
        <f t="shared" si="179"/>
        <v/>
      </c>
    </row>
    <row r="89" spans="1:35" x14ac:dyDescent="0.25">
      <c r="A89" s="46">
        <f>'GPA Calculator'!D94</f>
        <v>0</v>
      </c>
      <c r="B89" s="46">
        <f>IF('GPA Calculator'!E94="DP",0,IF('GPA Calculator'!E94="WP",0,IF('GPA Calculator'!E94="P",0,IF('GPA Calculator'!E94="FA",0,IF('GPA Calculator'!E94="CR",0,IF('GPA Calculator'!E94="NC",0,IF('GPA Calculator'!E94="",0,A89)))))))</f>
        <v>0</v>
      </c>
      <c r="C89" s="46">
        <f>IF('GPA Calculator'!E94="W",0,IF('GPA Calculator'!E94="P",0,IF('GPA Calculator'!E94="FA",0,IF('GPA Calculator'!E94="CR",0,IF('GPA Calculator'!E94="NC",0,IF('GPA Calculator'!E94="",0,'GPA Calculator'!E94))))))</f>
        <v>0</v>
      </c>
      <c r="D89" s="46">
        <f t="shared" si="159"/>
        <v>0</v>
      </c>
      <c r="E89" s="46" t="str">
        <f t="shared" si="146"/>
        <v/>
      </c>
      <c r="F89" s="46">
        <f>'GPA Calculator'!G94</f>
        <v>0</v>
      </c>
      <c r="G89" s="46">
        <f t="shared" si="160"/>
        <v>0</v>
      </c>
      <c r="H89" s="46">
        <f>'GPA Calculator'!H94</f>
        <v>0</v>
      </c>
      <c r="I89" s="46">
        <f t="shared" si="161"/>
        <v>0</v>
      </c>
      <c r="J89" s="46">
        <f>'GPA Calculator'!I94</f>
        <v>0</v>
      </c>
      <c r="K89" s="46">
        <f t="shared" si="162"/>
        <v>0</v>
      </c>
      <c r="L89" s="46">
        <f t="shared" si="163"/>
        <v>0</v>
      </c>
      <c r="M89" s="46" t="str">
        <f t="shared" si="164"/>
        <v/>
      </c>
      <c r="N89" s="46">
        <f t="shared" si="165"/>
        <v>0</v>
      </c>
      <c r="O89" s="46" t="str">
        <f t="shared" si="166"/>
        <v/>
      </c>
      <c r="P89" s="46" t="str">
        <f t="shared" si="167"/>
        <v/>
      </c>
      <c r="Q89" s="46" t="str">
        <f t="shared" si="168"/>
        <v/>
      </c>
      <c r="S89" s="46">
        <f>'GPA Calculator'!N94</f>
        <v>0</v>
      </c>
      <c r="T89" s="46">
        <f>IF('GPA Calculator'!O94="DP",0,IF('GPA Calculator'!O94="WP",0,IF('GPA Calculator'!O94="P",0,IF('GPA Calculator'!O94="FA",0,IF('GPA Calculator'!O94="CR",0,IF('GPA Calculator'!O94="NC",0,IF('GPA Calculator'!O94="",0,S89)))))))</f>
        <v>0</v>
      </c>
      <c r="U89" s="46">
        <f>IF('GPA Calculator'!O94="W",0,IF('GPA Calculator'!O94="P",0,IF('GPA Calculator'!O94="FA",0,IF('GPA Calculator'!O94="CR",0,IF('GPA Calculator'!O94="NC",0,IF('GPA Calculator'!O94="",0,'GPA Calculator'!O94))))))</f>
        <v>0</v>
      </c>
      <c r="V89" s="46">
        <f t="shared" si="169"/>
        <v>0</v>
      </c>
      <c r="W89" s="46" t="str">
        <f t="shared" si="170"/>
        <v/>
      </c>
      <c r="X89" s="46">
        <f>'GPA Calculator'!Q94</f>
        <v>0</v>
      </c>
      <c r="Y89" s="46">
        <f t="shared" si="171"/>
        <v>0</v>
      </c>
      <c r="Z89" s="46">
        <f>'GPA Calculator'!R94</f>
        <v>0</v>
      </c>
      <c r="AA89" s="46">
        <f t="shared" si="172"/>
        <v>0</v>
      </c>
      <c r="AB89" s="46">
        <f>'GPA Calculator'!S94</f>
        <v>0</v>
      </c>
      <c r="AC89" s="46">
        <f t="shared" si="173"/>
        <v>0</v>
      </c>
      <c r="AD89" s="46">
        <f t="shared" si="174"/>
        <v>0</v>
      </c>
      <c r="AE89" s="46" t="str">
        <f t="shared" si="175"/>
        <v/>
      </c>
      <c r="AF89" s="46">
        <f t="shared" si="176"/>
        <v>0</v>
      </c>
      <c r="AG89" s="46" t="str">
        <f t="shared" si="177"/>
        <v/>
      </c>
      <c r="AH89" s="46" t="str">
        <f t="shared" si="178"/>
        <v/>
      </c>
      <c r="AI89" s="46" t="str">
        <f t="shared" si="179"/>
        <v/>
      </c>
    </row>
    <row r="90" spans="1:35" x14ac:dyDescent="0.25">
      <c r="A90" s="46">
        <f>'GPA Calculator'!D95</f>
        <v>0</v>
      </c>
      <c r="B90" s="46">
        <f>IF('GPA Calculator'!E95="DP",0,IF('GPA Calculator'!E95="WP",0,IF('GPA Calculator'!E95="P",0,IF('GPA Calculator'!E95="FA",0,IF('GPA Calculator'!E95="CR",0,IF('GPA Calculator'!E95="NC",0,IF('GPA Calculator'!E95="",0,A90)))))))</f>
        <v>0</v>
      </c>
      <c r="C90" s="46">
        <f>IF('GPA Calculator'!E95="W",0,IF('GPA Calculator'!E95="P",0,IF('GPA Calculator'!E95="FA",0,IF('GPA Calculator'!E95="CR",0,IF('GPA Calculator'!E95="NC",0,IF('GPA Calculator'!E95="",0,'GPA Calculator'!E95))))))</f>
        <v>0</v>
      </c>
      <c r="D90" s="46">
        <f t="shared" si="159"/>
        <v>0</v>
      </c>
      <c r="E90" s="46" t="str">
        <f t="shared" si="146"/>
        <v/>
      </c>
      <c r="F90" s="46">
        <f>'GPA Calculator'!G95</f>
        <v>0</v>
      </c>
      <c r="G90" s="46">
        <f t="shared" si="160"/>
        <v>0</v>
      </c>
      <c r="H90" s="46">
        <f>'GPA Calculator'!H95</f>
        <v>0</v>
      </c>
      <c r="I90" s="46">
        <f t="shared" si="161"/>
        <v>0</v>
      </c>
      <c r="J90" s="46">
        <f>'GPA Calculator'!I95</f>
        <v>0</v>
      </c>
      <c r="K90" s="46">
        <f t="shared" si="162"/>
        <v>0</v>
      </c>
      <c r="L90" s="46">
        <f t="shared" si="163"/>
        <v>0</v>
      </c>
      <c r="M90" s="46" t="str">
        <f t="shared" si="164"/>
        <v/>
      </c>
      <c r="N90" s="46">
        <f t="shared" si="165"/>
        <v>0</v>
      </c>
      <c r="O90" s="46" t="str">
        <f t="shared" si="166"/>
        <v/>
      </c>
      <c r="P90" s="46" t="str">
        <f t="shared" si="167"/>
        <v/>
      </c>
      <c r="Q90" s="46" t="str">
        <f t="shared" si="168"/>
        <v/>
      </c>
      <c r="S90" s="46">
        <f>'GPA Calculator'!N95</f>
        <v>0</v>
      </c>
      <c r="T90" s="46">
        <f>IF('GPA Calculator'!O95="DP",0,IF('GPA Calculator'!O95="WP",0,IF('GPA Calculator'!O95="P",0,IF('GPA Calculator'!O95="FA",0,IF('GPA Calculator'!O95="CR",0,IF('GPA Calculator'!O95="NC",0,IF('GPA Calculator'!O95="",0,S90)))))))</f>
        <v>0</v>
      </c>
      <c r="U90" s="46">
        <f>IF('GPA Calculator'!O95="W",0,IF('GPA Calculator'!O95="P",0,IF('GPA Calculator'!O95="FA",0,IF('GPA Calculator'!O95="CR",0,IF('GPA Calculator'!O95="NC",0,IF('GPA Calculator'!O95="",0,'GPA Calculator'!O95))))))</f>
        <v>0</v>
      </c>
      <c r="V90" s="46">
        <f t="shared" si="169"/>
        <v>0</v>
      </c>
      <c r="W90" s="46" t="str">
        <f t="shared" si="170"/>
        <v/>
      </c>
      <c r="X90" s="46">
        <f>'GPA Calculator'!Q95</f>
        <v>0</v>
      </c>
      <c r="Y90" s="46">
        <f t="shared" si="171"/>
        <v>0</v>
      </c>
      <c r="Z90" s="46">
        <f>'GPA Calculator'!R95</f>
        <v>0</v>
      </c>
      <c r="AA90" s="46">
        <f t="shared" si="172"/>
        <v>0</v>
      </c>
      <c r="AB90" s="46">
        <f>'GPA Calculator'!S95</f>
        <v>0</v>
      </c>
      <c r="AC90" s="46">
        <f t="shared" si="173"/>
        <v>0</v>
      </c>
      <c r="AD90" s="46">
        <f t="shared" si="174"/>
        <v>0</v>
      </c>
      <c r="AE90" s="46" t="str">
        <f t="shared" si="175"/>
        <v/>
      </c>
      <c r="AF90" s="46">
        <f t="shared" si="176"/>
        <v>0</v>
      </c>
      <c r="AG90" s="46" t="str">
        <f t="shared" si="177"/>
        <v/>
      </c>
      <c r="AH90" s="46" t="str">
        <f t="shared" si="178"/>
        <v/>
      </c>
      <c r="AI90" s="46" t="str">
        <f t="shared" si="179"/>
        <v/>
      </c>
    </row>
    <row r="91" spans="1:35" x14ac:dyDescent="0.25">
      <c r="A91" s="46">
        <f>'GPA Calculator'!D96</f>
        <v>0</v>
      </c>
      <c r="B91" s="46">
        <f>IF('GPA Calculator'!E96="DP",0,IF('GPA Calculator'!E96="WP",0,IF('GPA Calculator'!E96="P",0,IF('GPA Calculator'!E96="FA",0,IF('GPA Calculator'!E96="CR",0,IF('GPA Calculator'!E96="NC",0,IF('GPA Calculator'!E96="",0,A91)))))))</f>
        <v>0</v>
      </c>
      <c r="C91" s="46">
        <f>IF('GPA Calculator'!E96="W",0,IF('GPA Calculator'!E96="P",0,IF('GPA Calculator'!E96="FA",0,IF('GPA Calculator'!E96="CR",0,IF('GPA Calculator'!E96="NC",0,IF('GPA Calculator'!E96="",0,'GPA Calculator'!E96))))))</f>
        <v>0</v>
      </c>
      <c r="D91" s="46">
        <f t="shared" si="159"/>
        <v>0</v>
      </c>
      <c r="E91" s="46" t="str">
        <f t="shared" si="146"/>
        <v/>
      </c>
      <c r="F91" s="46">
        <f>'GPA Calculator'!G96</f>
        <v>0</v>
      </c>
      <c r="G91" s="46">
        <f t="shared" si="160"/>
        <v>0</v>
      </c>
      <c r="H91" s="46">
        <f>'GPA Calculator'!H96</f>
        <v>0</v>
      </c>
      <c r="I91" s="46">
        <f t="shared" si="161"/>
        <v>0</v>
      </c>
      <c r="J91" s="46">
        <f>'GPA Calculator'!I96</f>
        <v>0</v>
      </c>
      <c r="K91" s="46">
        <f t="shared" si="162"/>
        <v>0</v>
      </c>
      <c r="L91" s="46">
        <f t="shared" si="163"/>
        <v>0</v>
      </c>
      <c r="M91" s="46" t="str">
        <f t="shared" si="164"/>
        <v/>
      </c>
      <c r="N91" s="46">
        <f t="shared" si="165"/>
        <v>0</v>
      </c>
      <c r="O91" s="46" t="str">
        <f t="shared" si="166"/>
        <v/>
      </c>
      <c r="P91" s="46" t="str">
        <f t="shared" si="167"/>
        <v/>
      </c>
      <c r="Q91" s="46" t="str">
        <f t="shared" si="168"/>
        <v/>
      </c>
      <c r="S91" s="46">
        <f>'GPA Calculator'!N96</f>
        <v>0</v>
      </c>
      <c r="T91" s="46">
        <f>IF('GPA Calculator'!O96="DP",0,IF('GPA Calculator'!O96="WP",0,IF('GPA Calculator'!O96="P",0,IF('GPA Calculator'!O96="FA",0,IF('GPA Calculator'!O96="CR",0,IF('GPA Calculator'!O96="NC",0,IF('GPA Calculator'!O96="",0,S91)))))))</f>
        <v>0</v>
      </c>
      <c r="U91" s="46">
        <f>IF('GPA Calculator'!O96="W",0,IF('GPA Calculator'!O96="P",0,IF('GPA Calculator'!O96="FA",0,IF('GPA Calculator'!O96="CR",0,IF('GPA Calculator'!O96="NC",0,IF('GPA Calculator'!O96="",0,'GPA Calculator'!O96))))))</f>
        <v>0</v>
      </c>
      <c r="V91" s="46">
        <f t="shared" si="169"/>
        <v>0</v>
      </c>
      <c r="W91" s="46" t="str">
        <f t="shared" si="170"/>
        <v/>
      </c>
      <c r="X91" s="46">
        <f>'GPA Calculator'!Q96</f>
        <v>0</v>
      </c>
      <c r="Y91" s="46">
        <f t="shared" si="171"/>
        <v>0</v>
      </c>
      <c r="Z91" s="46">
        <f>'GPA Calculator'!R96</f>
        <v>0</v>
      </c>
      <c r="AA91" s="46">
        <f t="shared" si="172"/>
        <v>0</v>
      </c>
      <c r="AB91" s="46">
        <f>'GPA Calculator'!S96</f>
        <v>0</v>
      </c>
      <c r="AC91" s="46">
        <f t="shared" si="173"/>
        <v>0</v>
      </c>
      <c r="AD91" s="46">
        <f t="shared" si="174"/>
        <v>0</v>
      </c>
      <c r="AE91" s="46" t="str">
        <f t="shared" si="175"/>
        <v/>
      </c>
      <c r="AF91" s="46">
        <f t="shared" si="176"/>
        <v>0</v>
      </c>
      <c r="AG91" s="46" t="str">
        <f t="shared" si="177"/>
        <v/>
      </c>
      <c r="AH91" s="46" t="str">
        <f t="shared" si="178"/>
        <v/>
      </c>
      <c r="AI91" s="46" t="str">
        <f t="shared" si="179"/>
        <v/>
      </c>
    </row>
    <row r="92" spans="1:35" x14ac:dyDescent="0.25">
      <c r="A92" s="46">
        <f>'GPA Calculator'!D97</f>
        <v>0</v>
      </c>
      <c r="B92" s="46">
        <f>IF('GPA Calculator'!E97="DP",0,IF('GPA Calculator'!E97="WP",0,IF('GPA Calculator'!E97="P",0,IF('GPA Calculator'!E97="FA",0,IF('GPA Calculator'!E97="CR",0,IF('GPA Calculator'!E97="NC",0,IF('GPA Calculator'!E97="",0,A92)))))))</f>
        <v>0</v>
      </c>
      <c r="C92" s="46">
        <f>IF('GPA Calculator'!E97="W",0,IF('GPA Calculator'!E97="P",0,IF('GPA Calculator'!E97="FA",0,IF('GPA Calculator'!E97="CR",0,IF('GPA Calculator'!E97="NC",0,IF('GPA Calculator'!E97="",0,'GPA Calculator'!E97))))))</f>
        <v>0</v>
      </c>
      <c r="D92" s="46">
        <f t="shared" si="159"/>
        <v>0</v>
      </c>
      <c r="E92" s="46" t="str">
        <f t="shared" si="146"/>
        <v/>
      </c>
      <c r="F92" s="46">
        <f>'GPA Calculator'!G97</f>
        <v>0</v>
      </c>
      <c r="G92" s="46">
        <f t="shared" si="160"/>
        <v>0</v>
      </c>
      <c r="H92" s="46">
        <f>'GPA Calculator'!H97</f>
        <v>0</v>
      </c>
      <c r="I92" s="46">
        <f t="shared" si="161"/>
        <v>0</v>
      </c>
      <c r="J92" s="46">
        <f>'GPA Calculator'!I97</f>
        <v>0</v>
      </c>
      <c r="K92" s="46">
        <f t="shared" si="162"/>
        <v>0</v>
      </c>
      <c r="L92" s="46">
        <f t="shared" si="163"/>
        <v>0</v>
      </c>
      <c r="M92" s="46" t="str">
        <f t="shared" si="164"/>
        <v/>
      </c>
      <c r="N92" s="46">
        <f t="shared" si="165"/>
        <v>0</v>
      </c>
      <c r="O92" s="46" t="str">
        <f t="shared" si="166"/>
        <v/>
      </c>
      <c r="P92" s="46" t="str">
        <f t="shared" si="167"/>
        <v/>
      </c>
      <c r="Q92" s="46" t="str">
        <f t="shared" si="168"/>
        <v/>
      </c>
      <c r="S92" s="46">
        <f>'GPA Calculator'!N97</f>
        <v>0</v>
      </c>
      <c r="T92" s="46">
        <f>IF('GPA Calculator'!O97="DP",0,IF('GPA Calculator'!O97="WP",0,IF('GPA Calculator'!O97="P",0,IF('GPA Calculator'!O97="FA",0,IF('GPA Calculator'!O97="CR",0,IF('GPA Calculator'!O97="NC",0,IF('GPA Calculator'!O97="",0,S92)))))))</f>
        <v>0</v>
      </c>
      <c r="U92" s="46">
        <f>IF('GPA Calculator'!O97="W",0,IF('GPA Calculator'!O97="P",0,IF('GPA Calculator'!O97="FA",0,IF('GPA Calculator'!O97="CR",0,IF('GPA Calculator'!O97="NC",0,IF('GPA Calculator'!O97="",0,'GPA Calculator'!O97))))))</f>
        <v>0</v>
      </c>
      <c r="V92" s="46">
        <f t="shared" si="169"/>
        <v>0</v>
      </c>
      <c r="W92" s="46" t="str">
        <f t="shared" si="170"/>
        <v/>
      </c>
      <c r="X92" s="46">
        <f>'GPA Calculator'!Q97</f>
        <v>0</v>
      </c>
      <c r="Y92" s="46">
        <f t="shared" si="171"/>
        <v>0</v>
      </c>
      <c r="Z92" s="46">
        <f>'GPA Calculator'!R97</f>
        <v>0</v>
      </c>
      <c r="AA92" s="46">
        <f t="shared" si="172"/>
        <v>0</v>
      </c>
      <c r="AB92" s="46">
        <f>'GPA Calculator'!S97</f>
        <v>0</v>
      </c>
      <c r="AC92" s="46">
        <f t="shared" si="173"/>
        <v>0</v>
      </c>
      <c r="AD92" s="46">
        <f t="shared" si="174"/>
        <v>0</v>
      </c>
      <c r="AE92" s="46" t="str">
        <f t="shared" si="175"/>
        <v/>
      </c>
      <c r="AF92" s="46">
        <f t="shared" si="176"/>
        <v>0</v>
      </c>
      <c r="AG92" s="46" t="str">
        <f t="shared" si="177"/>
        <v/>
      </c>
      <c r="AH92" s="46" t="str">
        <f t="shared" si="178"/>
        <v/>
      </c>
      <c r="AI92" s="46" t="str">
        <f t="shared" si="179"/>
        <v/>
      </c>
    </row>
    <row r="93" spans="1:35" x14ac:dyDescent="0.25">
      <c r="A93" s="46">
        <f>'GPA Calculator'!D98</f>
        <v>0</v>
      </c>
      <c r="B93" s="46">
        <f>IF('GPA Calculator'!E98="DP",0,IF('GPA Calculator'!E98="WP",0,IF('GPA Calculator'!E98="P",0,IF('GPA Calculator'!E98="FA",0,IF('GPA Calculator'!E98="CR",0,IF('GPA Calculator'!E98="NC",0,IF('GPA Calculator'!E98="",0,A93)))))))</f>
        <v>0</v>
      </c>
      <c r="C93" s="46">
        <f>IF('GPA Calculator'!E98="W",0,IF('GPA Calculator'!E98="P",0,IF('GPA Calculator'!E98="FA",0,IF('GPA Calculator'!E98="CR",0,IF('GPA Calculator'!E98="NC",0,IF('GPA Calculator'!E98="",0,'GPA Calculator'!E98))))))</f>
        <v>0</v>
      </c>
      <c r="D93" s="46">
        <f t="shared" si="159"/>
        <v>0</v>
      </c>
      <c r="E93" s="46" t="str">
        <f t="shared" si="146"/>
        <v/>
      </c>
      <c r="F93" s="46">
        <f>'GPA Calculator'!G98</f>
        <v>0</v>
      </c>
      <c r="G93" s="46">
        <f t="shared" si="160"/>
        <v>0</v>
      </c>
      <c r="H93" s="46">
        <f>'GPA Calculator'!H98</f>
        <v>0</v>
      </c>
      <c r="I93" s="46">
        <f t="shared" si="161"/>
        <v>0</v>
      </c>
      <c r="J93" s="46">
        <f>'GPA Calculator'!I98</f>
        <v>0</v>
      </c>
      <c r="K93" s="46">
        <f t="shared" si="162"/>
        <v>0</v>
      </c>
      <c r="L93" s="46">
        <f t="shared" si="163"/>
        <v>0</v>
      </c>
      <c r="M93" s="46" t="str">
        <f t="shared" si="164"/>
        <v/>
      </c>
      <c r="N93" s="46">
        <f t="shared" si="165"/>
        <v>0</v>
      </c>
      <c r="O93" s="46" t="str">
        <f t="shared" si="166"/>
        <v/>
      </c>
      <c r="P93" s="46" t="str">
        <f t="shared" si="167"/>
        <v/>
      </c>
      <c r="Q93" s="46" t="str">
        <f t="shared" si="168"/>
        <v/>
      </c>
      <c r="S93" s="46">
        <f>'GPA Calculator'!N98</f>
        <v>0</v>
      </c>
      <c r="T93" s="46">
        <f>IF('GPA Calculator'!O98="DP",0,IF('GPA Calculator'!O98="WP",0,IF('GPA Calculator'!O98="P",0,IF('GPA Calculator'!O98="FA",0,IF('GPA Calculator'!O98="CR",0,IF('GPA Calculator'!O98="NC",0,IF('GPA Calculator'!O98="",0,S93)))))))</f>
        <v>0</v>
      </c>
      <c r="U93" s="46">
        <f>IF('GPA Calculator'!O98="W",0,IF('GPA Calculator'!O98="P",0,IF('GPA Calculator'!O98="FA",0,IF('GPA Calculator'!O98="CR",0,IF('GPA Calculator'!O98="NC",0,IF('GPA Calculator'!O98="",0,'GPA Calculator'!O98))))))</f>
        <v>0</v>
      </c>
      <c r="V93" s="46">
        <f t="shared" si="169"/>
        <v>0</v>
      </c>
      <c r="W93" s="46" t="str">
        <f t="shared" si="170"/>
        <v/>
      </c>
      <c r="X93" s="46">
        <f>'GPA Calculator'!Q98</f>
        <v>0</v>
      </c>
      <c r="Y93" s="46">
        <f t="shared" si="171"/>
        <v>0</v>
      </c>
      <c r="Z93" s="46">
        <f>'GPA Calculator'!R98</f>
        <v>0</v>
      </c>
      <c r="AA93" s="46">
        <f t="shared" si="172"/>
        <v>0</v>
      </c>
      <c r="AB93" s="46">
        <f>'GPA Calculator'!S98</f>
        <v>0</v>
      </c>
      <c r="AC93" s="46">
        <f t="shared" si="173"/>
        <v>0</v>
      </c>
      <c r="AD93" s="46">
        <f t="shared" si="174"/>
        <v>0</v>
      </c>
      <c r="AE93" s="46" t="str">
        <f t="shared" si="175"/>
        <v/>
      </c>
      <c r="AF93" s="46">
        <f t="shared" si="176"/>
        <v>0</v>
      </c>
      <c r="AG93" s="46" t="str">
        <f t="shared" si="177"/>
        <v/>
      </c>
      <c r="AH93" s="46" t="str">
        <f t="shared" si="178"/>
        <v/>
      </c>
      <c r="AI93" s="46" t="str">
        <f t="shared" si="179"/>
        <v/>
      </c>
    </row>
    <row r="94" spans="1:35" x14ac:dyDescent="0.25">
      <c r="B94" s="46">
        <f t="shared" ref="B94:E94" si="180">SUM(B85:B93)</f>
        <v>0</v>
      </c>
      <c r="E94" s="46">
        <f t="shared" si="180"/>
        <v>0</v>
      </c>
      <c r="L94" s="46">
        <f>SUM(L85:L93)</f>
        <v>0</v>
      </c>
      <c r="M94" s="46">
        <f t="shared" ref="M94" si="181">SUM(M85:M93)</f>
        <v>0</v>
      </c>
      <c r="N94" s="46">
        <f t="shared" ref="N94" si="182">SUM(N85:N93)</f>
        <v>0</v>
      </c>
      <c r="O94" s="46">
        <f t="shared" ref="O94" si="183">SUM(O85:O93)</f>
        <v>0</v>
      </c>
      <c r="P94" s="46">
        <f t="shared" ref="P94" si="184">SUM(P85:P93)</f>
        <v>0</v>
      </c>
      <c r="Q94" s="46">
        <f t="shared" ref="Q94" si="185">SUM(Q85:Q93)</f>
        <v>0</v>
      </c>
      <c r="T94" s="46">
        <f t="shared" ref="T94:W94" si="186">SUM(T85:T93)</f>
        <v>0</v>
      </c>
      <c r="V94" s="46">
        <f t="shared" si="186"/>
        <v>0</v>
      </c>
      <c r="W94" s="46">
        <f t="shared" si="186"/>
        <v>0</v>
      </c>
      <c r="AD94" s="46">
        <f t="shared" ref="AD94" si="187">SUM(AD85:AD93)</f>
        <v>0</v>
      </c>
      <c r="AE94" s="46">
        <f t="shared" ref="AE94" si="188">SUM(AE85:AE93)</f>
        <v>0</v>
      </c>
      <c r="AF94" s="46">
        <f t="shared" ref="AF94" si="189">SUM(AF85:AF93)</f>
        <v>0</v>
      </c>
      <c r="AG94" s="46">
        <f t="shared" ref="AG94" si="190">SUM(AG85:AG93)</f>
        <v>0</v>
      </c>
      <c r="AH94" s="46">
        <f t="shared" ref="AH94" si="191">SUM(AH85:AH93)</f>
        <v>0</v>
      </c>
      <c r="AI94" s="46">
        <f>SUM(AI85:AI93)</f>
        <v>0</v>
      </c>
    </row>
    <row r="95" spans="1:35" x14ac:dyDescent="0.25">
      <c r="L95" s="46" t="s">
        <v>10</v>
      </c>
      <c r="M95" s="46" t="str">
        <f>IF(L94=0,"",M94/L94)</f>
        <v/>
      </c>
      <c r="N95" s="46" t="s">
        <v>20</v>
      </c>
      <c r="O95" s="46" t="str">
        <f>IF(N94=0,"",O94/N94)</f>
        <v/>
      </c>
      <c r="P95" s="46" t="s">
        <v>23</v>
      </c>
      <c r="Q95" s="46" t="str">
        <f>IF(P94=0,"",Q94/P94)</f>
        <v/>
      </c>
      <c r="AD95" s="46" t="s">
        <v>10</v>
      </c>
      <c r="AE95" s="46" t="str">
        <f>IF(AD94=0,"",AE94/AD94)</f>
        <v/>
      </c>
      <c r="AF95" s="46" t="s">
        <v>20</v>
      </c>
      <c r="AG95" s="46" t="str">
        <f>IF(AF94=0,"",AG94/AF94)</f>
        <v/>
      </c>
      <c r="AH95" s="46" t="s">
        <v>23</v>
      </c>
      <c r="AI95" s="46" t="str">
        <f>IF(AH94=0,"",AI94/AH94)</f>
        <v/>
      </c>
    </row>
    <row r="97" spans="1:14" x14ac:dyDescent="0.25">
      <c r="C97" s="48" t="s">
        <v>57</v>
      </c>
      <c r="D97" s="46">
        <f>L94+AD94+AD78+L78+L62+AD62+AD46+L46+L30+AD30+AD14+L14</f>
        <v>0</v>
      </c>
      <c r="M97" s="48" t="s">
        <v>62</v>
      </c>
      <c r="N97" s="49" t="str">
        <f>IF(D97=0,"",(M94+AE94+AE78+M78+M62+AE62+AE46+M46+M30+AE30+AE14+M14)/D97)</f>
        <v/>
      </c>
    </row>
    <row r="98" spans="1:14" x14ac:dyDescent="0.25">
      <c r="C98" s="48" t="s">
        <v>24</v>
      </c>
      <c r="D98" s="46">
        <f>N14+AF14+N78+N94+AF30+N30+N46+AF46+AF78+AF94+AF62+N62</f>
        <v>0</v>
      </c>
      <c r="M98" s="48" t="s">
        <v>28</v>
      </c>
      <c r="N98" s="49" t="str">
        <f>IF(D98=0,"",(O14+AG14+O78+O94+AG30+O30+O46+AG46+AG78+AG94+AG62+O62)/D98)</f>
        <v/>
      </c>
    </row>
    <row r="99" spans="1:14" x14ac:dyDescent="0.25">
      <c r="C99" s="48" t="s">
        <v>30</v>
      </c>
      <c r="D99" s="46">
        <f>P62+AH62+P78+P94+AH46+P46+P30+AH30+AH78+AH94+AH14+P14</f>
        <v>0</v>
      </c>
      <c r="M99" s="48" t="s">
        <v>29</v>
      </c>
      <c r="N99" s="49" t="str">
        <f>IF(D99=0,"",(Q14+AI14+Q78+AI78+AI30+Q30+Q46+AI46+Q94+AI94+AI62+Q62)/D99)</f>
        <v/>
      </c>
    </row>
    <row r="100" spans="1:14" x14ac:dyDescent="0.25">
      <c r="M100" s="48"/>
    </row>
    <row r="104" spans="1:14" x14ac:dyDescent="0.25">
      <c r="A104" s="47" t="s">
        <v>51</v>
      </c>
    </row>
    <row r="105" spans="1:14" x14ac:dyDescent="0.25">
      <c r="A105" s="47" t="s">
        <v>55</v>
      </c>
    </row>
    <row r="106" spans="1:14" x14ac:dyDescent="0.25">
      <c r="A106" s="47" t="s">
        <v>83</v>
      </c>
    </row>
    <row r="107" spans="1:14" x14ac:dyDescent="0.25">
      <c r="A107" s="47"/>
    </row>
  </sheetData>
  <sheetProtection password="D0A3" sheet="1" objects="1" scenarios="1" selectLockedCells="1"/>
  <mergeCells count="1">
    <mergeCell ref="AL1:AM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U90"/>
  <sheetViews>
    <sheetView topLeftCell="A55" zoomScale="75" zoomScaleNormal="75" workbookViewId="0">
      <selection activeCell="L90" sqref="L90"/>
    </sheetView>
  </sheetViews>
  <sheetFormatPr defaultRowHeight="15" x14ac:dyDescent="0.25"/>
  <cols>
    <col min="1" max="4" width="9.140625" style="58"/>
    <col min="8" max="11" width="9.140625" style="58"/>
    <col min="15" max="15" width="11.5703125" bestFit="1" customWidth="1"/>
  </cols>
  <sheetData>
    <row r="1" spans="1:21" x14ac:dyDescent="0.25">
      <c r="A1" s="58" t="s">
        <v>4</v>
      </c>
      <c r="B1" s="58" t="s">
        <v>5</v>
      </c>
      <c r="C1" s="58" t="s">
        <v>74</v>
      </c>
      <c r="H1" s="58" t="s">
        <v>4</v>
      </c>
      <c r="I1" s="58" t="s">
        <v>5</v>
      </c>
      <c r="J1" s="58" t="s">
        <v>74</v>
      </c>
      <c r="O1" s="83" t="s">
        <v>77</v>
      </c>
      <c r="P1" s="59" t="s">
        <v>4</v>
      </c>
      <c r="Q1" s="59" t="s">
        <v>75</v>
      </c>
      <c r="R1" s="59" t="s">
        <v>76</v>
      </c>
      <c r="T1" s="84" t="s">
        <v>12</v>
      </c>
      <c r="U1" s="84"/>
    </row>
    <row r="2" spans="1:21" x14ac:dyDescent="0.25">
      <c r="A2" s="58">
        <f>IF('GPA Calculator'!A5="BIO",'GPA Calculator'!D5,IF('GPA Calculator'!A5="CHE",'GPA Calculator'!D5,IF('GPA Calculator'!A5="PHY",'GPA Calculator'!D5,IF('GPA Calculator'!A5="MTH",'GPA Calculator'!D5,IF('GPA Calculator'!A5="STA",'GPA Calculator'!D5,0)))))</f>
        <v>0</v>
      </c>
      <c r="B2" s="58">
        <f>IF(A2=0,0,IF('GPA Calculator'!E5="W",0,IF('GPA Calculator'!E5="P",0,IF('GPA Calculator'!E5="FA",0,IF('GPA Calculator'!E5="CR",0,IF('GPA Calculator'!E5="NC",0,IF('GPA Calculator'!E5="",0,'GPA Calculator'!E5)))))))</f>
        <v>0</v>
      </c>
      <c r="C2" s="58">
        <f t="shared" ref="C2:C10" si="0">IF(A2=0,0,VLOOKUP(B2,$T$2:$U$14,2,FALSE))</f>
        <v>0</v>
      </c>
      <c r="D2" s="58">
        <f>C2*A2</f>
        <v>0</v>
      </c>
      <c r="H2" s="58">
        <f>IF('GPA Calculator'!K5="BIO",'GPA Calculator'!N5,IF('GPA Calculator'!K5="CHE",'GPA Calculator'!N5,IF('GPA Calculator'!K5="PHY",'GPA Calculator'!N5,IF('GPA Calculator'!K5="MTH",'GPA Calculator'!N5,IF('GPA Calculator'!K5="STA",'GPA Calculator'!N5,0)))))</f>
        <v>0</v>
      </c>
      <c r="I2" s="58">
        <f>IF(H2=0,0,IF('GPA Calculator'!O5="W",0,IF('GPA Calculator'!O5="P",0,IF('GPA Calculator'!O5="FA",0,IF('GPA Calculator'!O5="CR",0,IF('GPA Calculator'!O5="NC",0,IF('GPA Calculator'!O5="",0,'GPA Calculator'!O5)))))))</f>
        <v>0</v>
      </c>
      <c r="J2" s="58">
        <f t="shared" ref="J2:J10" si="1">IF(H2=0,0,VLOOKUP(I2,$T$2:$U$14,2,FALSE))</f>
        <v>0</v>
      </c>
      <c r="K2" s="58">
        <f>J2*H2</f>
        <v>0</v>
      </c>
      <c r="O2" s="83"/>
      <c r="P2" s="59">
        <f>A11+A27+A43+A58+A74+A90+H90+H74+H58+H43+H27+H11</f>
        <v>0</v>
      </c>
      <c r="Q2" s="59">
        <f>D11+K11+D27+K27+D43+K43+D58+K58+D74+K74+D90+K90</f>
        <v>0</v>
      </c>
      <c r="R2" s="59" t="str">
        <f>IF(P2=0,"",Q2/P2)</f>
        <v/>
      </c>
      <c r="T2" s="60" t="s">
        <v>13</v>
      </c>
      <c r="U2" s="60">
        <v>4</v>
      </c>
    </row>
    <row r="3" spans="1:21" x14ac:dyDescent="0.25">
      <c r="A3" s="58">
        <f>IF('GPA Calculator'!A6="BIO",'GPA Calculator'!D6,IF('GPA Calculator'!A6="CHE",'GPA Calculator'!D6,IF('GPA Calculator'!A6="PHY",'GPA Calculator'!D6,IF('GPA Calculator'!A6="MTH",'GPA Calculator'!D6,IF('GPA Calculator'!A6="STA",'GPA Calculator'!D6,0)))))</f>
        <v>0</v>
      </c>
      <c r="B3" s="58">
        <f>IF(A3=0,0,IF('GPA Calculator'!E6="W",0,IF('GPA Calculator'!E6="P",0,IF('GPA Calculator'!E6="FA",0,IF('GPA Calculator'!E6="CR",0,IF('GPA Calculator'!E6="NC",0,IF('GPA Calculator'!E6="",0,'GPA Calculator'!E6)))))))</f>
        <v>0</v>
      </c>
      <c r="C3" s="58">
        <f t="shared" si="0"/>
        <v>0</v>
      </c>
      <c r="D3" s="58">
        <f t="shared" ref="D3:D66" si="2">C3*A3</f>
        <v>0</v>
      </c>
      <c r="H3" s="58">
        <f>IF('GPA Calculator'!K6="BIO",'GPA Calculator'!N6,IF('GPA Calculator'!K6="CHE",'GPA Calculator'!N6,IF('GPA Calculator'!K6="PHY",'GPA Calculator'!N6,IF('GPA Calculator'!K6="MTH",'GPA Calculator'!N6,IF('GPA Calculator'!K6="STA",'GPA Calculator'!N6,0)))))</f>
        <v>0</v>
      </c>
      <c r="I3" s="58">
        <f>IF(H3=0,0,IF('GPA Calculator'!O6="W",0,IF('GPA Calculator'!O6="P",0,IF('GPA Calculator'!O6="FA",0,IF('GPA Calculator'!O6="CR",0,IF('GPA Calculator'!O6="NC",0,IF('GPA Calculator'!O6="",0,'GPA Calculator'!O6)))))))</f>
        <v>0</v>
      </c>
      <c r="J3" s="58">
        <f t="shared" si="1"/>
        <v>0</v>
      </c>
      <c r="K3" s="58">
        <f t="shared" ref="K3:K66" si="3">J3*H3</f>
        <v>0</v>
      </c>
      <c r="T3" s="60" t="s">
        <v>78</v>
      </c>
      <c r="U3" s="60">
        <v>3.67</v>
      </c>
    </row>
    <row r="4" spans="1:21" x14ac:dyDescent="0.25">
      <c r="A4" s="58">
        <f>IF('GPA Calculator'!A7="BIO",'GPA Calculator'!D7,IF('GPA Calculator'!A7="CHE",'GPA Calculator'!D7,IF('GPA Calculator'!A7="PHY",'GPA Calculator'!D7,IF('GPA Calculator'!A7="MTH",'GPA Calculator'!D7,IF('GPA Calculator'!A7="STA",'GPA Calculator'!D7,0)))))</f>
        <v>0</v>
      </c>
      <c r="B4" s="58">
        <f>IF(A4=0,0,IF('GPA Calculator'!E7="W",0,IF('GPA Calculator'!E7="P",0,IF('GPA Calculator'!E7="FA",0,IF('GPA Calculator'!E7="CR",0,IF('GPA Calculator'!E7="NC",0,IF('GPA Calculator'!E7="",0,'GPA Calculator'!E7)))))))</f>
        <v>0</v>
      </c>
      <c r="C4" s="58">
        <f t="shared" si="0"/>
        <v>0</v>
      </c>
      <c r="D4" s="58">
        <f t="shared" si="2"/>
        <v>0</v>
      </c>
      <c r="H4" s="58">
        <f>IF('GPA Calculator'!K7="BIO",'GPA Calculator'!N7,IF('GPA Calculator'!K7="CHE",'GPA Calculator'!N7,IF('GPA Calculator'!K7="PHY",'GPA Calculator'!N7,IF('GPA Calculator'!K7="MTH",'GPA Calculator'!N7,IF('GPA Calculator'!K7="STA",'GPA Calculator'!N7,0)))))</f>
        <v>0</v>
      </c>
      <c r="I4" s="58">
        <f>IF(H4=0,0,IF('GPA Calculator'!O7="W",0,IF('GPA Calculator'!O7="P",0,IF('GPA Calculator'!O7="FA",0,IF('GPA Calculator'!O7="CR",0,IF('GPA Calculator'!O7="NC",0,IF('GPA Calculator'!O7="",0,'GPA Calculator'!O7)))))))</f>
        <v>0</v>
      </c>
      <c r="J4" s="58">
        <f t="shared" si="1"/>
        <v>0</v>
      </c>
      <c r="K4" s="58">
        <f t="shared" si="3"/>
        <v>0</v>
      </c>
      <c r="T4" s="60" t="s">
        <v>18</v>
      </c>
      <c r="U4" s="60">
        <v>3.33</v>
      </c>
    </row>
    <row r="5" spans="1:21" x14ac:dyDescent="0.25">
      <c r="A5" s="58">
        <f>IF('GPA Calculator'!A8="BIO",'GPA Calculator'!D8,IF('GPA Calculator'!A8="CHE",'GPA Calculator'!D8,IF('GPA Calculator'!A8="PHY",'GPA Calculator'!D8,IF('GPA Calculator'!A8="MTH",'GPA Calculator'!D8,IF('GPA Calculator'!A8="STA",'GPA Calculator'!D8,0)))))</f>
        <v>0</v>
      </c>
      <c r="B5" s="58">
        <f>IF(A5=0,0,IF('GPA Calculator'!E8="W",0,IF('GPA Calculator'!E8="P",0,IF('GPA Calculator'!E8="FA",0,IF('GPA Calculator'!E8="CR",0,IF('GPA Calculator'!E8="NC",0,IF('GPA Calculator'!E8="",0,'GPA Calculator'!E8)))))))</f>
        <v>0</v>
      </c>
      <c r="C5" s="58">
        <f t="shared" si="0"/>
        <v>0</v>
      </c>
      <c r="D5" s="58">
        <f t="shared" si="2"/>
        <v>0</v>
      </c>
      <c r="H5" s="58">
        <f>IF('GPA Calculator'!K8="BIO",'GPA Calculator'!N8,IF('GPA Calculator'!K8="CHE",'GPA Calculator'!N8,IF('GPA Calculator'!K8="PHY",'GPA Calculator'!N8,IF('GPA Calculator'!K8="MTH",'GPA Calculator'!N8,IF('GPA Calculator'!K8="STA",'GPA Calculator'!N8,0)))))</f>
        <v>0</v>
      </c>
      <c r="I5" s="58">
        <f>IF(H5=0,0,IF('GPA Calculator'!O8="W",0,IF('GPA Calculator'!O8="P",0,IF('GPA Calculator'!O8="FA",0,IF('GPA Calculator'!O8="CR",0,IF('GPA Calculator'!O8="NC",0,IF('GPA Calculator'!O8="",0,'GPA Calculator'!O8)))))))</f>
        <v>0</v>
      </c>
      <c r="J5" s="58">
        <f t="shared" si="1"/>
        <v>0</v>
      </c>
      <c r="K5" s="58">
        <f t="shared" si="3"/>
        <v>0</v>
      </c>
      <c r="T5" s="60" t="s">
        <v>14</v>
      </c>
      <c r="U5" s="60">
        <v>3</v>
      </c>
    </row>
    <row r="6" spans="1:21" x14ac:dyDescent="0.25">
      <c r="A6" s="58">
        <f>IF('GPA Calculator'!A9="BIO",'GPA Calculator'!D9,IF('GPA Calculator'!A9="CHE",'GPA Calculator'!D9,IF('GPA Calculator'!A9="PHY",'GPA Calculator'!D9,IF('GPA Calculator'!A9="MTH",'GPA Calculator'!D9,IF('GPA Calculator'!A9="STA",'GPA Calculator'!D9,0)))))</f>
        <v>0</v>
      </c>
      <c r="B6" s="58">
        <f>IF(A6=0,0,IF('GPA Calculator'!E9="W",0,IF('GPA Calculator'!E9="P",0,IF('GPA Calculator'!E9="FA",0,IF('GPA Calculator'!E9="CR",0,IF('GPA Calculator'!E9="NC",0,IF('GPA Calculator'!E9="",0,'GPA Calculator'!E9)))))))</f>
        <v>0</v>
      </c>
      <c r="C6" s="58">
        <f t="shared" si="0"/>
        <v>0</v>
      </c>
      <c r="D6" s="58">
        <f t="shared" si="2"/>
        <v>0</v>
      </c>
      <c r="H6" s="58">
        <f>IF('GPA Calculator'!K9="BIO",'GPA Calculator'!N9,IF('GPA Calculator'!K9="CHE",'GPA Calculator'!N9,IF('GPA Calculator'!K9="PHY",'GPA Calculator'!N9,IF('GPA Calculator'!K9="MTH",'GPA Calculator'!N9,IF('GPA Calculator'!K9="STA",'GPA Calculator'!N9,0)))))</f>
        <v>0</v>
      </c>
      <c r="I6" s="58">
        <f>IF(H6=0,0,IF('GPA Calculator'!O9="W",0,IF('GPA Calculator'!O9="P",0,IF('GPA Calculator'!O9="FA",0,IF('GPA Calculator'!O9="CR",0,IF('GPA Calculator'!O9="NC",0,IF('GPA Calculator'!O9="",0,'GPA Calculator'!O9)))))))</f>
        <v>0</v>
      </c>
      <c r="J6" s="58">
        <f t="shared" si="1"/>
        <v>0</v>
      </c>
      <c r="K6" s="58">
        <f t="shared" si="3"/>
        <v>0</v>
      </c>
      <c r="T6" s="60" t="s">
        <v>79</v>
      </c>
      <c r="U6" s="60">
        <v>2.67</v>
      </c>
    </row>
    <row r="7" spans="1:21" x14ac:dyDescent="0.25">
      <c r="A7" s="58">
        <f>IF('GPA Calculator'!A10="BIO",'GPA Calculator'!D10,IF('GPA Calculator'!A10="CHE",'GPA Calculator'!D10,IF('GPA Calculator'!A10="PHY",'GPA Calculator'!D10,IF('GPA Calculator'!A10="MTH",'GPA Calculator'!D10,IF('GPA Calculator'!A10="STA",'GPA Calculator'!D10,0)))))</f>
        <v>0</v>
      </c>
      <c r="B7" s="58">
        <f>IF(A7=0,0,IF('GPA Calculator'!E10="W",0,IF('GPA Calculator'!E10="P",0,IF('GPA Calculator'!E10="FA",0,IF('GPA Calculator'!E10="CR",0,IF('GPA Calculator'!E10="NC",0,IF('GPA Calculator'!E10="",0,'GPA Calculator'!E10)))))))</f>
        <v>0</v>
      </c>
      <c r="C7" s="58">
        <f t="shared" si="0"/>
        <v>0</v>
      </c>
      <c r="D7" s="58">
        <f t="shared" si="2"/>
        <v>0</v>
      </c>
      <c r="H7" s="58">
        <f>IF('GPA Calculator'!K10="BIO",'GPA Calculator'!N10,IF('GPA Calculator'!K10="CHE",'GPA Calculator'!N10,IF('GPA Calculator'!K10="PHY",'GPA Calculator'!N10,IF('GPA Calculator'!K10="MTH",'GPA Calculator'!N10,IF('GPA Calculator'!K10="STA",'GPA Calculator'!N10,0)))))</f>
        <v>0</v>
      </c>
      <c r="I7" s="58">
        <f>IF(H7=0,0,IF('GPA Calculator'!O10="W",0,IF('GPA Calculator'!O10="P",0,IF('GPA Calculator'!O10="FA",0,IF('GPA Calculator'!O10="CR",0,IF('GPA Calculator'!O10="NC",0,IF('GPA Calculator'!O10="",0,'GPA Calculator'!O10)))))))</f>
        <v>0</v>
      </c>
      <c r="J7" s="58">
        <f t="shared" si="1"/>
        <v>0</v>
      </c>
      <c r="K7" s="58">
        <f t="shared" si="3"/>
        <v>0</v>
      </c>
      <c r="T7" s="60" t="s">
        <v>19</v>
      </c>
      <c r="U7" s="60">
        <v>2.33</v>
      </c>
    </row>
    <row r="8" spans="1:21" x14ac:dyDescent="0.25">
      <c r="A8" s="58">
        <f>IF('GPA Calculator'!A11="BIO",'GPA Calculator'!D11,IF('GPA Calculator'!A11="CHE",'GPA Calculator'!D11,IF('GPA Calculator'!A11="PHY",'GPA Calculator'!D11,IF('GPA Calculator'!A11="MTH",'GPA Calculator'!D11,IF('GPA Calculator'!A11="STA",'GPA Calculator'!D11,0)))))</f>
        <v>0</v>
      </c>
      <c r="B8" s="58">
        <f>IF(A8=0,0,IF('GPA Calculator'!E11="W",0,IF('GPA Calculator'!E11="P",0,IF('GPA Calculator'!E11="FA",0,IF('GPA Calculator'!E11="CR",0,IF('GPA Calculator'!E11="NC",0,IF('GPA Calculator'!E11="",0,'GPA Calculator'!E11)))))))</f>
        <v>0</v>
      </c>
      <c r="C8" s="58">
        <f t="shared" si="0"/>
        <v>0</v>
      </c>
      <c r="D8" s="58">
        <f t="shared" si="2"/>
        <v>0</v>
      </c>
      <c r="H8" s="58">
        <f>IF('GPA Calculator'!K11="BIO",'GPA Calculator'!N11,IF('GPA Calculator'!K11="CHE",'GPA Calculator'!N11,IF('GPA Calculator'!K11="PHY",'GPA Calculator'!N11,IF('GPA Calculator'!K11="MTH",'GPA Calculator'!N11,IF('GPA Calculator'!K11="STA",'GPA Calculator'!N11,0)))))</f>
        <v>0</v>
      </c>
      <c r="I8" s="58">
        <f>IF(H8=0,0,IF('GPA Calculator'!O11="W",0,IF('GPA Calculator'!O11="P",0,IF('GPA Calculator'!O11="FA",0,IF('GPA Calculator'!O11="CR",0,IF('GPA Calculator'!O11="NC",0,IF('GPA Calculator'!O11="",0,'GPA Calculator'!O11)))))))</f>
        <v>0</v>
      </c>
      <c r="J8" s="58">
        <f t="shared" si="1"/>
        <v>0</v>
      </c>
      <c r="K8" s="58">
        <f t="shared" si="3"/>
        <v>0</v>
      </c>
      <c r="T8" s="60" t="s">
        <v>15</v>
      </c>
      <c r="U8" s="60">
        <v>2</v>
      </c>
    </row>
    <row r="9" spans="1:21" x14ac:dyDescent="0.25">
      <c r="A9" s="58">
        <f>IF('GPA Calculator'!A12="BIO",'GPA Calculator'!D12,IF('GPA Calculator'!A12="CHE",'GPA Calculator'!D12,IF('GPA Calculator'!A12="PHY",'GPA Calculator'!D12,IF('GPA Calculator'!A12="MTH",'GPA Calculator'!D12,IF('GPA Calculator'!A12="STA",'GPA Calculator'!D12,0)))))</f>
        <v>0</v>
      </c>
      <c r="B9" s="58">
        <f>IF(A9=0,0,IF('GPA Calculator'!E12="W",0,IF('GPA Calculator'!E12="P",0,IF('GPA Calculator'!E12="FA",0,IF('GPA Calculator'!E12="CR",0,IF('GPA Calculator'!E12="NC",0,IF('GPA Calculator'!E12="",0,'GPA Calculator'!E12)))))))</f>
        <v>0</v>
      </c>
      <c r="C9" s="58">
        <f t="shared" si="0"/>
        <v>0</v>
      </c>
      <c r="D9" s="58">
        <f t="shared" si="2"/>
        <v>0</v>
      </c>
      <c r="H9" s="58">
        <f>IF('GPA Calculator'!K12="BIO",'GPA Calculator'!N12,IF('GPA Calculator'!K12="CHE",'GPA Calculator'!N12,IF('GPA Calculator'!K12="PHY",'GPA Calculator'!N12,IF('GPA Calculator'!K12="MTH",'GPA Calculator'!N12,IF('GPA Calculator'!K12="STA",'GPA Calculator'!N12,0)))))</f>
        <v>0</v>
      </c>
      <c r="I9" s="58">
        <f>IF(H9=0,0,IF('GPA Calculator'!O12="W",0,IF('GPA Calculator'!O12="P",0,IF('GPA Calculator'!O12="FA",0,IF('GPA Calculator'!O12="CR",0,IF('GPA Calculator'!O12="NC",0,IF('GPA Calculator'!O12="",0,'GPA Calculator'!O12)))))))</f>
        <v>0</v>
      </c>
      <c r="J9" s="58">
        <f t="shared" si="1"/>
        <v>0</v>
      </c>
      <c r="K9" s="58">
        <f t="shared" si="3"/>
        <v>0</v>
      </c>
      <c r="T9" s="60" t="s">
        <v>80</v>
      </c>
      <c r="U9" s="60">
        <v>1.67</v>
      </c>
    </row>
    <row r="10" spans="1:21" x14ac:dyDescent="0.25">
      <c r="A10" s="58">
        <f>IF('GPA Calculator'!A13="BIO",'GPA Calculator'!D13,IF('GPA Calculator'!A13="CHE",'GPA Calculator'!D13,IF('GPA Calculator'!A13="PHY",'GPA Calculator'!D13,IF('GPA Calculator'!A13="MTH",'GPA Calculator'!D13,IF('GPA Calculator'!A13="STA",'GPA Calculator'!D13,0)))))</f>
        <v>0</v>
      </c>
      <c r="B10" s="58">
        <f>IF(A10=0,0,IF('GPA Calculator'!E13="W",0,IF('GPA Calculator'!E13="P",0,IF('GPA Calculator'!E13="FA",0,IF('GPA Calculator'!E13="CR",0,IF('GPA Calculator'!E13="NC",0,IF('GPA Calculator'!E13="",0,'GPA Calculator'!E13)))))))</f>
        <v>0</v>
      </c>
      <c r="C10" s="58">
        <f t="shared" si="0"/>
        <v>0</v>
      </c>
      <c r="D10" s="58">
        <f t="shared" si="2"/>
        <v>0</v>
      </c>
      <c r="H10" s="58">
        <f>IF('GPA Calculator'!K13="BIO",'GPA Calculator'!N13,IF('GPA Calculator'!K13="CHE",'GPA Calculator'!N13,IF('GPA Calculator'!K13="PHY",'GPA Calculator'!N13,IF('GPA Calculator'!K13="MTH",'GPA Calculator'!N13,IF('GPA Calculator'!K13="STA",'GPA Calculator'!N13,0)))))</f>
        <v>0</v>
      </c>
      <c r="I10" s="58">
        <f>IF(H10=0,0,IF('GPA Calculator'!O13="W",0,IF('GPA Calculator'!O13="P",0,IF('GPA Calculator'!O13="FA",0,IF('GPA Calculator'!O13="CR",0,IF('GPA Calculator'!O13="NC",0,IF('GPA Calculator'!O13="",0,'GPA Calculator'!O13)))))))</f>
        <v>0</v>
      </c>
      <c r="J10" s="58">
        <f t="shared" si="1"/>
        <v>0</v>
      </c>
      <c r="K10" s="58">
        <f t="shared" si="3"/>
        <v>0</v>
      </c>
      <c r="T10" s="60" t="s">
        <v>84</v>
      </c>
      <c r="U10" s="60">
        <v>1.33</v>
      </c>
    </row>
    <row r="11" spans="1:21" x14ac:dyDescent="0.25">
      <c r="A11" s="58">
        <f>SUM(A2:A10)</f>
        <v>0</v>
      </c>
      <c r="C11" s="58">
        <f>SUM(C2:C10)</f>
        <v>0</v>
      </c>
      <c r="D11" s="58">
        <f>SUM(D2:D10)</f>
        <v>0</v>
      </c>
      <c r="E11" t="str">
        <f>IF(A11=0,"",D11/A11)</f>
        <v/>
      </c>
      <c r="H11" s="58">
        <f>SUM(H2:H10)</f>
        <v>0</v>
      </c>
      <c r="J11" s="58">
        <f t="shared" ref="J11" si="4">SUM(J2:J10)</f>
        <v>0</v>
      </c>
      <c r="K11" s="58">
        <f>SUM(K2:K10)</f>
        <v>0</v>
      </c>
      <c r="L11" t="str">
        <f>IF(H11=0,"",K11/H11)</f>
        <v/>
      </c>
      <c r="T11" s="60" t="s">
        <v>16</v>
      </c>
      <c r="U11" s="60">
        <v>1</v>
      </c>
    </row>
    <row r="12" spans="1:21" x14ac:dyDescent="0.25">
      <c r="T12" s="60" t="s">
        <v>81</v>
      </c>
      <c r="U12" s="60">
        <v>0.67</v>
      </c>
    </row>
    <row r="13" spans="1:21" x14ac:dyDescent="0.25">
      <c r="T13" s="60" t="s">
        <v>17</v>
      </c>
      <c r="U13" s="60">
        <v>0</v>
      </c>
    </row>
    <row r="14" spans="1:21" x14ac:dyDescent="0.25">
      <c r="T14" s="60" t="s">
        <v>73</v>
      </c>
      <c r="U14" s="60">
        <v>0</v>
      </c>
    </row>
    <row r="18" spans="1:12" x14ac:dyDescent="0.25">
      <c r="A18" s="58">
        <f>IF('GPA Calculator'!A22="BIO",'GPA Calculator'!D22,IF('GPA Calculator'!A22="CHE",'GPA Calculator'!D22,IF('GPA Calculator'!A22="PHY",'GPA Calculator'!D22,IF('GPA Calculator'!A22="MTH",'GPA Calculator'!D22,IF('GPA Calculator'!A22="STA",'GPA Calculator'!D22,0)))))</f>
        <v>0</v>
      </c>
      <c r="B18" s="58">
        <f>IF(A18=0,0,IF('GPA Calculator'!E22="W",0,IF('GPA Calculator'!E22="P",0,IF('GPA Calculator'!E22="FA",0,IF('GPA Calculator'!E22="CR",0,IF('GPA Calculator'!E22="NC",0,IF('GPA Calculator'!E22="",0,'GPA Calculator'!E22)))))))</f>
        <v>0</v>
      </c>
      <c r="C18" s="58">
        <f t="shared" ref="C18:C26" si="5">IF(A18=0,0,VLOOKUP(B18,$T$2:$U$14,2,FALSE))</f>
        <v>0</v>
      </c>
      <c r="D18" s="58">
        <f t="shared" si="2"/>
        <v>0</v>
      </c>
      <c r="H18" s="58">
        <f>IF('GPA Calculator'!K22="BIO",'GPA Calculator'!N22,IF('GPA Calculator'!K22="CHE",'GPA Calculator'!N22,IF('GPA Calculator'!K22="PHY",'GPA Calculator'!N22,IF('GPA Calculator'!K22="MTH",'GPA Calculator'!N22,IF('GPA Calculator'!K22="STA",'GPA Calculator'!N22,0)))))</f>
        <v>0</v>
      </c>
      <c r="I18" s="58">
        <f>IF(H18=0,0,IF('GPA Calculator'!O22="W",0,IF('GPA Calculator'!O22="P",0,IF('GPA Calculator'!O22="FA",0,IF('GPA Calculator'!O22="CR",0,IF('GPA Calculator'!O22="NC",0,IF('GPA Calculator'!O22="",0,'GPA Calculator'!O22)))))))</f>
        <v>0</v>
      </c>
      <c r="J18" s="58">
        <f t="shared" ref="J18:J26" si="6">IF(H18=0,0,VLOOKUP(I18,$T$2:$U$14,2,FALSE))</f>
        <v>0</v>
      </c>
      <c r="K18" s="58">
        <f t="shared" si="3"/>
        <v>0</v>
      </c>
    </row>
    <row r="19" spans="1:12" x14ac:dyDescent="0.25">
      <c r="A19" s="58">
        <f>IF('GPA Calculator'!A23="BIO",'GPA Calculator'!D23,IF('GPA Calculator'!A23="CHE",'GPA Calculator'!D23,IF('GPA Calculator'!A23="PHY",'GPA Calculator'!D23,IF('GPA Calculator'!A23="MTH",'GPA Calculator'!D23,IF('GPA Calculator'!A23="STA",'GPA Calculator'!D23,0)))))</f>
        <v>0</v>
      </c>
      <c r="B19" s="58">
        <f>IF(A19=0,0,IF('GPA Calculator'!E23="W",0,IF('GPA Calculator'!E23="P",0,IF('GPA Calculator'!E23="FA",0,IF('GPA Calculator'!E23="CR",0,IF('GPA Calculator'!E23="NC",0,IF('GPA Calculator'!E23="",0,'GPA Calculator'!E23)))))))</f>
        <v>0</v>
      </c>
      <c r="C19" s="58">
        <f t="shared" si="5"/>
        <v>0</v>
      </c>
      <c r="D19" s="58">
        <f t="shared" si="2"/>
        <v>0</v>
      </c>
      <c r="H19" s="58">
        <f>IF('GPA Calculator'!K23="BIO",'GPA Calculator'!N23,IF('GPA Calculator'!K23="CHE",'GPA Calculator'!N23,IF('GPA Calculator'!K23="PHY",'GPA Calculator'!N23,IF('GPA Calculator'!K23="MTH",'GPA Calculator'!N23,IF('GPA Calculator'!K23="STA",'GPA Calculator'!N23,0)))))</f>
        <v>0</v>
      </c>
      <c r="I19" s="58">
        <f>IF(H19=0,0,IF('GPA Calculator'!O23="W",0,IF('GPA Calculator'!O23="P",0,IF('GPA Calculator'!O23="FA",0,IF('GPA Calculator'!O23="CR",0,IF('GPA Calculator'!O23="NC",0,IF('GPA Calculator'!O23="",0,'GPA Calculator'!O23)))))))</f>
        <v>0</v>
      </c>
      <c r="J19" s="58">
        <f t="shared" si="6"/>
        <v>0</v>
      </c>
      <c r="K19" s="58">
        <f t="shared" si="3"/>
        <v>0</v>
      </c>
    </row>
    <row r="20" spans="1:12" x14ac:dyDescent="0.25">
      <c r="A20" s="58">
        <f>IF('GPA Calculator'!A24="BIO",'GPA Calculator'!D24,IF('GPA Calculator'!A24="CHE",'GPA Calculator'!D24,IF('GPA Calculator'!A24="PHY",'GPA Calculator'!D24,IF('GPA Calculator'!A24="MTH",'GPA Calculator'!D24,IF('GPA Calculator'!A24="STA",'GPA Calculator'!D24,0)))))</f>
        <v>0</v>
      </c>
      <c r="B20" s="58">
        <f>IF(A20=0,0,IF('GPA Calculator'!E24="W",0,IF('GPA Calculator'!E24="P",0,IF('GPA Calculator'!E24="FA",0,IF('GPA Calculator'!E24="CR",0,IF('GPA Calculator'!E24="NC",0,IF('GPA Calculator'!E24="",0,'GPA Calculator'!E24)))))))</f>
        <v>0</v>
      </c>
      <c r="C20" s="58">
        <f t="shared" si="5"/>
        <v>0</v>
      </c>
      <c r="D20" s="58">
        <f t="shared" si="2"/>
        <v>0</v>
      </c>
      <c r="H20" s="58">
        <f>IF('GPA Calculator'!K24="BIO",'GPA Calculator'!N24,IF('GPA Calculator'!K24="CHE",'GPA Calculator'!N24,IF('GPA Calculator'!K24="PHY",'GPA Calculator'!N24,IF('GPA Calculator'!K24="MTH",'GPA Calculator'!N24,IF('GPA Calculator'!K24="STA",'GPA Calculator'!N24,0)))))</f>
        <v>0</v>
      </c>
      <c r="I20" s="58">
        <f>IF(H20=0,0,IF('GPA Calculator'!O24="W",0,IF('GPA Calculator'!O24="P",0,IF('GPA Calculator'!O24="FA",0,IF('GPA Calculator'!O24="CR",0,IF('GPA Calculator'!O24="NC",0,IF('GPA Calculator'!O24="",0,'GPA Calculator'!O24)))))))</f>
        <v>0</v>
      </c>
      <c r="J20" s="58">
        <f t="shared" si="6"/>
        <v>0</v>
      </c>
      <c r="K20" s="58">
        <f t="shared" si="3"/>
        <v>0</v>
      </c>
    </row>
    <row r="21" spans="1:12" x14ac:dyDescent="0.25">
      <c r="A21" s="58">
        <f>IF('GPA Calculator'!A25="BIO",'GPA Calculator'!D25,IF('GPA Calculator'!A25="CHE",'GPA Calculator'!D25,IF('GPA Calculator'!A25="PHY",'GPA Calculator'!D25,IF('GPA Calculator'!A25="MTH",'GPA Calculator'!D25,IF('GPA Calculator'!A25="STA",'GPA Calculator'!D25,0)))))</f>
        <v>0</v>
      </c>
      <c r="B21" s="58">
        <f>IF(A21=0,0,IF('GPA Calculator'!E25="W",0,IF('GPA Calculator'!E25="P",0,IF('GPA Calculator'!E25="FA",0,IF('GPA Calculator'!E25="CR",0,IF('GPA Calculator'!E25="NC",0,IF('GPA Calculator'!E25="",0,'GPA Calculator'!E25)))))))</f>
        <v>0</v>
      </c>
      <c r="C21" s="58">
        <f t="shared" si="5"/>
        <v>0</v>
      </c>
      <c r="D21" s="58">
        <f t="shared" si="2"/>
        <v>0</v>
      </c>
      <c r="H21" s="58">
        <f>IF('GPA Calculator'!K25="BIO",'GPA Calculator'!N25,IF('GPA Calculator'!K25="CHE",'GPA Calculator'!N25,IF('GPA Calculator'!K25="PHY",'GPA Calculator'!N25,IF('GPA Calculator'!K25="MTH",'GPA Calculator'!N25,IF('GPA Calculator'!K25="STA",'GPA Calculator'!N25,0)))))</f>
        <v>0</v>
      </c>
      <c r="I21" s="58">
        <f>IF(H21=0,0,IF('GPA Calculator'!O25="W",0,IF('GPA Calculator'!O25="P",0,IF('GPA Calculator'!O25="FA",0,IF('GPA Calculator'!O25="CR",0,IF('GPA Calculator'!O25="NC",0,IF('GPA Calculator'!O25="",0,'GPA Calculator'!O25)))))))</f>
        <v>0</v>
      </c>
      <c r="J21" s="58">
        <f t="shared" si="6"/>
        <v>0</v>
      </c>
      <c r="K21" s="58">
        <f t="shared" si="3"/>
        <v>0</v>
      </c>
    </row>
    <row r="22" spans="1:12" x14ac:dyDescent="0.25">
      <c r="A22" s="58">
        <f>IF('GPA Calculator'!A26="BIO",'GPA Calculator'!D26,IF('GPA Calculator'!A26="CHE",'GPA Calculator'!D26,IF('GPA Calculator'!A26="PHY",'GPA Calculator'!D26,IF('GPA Calculator'!A26="MTH",'GPA Calculator'!D26,IF('GPA Calculator'!A26="STA",'GPA Calculator'!D26,0)))))</f>
        <v>0</v>
      </c>
      <c r="B22" s="58">
        <f>IF(A22=0,0,IF('GPA Calculator'!E26="W",0,IF('GPA Calculator'!E26="P",0,IF('GPA Calculator'!E26="FA",0,IF('GPA Calculator'!E26="CR",0,IF('GPA Calculator'!E26="NC",0,IF('GPA Calculator'!E26="",0,'GPA Calculator'!E26)))))))</f>
        <v>0</v>
      </c>
      <c r="C22" s="58">
        <f t="shared" si="5"/>
        <v>0</v>
      </c>
      <c r="D22" s="58">
        <f t="shared" si="2"/>
        <v>0</v>
      </c>
      <c r="H22" s="58">
        <f>IF('GPA Calculator'!K26="BIO",'GPA Calculator'!N26,IF('GPA Calculator'!K26="CHE",'GPA Calculator'!N26,IF('GPA Calculator'!K26="PHY",'GPA Calculator'!N26,IF('GPA Calculator'!K26="MTH",'GPA Calculator'!N26,IF('GPA Calculator'!K26="STA",'GPA Calculator'!N26,0)))))</f>
        <v>0</v>
      </c>
      <c r="I22" s="58">
        <f>IF(H22=0,0,IF('GPA Calculator'!O26="W",0,IF('GPA Calculator'!O26="P",0,IF('GPA Calculator'!O26="FA",0,IF('GPA Calculator'!O26="CR",0,IF('GPA Calculator'!O26="NC",0,IF('GPA Calculator'!O26="",0,'GPA Calculator'!O26)))))))</f>
        <v>0</v>
      </c>
      <c r="J22" s="58">
        <f t="shared" si="6"/>
        <v>0</v>
      </c>
      <c r="K22" s="58">
        <f t="shared" si="3"/>
        <v>0</v>
      </c>
    </row>
    <row r="23" spans="1:12" x14ac:dyDescent="0.25">
      <c r="A23" s="58">
        <f>IF('GPA Calculator'!A27="BIO",'GPA Calculator'!D27,IF('GPA Calculator'!A27="CHE",'GPA Calculator'!D27,IF('GPA Calculator'!A27="PHY",'GPA Calculator'!D27,IF('GPA Calculator'!A27="MTH",'GPA Calculator'!D27,IF('GPA Calculator'!A27="STA",'GPA Calculator'!D27,0)))))</f>
        <v>0</v>
      </c>
      <c r="B23" s="58">
        <f>IF(A23=0,0,IF('GPA Calculator'!E27="W",0,IF('GPA Calculator'!E27="P",0,IF('GPA Calculator'!E27="FA",0,IF('GPA Calculator'!E27="CR",0,IF('GPA Calculator'!E27="NC",0,IF('GPA Calculator'!E27="",0,'GPA Calculator'!E27)))))))</f>
        <v>0</v>
      </c>
      <c r="C23" s="58">
        <f t="shared" si="5"/>
        <v>0</v>
      </c>
      <c r="D23" s="58">
        <f t="shared" si="2"/>
        <v>0</v>
      </c>
      <c r="H23" s="58">
        <f>IF('GPA Calculator'!K27="BIO",'GPA Calculator'!N27,IF('GPA Calculator'!K27="CHE",'GPA Calculator'!N27,IF('GPA Calculator'!K27="PHY",'GPA Calculator'!N27,IF('GPA Calculator'!K27="MTH",'GPA Calculator'!N27,IF('GPA Calculator'!K27="STA",'GPA Calculator'!N27,0)))))</f>
        <v>0</v>
      </c>
      <c r="I23" s="58">
        <f>IF(H23=0,0,IF('GPA Calculator'!O27="W",0,IF('GPA Calculator'!O27="P",0,IF('GPA Calculator'!O27="FA",0,IF('GPA Calculator'!O27="CR",0,IF('GPA Calculator'!O27="NC",0,IF('GPA Calculator'!O27="",0,'GPA Calculator'!O27)))))))</f>
        <v>0</v>
      </c>
      <c r="J23" s="58">
        <f t="shared" si="6"/>
        <v>0</v>
      </c>
      <c r="K23" s="58">
        <f t="shared" si="3"/>
        <v>0</v>
      </c>
    </row>
    <row r="24" spans="1:12" x14ac:dyDescent="0.25">
      <c r="A24" s="58">
        <f>IF('GPA Calculator'!A28="BIO",'GPA Calculator'!D28,IF('GPA Calculator'!A28="CHE",'GPA Calculator'!D28,IF('GPA Calculator'!A28="PHY",'GPA Calculator'!D28,IF('GPA Calculator'!A28="MTH",'GPA Calculator'!D28,IF('GPA Calculator'!A28="STA",'GPA Calculator'!D28,0)))))</f>
        <v>0</v>
      </c>
      <c r="B24" s="58">
        <f>IF(A24=0,0,IF('GPA Calculator'!E28="W",0,IF('GPA Calculator'!E28="P",0,IF('GPA Calculator'!E28="FA",0,IF('GPA Calculator'!E28="CR",0,IF('GPA Calculator'!E28="NC",0,IF('GPA Calculator'!E28="",0,'GPA Calculator'!E28)))))))</f>
        <v>0</v>
      </c>
      <c r="C24" s="58">
        <f t="shared" si="5"/>
        <v>0</v>
      </c>
      <c r="D24" s="58">
        <f t="shared" si="2"/>
        <v>0</v>
      </c>
      <c r="H24" s="58">
        <f>IF('GPA Calculator'!K28="BIO",'GPA Calculator'!N28,IF('GPA Calculator'!K28="CHE",'GPA Calculator'!N28,IF('GPA Calculator'!K28="PHY",'GPA Calculator'!N28,IF('GPA Calculator'!K28="MTH",'GPA Calculator'!N28,IF('GPA Calculator'!K28="STA",'GPA Calculator'!N28,0)))))</f>
        <v>0</v>
      </c>
      <c r="I24" s="58">
        <f>IF(H24=0,0,IF('GPA Calculator'!O28="W",0,IF('GPA Calculator'!O28="P",0,IF('GPA Calculator'!O28="FA",0,IF('GPA Calculator'!O28="CR",0,IF('GPA Calculator'!O28="NC",0,IF('GPA Calculator'!O28="",0,'GPA Calculator'!O28)))))))</f>
        <v>0</v>
      </c>
      <c r="J24" s="58">
        <f t="shared" si="6"/>
        <v>0</v>
      </c>
      <c r="K24" s="58">
        <f t="shared" si="3"/>
        <v>0</v>
      </c>
    </row>
    <row r="25" spans="1:12" x14ac:dyDescent="0.25">
      <c r="A25" s="58">
        <f>IF('GPA Calculator'!A29="BIO",'GPA Calculator'!D29,IF('GPA Calculator'!A29="CHE",'GPA Calculator'!D29,IF('GPA Calculator'!A29="PHY",'GPA Calculator'!D29,IF('GPA Calculator'!A29="MTH",'GPA Calculator'!D29,IF('GPA Calculator'!A29="STA",'GPA Calculator'!D29,0)))))</f>
        <v>0</v>
      </c>
      <c r="B25" s="58">
        <f>IF(A25=0,0,IF('GPA Calculator'!E29="W",0,IF('GPA Calculator'!E29="P",0,IF('GPA Calculator'!E29="FA",0,IF('GPA Calculator'!E29="CR",0,IF('GPA Calculator'!E29="NC",0,IF('GPA Calculator'!E29="",0,'GPA Calculator'!E29)))))))</f>
        <v>0</v>
      </c>
      <c r="C25" s="58">
        <f t="shared" si="5"/>
        <v>0</v>
      </c>
      <c r="D25" s="58">
        <f t="shared" si="2"/>
        <v>0</v>
      </c>
      <c r="H25" s="58">
        <f>IF('GPA Calculator'!K29="BIO",'GPA Calculator'!N29,IF('GPA Calculator'!K29="CHE",'GPA Calculator'!N29,IF('GPA Calculator'!K29="PHY",'GPA Calculator'!N29,IF('GPA Calculator'!K29="MTH",'GPA Calculator'!N29,IF('GPA Calculator'!K29="STA",'GPA Calculator'!N29,0)))))</f>
        <v>0</v>
      </c>
      <c r="I25" s="58">
        <f>IF(H25=0,0,IF('GPA Calculator'!O29="W",0,IF('GPA Calculator'!O29="P",0,IF('GPA Calculator'!O29="FA",0,IF('GPA Calculator'!O29="CR",0,IF('GPA Calculator'!O29="NC",0,IF('GPA Calculator'!O29="",0,'GPA Calculator'!O29)))))))</f>
        <v>0</v>
      </c>
      <c r="J25" s="58">
        <f t="shared" si="6"/>
        <v>0</v>
      </c>
      <c r="K25" s="58">
        <f t="shared" si="3"/>
        <v>0</v>
      </c>
    </row>
    <row r="26" spans="1:12" x14ac:dyDescent="0.25">
      <c r="A26" s="58">
        <f>IF('GPA Calculator'!A30="BIO",'GPA Calculator'!D30,IF('GPA Calculator'!A30="CHE",'GPA Calculator'!D30,IF('GPA Calculator'!A30="PHY",'GPA Calculator'!D30,IF('GPA Calculator'!A30="MTH",'GPA Calculator'!D30,IF('GPA Calculator'!A30="STA",'GPA Calculator'!D30,0)))))</f>
        <v>0</v>
      </c>
      <c r="B26" s="58">
        <f>IF(A26=0,0,IF('GPA Calculator'!E30="W",0,IF('GPA Calculator'!E30="P",0,IF('GPA Calculator'!E30="FA",0,IF('GPA Calculator'!E30="CR",0,IF('GPA Calculator'!E30="NC",0,IF('GPA Calculator'!E30="",0,'GPA Calculator'!E30)))))))</f>
        <v>0</v>
      </c>
      <c r="C26" s="58">
        <f t="shared" si="5"/>
        <v>0</v>
      </c>
      <c r="D26" s="58">
        <f t="shared" si="2"/>
        <v>0</v>
      </c>
      <c r="H26" s="58">
        <f>IF('GPA Calculator'!K30="BIO",'GPA Calculator'!N30,IF('GPA Calculator'!K30="CHE",'GPA Calculator'!N30,IF('GPA Calculator'!K30="PHY",'GPA Calculator'!N30,IF('GPA Calculator'!K30="MTH",'GPA Calculator'!N30,IF('GPA Calculator'!K30="STA",'GPA Calculator'!N30,0)))))</f>
        <v>0</v>
      </c>
      <c r="I26" s="58">
        <f>IF(H26=0,0,IF('GPA Calculator'!O30="W",0,IF('GPA Calculator'!O30="P",0,IF('GPA Calculator'!O30="FA",0,IF('GPA Calculator'!O30="CR",0,IF('GPA Calculator'!O30="NC",0,IF('GPA Calculator'!O30="",0,'GPA Calculator'!O30)))))))</f>
        <v>0</v>
      </c>
      <c r="J26" s="58">
        <f t="shared" si="6"/>
        <v>0</v>
      </c>
      <c r="K26" s="58">
        <f t="shared" si="3"/>
        <v>0</v>
      </c>
    </row>
    <row r="27" spans="1:12" x14ac:dyDescent="0.25">
      <c r="A27" s="58">
        <f>SUM(A18:A26)</f>
        <v>0</v>
      </c>
      <c r="C27" s="58">
        <f>SUM(C18:C26)</f>
        <v>0</v>
      </c>
      <c r="D27" s="58">
        <f>SUM(D18:D26)</f>
        <v>0</v>
      </c>
      <c r="E27" t="str">
        <f>IF(A27=0,"",D27/A27)</f>
        <v/>
      </c>
      <c r="H27" s="58">
        <f>SUM(H18:H26)</f>
        <v>0</v>
      </c>
      <c r="J27" s="58">
        <f t="shared" ref="J27" si="7">SUM(J18:J26)</f>
        <v>0</v>
      </c>
      <c r="K27" s="58">
        <f>SUM(K18:K26)</f>
        <v>0</v>
      </c>
      <c r="L27" t="str">
        <f>IF(H27=0,"",K27/H27)</f>
        <v/>
      </c>
    </row>
    <row r="34" spans="1:12" x14ac:dyDescent="0.25">
      <c r="A34" s="58">
        <f>IF('GPA Calculator'!A39="BIO",'GPA Calculator'!D39,IF('GPA Calculator'!A39="CHE",'GPA Calculator'!D39,IF('GPA Calculator'!A39="PHY",'GPA Calculator'!D39,IF('GPA Calculator'!A39="MTH",'GPA Calculator'!D39,IF('GPA Calculator'!A39="STA",'GPA Calculator'!D39,0)))))</f>
        <v>0</v>
      </c>
      <c r="B34" s="58">
        <f>IF(A34=0,0,IF('GPA Calculator'!E39="W",0,IF('GPA Calculator'!E39="P",0,IF('GPA Calculator'!E39="FA",0,IF('GPA Calculator'!E39="CR",0,IF('GPA Calculator'!E39="NC",0,IF('GPA Calculator'!E39="",0,'GPA Calculator'!E39)))))))</f>
        <v>0</v>
      </c>
      <c r="C34" s="58">
        <f t="shared" ref="C34:C42" si="8">IF(A34=0,0,VLOOKUP(B34,$T$2:$U$14,2,FALSE))</f>
        <v>0</v>
      </c>
      <c r="D34" s="58">
        <f t="shared" si="2"/>
        <v>0</v>
      </c>
      <c r="H34" s="58">
        <f>IF('GPA Calculator'!K39="BIO",'GPA Calculator'!N39,IF('GPA Calculator'!K39="CHE",'GPA Calculator'!N39,IF('GPA Calculator'!K39="PHY",'GPA Calculator'!N39,IF('GPA Calculator'!K39="MTH",'GPA Calculator'!N39,IF('GPA Calculator'!K39="STA",'GPA Calculator'!N39,0)))))</f>
        <v>0</v>
      </c>
      <c r="I34" s="58">
        <f>IF(H34=0,0,IF('GPA Calculator'!O39="W",0,IF('GPA Calculator'!O39="P",0,IF('GPA Calculator'!O39="FA",0,IF('GPA Calculator'!O39="CR",0,IF('GPA Calculator'!O39="NC",0,IF('GPA Calculator'!O39="",0,'GPA Calculator'!O39)))))))</f>
        <v>0</v>
      </c>
      <c r="J34" s="58">
        <f t="shared" ref="J34:J42" si="9">IF(H34=0,0,VLOOKUP(I34,$T$2:$U$14,2,FALSE))</f>
        <v>0</v>
      </c>
      <c r="K34" s="58">
        <f t="shared" si="3"/>
        <v>0</v>
      </c>
    </row>
    <row r="35" spans="1:12" x14ac:dyDescent="0.25">
      <c r="A35" s="58">
        <f>IF('GPA Calculator'!A40="BIO",'GPA Calculator'!D40,IF('GPA Calculator'!A40="CHE",'GPA Calculator'!D40,IF('GPA Calculator'!A40="PHY",'GPA Calculator'!D40,IF('GPA Calculator'!A40="MTH",'GPA Calculator'!D40,IF('GPA Calculator'!A40="STA",'GPA Calculator'!D40,0)))))</f>
        <v>0</v>
      </c>
      <c r="B35" s="58">
        <f>IF(A35=0,0,IF('GPA Calculator'!E40="W",0,IF('GPA Calculator'!E40="P",0,IF('GPA Calculator'!E40="FA",0,IF('GPA Calculator'!E40="CR",0,IF('GPA Calculator'!E40="NC",0,IF('GPA Calculator'!E40="",0,'GPA Calculator'!E40)))))))</f>
        <v>0</v>
      </c>
      <c r="C35" s="58">
        <f t="shared" si="8"/>
        <v>0</v>
      </c>
      <c r="D35" s="58">
        <f t="shared" si="2"/>
        <v>0</v>
      </c>
      <c r="H35" s="58">
        <f>IF('GPA Calculator'!K40="BIO",'GPA Calculator'!N40,IF('GPA Calculator'!K40="CHE",'GPA Calculator'!N40,IF('GPA Calculator'!K40="PHY",'GPA Calculator'!N40,IF('GPA Calculator'!K40="MTH",'GPA Calculator'!N40,IF('GPA Calculator'!K40="STA",'GPA Calculator'!N40,0)))))</f>
        <v>0</v>
      </c>
      <c r="I35" s="58">
        <f>IF(H35=0,0,IF('GPA Calculator'!O40="W",0,IF('GPA Calculator'!O40="P",0,IF('GPA Calculator'!O40="FA",0,IF('GPA Calculator'!O40="CR",0,IF('GPA Calculator'!O40="NC",0,IF('GPA Calculator'!O40="",0,'GPA Calculator'!O40)))))))</f>
        <v>0</v>
      </c>
      <c r="J35" s="58">
        <f t="shared" si="9"/>
        <v>0</v>
      </c>
      <c r="K35" s="58">
        <f t="shared" si="3"/>
        <v>0</v>
      </c>
    </row>
    <row r="36" spans="1:12" x14ac:dyDescent="0.25">
      <c r="A36" s="58">
        <f>IF('GPA Calculator'!A41="BIO",'GPA Calculator'!D41,IF('GPA Calculator'!A41="CHE",'GPA Calculator'!D41,IF('GPA Calculator'!A41="PHY",'GPA Calculator'!D41,IF('GPA Calculator'!A41="MTH",'GPA Calculator'!D41,IF('GPA Calculator'!A41="STA",'GPA Calculator'!D41,0)))))</f>
        <v>0</v>
      </c>
      <c r="B36" s="58">
        <f>IF(A36=0,0,IF('GPA Calculator'!E41="W",0,IF('GPA Calculator'!E41="P",0,IF('GPA Calculator'!E41="FA",0,IF('GPA Calculator'!E41="CR",0,IF('GPA Calculator'!E41="NC",0,IF('GPA Calculator'!E41="",0,'GPA Calculator'!E41)))))))</f>
        <v>0</v>
      </c>
      <c r="C36" s="58">
        <f t="shared" si="8"/>
        <v>0</v>
      </c>
      <c r="D36" s="58">
        <f t="shared" si="2"/>
        <v>0</v>
      </c>
      <c r="H36" s="58">
        <f>IF('GPA Calculator'!K41="BIO",'GPA Calculator'!N41,IF('GPA Calculator'!K41="CHE",'GPA Calculator'!N41,IF('GPA Calculator'!K41="PHY",'GPA Calculator'!N41,IF('GPA Calculator'!K41="MTH",'GPA Calculator'!N41,IF('GPA Calculator'!K41="STA",'GPA Calculator'!N41,0)))))</f>
        <v>0</v>
      </c>
      <c r="I36" s="58">
        <f>IF(H36=0,0,IF('GPA Calculator'!O41="W",0,IF('GPA Calculator'!O41="P",0,IF('GPA Calculator'!O41="FA",0,IF('GPA Calculator'!O41="CR",0,IF('GPA Calculator'!O41="NC",0,IF('GPA Calculator'!O41="",0,'GPA Calculator'!O41)))))))</f>
        <v>0</v>
      </c>
      <c r="J36" s="58">
        <f t="shared" si="9"/>
        <v>0</v>
      </c>
      <c r="K36" s="58">
        <f t="shared" si="3"/>
        <v>0</v>
      </c>
    </row>
    <row r="37" spans="1:12" x14ac:dyDescent="0.25">
      <c r="A37" s="58">
        <f>IF('GPA Calculator'!A42="BIO",'GPA Calculator'!D42,IF('GPA Calculator'!A42="CHE",'GPA Calculator'!D42,IF('GPA Calculator'!A42="PHY",'GPA Calculator'!D42,IF('GPA Calculator'!A42="MTH",'GPA Calculator'!D42,IF('GPA Calculator'!A42="STA",'GPA Calculator'!D42,0)))))</f>
        <v>0</v>
      </c>
      <c r="B37" s="58">
        <f>IF(A37=0,0,IF('GPA Calculator'!E42="W",0,IF('GPA Calculator'!E42="P",0,IF('GPA Calculator'!E42="FA",0,IF('GPA Calculator'!E42="CR",0,IF('GPA Calculator'!E42="NC",0,IF('GPA Calculator'!E42="",0,'GPA Calculator'!E42)))))))</f>
        <v>0</v>
      </c>
      <c r="C37" s="58">
        <f t="shared" si="8"/>
        <v>0</v>
      </c>
      <c r="D37" s="58">
        <f t="shared" si="2"/>
        <v>0</v>
      </c>
      <c r="H37" s="58">
        <f>IF('GPA Calculator'!K42="BIO",'GPA Calculator'!N42,IF('GPA Calculator'!K42="CHE",'GPA Calculator'!N42,IF('GPA Calculator'!K42="PHY",'GPA Calculator'!N42,IF('GPA Calculator'!K42="MTH",'GPA Calculator'!N42,IF('GPA Calculator'!K42="STA",'GPA Calculator'!N42,0)))))</f>
        <v>0</v>
      </c>
      <c r="I37" s="58">
        <f>IF(H37=0,0,IF('GPA Calculator'!O42="W",0,IF('GPA Calculator'!O42="P",0,IF('GPA Calculator'!O42="FA",0,IF('GPA Calculator'!O42="CR",0,IF('GPA Calculator'!O42="NC",0,IF('GPA Calculator'!O42="",0,'GPA Calculator'!O42)))))))</f>
        <v>0</v>
      </c>
      <c r="J37" s="58">
        <f t="shared" si="9"/>
        <v>0</v>
      </c>
      <c r="K37" s="58">
        <f t="shared" si="3"/>
        <v>0</v>
      </c>
    </row>
    <row r="38" spans="1:12" x14ac:dyDescent="0.25">
      <c r="A38" s="58">
        <f>IF('GPA Calculator'!A43="BIO",'GPA Calculator'!D43,IF('GPA Calculator'!A43="CHE",'GPA Calculator'!D43,IF('GPA Calculator'!A43="PHY",'GPA Calculator'!D43,IF('GPA Calculator'!A43="MTH",'GPA Calculator'!D43,IF('GPA Calculator'!A43="STA",'GPA Calculator'!D43,0)))))</f>
        <v>0</v>
      </c>
      <c r="B38" s="58">
        <f>IF(A38=0,0,IF('GPA Calculator'!E43="W",0,IF('GPA Calculator'!E43="P",0,IF('GPA Calculator'!E43="FA",0,IF('GPA Calculator'!E43="CR",0,IF('GPA Calculator'!E43="NC",0,IF('GPA Calculator'!E43="",0,'GPA Calculator'!E43)))))))</f>
        <v>0</v>
      </c>
      <c r="C38" s="58">
        <f t="shared" si="8"/>
        <v>0</v>
      </c>
      <c r="D38" s="58">
        <f t="shared" si="2"/>
        <v>0</v>
      </c>
      <c r="H38" s="58">
        <f>IF('GPA Calculator'!K43="BIO",'GPA Calculator'!N43,IF('GPA Calculator'!K43="CHE",'GPA Calculator'!N43,IF('GPA Calculator'!K43="PHY",'GPA Calculator'!N43,IF('GPA Calculator'!K43="MTH",'GPA Calculator'!N43,IF('GPA Calculator'!K43="STA",'GPA Calculator'!N43,0)))))</f>
        <v>0</v>
      </c>
      <c r="I38" s="58">
        <f>IF(H38=0,0,IF('GPA Calculator'!O43="W",0,IF('GPA Calculator'!O43="P",0,IF('GPA Calculator'!O43="FA",0,IF('GPA Calculator'!O43="CR",0,IF('GPA Calculator'!O43="NC",0,IF('GPA Calculator'!O43="",0,'GPA Calculator'!O43)))))))</f>
        <v>0</v>
      </c>
      <c r="J38" s="58">
        <f t="shared" si="9"/>
        <v>0</v>
      </c>
      <c r="K38" s="58">
        <f t="shared" si="3"/>
        <v>0</v>
      </c>
    </row>
    <row r="39" spans="1:12" x14ac:dyDescent="0.25">
      <c r="A39" s="58">
        <f>IF('GPA Calculator'!A44="BIO",'GPA Calculator'!D44,IF('GPA Calculator'!A44="CHE",'GPA Calculator'!D44,IF('GPA Calculator'!A44="PHY",'GPA Calculator'!D44,IF('GPA Calculator'!A44="MTH",'GPA Calculator'!D44,IF('GPA Calculator'!A44="STA",'GPA Calculator'!D44,0)))))</f>
        <v>0</v>
      </c>
      <c r="B39" s="58">
        <f>IF(A39=0,0,IF('GPA Calculator'!E44="W",0,IF('GPA Calculator'!E44="P",0,IF('GPA Calculator'!E44="FA",0,IF('GPA Calculator'!E44="CR",0,IF('GPA Calculator'!E44="NC",0,IF('GPA Calculator'!E44="",0,'GPA Calculator'!E44)))))))</f>
        <v>0</v>
      </c>
      <c r="C39" s="58">
        <f t="shared" si="8"/>
        <v>0</v>
      </c>
      <c r="D39" s="58">
        <f t="shared" si="2"/>
        <v>0</v>
      </c>
      <c r="H39" s="58">
        <f>IF('GPA Calculator'!K44="BIO",'GPA Calculator'!N44,IF('GPA Calculator'!K44="CHE",'GPA Calculator'!N44,IF('GPA Calculator'!K44="PHY",'GPA Calculator'!N44,IF('GPA Calculator'!K44="MTH",'GPA Calculator'!N44,IF('GPA Calculator'!K44="STA",'GPA Calculator'!N44,0)))))</f>
        <v>0</v>
      </c>
      <c r="I39" s="58">
        <f>IF(H39=0,0,IF('GPA Calculator'!O44="W",0,IF('GPA Calculator'!O44="P",0,IF('GPA Calculator'!O44="FA",0,IF('GPA Calculator'!O44="CR",0,IF('GPA Calculator'!O44="NC",0,IF('GPA Calculator'!O44="",0,'GPA Calculator'!O44)))))))</f>
        <v>0</v>
      </c>
      <c r="J39" s="58">
        <f t="shared" si="9"/>
        <v>0</v>
      </c>
      <c r="K39" s="58">
        <f t="shared" si="3"/>
        <v>0</v>
      </c>
    </row>
    <row r="40" spans="1:12" x14ac:dyDescent="0.25">
      <c r="A40" s="58">
        <f>IF('GPA Calculator'!A45="BIO",'GPA Calculator'!D45,IF('GPA Calculator'!A45="CHE",'GPA Calculator'!D45,IF('GPA Calculator'!A45="PHY",'GPA Calculator'!D45,IF('GPA Calculator'!A45="MTH",'GPA Calculator'!D45,IF('GPA Calculator'!A45="STA",'GPA Calculator'!D45,0)))))</f>
        <v>0</v>
      </c>
      <c r="B40" s="58">
        <f>IF(A40=0,0,IF('GPA Calculator'!E45="W",0,IF('GPA Calculator'!E45="P",0,IF('GPA Calculator'!E45="FA",0,IF('GPA Calculator'!E45="CR",0,IF('GPA Calculator'!E45="NC",0,IF('GPA Calculator'!E45="",0,'GPA Calculator'!E45)))))))</f>
        <v>0</v>
      </c>
      <c r="C40" s="58">
        <f t="shared" si="8"/>
        <v>0</v>
      </c>
      <c r="D40" s="58">
        <f t="shared" si="2"/>
        <v>0</v>
      </c>
      <c r="H40" s="58">
        <f>IF('GPA Calculator'!K45="BIO",'GPA Calculator'!N45,IF('GPA Calculator'!K45="CHE",'GPA Calculator'!N45,IF('GPA Calculator'!K45="PHY",'GPA Calculator'!N45,IF('GPA Calculator'!K45="MTH",'GPA Calculator'!N45,IF('GPA Calculator'!K45="STA",'GPA Calculator'!N45,0)))))</f>
        <v>0</v>
      </c>
      <c r="I40" s="58">
        <f>IF(H40=0,0,IF('GPA Calculator'!O45="W",0,IF('GPA Calculator'!O45="P",0,IF('GPA Calculator'!O45="FA",0,IF('GPA Calculator'!O45="CR",0,IF('GPA Calculator'!O45="NC",0,IF('GPA Calculator'!O45="",0,'GPA Calculator'!O45)))))))</f>
        <v>0</v>
      </c>
      <c r="J40" s="58">
        <f t="shared" si="9"/>
        <v>0</v>
      </c>
      <c r="K40" s="58">
        <f t="shared" si="3"/>
        <v>0</v>
      </c>
    </row>
    <row r="41" spans="1:12" x14ac:dyDescent="0.25">
      <c r="A41" s="58">
        <f>IF('GPA Calculator'!A46="BIO",'GPA Calculator'!D46,IF('GPA Calculator'!A46="CHE",'GPA Calculator'!D46,IF('GPA Calculator'!A46="PHY",'GPA Calculator'!D46,IF('GPA Calculator'!A46="MTH",'GPA Calculator'!D46,IF('GPA Calculator'!A46="STA",'GPA Calculator'!D46,0)))))</f>
        <v>0</v>
      </c>
      <c r="B41" s="58">
        <f>IF(A41=0,0,IF('GPA Calculator'!E46="W",0,IF('GPA Calculator'!E46="P",0,IF('GPA Calculator'!E46="FA",0,IF('GPA Calculator'!E46="CR",0,IF('GPA Calculator'!E46="NC",0,IF('GPA Calculator'!E46="",0,'GPA Calculator'!E46)))))))</f>
        <v>0</v>
      </c>
      <c r="C41" s="58">
        <f t="shared" si="8"/>
        <v>0</v>
      </c>
      <c r="D41" s="58">
        <f t="shared" si="2"/>
        <v>0</v>
      </c>
      <c r="H41" s="58">
        <f>IF('GPA Calculator'!K46="BIO",'GPA Calculator'!N46,IF('GPA Calculator'!K46="CHE",'GPA Calculator'!N46,IF('GPA Calculator'!K46="PHY",'GPA Calculator'!N46,IF('GPA Calculator'!K46="MTH",'GPA Calculator'!N46,IF('GPA Calculator'!K46="STA",'GPA Calculator'!N46,0)))))</f>
        <v>0</v>
      </c>
      <c r="I41" s="58">
        <f>IF(H41=0,0,IF('GPA Calculator'!O46="W",0,IF('GPA Calculator'!O46="P",0,IF('GPA Calculator'!O46="FA",0,IF('GPA Calculator'!O46="CR",0,IF('GPA Calculator'!O46="NC",0,IF('GPA Calculator'!O46="",0,'GPA Calculator'!O46)))))))</f>
        <v>0</v>
      </c>
      <c r="J41" s="58">
        <f t="shared" si="9"/>
        <v>0</v>
      </c>
      <c r="K41" s="58">
        <f t="shared" si="3"/>
        <v>0</v>
      </c>
    </row>
    <row r="42" spans="1:12" x14ac:dyDescent="0.25">
      <c r="A42" s="58">
        <f>IF('GPA Calculator'!A47="BIO",'GPA Calculator'!D47,IF('GPA Calculator'!A47="CHE",'GPA Calculator'!D47,IF('GPA Calculator'!A47="PHY",'GPA Calculator'!D47,IF('GPA Calculator'!A47="MTH",'GPA Calculator'!D47,IF('GPA Calculator'!A47="STA",'GPA Calculator'!D47,0)))))</f>
        <v>0</v>
      </c>
      <c r="B42" s="58">
        <f>IF(A42=0,0,IF('GPA Calculator'!E47="W",0,IF('GPA Calculator'!E47="P",0,IF('GPA Calculator'!E47="FA",0,IF('GPA Calculator'!E47="CR",0,IF('GPA Calculator'!E47="NC",0,IF('GPA Calculator'!E47="",0,'GPA Calculator'!E47)))))))</f>
        <v>0</v>
      </c>
      <c r="C42" s="58">
        <f t="shared" si="8"/>
        <v>0</v>
      </c>
      <c r="D42" s="58">
        <f t="shared" si="2"/>
        <v>0</v>
      </c>
      <c r="H42" s="58">
        <f>IF('GPA Calculator'!K47="BIO",'GPA Calculator'!N47,IF('GPA Calculator'!K47="CHE",'GPA Calculator'!N47,IF('GPA Calculator'!K47="PHY",'GPA Calculator'!N47,IF('GPA Calculator'!K47="MTH",'GPA Calculator'!N47,IF('GPA Calculator'!K47="STA",'GPA Calculator'!N47,0)))))</f>
        <v>0</v>
      </c>
      <c r="I42" s="58">
        <f>IF(H42=0,0,IF('GPA Calculator'!O47="W",0,IF('GPA Calculator'!O47="P",0,IF('GPA Calculator'!O47="FA",0,IF('GPA Calculator'!O47="CR",0,IF('GPA Calculator'!O47="NC",0,IF('GPA Calculator'!O47="",0,'GPA Calculator'!O47)))))))</f>
        <v>0</v>
      </c>
      <c r="J42" s="58">
        <f t="shared" si="9"/>
        <v>0</v>
      </c>
      <c r="K42" s="58">
        <f t="shared" si="3"/>
        <v>0</v>
      </c>
    </row>
    <row r="43" spans="1:12" x14ac:dyDescent="0.25">
      <c r="A43" s="58">
        <f>SUM(A34:A42)</f>
        <v>0</v>
      </c>
      <c r="C43" s="58">
        <f>SUM(C34:C42)</f>
        <v>0</v>
      </c>
      <c r="D43" s="58">
        <f>SUM(D34:D42)</f>
        <v>0</v>
      </c>
      <c r="E43" t="str">
        <f>IF(A43=0,"",D43/A43)</f>
        <v/>
      </c>
      <c r="H43" s="58">
        <f>SUM(H34:H42)</f>
        <v>0</v>
      </c>
      <c r="J43" s="58">
        <f t="shared" ref="J43" si="10">SUM(J34:J42)</f>
        <v>0</v>
      </c>
      <c r="K43" s="58">
        <f>SUM(K34:K42)</f>
        <v>0</v>
      </c>
      <c r="L43" t="str">
        <f>IF(H43=0,"",K43/H43)</f>
        <v/>
      </c>
    </row>
    <row r="50" spans="1:12" x14ac:dyDescent="0.25">
      <c r="A50" s="58">
        <f>IF('GPA Calculator'!A56="BIO",'GPA Calculator'!D56,IF('GPA Calculator'!A56="CHE",'GPA Calculator'!D56,IF('GPA Calculator'!A56="PHY",'GPA Calculator'!D56,IF('GPA Calculator'!A56="MTH",'GPA Calculator'!D56,IF('GPA Calculator'!A56="STA",'GPA Calculator'!D56,0)))))</f>
        <v>0</v>
      </c>
      <c r="B50" s="58">
        <f>IF(A50=0,0,IF('GPA Calculator'!E56="W",0,IF('GPA Calculator'!E56="P",0,IF('GPA Calculator'!E56="FA",0,IF('GPA Calculator'!E56="CR",0,IF('GPA Calculator'!E56="NC",0,IF('GPA Calculator'!E56="",0,'GPA Calculator'!E56)))))))</f>
        <v>0</v>
      </c>
      <c r="C50" s="58">
        <f t="shared" ref="C50:C57" si="11">IF(A50=0,0,VLOOKUP(B50,$T$2:$U$14,2,FALSE))</f>
        <v>0</v>
      </c>
      <c r="D50" s="58">
        <f t="shared" si="2"/>
        <v>0</v>
      </c>
      <c r="H50" s="58">
        <f>IF('GPA Calculator'!K56="BIO",'GPA Calculator'!N56,IF('GPA Calculator'!K56="CHE",'GPA Calculator'!N56,IF('GPA Calculator'!K56="PHY",'GPA Calculator'!N56,IF('GPA Calculator'!K56="MTH",'GPA Calculator'!N56,IF('GPA Calculator'!K56="STA",'GPA Calculator'!N56,0)))))</f>
        <v>0</v>
      </c>
      <c r="I50" s="58">
        <f>IF(H50=0,0,IF('GPA Calculator'!O56="W",0,IF('GPA Calculator'!O56="P",0,IF('GPA Calculator'!O56="FA",0,IF('GPA Calculator'!O56="CR",0,IF('GPA Calculator'!O56="NC",0,IF('GPA Calculator'!O56="",0,'GPA Calculator'!O56)))))))</f>
        <v>0</v>
      </c>
      <c r="J50" s="58">
        <f t="shared" ref="J50:J57" si="12">IF(H50=0,0,VLOOKUP(I50,$T$2:$U$14,2,FALSE))</f>
        <v>0</v>
      </c>
      <c r="K50" s="58">
        <f t="shared" si="3"/>
        <v>0</v>
      </c>
    </row>
    <row r="51" spans="1:12" x14ac:dyDescent="0.25">
      <c r="A51" s="58">
        <f>IF('GPA Calculator'!A57="BIO",'GPA Calculator'!D57,IF('GPA Calculator'!A57="CHE",'GPA Calculator'!D57,IF('GPA Calculator'!A57="PHY",'GPA Calculator'!D57,IF('GPA Calculator'!A57="MTH",'GPA Calculator'!D57,IF('GPA Calculator'!A57="STA",'GPA Calculator'!D57,0)))))</f>
        <v>0</v>
      </c>
      <c r="B51" s="58">
        <f>IF(A51=0,0,IF('GPA Calculator'!E57="W",0,IF('GPA Calculator'!E57="P",0,IF('GPA Calculator'!E57="FA",0,IF('GPA Calculator'!E57="CR",0,IF('GPA Calculator'!E57="NC",0,IF('GPA Calculator'!E57="",0,'GPA Calculator'!E57)))))))</f>
        <v>0</v>
      </c>
      <c r="C51" s="58">
        <f t="shared" si="11"/>
        <v>0</v>
      </c>
      <c r="D51" s="58">
        <f t="shared" si="2"/>
        <v>0</v>
      </c>
      <c r="H51" s="58">
        <f>IF('GPA Calculator'!K57="BIO",'GPA Calculator'!N57,IF('GPA Calculator'!K57="CHE",'GPA Calculator'!N57,IF('GPA Calculator'!K57="PHY",'GPA Calculator'!N57,IF('GPA Calculator'!K57="MTH",'GPA Calculator'!N57,IF('GPA Calculator'!K57="STA",'GPA Calculator'!N57,0)))))</f>
        <v>0</v>
      </c>
      <c r="I51" s="58">
        <f>IF(H51=0,0,IF('GPA Calculator'!O57="W",0,IF('GPA Calculator'!O57="P",0,IF('GPA Calculator'!O57="FA",0,IF('GPA Calculator'!O57="CR",0,IF('GPA Calculator'!O57="NC",0,IF('GPA Calculator'!O57="",0,'GPA Calculator'!O57)))))))</f>
        <v>0</v>
      </c>
      <c r="J51" s="58">
        <f t="shared" si="12"/>
        <v>0</v>
      </c>
      <c r="K51" s="58">
        <f t="shared" si="3"/>
        <v>0</v>
      </c>
    </row>
    <row r="52" spans="1:12" x14ac:dyDescent="0.25">
      <c r="A52" s="58">
        <f>IF('GPA Calculator'!A58="BIO",'GPA Calculator'!D58,IF('GPA Calculator'!A58="CHE",'GPA Calculator'!D58,IF('GPA Calculator'!A58="PHY",'GPA Calculator'!D58,IF('GPA Calculator'!A58="MTH",'GPA Calculator'!D58,IF('GPA Calculator'!A58="STA",'GPA Calculator'!D58,0)))))</f>
        <v>0</v>
      </c>
      <c r="B52" s="58">
        <f>IF(A52=0,0,IF('GPA Calculator'!E58="W",0,IF('GPA Calculator'!E58="P",0,IF('GPA Calculator'!E58="FA",0,IF('GPA Calculator'!E58="CR",0,IF('GPA Calculator'!E58="NC",0,IF('GPA Calculator'!E58="",0,'GPA Calculator'!E58)))))))</f>
        <v>0</v>
      </c>
      <c r="C52" s="58">
        <f t="shared" si="11"/>
        <v>0</v>
      </c>
      <c r="D52" s="58">
        <f t="shared" si="2"/>
        <v>0</v>
      </c>
      <c r="H52" s="58">
        <f>IF('GPA Calculator'!K58="BIO",'GPA Calculator'!N58,IF('GPA Calculator'!K58="CHE",'GPA Calculator'!N58,IF('GPA Calculator'!K58="PHY",'GPA Calculator'!N58,IF('GPA Calculator'!K58="MTH",'GPA Calculator'!N58,IF('GPA Calculator'!K58="STA",'GPA Calculator'!N58,0)))))</f>
        <v>0</v>
      </c>
      <c r="I52" s="58">
        <f>IF(H52=0,0,IF('GPA Calculator'!O58="W",0,IF('GPA Calculator'!O58="P",0,IF('GPA Calculator'!O58="FA",0,IF('GPA Calculator'!O58="CR",0,IF('GPA Calculator'!O58="NC",0,IF('GPA Calculator'!O58="",0,'GPA Calculator'!O58)))))))</f>
        <v>0</v>
      </c>
      <c r="J52" s="58">
        <f t="shared" si="12"/>
        <v>0</v>
      </c>
      <c r="K52" s="58">
        <f t="shared" si="3"/>
        <v>0</v>
      </c>
    </row>
    <row r="53" spans="1:12" x14ac:dyDescent="0.25">
      <c r="A53" s="58">
        <f>IF('GPA Calculator'!A59="BIO",'GPA Calculator'!D59,IF('GPA Calculator'!A59="CHE",'GPA Calculator'!D59,IF('GPA Calculator'!A59="PHY",'GPA Calculator'!D59,IF('GPA Calculator'!A59="MTH",'GPA Calculator'!D59,IF('GPA Calculator'!A59="STA",'GPA Calculator'!D59,0)))))</f>
        <v>0</v>
      </c>
      <c r="B53" s="58">
        <f>IF(A53=0,0,IF('GPA Calculator'!E59="W",0,IF('GPA Calculator'!E59="P",0,IF('GPA Calculator'!E59="FA",0,IF('GPA Calculator'!E59="CR",0,IF('GPA Calculator'!E59="NC",0,IF('GPA Calculator'!E59="",0,'GPA Calculator'!E59)))))))</f>
        <v>0</v>
      </c>
      <c r="C53" s="58">
        <f t="shared" si="11"/>
        <v>0</v>
      </c>
      <c r="D53" s="58">
        <f t="shared" si="2"/>
        <v>0</v>
      </c>
      <c r="H53" s="58">
        <f>IF('GPA Calculator'!K59="BIO",'GPA Calculator'!N59,IF('GPA Calculator'!K59="CHE",'GPA Calculator'!N59,IF('GPA Calculator'!K59="PHY",'GPA Calculator'!N59,IF('GPA Calculator'!K59="MTH",'GPA Calculator'!N59,IF('GPA Calculator'!K59="STA",'GPA Calculator'!N59,0)))))</f>
        <v>0</v>
      </c>
      <c r="I53" s="58">
        <f>IF(H53=0,0,IF('GPA Calculator'!O59="W",0,IF('GPA Calculator'!O59="P",0,IF('GPA Calculator'!O59="FA",0,IF('GPA Calculator'!O59="CR",0,IF('GPA Calculator'!O59="NC",0,IF('GPA Calculator'!O59="",0,'GPA Calculator'!O59)))))))</f>
        <v>0</v>
      </c>
      <c r="J53" s="58">
        <f t="shared" si="12"/>
        <v>0</v>
      </c>
      <c r="K53" s="58">
        <f t="shared" si="3"/>
        <v>0</v>
      </c>
    </row>
    <row r="54" spans="1:12" x14ac:dyDescent="0.25">
      <c r="A54" s="58">
        <f>IF('GPA Calculator'!A60="BIO",'GPA Calculator'!D60,IF('GPA Calculator'!A60="CHE",'GPA Calculator'!D60,IF('GPA Calculator'!A60="PHY",'GPA Calculator'!D60,IF('GPA Calculator'!A60="MTH",'GPA Calculator'!D60,IF('GPA Calculator'!A60="STA",'GPA Calculator'!D60,0)))))</f>
        <v>0</v>
      </c>
      <c r="B54" s="58">
        <f>IF(A54=0,0,IF('GPA Calculator'!E60="W",0,IF('GPA Calculator'!E60="P",0,IF('GPA Calculator'!E60="FA",0,IF('GPA Calculator'!E60="CR",0,IF('GPA Calculator'!E60="NC",0,IF('GPA Calculator'!E60="",0,'GPA Calculator'!E60)))))))</f>
        <v>0</v>
      </c>
      <c r="C54" s="58">
        <f t="shared" si="11"/>
        <v>0</v>
      </c>
      <c r="D54" s="58">
        <f t="shared" si="2"/>
        <v>0</v>
      </c>
      <c r="H54" s="58">
        <f>IF('GPA Calculator'!K60="BIO",'GPA Calculator'!N60,IF('GPA Calculator'!K60="CHE",'GPA Calculator'!N60,IF('GPA Calculator'!K60="PHY",'GPA Calculator'!N60,IF('GPA Calculator'!K60="MTH",'GPA Calculator'!N60,IF('GPA Calculator'!K60="STA",'GPA Calculator'!N60,0)))))</f>
        <v>0</v>
      </c>
      <c r="I54" s="58">
        <f>IF(H54=0,0,IF('GPA Calculator'!O60="W",0,IF('GPA Calculator'!O60="P",0,IF('GPA Calculator'!O60="FA",0,IF('GPA Calculator'!O60="CR",0,IF('GPA Calculator'!O60="NC",0,IF('GPA Calculator'!O60="",0,'GPA Calculator'!O60)))))))</f>
        <v>0</v>
      </c>
      <c r="J54" s="58">
        <f t="shared" si="12"/>
        <v>0</v>
      </c>
      <c r="K54" s="58">
        <f t="shared" si="3"/>
        <v>0</v>
      </c>
    </row>
    <row r="55" spans="1:12" x14ac:dyDescent="0.25">
      <c r="A55" s="58">
        <f>IF('GPA Calculator'!A61="BIO",'GPA Calculator'!D61,IF('GPA Calculator'!A61="CHE",'GPA Calculator'!D61,IF('GPA Calculator'!A61="PHY",'GPA Calculator'!D61,IF('GPA Calculator'!A61="MTH",'GPA Calculator'!D61,IF('GPA Calculator'!A61="STA",'GPA Calculator'!D61,0)))))</f>
        <v>0</v>
      </c>
      <c r="B55" s="58">
        <f>IF(A55=0,0,IF('GPA Calculator'!E61="W",0,IF('GPA Calculator'!E61="P",0,IF('GPA Calculator'!E61="FA",0,IF('GPA Calculator'!E61="CR",0,IF('GPA Calculator'!E61="NC",0,IF('GPA Calculator'!E61="",0,'GPA Calculator'!E61)))))))</f>
        <v>0</v>
      </c>
      <c r="C55" s="58">
        <f t="shared" si="11"/>
        <v>0</v>
      </c>
      <c r="D55" s="58">
        <f t="shared" si="2"/>
        <v>0</v>
      </c>
      <c r="H55" s="58">
        <f>IF('GPA Calculator'!K61="BIO",'GPA Calculator'!N61,IF('GPA Calculator'!K61="CHE",'GPA Calculator'!N61,IF('GPA Calculator'!K61="PHY",'GPA Calculator'!N61,IF('GPA Calculator'!K61="MTH",'GPA Calculator'!N61,IF('GPA Calculator'!K61="STA",'GPA Calculator'!N61,0)))))</f>
        <v>0</v>
      </c>
      <c r="I55" s="58">
        <f>IF(H55=0,0,IF('GPA Calculator'!O61="W",0,IF('GPA Calculator'!O61="P",0,IF('GPA Calculator'!O61="FA",0,IF('GPA Calculator'!O61="CR",0,IF('GPA Calculator'!O61="NC",0,IF('GPA Calculator'!O61="",0,'GPA Calculator'!O61)))))))</f>
        <v>0</v>
      </c>
      <c r="J55" s="58">
        <f t="shared" si="12"/>
        <v>0</v>
      </c>
      <c r="K55" s="58">
        <f t="shared" si="3"/>
        <v>0</v>
      </c>
    </row>
    <row r="56" spans="1:12" x14ac:dyDescent="0.25">
      <c r="A56" s="58">
        <f>IF('GPA Calculator'!A62="BIO",'GPA Calculator'!D62,IF('GPA Calculator'!A62="CHE",'GPA Calculator'!D62,IF('GPA Calculator'!A62="PHY",'GPA Calculator'!D62,IF('GPA Calculator'!A62="MTH",'GPA Calculator'!D62,IF('GPA Calculator'!A62="STA",'GPA Calculator'!D62,0)))))</f>
        <v>0</v>
      </c>
      <c r="B56" s="58">
        <f>IF(A56=0,0,IF('GPA Calculator'!E62="W",0,IF('GPA Calculator'!E62="P",0,IF('GPA Calculator'!E62="FA",0,IF('GPA Calculator'!E62="CR",0,IF('GPA Calculator'!E62="NC",0,IF('GPA Calculator'!E62="",0,'GPA Calculator'!E62)))))))</f>
        <v>0</v>
      </c>
      <c r="C56" s="58">
        <f t="shared" si="11"/>
        <v>0</v>
      </c>
      <c r="D56" s="58">
        <f t="shared" si="2"/>
        <v>0</v>
      </c>
      <c r="H56" s="58">
        <f>IF('GPA Calculator'!K62="BIO",'GPA Calculator'!N62,IF('GPA Calculator'!K62="CHE",'GPA Calculator'!N62,IF('GPA Calculator'!K62="PHY",'GPA Calculator'!N62,IF('GPA Calculator'!K62="MTH",'GPA Calculator'!N62,IF('GPA Calculator'!K62="STA",'GPA Calculator'!N62,0)))))</f>
        <v>0</v>
      </c>
      <c r="I56" s="58">
        <f>IF(H56=0,0,IF('GPA Calculator'!O62="W",0,IF('GPA Calculator'!O62="P",0,IF('GPA Calculator'!O62="FA",0,IF('GPA Calculator'!O62="CR",0,IF('GPA Calculator'!O62="NC",0,IF('GPA Calculator'!O62="",0,'GPA Calculator'!O62)))))))</f>
        <v>0</v>
      </c>
      <c r="J56" s="58">
        <f t="shared" si="12"/>
        <v>0</v>
      </c>
      <c r="K56" s="58">
        <f t="shared" si="3"/>
        <v>0</v>
      </c>
    </row>
    <row r="57" spans="1:12" x14ac:dyDescent="0.25">
      <c r="A57" s="58">
        <f>IF('GPA Calculator'!A63="BIO",'GPA Calculator'!D63,IF('GPA Calculator'!A63="CHE",'GPA Calculator'!D63,IF('GPA Calculator'!A63="PHY",'GPA Calculator'!D63,IF('GPA Calculator'!A63="MTH",'GPA Calculator'!D63,IF('GPA Calculator'!A63="STA",'GPA Calculator'!D63,0)))))</f>
        <v>0</v>
      </c>
      <c r="B57" s="58">
        <f>IF(A57=0,0,IF('GPA Calculator'!E63="W",0,IF('GPA Calculator'!E63="P",0,IF('GPA Calculator'!E63="FA",0,IF('GPA Calculator'!E63="CR",0,IF('GPA Calculator'!E63="NC",0,IF('GPA Calculator'!E63="",0,'GPA Calculator'!E63)))))))</f>
        <v>0</v>
      </c>
      <c r="C57" s="58">
        <f t="shared" si="11"/>
        <v>0</v>
      </c>
      <c r="D57" s="58">
        <f t="shared" si="2"/>
        <v>0</v>
      </c>
      <c r="H57" s="58">
        <f>IF('GPA Calculator'!K63="BIO",'GPA Calculator'!N63,IF('GPA Calculator'!K63="CHE",'GPA Calculator'!N63,IF('GPA Calculator'!K63="PHY",'GPA Calculator'!N63,IF('GPA Calculator'!K63="MTH",'GPA Calculator'!N63,IF('GPA Calculator'!K63="STA",'GPA Calculator'!N63,0)))))</f>
        <v>0</v>
      </c>
      <c r="I57" s="58">
        <f>IF(H57=0,0,IF('GPA Calculator'!O63="W",0,IF('GPA Calculator'!O63="P",0,IF('GPA Calculator'!O63="FA",0,IF('GPA Calculator'!O63="CR",0,IF('GPA Calculator'!O63="NC",0,IF('GPA Calculator'!O63="",0,'GPA Calculator'!O63)))))))</f>
        <v>0</v>
      </c>
      <c r="J57" s="58">
        <f t="shared" si="12"/>
        <v>0</v>
      </c>
      <c r="K57" s="58">
        <f t="shared" si="3"/>
        <v>0</v>
      </c>
    </row>
    <row r="58" spans="1:12" x14ac:dyDescent="0.25">
      <c r="A58" s="58">
        <f>SUM(A49:A57)</f>
        <v>0</v>
      </c>
      <c r="C58" s="58">
        <f>SUM(C49:C57)</f>
        <v>0</v>
      </c>
      <c r="D58" s="58">
        <f>SUM(D49:D57)</f>
        <v>0</v>
      </c>
      <c r="E58" t="str">
        <f>IF(A58=0,"",D58/A58)</f>
        <v/>
      </c>
      <c r="H58" s="58">
        <f>SUM(H49:H57)</f>
        <v>0</v>
      </c>
      <c r="J58" s="58">
        <f t="shared" ref="J58" si="13">SUM(J49:J57)</f>
        <v>0</v>
      </c>
      <c r="K58" s="58">
        <f>SUM(K49:K57)</f>
        <v>0</v>
      </c>
      <c r="L58" t="str">
        <f>IF(H58=0,"",K58/H58)</f>
        <v/>
      </c>
    </row>
    <row r="66" spans="1:12" x14ac:dyDescent="0.25">
      <c r="A66" s="58">
        <f>IF('GPA Calculator'!A73="BIO",'GPA Calculator'!D73,IF('GPA Calculator'!A73="CHE",'GPA Calculator'!D73,IF('GPA Calculator'!A73="PHY",'GPA Calculator'!D73,IF('GPA Calculator'!A73="MTH",'GPA Calculator'!D73,IF('GPA Calculator'!A73="STA",'GPA Calculator'!D73,0)))))</f>
        <v>0</v>
      </c>
      <c r="B66" s="58">
        <f>IF(A66=0,0,IF('GPA Calculator'!E73="W",0,IF('GPA Calculator'!E73="P",0,IF('GPA Calculator'!E73="FA",0,IF('GPA Calculator'!E73="CR",0,IF('GPA Calculator'!E73="NC",0,IF('GPA Calculator'!E73="",0,'GPA Calculator'!E73)))))))</f>
        <v>0</v>
      </c>
      <c r="C66" s="58">
        <f t="shared" ref="C66:C73" si="14">IF(A66=0,0,VLOOKUP(B66,$T$2:$U$14,2,FALSE))</f>
        <v>0</v>
      </c>
      <c r="D66" s="58">
        <f t="shared" si="2"/>
        <v>0</v>
      </c>
      <c r="H66" s="58">
        <f>IF('GPA Calculator'!K73="BIO",'GPA Calculator'!N73,IF('GPA Calculator'!K73="CHE",'GPA Calculator'!N73,IF('GPA Calculator'!K73="PHY",'GPA Calculator'!N73,IF('GPA Calculator'!K73="MTH",'GPA Calculator'!N73,IF('GPA Calculator'!K73="STA",'GPA Calculator'!N73,0)))))</f>
        <v>0</v>
      </c>
      <c r="I66" s="58">
        <f>IF(H66=0,0,IF('GPA Calculator'!O73="W",0,IF('GPA Calculator'!O73="P",0,IF('GPA Calculator'!O73="FA",0,IF('GPA Calculator'!O73="CR",0,IF('GPA Calculator'!O73="NC",0,IF('GPA Calculator'!O73="",0,'GPA Calculator'!O73)))))))</f>
        <v>0</v>
      </c>
      <c r="J66" s="58">
        <f t="shared" ref="J66:J73" si="15">IF(H66=0,0,VLOOKUP(I66,$T$2:$U$14,2,FALSE))</f>
        <v>0</v>
      </c>
      <c r="K66" s="58">
        <f t="shared" si="3"/>
        <v>0</v>
      </c>
    </row>
    <row r="67" spans="1:12" x14ac:dyDescent="0.25">
      <c r="A67" s="58">
        <f>IF('GPA Calculator'!A74="BIO",'GPA Calculator'!D74,IF('GPA Calculator'!A74="CHE",'GPA Calculator'!D74,IF('GPA Calculator'!A74="PHY",'GPA Calculator'!D74,IF('GPA Calculator'!A74="MTH",'GPA Calculator'!D74,IF('GPA Calculator'!A74="STA",'GPA Calculator'!D74,0)))))</f>
        <v>0</v>
      </c>
      <c r="B67" s="58">
        <f>IF(A67=0,0,IF('GPA Calculator'!E74="W",0,IF('GPA Calculator'!E74="P",0,IF('GPA Calculator'!E74="FA",0,IF('GPA Calculator'!E74="CR",0,IF('GPA Calculator'!E74="NC",0,IF('GPA Calculator'!E74="",0,'GPA Calculator'!E74)))))))</f>
        <v>0</v>
      </c>
      <c r="C67" s="58">
        <f t="shared" si="14"/>
        <v>0</v>
      </c>
      <c r="D67" s="58">
        <f t="shared" ref="D67:D89" si="16">C67*A67</f>
        <v>0</v>
      </c>
      <c r="H67" s="58">
        <f>IF('GPA Calculator'!K74="BIO",'GPA Calculator'!N74,IF('GPA Calculator'!K74="CHE",'GPA Calculator'!N74,IF('GPA Calculator'!K74="PHY",'GPA Calculator'!N74,IF('GPA Calculator'!K74="MTH",'GPA Calculator'!N74,IF('GPA Calculator'!K74="STA",'GPA Calculator'!N74,0)))))</f>
        <v>0</v>
      </c>
      <c r="I67" s="58">
        <f>IF(H67=0,0,IF('GPA Calculator'!O74="W",0,IF('GPA Calculator'!O74="P",0,IF('GPA Calculator'!O74="FA",0,IF('GPA Calculator'!O74="CR",0,IF('GPA Calculator'!O74="NC",0,IF('GPA Calculator'!O74="",0,'GPA Calculator'!O74)))))))</f>
        <v>0</v>
      </c>
      <c r="J67" s="58">
        <f t="shared" si="15"/>
        <v>0</v>
      </c>
      <c r="K67" s="58">
        <f t="shared" ref="K67:K89" si="17">J67*H67</f>
        <v>0</v>
      </c>
    </row>
    <row r="68" spans="1:12" x14ac:dyDescent="0.25">
      <c r="A68" s="58">
        <f>IF('GPA Calculator'!A75="BIO",'GPA Calculator'!D75,IF('GPA Calculator'!A75="CHE",'GPA Calculator'!D75,IF('GPA Calculator'!A75="PHY",'GPA Calculator'!D75,IF('GPA Calculator'!A75="MTH",'GPA Calculator'!D75,IF('GPA Calculator'!A75="STA",'GPA Calculator'!D75,0)))))</f>
        <v>0</v>
      </c>
      <c r="B68" s="58">
        <f>IF(A68=0,0,IF('GPA Calculator'!E75="W",0,IF('GPA Calculator'!E75="P",0,IF('GPA Calculator'!E75="FA",0,IF('GPA Calculator'!E75="CR",0,IF('GPA Calculator'!E75="NC",0,IF('GPA Calculator'!E75="",0,'GPA Calculator'!E75)))))))</f>
        <v>0</v>
      </c>
      <c r="C68" s="58">
        <f t="shared" si="14"/>
        <v>0</v>
      </c>
      <c r="D68" s="58">
        <f t="shared" si="16"/>
        <v>0</v>
      </c>
      <c r="H68" s="58">
        <f>IF('GPA Calculator'!K75="BIO",'GPA Calculator'!N75,IF('GPA Calculator'!K75="CHE",'GPA Calculator'!N75,IF('GPA Calculator'!K75="PHY",'GPA Calculator'!N75,IF('GPA Calculator'!K75="MTH",'GPA Calculator'!N75,IF('GPA Calculator'!K75="STA",'GPA Calculator'!N75,0)))))</f>
        <v>0</v>
      </c>
      <c r="I68" s="58">
        <f>IF(H68=0,0,IF('GPA Calculator'!O75="W",0,IF('GPA Calculator'!O75="P",0,IF('GPA Calculator'!O75="FA",0,IF('GPA Calculator'!O75="CR",0,IF('GPA Calculator'!O75="NC",0,IF('GPA Calculator'!O75="",0,'GPA Calculator'!O75)))))))</f>
        <v>0</v>
      </c>
      <c r="J68" s="58">
        <f t="shared" si="15"/>
        <v>0</v>
      </c>
      <c r="K68" s="58">
        <f t="shared" si="17"/>
        <v>0</v>
      </c>
    </row>
    <row r="69" spans="1:12" x14ac:dyDescent="0.25">
      <c r="A69" s="58">
        <f>IF('GPA Calculator'!A76="BIO",'GPA Calculator'!D76,IF('GPA Calculator'!A76="CHE",'GPA Calculator'!D76,IF('GPA Calculator'!A76="PHY",'GPA Calculator'!D76,IF('GPA Calculator'!A76="MTH",'GPA Calculator'!D76,IF('GPA Calculator'!A76="STA",'GPA Calculator'!D76,0)))))</f>
        <v>0</v>
      </c>
      <c r="B69" s="58">
        <f>IF(A69=0,0,IF('GPA Calculator'!E76="W",0,IF('GPA Calculator'!E76="P",0,IF('GPA Calculator'!E76="FA",0,IF('GPA Calculator'!E76="CR",0,IF('GPA Calculator'!E76="NC",0,IF('GPA Calculator'!E76="",0,'GPA Calculator'!E76)))))))</f>
        <v>0</v>
      </c>
      <c r="C69" s="58">
        <f t="shared" si="14"/>
        <v>0</v>
      </c>
      <c r="D69" s="58">
        <f t="shared" si="16"/>
        <v>0</v>
      </c>
      <c r="H69" s="58">
        <f>IF('GPA Calculator'!K76="BIO",'GPA Calculator'!N76,IF('GPA Calculator'!K76="CHE",'GPA Calculator'!N76,IF('GPA Calculator'!K76="PHY",'GPA Calculator'!N76,IF('GPA Calculator'!K76="MTH",'GPA Calculator'!N76,IF('GPA Calculator'!K76="STA",'GPA Calculator'!N76,0)))))</f>
        <v>0</v>
      </c>
      <c r="I69" s="58">
        <f>IF(H69=0,0,IF('GPA Calculator'!O76="W",0,IF('GPA Calculator'!O76="P",0,IF('GPA Calculator'!O76="FA",0,IF('GPA Calculator'!O76="CR",0,IF('GPA Calculator'!O76="NC",0,IF('GPA Calculator'!O76="",0,'GPA Calculator'!O76)))))))</f>
        <v>0</v>
      </c>
      <c r="J69" s="58">
        <f t="shared" si="15"/>
        <v>0</v>
      </c>
      <c r="K69" s="58">
        <f t="shared" si="17"/>
        <v>0</v>
      </c>
    </row>
    <row r="70" spans="1:12" x14ac:dyDescent="0.25">
      <c r="A70" s="58">
        <f>IF('GPA Calculator'!A77="BIO",'GPA Calculator'!D77,IF('GPA Calculator'!A77="CHE",'GPA Calculator'!D77,IF('GPA Calculator'!A77="PHY",'GPA Calculator'!D77,IF('GPA Calculator'!A77="MTH",'GPA Calculator'!D77,IF('GPA Calculator'!A77="STA",'GPA Calculator'!D77,0)))))</f>
        <v>0</v>
      </c>
      <c r="B70" s="58">
        <f>IF(A70=0,0,IF('GPA Calculator'!E77="W",0,IF('GPA Calculator'!E77="P",0,IF('GPA Calculator'!E77="FA",0,IF('GPA Calculator'!E77="CR",0,IF('GPA Calculator'!E77="NC",0,IF('GPA Calculator'!E77="",0,'GPA Calculator'!E77)))))))</f>
        <v>0</v>
      </c>
      <c r="C70" s="58">
        <f t="shared" si="14"/>
        <v>0</v>
      </c>
      <c r="D70" s="58">
        <f t="shared" si="16"/>
        <v>0</v>
      </c>
      <c r="H70" s="58">
        <f>IF('GPA Calculator'!K77="BIO",'GPA Calculator'!N77,IF('GPA Calculator'!K77="CHE",'GPA Calculator'!N77,IF('GPA Calculator'!K77="PHY",'GPA Calculator'!N77,IF('GPA Calculator'!K77="MTH",'GPA Calculator'!N77,IF('GPA Calculator'!K77="STA",'GPA Calculator'!N77,0)))))</f>
        <v>0</v>
      </c>
      <c r="I70" s="58">
        <f>IF(H70=0,0,IF('GPA Calculator'!O77="W",0,IF('GPA Calculator'!O77="P",0,IF('GPA Calculator'!O77="FA",0,IF('GPA Calculator'!O77="CR",0,IF('GPA Calculator'!O77="NC",0,IF('GPA Calculator'!O77="",0,'GPA Calculator'!O77)))))))</f>
        <v>0</v>
      </c>
      <c r="J70" s="58">
        <f t="shared" si="15"/>
        <v>0</v>
      </c>
      <c r="K70" s="58">
        <f t="shared" si="17"/>
        <v>0</v>
      </c>
    </row>
    <row r="71" spans="1:12" x14ac:dyDescent="0.25">
      <c r="A71" s="58">
        <f>IF('GPA Calculator'!A78="BIO",'GPA Calculator'!D78,IF('GPA Calculator'!A78="CHE",'GPA Calculator'!D78,IF('GPA Calculator'!A78="PHY",'GPA Calculator'!D78,IF('GPA Calculator'!A78="MTH",'GPA Calculator'!D78,IF('GPA Calculator'!A78="STA",'GPA Calculator'!D78,0)))))</f>
        <v>0</v>
      </c>
      <c r="B71" s="58">
        <f>IF(A71=0,0,IF('GPA Calculator'!E78="W",0,IF('GPA Calculator'!E78="P",0,IF('GPA Calculator'!E78="FA",0,IF('GPA Calculator'!E78="CR",0,IF('GPA Calculator'!E78="NC",0,IF('GPA Calculator'!E78="",0,'GPA Calculator'!E78)))))))</f>
        <v>0</v>
      </c>
      <c r="C71" s="58">
        <f t="shared" si="14"/>
        <v>0</v>
      </c>
      <c r="D71" s="58">
        <f t="shared" si="16"/>
        <v>0</v>
      </c>
      <c r="H71" s="58">
        <f>IF('GPA Calculator'!K78="BIO",'GPA Calculator'!N78,IF('GPA Calculator'!K78="CHE",'GPA Calculator'!N78,IF('GPA Calculator'!K78="PHY",'GPA Calculator'!N78,IF('GPA Calculator'!K78="MTH",'GPA Calculator'!N78,IF('GPA Calculator'!K78="STA",'GPA Calculator'!N78,0)))))</f>
        <v>0</v>
      </c>
      <c r="I71" s="58">
        <f>IF(H71=0,0,IF('GPA Calculator'!O78="W",0,IF('GPA Calculator'!O78="P",0,IF('GPA Calculator'!O78="FA",0,IF('GPA Calculator'!O78="CR",0,IF('GPA Calculator'!O78="NC",0,IF('GPA Calculator'!O78="",0,'GPA Calculator'!O78)))))))</f>
        <v>0</v>
      </c>
      <c r="J71" s="58">
        <f t="shared" si="15"/>
        <v>0</v>
      </c>
      <c r="K71" s="58">
        <f t="shared" si="17"/>
        <v>0</v>
      </c>
    </row>
    <row r="72" spans="1:12" x14ac:dyDescent="0.25">
      <c r="A72" s="58">
        <f>IF('GPA Calculator'!A79="BIO",'GPA Calculator'!D79,IF('GPA Calculator'!A79="CHE",'GPA Calculator'!D79,IF('GPA Calculator'!A79="PHY",'GPA Calculator'!D79,IF('GPA Calculator'!A79="MTH",'GPA Calculator'!D79,IF('GPA Calculator'!A79="STA",'GPA Calculator'!D79,0)))))</f>
        <v>0</v>
      </c>
      <c r="B72" s="58">
        <f>IF(A72=0,0,IF('GPA Calculator'!E79="W",0,IF('GPA Calculator'!E79="P",0,IF('GPA Calculator'!E79="FA",0,IF('GPA Calculator'!E79="CR",0,IF('GPA Calculator'!E79="NC",0,IF('GPA Calculator'!E79="",0,'GPA Calculator'!E79)))))))</f>
        <v>0</v>
      </c>
      <c r="C72" s="58">
        <f t="shared" si="14"/>
        <v>0</v>
      </c>
      <c r="D72" s="58">
        <f t="shared" si="16"/>
        <v>0</v>
      </c>
      <c r="H72" s="58">
        <f>IF('GPA Calculator'!K79="BIO",'GPA Calculator'!N79,IF('GPA Calculator'!K79="CHE",'GPA Calculator'!N79,IF('GPA Calculator'!K79="PHY",'GPA Calculator'!N79,IF('GPA Calculator'!K79="MTH",'GPA Calculator'!N79,IF('GPA Calculator'!K79="STA",'GPA Calculator'!N79,0)))))</f>
        <v>0</v>
      </c>
      <c r="I72" s="58">
        <f>IF(H72=0,0,IF('GPA Calculator'!O79="W",0,IF('GPA Calculator'!O79="P",0,IF('GPA Calculator'!O79="FA",0,IF('GPA Calculator'!O79="CR",0,IF('GPA Calculator'!O79="NC",0,IF('GPA Calculator'!O79="",0,'GPA Calculator'!O79)))))))</f>
        <v>0</v>
      </c>
      <c r="J72" s="58">
        <f t="shared" si="15"/>
        <v>0</v>
      </c>
      <c r="K72" s="58">
        <f t="shared" si="17"/>
        <v>0</v>
      </c>
    </row>
    <row r="73" spans="1:12" x14ac:dyDescent="0.25">
      <c r="A73" s="58">
        <f>IF('GPA Calculator'!A80="BIO",'GPA Calculator'!D80,IF('GPA Calculator'!A80="CHE",'GPA Calculator'!D80,IF('GPA Calculator'!A80="PHY",'GPA Calculator'!D80,IF('GPA Calculator'!A80="MTH",'GPA Calculator'!D80,IF('GPA Calculator'!A80="STA",'GPA Calculator'!D80,0)))))</f>
        <v>0</v>
      </c>
      <c r="B73" s="58">
        <f>IF(A73=0,0,IF('GPA Calculator'!E80="W",0,IF('GPA Calculator'!E80="P",0,IF('GPA Calculator'!E80="FA",0,IF('GPA Calculator'!E80="CR",0,IF('GPA Calculator'!E80="NC",0,IF('GPA Calculator'!E80="",0,'GPA Calculator'!E80)))))))</f>
        <v>0</v>
      </c>
      <c r="C73" s="58">
        <f t="shared" si="14"/>
        <v>0</v>
      </c>
      <c r="D73" s="58">
        <f t="shared" si="16"/>
        <v>0</v>
      </c>
      <c r="H73" s="58">
        <f>IF('GPA Calculator'!K80="BIO",'GPA Calculator'!N80,IF('GPA Calculator'!K80="CHE",'GPA Calculator'!N80,IF('GPA Calculator'!K80="PHY",'GPA Calculator'!N80,IF('GPA Calculator'!K80="MTH",'GPA Calculator'!N80,IF('GPA Calculator'!K80="STA",'GPA Calculator'!N80,0)))))</f>
        <v>0</v>
      </c>
      <c r="I73" s="58">
        <f>IF(H73=0,0,IF('GPA Calculator'!O80="W",0,IF('GPA Calculator'!O80="P",0,IF('GPA Calculator'!O80="FA",0,IF('GPA Calculator'!O80="CR",0,IF('GPA Calculator'!O80="NC",0,IF('GPA Calculator'!O80="",0,'GPA Calculator'!O80)))))))</f>
        <v>0</v>
      </c>
      <c r="J73" s="58">
        <f t="shared" si="15"/>
        <v>0</v>
      </c>
      <c r="K73" s="58">
        <f t="shared" si="17"/>
        <v>0</v>
      </c>
    </row>
    <row r="74" spans="1:12" x14ac:dyDescent="0.25">
      <c r="A74" s="58">
        <f>SUM(A65:A73)</f>
        <v>0</v>
      </c>
      <c r="C74" s="58">
        <f>SUM(C65:C73)</f>
        <v>0</v>
      </c>
      <c r="D74" s="58">
        <f>SUM(D65:D73)</f>
        <v>0</v>
      </c>
      <c r="E74" t="str">
        <f>IF(A74=0,"",D74/A74)</f>
        <v/>
      </c>
      <c r="H74" s="58">
        <f>SUM(H65:H73)</f>
        <v>0</v>
      </c>
      <c r="J74" s="58">
        <f t="shared" ref="J74" si="18">SUM(J65:J73)</f>
        <v>0</v>
      </c>
      <c r="K74" s="58">
        <f>SUM(K65:K73)</f>
        <v>0</v>
      </c>
      <c r="L74" t="str">
        <f>IF(H74=0,"",K74/H74)</f>
        <v/>
      </c>
    </row>
    <row r="82" spans="1:12" x14ac:dyDescent="0.25">
      <c r="A82" s="58">
        <f>IF('GPA Calculator'!A90="BIO",'GPA Calculator'!D90,IF('GPA Calculator'!A90="CHE",'GPA Calculator'!D90,IF('GPA Calculator'!A90="PHY",'GPA Calculator'!D90,IF('GPA Calculator'!A90="MTH",'GPA Calculator'!D90,IF('GPA Calculator'!A90="STA",'GPA Calculator'!D90,0)))))</f>
        <v>0</v>
      </c>
      <c r="B82" s="58">
        <f>IF(A82=0,0,IF('GPA Calculator'!E90="W",0,IF('GPA Calculator'!E90="P",0,IF('GPA Calculator'!E90="FA",0,IF('GPA Calculator'!E90="CR",0,IF('GPA Calculator'!E90="NC",0,IF('GPA Calculator'!E90="",0,'GPA Calculator'!E90)))))))</f>
        <v>0</v>
      </c>
      <c r="C82" s="58">
        <f t="shared" ref="C82:C89" si="19">IF(A82=0,0,VLOOKUP(B82,$T$2:$U$14,2,FALSE))</f>
        <v>0</v>
      </c>
      <c r="D82" s="58">
        <f t="shared" si="16"/>
        <v>0</v>
      </c>
      <c r="H82" s="58">
        <f>IF('GPA Calculator'!K90="BIO",'GPA Calculator'!N90,IF('GPA Calculator'!K90="CHE",'GPA Calculator'!N90,IF('GPA Calculator'!K90="PHY",'GPA Calculator'!N90,IF('GPA Calculator'!K90="MTH",'GPA Calculator'!N90,IF('GPA Calculator'!K90="STA",'GPA Calculator'!N90,0)))))</f>
        <v>0</v>
      </c>
      <c r="I82" s="58">
        <f>IF(H82=0,0,IF('GPA Calculator'!O90="W",0,IF('GPA Calculator'!O90="P",0,IF('GPA Calculator'!O90="FA",0,IF('GPA Calculator'!O90="CR",0,IF('GPA Calculator'!O90="NC",0,IF('GPA Calculator'!O90="",0,'GPA Calculator'!O90)))))))</f>
        <v>0</v>
      </c>
      <c r="J82" s="58">
        <f t="shared" ref="J82:J89" si="20">IF(H82=0,0,VLOOKUP(I82,$T$2:$U$14,2,FALSE))</f>
        <v>0</v>
      </c>
      <c r="K82" s="58">
        <f t="shared" si="17"/>
        <v>0</v>
      </c>
    </row>
    <row r="83" spans="1:12" x14ac:dyDescent="0.25">
      <c r="A83" s="58">
        <f>IF('GPA Calculator'!A91="BIO",'GPA Calculator'!D91,IF('GPA Calculator'!A91="CHE",'GPA Calculator'!D91,IF('GPA Calculator'!A91="PHY",'GPA Calculator'!D91,IF('GPA Calculator'!A91="MTH",'GPA Calculator'!D91,IF('GPA Calculator'!A91="STA",'GPA Calculator'!D91,0)))))</f>
        <v>0</v>
      </c>
      <c r="B83" s="58">
        <f>IF(A83=0,0,IF('GPA Calculator'!E91="W",0,IF('GPA Calculator'!E91="P",0,IF('GPA Calculator'!E91="FA",0,IF('GPA Calculator'!E91="CR",0,IF('GPA Calculator'!E91="NC",0,IF('GPA Calculator'!E91="",0,'GPA Calculator'!E91)))))))</f>
        <v>0</v>
      </c>
      <c r="C83" s="58">
        <f t="shared" si="19"/>
        <v>0</v>
      </c>
      <c r="D83" s="58">
        <f t="shared" si="16"/>
        <v>0</v>
      </c>
      <c r="H83" s="58">
        <f>IF('GPA Calculator'!K91="BIO",'GPA Calculator'!N91,IF('GPA Calculator'!K91="CHE",'GPA Calculator'!N91,IF('GPA Calculator'!K91="PHY",'GPA Calculator'!N91,IF('GPA Calculator'!K91="MTH",'GPA Calculator'!N91,IF('GPA Calculator'!K91="STA",'GPA Calculator'!N91,0)))))</f>
        <v>0</v>
      </c>
      <c r="I83" s="58">
        <f>IF(H83=0,0,IF('GPA Calculator'!O91="W",0,IF('GPA Calculator'!O91="P",0,IF('GPA Calculator'!O91="FA",0,IF('GPA Calculator'!O91="CR",0,IF('GPA Calculator'!O91="NC",0,IF('GPA Calculator'!O91="",0,'GPA Calculator'!O91)))))))</f>
        <v>0</v>
      </c>
      <c r="J83" s="58">
        <f t="shared" si="20"/>
        <v>0</v>
      </c>
      <c r="K83" s="58">
        <f t="shared" si="17"/>
        <v>0</v>
      </c>
    </row>
    <row r="84" spans="1:12" x14ac:dyDescent="0.25">
      <c r="A84" s="58">
        <f>IF('GPA Calculator'!A92="BIO",'GPA Calculator'!D92,IF('GPA Calculator'!A92="CHE",'GPA Calculator'!D92,IF('GPA Calculator'!A92="PHY",'GPA Calculator'!D92,IF('GPA Calculator'!A92="MTH",'GPA Calculator'!D92,IF('GPA Calculator'!A92="STA",'GPA Calculator'!D92,0)))))</f>
        <v>0</v>
      </c>
      <c r="B84" s="58">
        <f>IF(A84=0,0,IF('GPA Calculator'!E92="W",0,IF('GPA Calculator'!E92="P",0,IF('GPA Calculator'!E92="FA",0,IF('GPA Calculator'!E92="CR",0,IF('GPA Calculator'!E92="NC",0,IF('GPA Calculator'!E92="",0,'GPA Calculator'!E92)))))))</f>
        <v>0</v>
      </c>
      <c r="C84" s="58">
        <f t="shared" si="19"/>
        <v>0</v>
      </c>
      <c r="D84" s="58">
        <f t="shared" si="16"/>
        <v>0</v>
      </c>
      <c r="H84" s="58">
        <f>IF('GPA Calculator'!K92="BIO",'GPA Calculator'!N92,IF('GPA Calculator'!K92="CHE",'GPA Calculator'!N92,IF('GPA Calculator'!K92="PHY",'GPA Calculator'!N92,IF('GPA Calculator'!K92="MTH",'GPA Calculator'!N92,IF('GPA Calculator'!K92="STA",'GPA Calculator'!N92,0)))))</f>
        <v>0</v>
      </c>
      <c r="I84" s="58">
        <f>IF(H84=0,0,IF('GPA Calculator'!O92="W",0,IF('GPA Calculator'!O92="P",0,IF('GPA Calculator'!O92="FA",0,IF('GPA Calculator'!O92="CR",0,IF('GPA Calculator'!O92="NC",0,IF('GPA Calculator'!O92="",0,'GPA Calculator'!O92)))))))</f>
        <v>0</v>
      </c>
      <c r="J84" s="58">
        <f t="shared" si="20"/>
        <v>0</v>
      </c>
      <c r="K84" s="58">
        <f t="shared" si="17"/>
        <v>0</v>
      </c>
    </row>
    <row r="85" spans="1:12" x14ac:dyDescent="0.25">
      <c r="A85" s="58">
        <f>IF('GPA Calculator'!A93="BIO",'GPA Calculator'!D93,IF('GPA Calculator'!A93="CHE",'GPA Calculator'!D93,IF('GPA Calculator'!A93="PHY",'GPA Calculator'!D93,IF('GPA Calculator'!A93="MTH",'GPA Calculator'!D93,IF('GPA Calculator'!A93="STA",'GPA Calculator'!D93,0)))))</f>
        <v>0</v>
      </c>
      <c r="B85" s="58">
        <f>IF(A85=0,0,IF('GPA Calculator'!E93="W",0,IF('GPA Calculator'!E93="P",0,IF('GPA Calculator'!E93="FA",0,IF('GPA Calculator'!E93="CR",0,IF('GPA Calculator'!E93="NC",0,IF('GPA Calculator'!E93="",0,'GPA Calculator'!E93)))))))</f>
        <v>0</v>
      </c>
      <c r="C85" s="58">
        <f t="shared" si="19"/>
        <v>0</v>
      </c>
      <c r="D85" s="58">
        <f t="shared" si="16"/>
        <v>0</v>
      </c>
      <c r="H85" s="58">
        <f>IF('GPA Calculator'!K93="BIO",'GPA Calculator'!N93,IF('GPA Calculator'!K93="CHE",'GPA Calculator'!N93,IF('GPA Calculator'!K93="PHY",'GPA Calculator'!N93,IF('GPA Calculator'!K93="MTH",'GPA Calculator'!N93,IF('GPA Calculator'!K93="STA",'GPA Calculator'!N93,0)))))</f>
        <v>0</v>
      </c>
      <c r="I85" s="58">
        <f>IF(H85=0,0,IF('GPA Calculator'!O93="W",0,IF('GPA Calculator'!O93="P",0,IF('GPA Calculator'!O93="FA",0,IF('GPA Calculator'!O93="CR",0,IF('GPA Calculator'!O93="NC",0,IF('GPA Calculator'!O93="",0,'GPA Calculator'!O93)))))))</f>
        <v>0</v>
      </c>
      <c r="J85" s="58">
        <f t="shared" si="20"/>
        <v>0</v>
      </c>
      <c r="K85" s="58">
        <f t="shared" si="17"/>
        <v>0</v>
      </c>
    </row>
    <row r="86" spans="1:12" x14ac:dyDescent="0.25">
      <c r="A86" s="58">
        <f>IF('GPA Calculator'!A94="BIO",'GPA Calculator'!D94,IF('GPA Calculator'!A94="CHE",'GPA Calculator'!D94,IF('GPA Calculator'!A94="PHY",'GPA Calculator'!D94,IF('GPA Calculator'!A94="MTH",'GPA Calculator'!D94,IF('GPA Calculator'!A94="STA",'GPA Calculator'!D94,0)))))</f>
        <v>0</v>
      </c>
      <c r="B86" s="58">
        <f>IF(A86=0,0,IF('GPA Calculator'!E94="W",0,IF('GPA Calculator'!E94="P",0,IF('GPA Calculator'!E94="FA",0,IF('GPA Calculator'!E94="CR",0,IF('GPA Calculator'!E94="NC",0,IF('GPA Calculator'!E94="",0,'GPA Calculator'!E94)))))))</f>
        <v>0</v>
      </c>
      <c r="C86" s="58">
        <f t="shared" si="19"/>
        <v>0</v>
      </c>
      <c r="D86" s="58">
        <f t="shared" si="16"/>
        <v>0</v>
      </c>
      <c r="H86" s="58">
        <f>IF('GPA Calculator'!K94="BIO",'GPA Calculator'!N94,IF('GPA Calculator'!K94="CHE",'GPA Calculator'!N94,IF('GPA Calculator'!K94="PHY",'GPA Calculator'!N94,IF('GPA Calculator'!K94="MTH",'GPA Calculator'!N94,IF('GPA Calculator'!K94="STA",'GPA Calculator'!N94,0)))))</f>
        <v>0</v>
      </c>
      <c r="I86" s="58">
        <f>IF(H86=0,0,IF('GPA Calculator'!O94="W",0,IF('GPA Calculator'!O94="P",0,IF('GPA Calculator'!O94="FA",0,IF('GPA Calculator'!O94="CR",0,IF('GPA Calculator'!O94="NC",0,IF('GPA Calculator'!O94="",0,'GPA Calculator'!O94)))))))</f>
        <v>0</v>
      </c>
      <c r="J86" s="58">
        <f t="shared" si="20"/>
        <v>0</v>
      </c>
      <c r="K86" s="58">
        <f t="shared" si="17"/>
        <v>0</v>
      </c>
    </row>
    <row r="87" spans="1:12" x14ac:dyDescent="0.25">
      <c r="A87" s="58">
        <f>IF('GPA Calculator'!A95="BIO",'GPA Calculator'!D95,IF('GPA Calculator'!A95="CHE",'GPA Calculator'!D95,IF('GPA Calculator'!A95="PHY",'GPA Calculator'!D95,IF('GPA Calculator'!A95="MTH",'GPA Calculator'!D95,IF('GPA Calculator'!A95="STA",'GPA Calculator'!D95,0)))))</f>
        <v>0</v>
      </c>
      <c r="B87" s="58">
        <f>IF(A87=0,0,IF('GPA Calculator'!E95="W",0,IF('GPA Calculator'!E95="P",0,IF('GPA Calculator'!E95="FA",0,IF('GPA Calculator'!E95="CR",0,IF('GPA Calculator'!E95="NC",0,IF('GPA Calculator'!E95="",0,'GPA Calculator'!E95)))))))</f>
        <v>0</v>
      </c>
      <c r="C87" s="58">
        <f t="shared" si="19"/>
        <v>0</v>
      </c>
      <c r="D87" s="58">
        <f t="shared" si="16"/>
        <v>0</v>
      </c>
      <c r="H87" s="58">
        <f>IF('GPA Calculator'!K95="BIO",'GPA Calculator'!N95,IF('GPA Calculator'!K95="CHE",'GPA Calculator'!N95,IF('GPA Calculator'!K95="PHY",'GPA Calculator'!N95,IF('GPA Calculator'!K95="MTH",'GPA Calculator'!N95,IF('GPA Calculator'!K95="STA",'GPA Calculator'!N95,0)))))</f>
        <v>0</v>
      </c>
      <c r="I87" s="58">
        <f>IF(H87=0,0,IF('GPA Calculator'!O95="W",0,IF('GPA Calculator'!O95="P",0,IF('GPA Calculator'!O95="FA",0,IF('GPA Calculator'!O95="CR",0,IF('GPA Calculator'!O95="NC",0,IF('GPA Calculator'!O95="",0,'GPA Calculator'!O95)))))))</f>
        <v>0</v>
      </c>
      <c r="J87" s="58">
        <f t="shared" si="20"/>
        <v>0</v>
      </c>
      <c r="K87" s="58">
        <f t="shared" si="17"/>
        <v>0</v>
      </c>
    </row>
    <row r="88" spans="1:12" x14ac:dyDescent="0.25">
      <c r="A88" s="58">
        <f>IF('GPA Calculator'!A96="BIO",'GPA Calculator'!D96,IF('GPA Calculator'!A96="CHE",'GPA Calculator'!D96,IF('GPA Calculator'!A96="PHY",'GPA Calculator'!D96,IF('GPA Calculator'!A96="MTH",'GPA Calculator'!D96,IF('GPA Calculator'!A96="STA",'GPA Calculator'!D96,0)))))</f>
        <v>0</v>
      </c>
      <c r="B88" s="58">
        <f>IF(A88=0,0,IF('GPA Calculator'!E96="W",0,IF('GPA Calculator'!E96="P",0,IF('GPA Calculator'!E96="FA",0,IF('GPA Calculator'!E96="CR",0,IF('GPA Calculator'!E96="NC",0,IF('GPA Calculator'!E96="",0,'GPA Calculator'!E96)))))))</f>
        <v>0</v>
      </c>
      <c r="C88" s="58">
        <f t="shared" si="19"/>
        <v>0</v>
      </c>
      <c r="D88" s="58">
        <f t="shared" si="16"/>
        <v>0</v>
      </c>
      <c r="H88" s="58">
        <f>IF('GPA Calculator'!K96="BIO",'GPA Calculator'!N96,IF('GPA Calculator'!K96="CHE",'GPA Calculator'!N96,IF('GPA Calculator'!K96="PHY",'GPA Calculator'!N96,IF('GPA Calculator'!K96="MTH",'GPA Calculator'!N96,IF('GPA Calculator'!K96="STA",'GPA Calculator'!N96,0)))))</f>
        <v>0</v>
      </c>
      <c r="I88" s="58">
        <f>IF(H88=0,0,IF('GPA Calculator'!O96="W",0,IF('GPA Calculator'!O96="P",0,IF('GPA Calculator'!O96="FA",0,IF('GPA Calculator'!O96="CR",0,IF('GPA Calculator'!O96="NC",0,IF('GPA Calculator'!O96="",0,'GPA Calculator'!O96)))))))</f>
        <v>0</v>
      </c>
      <c r="J88" s="58">
        <f t="shared" si="20"/>
        <v>0</v>
      </c>
      <c r="K88" s="58">
        <f t="shared" si="17"/>
        <v>0</v>
      </c>
    </row>
    <row r="89" spans="1:12" x14ac:dyDescent="0.25">
      <c r="A89" s="58">
        <f>IF('GPA Calculator'!A97="BIO",'GPA Calculator'!D97,IF('GPA Calculator'!A97="CHE",'GPA Calculator'!D97,IF('GPA Calculator'!A97="PHY",'GPA Calculator'!D97,IF('GPA Calculator'!A97="MTH",'GPA Calculator'!D97,IF('GPA Calculator'!A97="STA",'GPA Calculator'!D97,0)))))</f>
        <v>0</v>
      </c>
      <c r="B89" s="58">
        <f>IF(A89=0,0,IF('GPA Calculator'!E97="W",0,IF('GPA Calculator'!E97="P",0,IF('GPA Calculator'!E97="FA",0,IF('GPA Calculator'!E97="CR",0,IF('GPA Calculator'!E97="NC",0,IF('GPA Calculator'!E97="",0,'GPA Calculator'!E97)))))))</f>
        <v>0</v>
      </c>
      <c r="C89" s="58">
        <f t="shared" si="19"/>
        <v>0</v>
      </c>
      <c r="D89" s="58">
        <f t="shared" si="16"/>
        <v>0</v>
      </c>
      <c r="H89" s="58">
        <f>IF('GPA Calculator'!K97="BIO",'GPA Calculator'!N97,IF('GPA Calculator'!K97="CHE",'GPA Calculator'!N97,IF('GPA Calculator'!K97="PHY",'GPA Calculator'!N97,IF('GPA Calculator'!K97="MTH",'GPA Calculator'!N97,IF('GPA Calculator'!K97="STA",'GPA Calculator'!N97,0)))))</f>
        <v>0</v>
      </c>
      <c r="I89" s="58">
        <f>IF(H89=0,0,IF('GPA Calculator'!O97="W",0,IF('GPA Calculator'!O97="P",0,IF('GPA Calculator'!O97="FA",0,IF('GPA Calculator'!O97="CR",0,IF('GPA Calculator'!O97="NC",0,IF('GPA Calculator'!O97="",0,'GPA Calculator'!O97)))))))</f>
        <v>0</v>
      </c>
      <c r="J89" s="58">
        <f t="shared" si="20"/>
        <v>0</v>
      </c>
      <c r="K89" s="58">
        <f t="shared" si="17"/>
        <v>0</v>
      </c>
    </row>
    <row r="90" spans="1:12" x14ac:dyDescent="0.25">
      <c r="A90" s="58">
        <f>SUM(A81:A89)</f>
        <v>0</v>
      </c>
      <c r="C90" s="58">
        <f>SUM(C82:C89)</f>
        <v>0</v>
      </c>
      <c r="D90" s="58">
        <f>SUM(D81:D89)</f>
        <v>0</v>
      </c>
      <c r="E90" t="str">
        <f>IF(A90=0,"",D90/A90)</f>
        <v/>
      </c>
      <c r="H90" s="58">
        <f>SUM(H81:H89)</f>
        <v>0</v>
      </c>
      <c r="J90" s="58">
        <f t="shared" ref="J90" si="21">SUM(J81:J89)</f>
        <v>0</v>
      </c>
      <c r="K90" s="58">
        <f>SUM(K81:K89)</f>
        <v>0</v>
      </c>
      <c r="L90" t="str">
        <f>IF(H90=0,"",K90/H90)</f>
        <v/>
      </c>
    </row>
  </sheetData>
  <sheetProtection password="D0A3" sheet="1" objects="1" scenarios="1" selectLockedCells="1"/>
  <mergeCells count="2">
    <mergeCell ref="O1:O2"/>
    <mergeCell ref="T1:U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X101"/>
  <sheetViews>
    <sheetView topLeftCell="B1" workbookViewId="0">
      <selection activeCell="C18" sqref="C18"/>
    </sheetView>
  </sheetViews>
  <sheetFormatPr defaultRowHeight="15" x14ac:dyDescent="0.25"/>
  <sheetData>
    <row r="1" spans="1:23" x14ac:dyDescent="0.25">
      <c r="A1">
        <v>3100</v>
      </c>
      <c r="B1">
        <f>COUNTIF('GPA Calculator'!$B$5:$B$98,A1)+COUNTIF('GPA Calculator'!$L$5:$L$98,A1)</f>
        <v>0</v>
      </c>
      <c r="D1">
        <v>3200</v>
      </c>
      <c r="E1">
        <f>COUNTIF('GPA Calculator'!$B$5:$B$98,D1)+COUNTIF('GPA Calculator'!$L$5:$L$98,D1)</f>
        <v>0</v>
      </c>
      <c r="G1">
        <v>3300</v>
      </c>
      <c r="H1">
        <f>COUNTIF('GPA Calculator'!$B$5:$B$98,G1)+COUNTIF('GPA Calculator'!$L$5:$L$98,G1)</f>
        <v>0</v>
      </c>
      <c r="J1">
        <v>3400</v>
      </c>
      <c r="K1">
        <f>COUNTIF('GPA Calculator'!$B$5:$B$98,J1)+COUNTIF('GPA Calculator'!$L$5:$L$98,J1)</f>
        <v>0</v>
      </c>
      <c r="M1">
        <v>4100</v>
      </c>
      <c r="N1">
        <f>COUNTIF('GPA Calculator'!$B$5:$B$98,M1)+COUNTIF('GPA Calculator'!$L$5:$L$98,M1)</f>
        <v>0</v>
      </c>
      <c r="P1">
        <v>4200</v>
      </c>
      <c r="Q1">
        <f>COUNTIF('GPA Calculator'!$B$5:$B$98,P1)+COUNTIF('GPA Calculator'!$L$5:$L$98,P1)</f>
        <v>0</v>
      </c>
      <c r="S1">
        <v>4300</v>
      </c>
      <c r="T1">
        <f>COUNTIF('GPA Calculator'!$B$5:$B$98,S1)+COUNTIF('GPA Calculator'!$L$5:$L$98,S1)</f>
        <v>0</v>
      </c>
      <c r="V1">
        <v>4400</v>
      </c>
      <c r="W1">
        <f>COUNTIF('GPA Calculator'!$B$5:$B$98,V1)+COUNTIF('GPA Calculator'!$L$5:$L$98,V1)</f>
        <v>0</v>
      </c>
    </row>
    <row r="2" spans="1:23" x14ac:dyDescent="0.25">
      <c r="A2">
        <v>3101</v>
      </c>
      <c r="B2">
        <f>COUNTIF('GPA Calculator'!$B$5:$B$98,A2)+COUNTIF('GPA Calculator'!$L$5:$L$98,A2)</f>
        <v>0</v>
      </c>
      <c r="D2">
        <v>3201</v>
      </c>
      <c r="E2">
        <f>COUNTIF('GPA Calculator'!$B$5:$B$98,D2)+COUNTIF('GPA Calculator'!$L$5:$L$98,D2)</f>
        <v>0</v>
      </c>
      <c r="G2">
        <v>3301</v>
      </c>
      <c r="H2">
        <f>COUNTIF('GPA Calculator'!$B$5:$B$98,G2)+COUNTIF('GPA Calculator'!$L$5:$L$98,G2)</f>
        <v>0</v>
      </c>
      <c r="J2">
        <v>3401</v>
      </c>
      <c r="K2">
        <f>COUNTIF('GPA Calculator'!$B$5:$B$98,J2)+COUNTIF('GPA Calculator'!$L$5:$L$98,J2)</f>
        <v>0</v>
      </c>
      <c r="M2">
        <v>4101</v>
      </c>
      <c r="N2">
        <f>COUNTIF('GPA Calculator'!$B$5:$B$98,M2)+COUNTIF('GPA Calculator'!$L$5:$L$98,M2)</f>
        <v>0</v>
      </c>
      <c r="P2">
        <v>4201</v>
      </c>
      <c r="Q2">
        <f>COUNTIF('GPA Calculator'!$B$5:$B$98,P2)+COUNTIF('GPA Calculator'!$L$5:$L$98,P2)</f>
        <v>0</v>
      </c>
      <c r="S2">
        <v>4301</v>
      </c>
      <c r="T2">
        <f>COUNTIF('GPA Calculator'!$B$5:$B$98,S2)+COUNTIF('GPA Calculator'!$L$5:$L$98,S2)</f>
        <v>0</v>
      </c>
      <c r="V2">
        <v>4401</v>
      </c>
      <c r="W2">
        <f>COUNTIF('GPA Calculator'!$B$5:$B$98,V2)+COUNTIF('GPA Calculator'!$L$5:$L$98,V2)</f>
        <v>0</v>
      </c>
    </row>
    <row r="3" spans="1:23" x14ac:dyDescent="0.25">
      <c r="A3">
        <v>3102</v>
      </c>
      <c r="B3">
        <f>COUNTIF('GPA Calculator'!$B$5:$B$98,A3)+COUNTIF('GPA Calculator'!$L$5:$L$98,A3)</f>
        <v>0</v>
      </c>
      <c r="D3">
        <v>3202</v>
      </c>
      <c r="E3">
        <f>COUNTIF('GPA Calculator'!$B$5:$B$98,D3)+COUNTIF('GPA Calculator'!$L$5:$L$98,D3)</f>
        <v>0</v>
      </c>
      <c r="G3">
        <v>3302</v>
      </c>
      <c r="H3">
        <f>COUNTIF('GPA Calculator'!$B$5:$B$98,G3)+COUNTIF('GPA Calculator'!$L$5:$L$98,G3)</f>
        <v>0</v>
      </c>
      <c r="J3">
        <v>3402</v>
      </c>
      <c r="K3">
        <f>COUNTIF('GPA Calculator'!$B$5:$B$98,J3)+COUNTIF('GPA Calculator'!$L$5:$L$98,J3)</f>
        <v>0</v>
      </c>
      <c r="M3">
        <v>4102</v>
      </c>
      <c r="N3">
        <f>COUNTIF('GPA Calculator'!$B$5:$B$98,M3)+COUNTIF('GPA Calculator'!$L$5:$L$98,M3)</f>
        <v>0</v>
      </c>
      <c r="P3">
        <v>4202</v>
      </c>
      <c r="Q3">
        <f>COUNTIF('GPA Calculator'!$B$5:$B$98,P3)+COUNTIF('GPA Calculator'!$L$5:$L$98,P3)</f>
        <v>0</v>
      </c>
      <c r="S3">
        <v>4302</v>
      </c>
      <c r="T3">
        <f>COUNTIF('GPA Calculator'!$B$5:$B$98,S3)+COUNTIF('GPA Calculator'!$L$5:$L$98,S3)</f>
        <v>0</v>
      </c>
      <c r="V3">
        <v>4402</v>
      </c>
      <c r="W3">
        <f>COUNTIF('GPA Calculator'!$B$5:$B$98,V3)+COUNTIF('GPA Calculator'!$L$5:$L$98,V3)</f>
        <v>0</v>
      </c>
    </row>
    <row r="4" spans="1:23" x14ac:dyDescent="0.25">
      <c r="A4">
        <v>3103</v>
      </c>
      <c r="B4">
        <f>COUNTIF('GPA Calculator'!$B$5:$B$98,A4)+COUNTIF('GPA Calculator'!$L$5:$L$98,A4)</f>
        <v>0</v>
      </c>
      <c r="D4">
        <v>3203</v>
      </c>
      <c r="E4">
        <f>COUNTIF('GPA Calculator'!$B$5:$B$98,D4)+COUNTIF('GPA Calculator'!$L$5:$L$98,D4)</f>
        <v>0</v>
      </c>
      <c r="G4">
        <v>3303</v>
      </c>
      <c r="H4">
        <f>COUNTIF('GPA Calculator'!$B$5:$B$98,G4)+COUNTIF('GPA Calculator'!$L$5:$L$98,G4)</f>
        <v>0</v>
      </c>
      <c r="J4">
        <v>3403</v>
      </c>
      <c r="K4">
        <f>COUNTIF('GPA Calculator'!$B$5:$B$98,J4)+COUNTIF('GPA Calculator'!$L$5:$L$98,J4)</f>
        <v>0</v>
      </c>
      <c r="M4">
        <v>4103</v>
      </c>
      <c r="N4">
        <f>COUNTIF('GPA Calculator'!$B$5:$B$98,M4)+COUNTIF('GPA Calculator'!$L$5:$L$98,M4)</f>
        <v>0</v>
      </c>
      <c r="P4">
        <v>4203</v>
      </c>
      <c r="Q4">
        <f>COUNTIF('GPA Calculator'!$B$5:$B$98,P4)+COUNTIF('GPA Calculator'!$L$5:$L$98,P4)</f>
        <v>0</v>
      </c>
      <c r="S4">
        <v>4303</v>
      </c>
      <c r="T4">
        <f>COUNTIF('GPA Calculator'!$B$5:$B$98,S4)+COUNTIF('GPA Calculator'!$L$5:$L$98,S4)</f>
        <v>0</v>
      </c>
      <c r="V4">
        <v>4403</v>
      </c>
      <c r="W4">
        <f>COUNTIF('GPA Calculator'!$B$5:$B$98,V4)+COUNTIF('GPA Calculator'!$L$5:$L$98,V4)</f>
        <v>0</v>
      </c>
    </row>
    <row r="5" spans="1:23" x14ac:dyDescent="0.25">
      <c r="A5">
        <v>3104</v>
      </c>
      <c r="B5">
        <f>COUNTIF('GPA Calculator'!$B$5:$B$98,A5)+COUNTIF('GPA Calculator'!$L$5:$L$98,A5)</f>
        <v>0</v>
      </c>
      <c r="D5">
        <v>3204</v>
      </c>
      <c r="E5">
        <f>COUNTIF('GPA Calculator'!$B$5:$B$98,D5)+COUNTIF('GPA Calculator'!$L$5:$L$98,D5)</f>
        <v>0</v>
      </c>
      <c r="G5">
        <v>3304</v>
      </c>
      <c r="H5">
        <f>COUNTIF('GPA Calculator'!$B$5:$B$98,G5)+COUNTIF('GPA Calculator'!$L$5:$L$98,G5)</f>
        <v>0</v>
      </c>
      <c r="J5">
        <v>3404</v>
      </c>
      <c r="K5">
        <f>COUNTIF('GPA Calculator'!$B$5:$B$98,J5)+COUNTIF('GPA Calculator'!$L$5:$L$98,J5)</f>
        <v>0</v>
      </c>
      <c r="M5">
        <v>4104</v>
      </c>
      <c r="N5">
        <f>COUNTIF('GPA Calculator'!$B$5:$B$98,M5)+COUNTIF('GPA Calculator'!$L$5:$L$98,M5)</f>
        <v>0</v>
      </c>
      <c r="P5">
        <v>4204</v>
      </c>
      <c r="Q5">
        <f>COUNTIF('GPA Calculator'!$B$5:$B$98,P5)+COUNTIF('GPA Calculator'!$L$5:$L$98,P5)</f>
        <v>0</v>
      </c>
      <c r="S5">
        <v>4304</v>
      </c>
      <c r="T5">
        <f>COUNTIF('GPA Calculator'!$B$5:$B$98,S5)+COUNTIF('GPA Calculator'!$L$5:$L$98,S5)</f>
        <v>0</v>
      </c>
      <c r="V5">
        <v>4404</v>
      </c>
      <c r="W5">
        <f>COUNTIF('GPA Calculator'!$B$5:$B$98,V5)+COUNTIF('GPA Calculator'!$L$5:$L$98,V5)</f>
        <v>0</v>
      </c>
    </row>
    <row r="6" spans="1:23" x14ac:dyDescent="0.25">
      <c r="A6">
        <v>3105</v>
      </c>
      <c r="B6">
        <f>COUNTIF('GPA Calculator'!$B$5:$B$98,A6)+COUNTIF('GPA Calculator'!$L$5:$L$98,A6)</f>
        <v>0</v>
      </c>
      <c r="D6">
        <v>3205</v>
      </c>
      <c r="E6">
        <f>COUNTIF('GPA Calculator'!$B$5:$B$98,D6)+COUNTIF('GPA Calculator'!$L$5:$L$98,D6)</f>
        <v>0</v>
      </c>
      <c r="G6">
        <v>3305</v>
      </c>
      <c r="H6">
        <f>COUNTIF('GPA Calculator'!$B$5:$B$98,G6)+COUNTIF('GPA Calculator'!$L$5:$L$98,G6)</f>
        <v>0</v>
      </c>
      <c r="J6">
        <v>3405</v>
      </c>
      <c r="K6">
        <f>COUNTIF('GPA Calculator'!$B$5:$B$98,J6)+COUNTIF('GPA Calculator'!$L$5:$L$98,J6)</f>
        <v>0</v>
      </c>
      <c r="M6">
        <v>4105</v>
      </c>
      <c r="N6">
        <f>COUNTIF('GPA Calculator'!$B$5:$B$98,M6)+COUNTIF('GPA Calculator'!$L$5:$L$98,M6)</f>
        <v>0</v>
      </c>
      <c r="P6">
        <v>4205</v>
      </c>
      <c r="Q6">
        <f>COUNTIF('GPA Calculator'!$B$5:$B$98,P6)+COUNTIF('GPA Calculator'!$L$5:$L$98,P6)</f>
        <v>0</v>
      </c>
      <c r="S6">
        <v>4305</v>
      </c>
      <c r="T6">
        <f>COUNTIF('GPA Calculator'!$B$5:$B$98,S6)+COUNTIF('GPA Calculator'!$L$5:$L$98,S6)</f>
        <v>0</v>
      </c>
      <c r="V6">
        <v>4405</v>
      </c>
      <c r="W6">
        <f>COUNTIF('GPA Calculator'!$B$5:$B$98,V6)+COUNTIF('GPA Calculator'!$L$5:$L$98,V6)</f>
        <v>0</v>
      </c>
    </row>
    <row r="7" spans="1:23" x14ac:dyDescent="0.25">
      <c r="A7">
        <v>3106</v>
      </c>
      <c r="B7">
        <f>COUNTIF('GPA Calculator'!$B$5:$B$98,A7)+COUNTIF('GPA Calculator'!$L$5:$L$98,A7)</f>
        <v>0</v>
      </c>
      <c r="D7">
        <v>3206</v>
      </c>
      <c r="E7">
        <f>COUNTIF('GPA Calculator'!$B$5:$B$98,D7)+COUNTIF('GPA Calculator'!$L$5:$L$98,D7)</f>
        <v>0</v>
      </c>
      <c r="G7">
        <v>3306</v>
      </c>
      <c r="H7">
        <f>COUNTIF('GPA Calculator'!$B$5:$B$98,G7)+COUNTIF('GPA Calculator'!$L$5:$L$98,G7)</f>
        <v>0</v>
      </c>
      <c r="J7">
        <v>3406</v>
      </c>
      <c r="K7">
        <f>COUNTIF('GPA Calculator'!$B$5:$B$98,J7)+COUNTIF('GPA Calculator'!$L$5:$L$98,J7)</f>
        <v>0</v>
      </c>
      <c r="M7">
        <v>4106</v>
      </c>
      <c r="N7">
        <f>COUNTIF('GPA Calculator'!$B$5:$B$98,M7)+COUNTIF('GPA Calculator'!$L$5:$L$98,M7)</f>
        <v>0</v>
      </c>
      <c r="P7">
        <v>4206</v>
      </c>
      <c r="Q7">
        <f>COUNTIF('GPA Calculator'!$B$5:$B$98,P7)+COUNTIF('GPA Calculator'!$L$5:$L$98,P7)</f>
        <v>0</v>
      </c>
      <c r="S7">
        <v>4306</v>
      </c>
      <c r="T7">
        <f>COUNTIF('GPA Calculator'!$B$5:$B$98,S7)+COUNTIF('GPA Calculator'!$L$5:$L$98,S7)</f>
        <v>0</v>
      </c>
      <c r="V7">
        <v>4406</v>
      </c>
      <c r="W7">
        <f>COUNTIF('GPA Calculator'!$B$5:$B$98,V7)+COUNTIF('GPA Calculator'!$L$5:$L$98,V7)</f>
        <v>0</v>
      </c>
    </row>
    <row r="8" spans="1:23" x14ac:dyDescent="0.25">
      <c r="A8">
        <v>3107</v>
      </c>
      <c r="B8">
        <f>COUNTIF('GPA Calculator'!$B$5:$B$98,A8)+COUNTIF('GPA Calculator'!$L$5:$L$98,A8)</f>
        <v>0</v>
      </c>
      <c r="D8">
        <v>3207</v>
      </c>
      <c r="E8">
        <f>COUNTIF('GPA Calculator'!$B$5:$B$98,D8)+COUNTIF('GPA Calculator'!$L$5:$L$98,D8)</f>
        <v>0</v>
      </c>
      <c r="G8">
        <v>3307</v>
      </c>
      <c r="H8">
        <f>COUNTIF('GPA Calculator'!$B$5:$B$98,G8)+COUNTIF('GPA Calculator'!$L$5:$L$98,G8)</f>
        <v>0</v>
      </c>
      <c r="J8">
        <v>3407</v>
      </c>
      <c r="K8">
        <f>COUNTIF('GPA Calculator'!$B$5:$B$98,J8)+COUNTIF('GPA Calculator'!$L$5:$L$98,J8)</f>
        <v>0</v>
      </c>
      <c r="M8">
        <v>4107</v>
      </c>
      <c r="N8">
        <f>COUNTIF('GPA Calculator'!$B$5:$B$98,M8)+COUNTIF('GPA Calculator'!$L$5:$L$98,M8)</f>
        <v>0</v>
      </c>
      <c r="P8">
        <v>4207</v>
      </c>
      <c r="Q8">
        <f>COUNTIF('GPA Calculator'!$B$5:$B$98,P8)+COUNTIF('GPA Calculator'!$L$5:$L$98,P8)</f>
        <v>0</v>
      </c>
      <c r="S8">
        <v>4307</v>
      </c>
      <c r="T8">
        <f>COUNTIF('GPA Calculator'!$B$5:$B$98,S8)+COUNTIF('GPA Calculator'!$L$5:$L$98,S8)</f>
        <v>0</v>
      </c>
      <c r="V8">
        <v>4407</v>
      </c>
      <c r="W8">
        <f>COUNTIF('GPA Calculator'!$B$5:$B$98,V8)+COUNTIF('GPA Calculator'!$L$5:$L$98,V8)</f>
        <v>0</v>
      </c>
    </row>
    <row r="9" spans="1:23" x14ac:dyDescent="0.25">
      <c r="A9">
        <v>3108</v>
      </c>
      <c r="B9">
        <f>COUNTIF('GPA Calculator'!$B$5:$B$98,A9)+COUNTIF('GPA Calculator'!$L$5:$L$98,A9)</f>
        <v>0</v>
      </c>
      <c r="D9">
        <v>3208</v>
      </c>
      <c r="E9">
        <f>COUNTIF('GPA Calculator'!$B$5:$B$98,D9)+COUNTIF('GPA Calculator'!$L$5:$L$98,D9)</f>
        <v>0</v>
      </c>
      <c r="G9">
        <v>3308</v>
      </c>
      <c r="H9">
        <f>COUNTIF('GPA Calculator'!$B$5:$B$98,G9)+COUNTIF('GPA Calculator'!$L$5:$L$98,G9)</f>
        <v>0</v>
      </c>
      <c r="J9">
        <v>3408</v>
      </c>
      <c r="K9">
        <f>COUNTIF('GPA Calculator'!$B$5:$B$98,J9)+COUNTIF('GPA Calculator'!$L$5:$L$98,J9)</f>
        <v>0</v>
      </c>
      <c r="M9">
        <v>4108</v>
      </c>
      <c r="N9">
        <f>COUNTIF('GPA Calculator'!$B$5:$B$98,M9)+COUNTIF('GPA Calculator'!$L$5:$L$98,M9)</f>
        <v>0</v>
      </c>
      <c r="P9">
        <v>4208</v>
      </c>
      <c r="Q9">
        <f>COUNTIF('GPA Calculator'!$B$5:$B$98,P9)+COUNTIF('GPA Calculator'!$L$5:$L$98,P9)</f>
        <v>0</v>
      </c>
      <c r="S9">
        <v>4308</v>
      </c>
      <c r="T9">
        <f>COUNTIF('GPA Calculator'!$B$5:$B$98,S9)+COUNTIF('GPA Calculator'!$L$5:$L$98,S9)</f>
        <v>0</v>
      </c>
      <c r="V9">
        <v>4408</v>
      </c>
      <c r="W9">
        <f>COUNTIF('GPA Calculator'!$B$5:$B$98,V9)+COUNTIF('GPA Calculator'!$L$5:$L$98,V9)</f>
        <v>0</v>
      </c>
    </row>
    <row r="10" spans="1:23" x14ac:dyDescent="0.25">
      <c r="A10">
        <v>3109</v>
      </c>
      <c r="B10">
        <f>COUNTIF('GPA Calculator'!$B$5:$B$98,A10)+COUNTIF('GPA Calculator'!$L$5:$L$98,A10)</f>
        <v>0</v>
      </c>
      <c r="D10">
        <v>3209</v>
      </c>
      <c r="E10">
        <f>COUNTIF('GPA Calculator'!$B$5:$B$98,D10)+COUNTIF('GPA Calculator'!$L$5:$L$98,D10)</f>
        <v>0</v>
      </c>
      <c r="G10">
        <v>3309</v>
      </c>
      <c r="H10">
        <f>COUNTIF('GPA Calculator'!$B$5:$B$98,G10)+COUNTIF('GPA Calculator'!$L$5:$L$98,G10)</f>
        <v>0</v>
      </c>
      <c r="J10">
        <v>3409</v>
      </c>
      <c r="K10">
        <f>COUNTIF('GPA Calculator'!$B$5:$B$98,J10)+COUNTIF('GPA Calculator'!$L$5:$L$98,J10)</f>
        <v>0</v>
      </c>
      <c r="M10">
        <v>4109</v>
      </c>
      <c r="N10">
        <f>COUNTIF('GPA Calculator'!$B$5:$B$98,M10)+COUNTIF('GPA Calculator'!$L$5:$L$98,M10)</f>
        <v>0</v>
      </c>
      <c r="P10">
        <v>4209</v>
      </c>
      <c r="Q10">
        <f>COUNTIF('GPA Calculator'!$B$5:$B$98,P10)+COUNTIF('GPA Calculator'!$L$5:$L$98,P10)</f>
        <v>0</v>
      </c>
      <c r="S10">
        <v>4309</v>
      </c>
      <c r="T10">
        <f>COUNTIF('GPA Calculator'!$B$5:$B$98,S10)+COUNTIF('GPA Calculator'!$L$5:$L$98,S10)</f>
        <v>0</v>
      </c>
      <c r="V10">
        <v>4409</v>
      </c>
      <c r="W10">
        <f>COUNTIF('GPA Calculator'!$B$5:$B$98,V10)+COUNTIF('GPA Calculator'!$L$5:$L$98,V10)</f>
        <v>0</v>
      </c>
    </row>
    <row r="11" spans="1:23" x14ac:dyDescent="0.25">
      <c r="A11">
        <v>3110</v>
      </c>
      <c r="B11">
        <f>COUNTIF('GPA Calculator'!$B$5:$B$98,A11)+COUNTIF('GPA Calculator'!$L$5:$L$98,A11)</f>
        <v>0</v>
      </c>
      <c r="D11">
        <v>3210</v>
      </c>
      <c r="E11">
        <f>COUNTIF('GPA Calculator'!$B$5:$B$98,D11)+COUNTIF('GPA Calculator'!$L$5:$L$98,D11)</f>
        <v>0</v>
      </c>
      <c r="G11">
        <v>3310</v>
      </c>
      <c r="H11">
        <f>COUNTIF('GPA Calculator'!$B$5:$B$98,G11)+COUNTIF('GPA Calculator'!$L$5:$L$98,G11)</f>
        <v>0</v>
      </c>
      <c r="J11">
        <v>3410</v>
      </c>
      <c r="K11">
        <f>COUNTIF('GPA Calculator'!$B$5:$B$98,J11)+COUNTIF('GPA Calculator'!$L$5:$L$98,J11)</f>
        <v>0</v>
      </c>
      <c r="M11">
        <v>4110</v>
      </c>
      <c r="N11">
        <f>COUNTIF('GPA Calculator'!$B$5:$B$98,M11)+COUNTIF('GPA Calculator'!$L$5:$L$98,M11)</f>
        <v>0</v>
      </c>
      <c r="P11">
        <v>4210</v>
      </c>
      <c r="Q11">
        <f>COUNTIF('GPA Calculator'!$B$5:$B$98,P11)+COUNTIF('GPA Calculator'!$L$5:$L$98,P11)</f>
        <v>0</v>
      </c>
      <c r="S11">
        <v>4310</v>
      </c>
      <c r="T11">
        <f>COUNTIF('GPA Calculator'!$B$5:$B$98,S11)+COUNTIF('GPA Calculator'!$L$5:$L$98,S11)</f>
        <v>0</v>
      </c>
      <c r="V11">
        <v>4410</v>
      </c>
      <c r="W11">
        <f>COUNTIF('GPA Calculator'!$B$5:$B$98,V11)+COUNTIF('GPA Calculator'!$L$5:$L$98,V11)</f>
        <v>0</v>
      </c>
    </row>
    <row r="12" spans="1:23" x14ac:dyDescent="0.25">
      <c r="A12">
        <v>3111</v>
      </c>
      <c r="B12">
        <f>COUNTIF('GPA Calculator'!$B$5:$B$98,A12)+COUNTIF('GPA Calculator'!$L$5:$L$98,A12)</f>
        <v>0</v>
      </c>
      <c r="D12">
        <v>3211</v>
      </c>
      <c r="E12">
        <f>COUNTIF('GPA Calculator'!$B$5:$B$98,D12)+COUNTIF('GPA Calculator'!$L$5:$L$98,D12)</f>
        <v>0</v>
      </c>
      <c r="G12">
        <v>3311</v>
      </c>
      <c r="H12">
        <f>COUNTIF('GPA Calculator'!$B$5:$B$98,G12)+COUNTIF('GPA Calculator'!$L$5:$L$98,G12)</f>
        <v>0</v>
      </c>
      <c r="J12">
        <v>3411</v>
      </c>
      <c r="K12">
        <f>COUNTIF('GPA Calculator'!$B$5:$B$98,J12)+COUNTIF('GPA Calculator'!$L$5:$L$98,J12)</f>
        <v>0</v>
      </c>
      <c r="M12">
        <v>4111</v>
      </c>
      <c r="N12">
        <f>COUNTIF('GPA Calculator'!$B$5:$B$98,M12)+COUNTIF('GPA Calculator'!$L$5:$L$98,M12)</f>
        <v>0</v>
      </c>
      <c r="P12">
        <v>4211</v>
      </c>
      <c r="Q12">
        <f>COUNTIF('GPA Calculator'!$B$5:$B$98,P12)+COUNTIF('GPA Calculator'!$L$5:$L$98,P12)</f>
        <v>0</v>
      </c>
      <c r="S12">
        <v>4311</v>
      </c>
      <c r="T12">
        <f>COUNTIF('GPA Calculator'!$B$5:$B$98,S12)+COUNTIF('GPA Calculator'!$L$5:$L$98,S12)</f>
        <v>0</v>
      </c>
      <c r="V12">
        <v>4411</v>
      </c>
      <c r="W12">
        <f>COUNTIF('GPA Calculator'!$B$5:$B$98,V12)+COUNTIF('GPA Calculator'!$L$5:$L$98,V12)</f>
        <v>0</v>
      </c>
    </row>
    <row r="13" spans="1:23" x14ac:dyDescent="0.25">
      <c r="A13">
        <v>3112</v>
      </c>
      <c r="B13">
        <f>COUNTIF('GPA Calculator'!$B$5:$B$98,A13)+COUNTIF('GPA Calculator'!$L$5:$L$98,A13)</f>
        <v>0</v>
      </c>
      <c r="D13">
        <v>3212</v>
      </c>
      <c r="E13">
        <f>COUNTIF('GPA Calculator'!$B$5:$B$98,D13)+COUNTIF('GPA Calculator'!$L$5:$L$98,D13)</f>
        <v>0</v>
      </c>
      <c r="G13">
        <v>3312</v>
      </c>
      <c r="H13">
        <f>COUNTIF('GPA Calculator'!$B$5:$B$98,G13)+COUNTIF('GPA Calculator'!$L$5:$L$98,G13)</f>
        <v>0</v>
      </c>
      <c r="J13">
        <v>3412</v>
      </c>
      <c r="K13">
        <f>COUNTIF('GPA Calculator'!$B$5:$B$98,J13)+COUNTIF('GPA Calculator'!$L$5:$L$98,J13)</f>
        <v>0</v>
      </c>
      <c r="M13">
        <v>4112</v>
      </c>
      <c r="N13">
        <f>COUNTIF('GPA Calculator'!$B$5:$B$98,M13)+COUNTIF('GPA Calculator'!$L$5:$L$98,M13)</f>
        <v>0</v>
      </c>
      <c r="P13">
        <v>4212</v>
      </c>
      <c r="Q13">
        <f>COUNTIF('GPA Calculator'!$B$5:$B$98,P13)+COUNTIF('GPA Calculator'!$L$5:$L$98,P13)</f>
        <v>0</v>
      </c>
      <c r="S13">
        <v>4312</v>
      </c>
      <c r="T13">
        <f>COUNTIF('GPA Calculator'!$B$5:$B$98,S13)+COUNTIF('GPA Calculator'!$L$5:$L$98,S13)</f>
        <v>0</v>
      </c>
      <c r="V13">
        <v>4412</v>
      </c>
      <c r="W13">
        <f>COUNTIF('GPA Calculator'!$B$5:$B$98,V13)+COUNTIF('GPA Calculator'!$L$5:$L$98,V13)</f>
        <v>0</v>
      </c>
    </row>
    <row r="14" spans="1:23" x14ac:dyDescent="0.25">
      <c r="A14">
        <v>3113</v>
      </c>
      <c r="B14">
        <f>COUNTIF('GPA Calculator'!$B$5:$B$98,A14)+COUNTIF('GPA Calculator'!$L$5:$L$98,A14)</f>
        <v>0</v>
      </c>
      <c r="D14">
        <v>3213</v>
      </c>
      <c r="E14">
        <f>COUNTIF('GPA Calculator'!$B$5:$B$98,D14)+COUNTIF('GPA Calculator'!$L$5:$L$98,D14)</f>
        <v>0</v>
      </c>
      <c r="G14">
        <v>3313</v>
      </c>
      <c r="H14">
        <f>COUNTIF('GPA Calculator'!$B$5:$B$98,G14)+COUNTIF('GPA Calculator'!$L$5:$L$98,G14)</f>
        <v>0</v>
      </c>
      <c r="J14">
        <v>3413</v>
      </c>
      <c r="K14">
        <f>COUNTIF('GPA Calculator'!$B$5:$B$98,J14)+COUNTIF('GPA Calculator'!$L$5:$L$98,J14)</f>
        <v>0</v>
      </c>
      <c r="M14">
        <v>4113</v>
      </c>
      <c r="N14">
        <f>COUNTIF('GPA Calculator'!$B$5:$B$98,M14)+COUNTIF('GPA Calculator'!$L$5:$L$98,M14)</f>
        <v>0</v>
      </c>
      <c r="P14">
        <v>4213</v>
      </c>
      <c r="Q14">
        <f>COUNTIF('GPA Calculator'!$B$5:$B$98,P14)+COUNTIF('GPA Calculator'!$L$5:$L$98,P14)</f>
        <v>0</v>
      </c>
      <c r="S14">
        <v>4313</v>
      </c>
      <c r="T14">
        <f>COUNTIF('GPA Calculator'!$B$5:$B$98,S14)+COUNTIF('GPA Calculator'!$L$5:$L$98,S14)</f>
        <v>0</v>
      </c>
      <c r="V14">
        <v>4413</v>
      </c>
      <c r="W14">
        <f>COUNTIF('GPA Calculator'!$B$5:$B$98,V14)+COUNTIF('GPA Calculator'!$L$5:$L$98,V14)</f>
        <v>0</v>
      </c>
    </row>
    <row r="15" spans="1:23" x14ac:dyDescent="0.25">
      <c r="A15">
        <v>3114</v>
      </c>
      <c r="B15">
        <f>COUNTIF('GPA Calculator'!$B$5:$B$98,A15)+COUNTIF('GPA Calculator'!$L$5:$L$98,A15)</f>
        <v>0</v>
      </c>
      <c r="D15">
        <v>3214</v>
      </c>
      <c r="E15">
        <f>COUNTIF('GPA Calculator'!$B$5:$B$98,D15)+COUNTIF('GPA Calculator'!$L$5:$L$98,D15)</f>
        <v>0</v>
      </c>
      <c r="G15">
        <v>3314</v>
      </c>
      <c r="H15">
        <f>COUNTIF('GPA Calculator'!$B$5:$B$98,G15)+COUNTIF('GPA Calculator'!$L$5:$L$98,G15)</f>
        <v>0</v>
      </c>
      <c r="J15">
        <v>3414</v>
      </c>
      <c r="K15">
        <f>COUNTIF('GPA Calculator'!$B$5:$B$98,J15)+COUNTIF('GPA Calculator'!$L$5:$L$98,J15)</f>
        <v>0</v>
      </c>
      <c r="M15">
        <v>4114</v>
      </c>
      <c r="N15">
        <f>COUNTIF('GPA Calculator'!$B$5:$B$98,M15)+COUNTIF('GPA Calculator'!$L$5:$L$98,M15)</f>
        <v>0</v>
      </c>
      <c r="P15">
        <v>4214</v>
      </c>
      <c r="Q15">
        <f>COUNTIF('GPA Calculator'!$B$5:$B$98,P15)+COUNTIF('GPA Calculator'!$L$5:$L$98,P15)</f>
        <v>0</v>
      </c>
      <c r="S15">
        <v>4314</v>
      </c>
      <c r="T15">
        <f>COUNTIF('GPA Calculator'!$B$5:$B$98,S15)+COUNTIF('GPA Calculator'!$L$5:$L$98,S15)</f>
        <v>0</v>
      </c>
      <c r="V15">
        <v>4414</v>
      </c>
      <c r="W15">
        <f>COUNTIF('GPA Calculator'!$B$5:$B$98,V15)+COUNTIF('GPA Calculator'!$L$5:$L$98,V15)</f>
        <v>0</v>
      </c>
    </row>
    <row r="16" spans="1:23" x14ac:dyDescent="0.25">
      <c r="A16">
        <v>3115</v>
      </c>
      <c r="B16">
        <f>COUNTIF('GPA Calculator'!$B$5:$B$98,A16)+COUNTIF('GPA Calculator'!$L$5:$L$98,A16)</f>
        <v>0</v>
      </c>
      <c r="D16">
        <v>3215</v>
      </c>
      <c r="E16">
        <f>COUNTIF('GPA Calculator'!$B$5:$B$98,D16)+COUNTIF('GPA Calculator'!$L$5:$L$98,D16)</f>
        <v>0</v>
      </c>
      <c r="G16">
        <v>3315</v>
      </c>
      <c r="H16">
        <f>COUNTIF('GPA Calculator'!$B$5:$B$98,G16)+COUNTIF('GPA Calculator'!$L$5:$L$98,G16)</f>
        <v>0</v>
      </c>
      <c r="J16">
        <v>3415</v>
      </c>
      <c r="K16">
        <f>COUNTIF('GPA Calculator'!$B$5:$B$98,J16)+COUNTIF('GPA Calculator'!$L$5:$L$98,J16)</f>
        <v>0</v>
      </c>
      <c r="M16">
        <v>4115</v>
      </c>
      <c r="N16">
        <f>COUNTIF('GPA Calculator'!$B$5:$B$98,M16)+COUNTIF('GPA Calculator'!$L$5:$L$98,M16)</f>
        <v>0</v>
      </c>
      <c r="P16">
        <v>4215</v>
      </c>
      <c r="Q16">
        <f>COUNTIF('GPA Calculator'!$B$5:$B$98,P16)+COUNTIF('GPA Calculator'!$L$5:$L$98,P16)</f>
        <v>0</v>
      </c>
      <c r="S16">
        <v>4315</v>
      </c>
      <c r="T16">
        <f>COUNTIF('GPA Calculator'!$B$5:$B$98,S16)+COUNTIF('GPA Calculator'!$L$5:$L$98,S16)</f>
        <v>0</v>
      </c>
      <c r="V16">
        <v>4415</v>
      </c>
      <c r="W16">
        <f>COUNTIF('GPA Calculator'!$B$5:$B$98,V16)+COUNTIF('GPA Calculator'!$L$5:$L$98,V16)</f>
        <v>0</v>
      </c>
    </row>
    <row r="17" spans="1:23" x14ac:dyDescent="0.25">
      <c r="A17">
        <v>3116</v>
      </c>
      <c r="B17">
        <f>COUNTIF('GPA Calculator'!$B$5:$B$98,A17)+COUNTIF('GPA Calculator'!$L$5:$L$98,A17)</f>
        <v>0</v>
      </c>
      <c r="D17">
        <v>3216</v>
      </c>
      <c r="E17">
        <f>COUNTIF('GPA Calculator'!$B$5:$B$98,D17)+COUNTIF('GPA Calculator'!$L$5:$L$98,D17)</f>
        <v>0</v>
      </c>
      <c r="G17">
        <v>3316</v>
      </c>
      <c r="H17">
        <f>COUNTIF('GPA Calculator'!$B$5:$B$98,G17)+COUNTIF('GPA Calculator'!$L$5:$L$98,G17)</f>
        <v>0</v>
      </c>
      <c r="J17">
        <v>3416</v>
      </c>
      <c r="K17">
        <f>COUNTIF('GPA Calculator'!$B$5:$B$98,J17)+COUNTIF('GPA Calculator'!$L$5:$L$98,J17)</f>
        <v>0</v>
      </c>
      <c r="M17">
        <v>4116</v>
      </c>
      <c r="N17">
        <f>COUNTIF('GPA Calculator'!$B$5:$B$98,M17)+COUNTIF('GPA Calculator'!$L$5:$L$98,M17)</f>
        <v>0</v>
      </c>
      <c r="P17">
        <v>4216</v>
      </c>
      <c r="Q17">
        <f>COUNTIF('GPA Calculator'!$B$5:$B$98,P17)+COUNTIF('GPA Calculator'!$L$5:$L$98,P17)</f>
        <v>0</v>
      </c>
      <c r="S17">
        <v>4316</v>
      </c>
      <c r="T17">
        <f>COUNTIF('GPA Calculator'!$B$5:$B$98,S17)+COUNTIF('GPA Calculator'!$L$5:$L$98,S17)</f>
        <v>0</v>
      </c>
      <c r="V17">
        <v>4416</v>
      </c>
      <c r="W17">
        <f>COUNTIF('GPA Calculator'!$B$5:$B$98,V17)+COUNTIF('GPA Calculator'!$L$5:$L$98,V17)</f>
        <v>0</v>
      </c>
    </row>
    <row r="18" spans="1:23" x14ac:dyDescent="0.25">
      <c r="A18">
        <v>3117</v>
      </c>
      <c r="B18">
        <f>COUNTIF('GPA Calculator'!$B$5:$B$98,A18)+COUNTIF('GPA Calculator'!$L$5:$L$98,A18)</f>
        <v>0</v>
      </c>
      <c r="D18">
        <v>3217</v>
      </c>
      <c r="E18">
        <f>COUNTIF('GPA Calculator'!$B$5:$B$98,D18)+COUNTIF('GPA Calculator'!$L$5:$L$98,D18)</f>
        <v>0</v>
      </c>
      <c r="G18">
        <v>3317</v>
      </c>
      <c r="H18">
        <f>COUNTIF('GPA Calculator'!$B$5:$B$98,G18)+COUNTIF('GPA Calculator'!$L$5:$L$98,G18)</f>
        <v>0</v>
      </c>
      <c r="J18">
        <v>3417</v>
      </c>
      <c r="K18">
        <f>COUNTIF('GPA Calculator'!$B$5:$B$98,J18)+COUNTIF('GPA Calculator'!$L$5:$L$98,J18)</f>
        <v>0</v>
      </c>
      <c r="M18">
        <v>4117</v>
      </c>
      <c r="N18">
        <f>COUNTIF('GPA Calculator'!$B$5:$B$98,M18)+COUNTIF('GPA Calculator'!$L$5:$L$98,M18)</f>
        <v>0</v>
      </c>
      <c r="P18">
        <v>4217</v>
      </c>
      <c r="Q18">
        <f>COUNTIF('GPA Calculator'!$B$5:$B$98,P18)+COUNTIF('GPA Calculator'!$L$5:$L$98,P18)</f>
        <v>0</v>
      </c>
      <c r="S18">
        <v>4317</v>
      </c>
      <c r="T18">
        <f>COUNTIF('GPA Calculator'!$B$5:$B$98,S18)+COUNTIF('GPA Calculator'!$L$5:$L$98,S18)</f>
        <v>0</v>
      </c>
      <c r="V18">
        <v>4417</v>
      </c>
      <c r="W18">
        <f>COUNTIF('GPA Calculator'!$B$5:$B$98,V18)+COUNTIF('GPA Calculator'!$L$5:$L$98,V18)</f>
        <v>0</v>
      </c>
    </row>
    <row r="19" spans="1:23" x14ac:dyDescent="0.25">
      <c r="A19">
        <v>3118</v>
      </c>
      <c r="B19">
        <f>COUNTIF('GPA Calculator'!$B$5:$B$98,A19)+COUNTIF('GPA Calculator'!$L$5:$L$98,A19)</f>
        <v>0</v>
      </c>
      <c r="D19">
        <v>3218</v>
      </c>
      <c r="E19">
        <f>COUNTIF('GPA Calculator'!$B$5:$B$98,D19)+COUNTIF('GPA Calculator'!$L$5:$L$98,D19)</f>
        <v>0</v>
      </c>
      <c r="G19">
        <v>3318</v>
      </c>
      <c r="H19">
        <f>COUNTIF('GPA Calculator'!$B$5:$B$98,G19)+COUNTIF('GPA Calculator'!$L$5:$L$98,G19)</f>
        <v>0</v>
      </c>
      <c r="J19">
        <v>3418</v>
      </c>
      <c r="K19">
        <f>COUNTIF('GPA Calculator'!$B$5:$B$98,J19)+COUNTIF('GPA Calculator'!$L$5:$L$98,J19)</f>
        <v>0</v>
      </c>
      <c r="M19">
        <v>4118</v>
      </c>
      <c r="N19">
        <f>COUNTIF('GPA Calculator'!$B$5:$B$98,M19)+COUNTIF('GPA Calculator'!$L$5:$L$98,M19)</f>
        <v>0</v>
      </c>
      <c r="P19">
        <v>4218</v>
      </c>
      <c r="Q19">
        <f>COUNTIF('GPA Calculator'!$B$5:$B$98,P19)+COUNTIF('GPA Calculator'!$L$5:$L$98,P19)</f>
        <v>0</v>
      </c>
      <c r="S19">
        <v>4318</v>
      </c>
      <c r="T19">
        <f>COUNTIF('GPA Calculator'!$B$5:$B$98,S19)+COUNTIF('GPA Calculator'!$L$5:$L$98,S19)</f>
        <v>0</v>
      </c>
      <c r="V19">
        <v>4418</v>
      </c>
      <c r="W19">
        <f>COUNTIF('GPA Calculator'!$B$5:$B$98,V19)+COUNTIF('GPA Calculator'!$L$5:$L$98,V19)</f>
        <v>0</v>
      </c>
    </row>
    <row r="20" spans="1:23" x14ac:dyDescent="0.25">
      <c r="A20">
        <v>3119</v>
      </c>
      <c r="B20">
        <f>COUNTIF('GPA Calculator'!$B$5:$B$98,A20)+COUNTIF('GPA Calculator'!$L$5:$L$98,A20)</f>
        <v>0</v>
      </c>
      <c r="D20">
        <v>3219</v>
      </c>
      <c r="E20">
        <f>COUNTIF('GPA Calculator'!$B$5:$B$98,D20)+COUNTIF('GPA Calculator'!$L$5:$L$98,D20)</f>
        <v>0</v>
      </c>
      <c r="G20">
        <v>3319</v>
      </c>
      <c r="H20">
        <f>COUNTIF('GPA Calculator'!$B$5:$B$98,G20)+COUNTIF('GPA Calculator'!$L$5:$L$98,G20)</f>
        <v>0</v>
      </c>
      <c r="J20">
        <v>3419</v>
      </c>
      <c r="K20">
        <f>COUNTIF('GPA Calculator'!$B$5:$B$98,J20)+COUNTIF('GPA Calculator'!$L$5:$L$98,J20)</f>
        <v>0</v>
      </c>
      <c r="M20">
        <v>4119</v>
      </c>
      <c r="N20">
        <f>COUNTIF('GPA Calculator'!$B$5:$B$98,M20)+COUNTIF('GPA Calculator'!$L$5:$L$98,M20)</f>
        <v>0</v>
      </c>
      <c r="P20">
        <v>4219</v>
      </c>
      <c r="Q20">
        <f>COUNTIF('GPA Calculator'!$B$5:$B$98,P20)+COUNTIF('GPA Calculator'!$L$5:$L$98,P20)</f>
        <v>0</v>
      </c>
      <c r="S20">
        <v>4319</v>
      </c>
      <c r="T20">
        <f>COUNTIF('GPA Calculator'!$B$5:$B$98,S20)+COUNTIF('GPA Calculator'!$L$5:$L$98,S20)</f>
        <v>0</v>
      </c>
      <c r="V20">
        <v>4419</v>
      </c>
      <c r="W20">
        <f>COUNTIF('GPA Calculator'!$B$5:$B$98,V20)+COUNTIF('GPA Calculator'!$L$5:$L$98,V20)</f>
        <v>0</v>
      </c>
    </row>
    <row r="21" spans="1:23" x14ac:dyDescent="0.25">
      <c r="A21">
        <v>3120</v>
      </c>
      <c r="B21">
        <f>COUNTIF('GPA Calculator'!$B$5:$B$98,A21)+COUNTIF('GPA Calculator'!$L$5:$L$98,A21)</f>
        <v>0</v>
      </c>
      <c r="D21">
        <v>3220</v>
      </c>
      <c r="E21">
        <f>COUNTIF('GPA Calculator'!$B$5:$B$98,D21)+COUNTIF('GPA Calculator'!$L$5:$L$98,D21)</f>
        <v>0</v>
      </c>
      <c r="G21">
        <v>3320</v>
      </c>
      <c r="H21">
        <f>COUNTIF('GPA Calculator'!$B$5:$B$98,G21)+COUNTIF('GPA Calculator'!$L$5:$L$98,G21)</f>
        <v>0</v>
      </c>
      <c r="J21">
        <v>3420</v>
      </c>
      <c r="K21">
        <f>COUNTIF('GPA Calculator'!$B$5:$B$98,J21)+COUNTIF('GPA Calculator'!$L$5:$L$98,J21)</f>
        <v>0</v>
      </c>
      <c r="M21">
        <v>4120</v>
      </c>
      <c r="N21">
        <f>COUNTIF('GPA Calculator'!$B$5:$B$98,M21)+COUNTIF('GPA Calculator'!$L$5:$L$98,M21)</f>
        <v>0</v>
      </c>
      <c r="P21">
        <v>4220</v>
      </c>
      <c r="Q21">
        <f>COUNTIF('GPA Calculator'!$B$5:$B$98,P21)+COUNTIF('GPA Calculator'!$L$5:$L$98,P21)</f>
        <v>0</v>
      </c>
      <c r="S21">
        <v>4320</v>
      </c>
      <c r="T21">
        <f>COUNTIF('GPA Calculator'!$B$5:$B$98,S21)+COUNTIF('GPA Calculator'!$L$5:$L$98,S21)</f>
        <v>0</v>
      </c>
      <c r="V21">
        <v>4420</v>
      </c>
      <c r="W21">
        <f>COUNTIF('GPA Calculator'!$B$5:$B$98,V21)+COUNTIF('GPA Calculator'!$L$5:$L$98,V21)</f>
        <v>0</v>
      </c>
    </row>
    <row r="22" spans="1:23" x14ac:dyDescent="0.25">
      <c r="A22">
        <v>3121</v>
      </c>
      <c r="B22">
        <f>COUNTIF('GPA Calculator'!$B$5:$B$98,A22)+COUNTIF('GPA Calculator'!$L$5:$L$98,A22)</f>
        <v>0</v>
      </c>
      <c r="D22">
        <v>3221</v>
      </c>
      <c r="E22">
        <f>COUNTIF('GPA Calculator'!$B$5:$B$98,D22)+COUNTIF('GPA Calculator'!$L$5:$L$98,D22)</f>
        <v>0</v>
      </c>
      <c r="G22">
        <v>3321</v>
      </c>
      <c r="H22">
        <f>COUNTIF('GPA Calculator'!$B$5:$B$98,G22)+COUNTIF('GPA Calculator'!$L$5:$L$98,G22)</f>
        <v>0</v>
      </c>
      <c r="J22">
        <v>3421</v>
      </c>
      <c r="K22">
        <f>COUNTIF('GPA Calculator'!$B$5:$B$98,J22)+COUNTIF('GPA Calculator'!$L$5:$L$98,J22)</f>
        <v>0</v>
      </c>
      <c r="M22">
        <v>4121</v>
      </c>
      <c r="N22">
        <f>COUNTIF('GPA Calculator'!$B$5:$B$98,M22)+COUNTIF('GPA Calculator'!$L$5:$L$98,M22)</f>
        <v>0</v>
      </c>
      <c r="P22">
        <v>4221</v>
      </c>
      <c r="Q22">
        <f>COUNTIF('GPA Calculator'!$B$5:$B$98,P22)+COUNTIF('GPA Calculator'!$L$5:$L$98,P22)</f>
        <v>0</v>
      </c>
      <c r="S22">
        <v>4321</v>
      </c>
      <c r="T22">
        <f>COUNTIF('GPA Calculator'!$B$5:$B$98,S22)+COUNTIF('GPA Calculator'!$L$5:$L$98,S22)</f>
        <v>0</v>
      </c>
      <c r="V22">
        <v>4421</v>
      </c>
      <c r="W22">
        <f>COUNTIF('GPA Calculator'!$B$5:$B$98,V22)+COUNTIF('GPA Calculator'!$L$5:$L$98,V22)</f>
        <v>0</v>
      </c>
    </row>
    <row r="23" spans="1:23" x14ac:dyDescent="0.25">
      <c r="A23">
        <v>3122</v>
      </c>
      <c r="B23">
        <f>COUNTIF('GPA Calculator'!$B$5:$B$98,A23)+COUNTIF('GPA Calculator'!$L$5:$L$98,A23)</f>
        <v>0</v>
      </c>
      <c r="D23">
        <v>3222</v>
      </c>
      <c r="E23">
        <f>COUNTIF('GPA Calculator'!$B$5:$B$98,D23)+COUNTIF('GPA Calculator'!$L$5:$L$98,D23)</f>
        <v>0</v>
      </c>
      <c r="G23">
        <v>3322</v>
      </c>
      <c r="H23">
        <f>COUNTIF('GPA Calculator'!$B$5:$B$98,G23)+COUNTIF('GPA Calculator'!$L$5:$L$98,G23)</f>
        <v>0</v>
      </c>
      <c r="J23">
        <v>3422</v>
      </c>
      <c r="K23">
        <f>COUNTIF('GPA Calculator'!$B$5:$B$98,J23)+COUNTIF('GPA Calculator'!$L$5:$L$98,J23)</f>
        <v>0</v>
      </c>
      <c r="M23">
        <v>4122</v>
      </c>
      <c r="N23">
        <f>COUNTIF('GPA Calculator'!$B$5:$B$98,M23)+COUNTIF('GPA Calculator'!$L$5:$L$98,M23)</f>
        <v>0</v>
      </c>
      <c r="P23">
        <v>4222</v>
      </c>
      <c r="Q23">
        <f>COUNTIF('GPA Calculator'!$B$5:$B$98,P23)+COUNTIF('GPA Calculator'!$L$5:$L$98,P23)</f>
        <v>0</v>
      </c>
      <c r="S23">
        <v>4322</v>
      </c>
      <c r="T23">
        <f>COUNTIF('GPA Calculator'!$B$5:$B$98,S23)+COUNTIF('GPA Calculator'!$L$5:$L$98,S23)</f>
        <v>0</v>
      </c>
      <c r="V23">
        <v>4422</v>
      </c>
      <c r="W23">
        <f>COUNTIF('GPA Calculator'!$B$5:$B$98,V23)+COUNTIF('GPA Calculator'!$L$5:$L$98,V23)</f>
        <v>0</v>
      </c>
    </row>
    <row r="24" spans="1:23" x14ac:dyDescent="0.25">
      <c r="A24">
        <v>3123</v>
      </c>
      <c r="B24">
        <f>COUNTIF('GPA Calculator'!$B$5:$B$98,A24)+COUNTIF('GPA Calculator'!$L$5:$L$98,A24)</f>
        <v>0</v>
      </c>
      <c r="D24">
        <v>3223</v>
      </c>
      <c r="E24">
        <f>COUNTIF('GPA Calculator'!$B$5:$B$98,D24)+COUNTIF('GPA Calculator'!$L$5:$L$98,D24)</f>
        <v>0</v>
      </c>
      <c r="G24">
        <v>3323</v>
      </c>
      <c r="H24">
        <f>COUNTIF('GPA Calculator'!$B$5:$B$98,G24)+COUNTIF('GPA Calculator'!$L$5:$L$98,G24)</f>
        <v>0</v>
      </c>
      <c r="J24">
        <v>3423</v>
      </c>
      <c r="K24">
        <f>COUNTIF('GPA Calculator'!$B$5:$B$98,J24)+COUNTIF('GPA Calculator'!$L$5:$L$98,J24)</f>
        <v>0</v>
      </c>
      <c r="M24">
        <v>4123</v>
      </c>
      <c r="N24">
        <f>COUNTIF('GPA Calculator'!$B$5:$B$98,M24)+COUNTIF('GPA Calculator'!$L$5:$L$98,M24)</f>
        <v>0</v>
      </c>
      <c r="P24">
        <v>4223</v>
      </c>
      <c r="Q24">
        <f>COUNTIF('GPA Calculator'!$B$5:$B$98,P24)+COUNTIF('GPA Calculator'!$L$5:$L$98,P24)</f>
        <v>0</v>
      </c>
      <c r="S24">
        <v>4323</v>
      </c>
      <c r="T24">
        <f>COUNTIF('GPA Calculator'!$B$5:$B$98,S24)+COUNTIF('GPA Calculator'!$L$5:$L$98,S24)</f>
        <v>0</v>
      </c>
      <c r="V24">
        <v>4423</v>
      </c>
      <c r="W24">
        <f>COUNTIF('GPA Calculator'!$B$5:$B$98,V24)+COUNTIF('GPA Calculator'!$L$5:$L$98,V24)</f>
        <v>0</v>
      </c>
    </row>
    <row r="25" spans="1:23" x14ac:dyDescent="0.25">
      <c r="A25">
        <v>3124</v>
      </c>
      <c r="B25">
        <f>COUNTIF('GPA Calculator'!$B$5:$B$98,A25)+COUNTIF('GPA Calculator'!$L$5:$L$98,A25)</f>
        <v>0</v>
      </c>
      <c r="D25">
        <v>3224</v>
      </c>
      <c r="E25">
        <f>COUNTIF('GPA Calculator'!$B$5:$B$98,D25)+COUNTIF('GPA Calculator'!$L$5:$L$98,D25)</f>
        <v>0</v>
      </c>
      <c r="G25">
        <v>3324</v>
      </c>
      <c r="H25">
        <f>COUNTIF('GPA Calculator'!$B$5:$B$98,G25)+COUNTIF('GPA Calculator'!$L$5:$L$98,G25)</f>
        <v>0</v>
      </c>
      <c r="J25">
        <v>3424</v>
      </c>
      <c r="K25">
        <f>COUNTIF('GPA Calculator'!$B$5:$B$98,J25)+COUNTIF('GPA Calculator'!$L$5:$L$98,J25)</f>
        <v>0</v>
      </c>
      <c r="M25">
        <v>4124</v>
      </c>
      <c r="N25">
        <f>COUNTIF('GPA Calculator'!$B$5:$B$98,M25)+COUNTIF('GPA Calculator'!$L$5:$L$98,M25)</f>
        <v>0</v>
      </c>
      <c r="P25">
        <v>4224</v>
      </c>
      <c r="Q25">
        <f>COUNTIF('GPA Calculator'!$B$5:$B$98,P25)+COUNTIF('GPA Calculator'!$L$5:$L$98,P25)</f>
        <v>0</v>
      </c>
      <c r="S25">
        <v>4324</v>
      </c>
      <c r="T25">
        <f>COUNTIF('GPA Calculator'!$B$5:$B$98,S25)+COUNTIF('GPA Calculator'!$L$5:$L$98,S25)</f>
        <v>0</v>
      </c>
      <c r="V25">
        <v>4424</v>
      </c>
      <c r="W25">
        <f>COUNTIF('GPA Calculator'!$B$5:$B$98,V25)+COUNTIF('GPA Calculator'!$L$5:$L$98,V25)</f>
        <v>0</v>
      </c>
    </row>
    <row r="26" spans="1:23" x14ac:dyDescent="0.25">
      <c r="A26">
        <v>3125</v>
      </c>
      <c r="B26">
        <f>COUNTIF('GPA Calculator'!$B$5:$B$98,A26)+COUNTIF('GPA Calculator'!$L$5:$L$98,A26)</f>
        <v>0</v>
      </c>
      <c r="D26">
        <v>3225</v>
      </c>
      <c r="E26">
        <f>COUNTIF('GPA Calculator'!$B$5:$B$98,D26)+COUNTIF('GPA Calculator'!$L$5:$L$98,D26)</f>
        <v>0</v>
      </c>
      <c r="G26">
        <v>3325</v>
      </c>
      <c r="H26">
        <f>COUNTIF('GPA Calculator'!$B$5:$B$98,G26)+COUNTIF('GPA Calculator'!$L$5:$L$98,G26)</f>
        <v>0</v>
      </c>
      <c r="J26">
        <v>3425</v>
      </c>
      <c r="K26">
        <f>COUNTIF('GPA Calculator'!$B$5:$B$98,J26)+COUNTIF('GPA Calculator'!$L$5:$L$98,J26)</f>
        <v>0</v>
      </c>
      <c r="M26">
        <v>4125</v>
      </c>
      <c r="N26">
        <f>COUNTIF('GPA Calculator'!$B$5:$B$98,M26)+COUNTIF('GPA Calculator'!$L$5:$L$98,M26)</f>
        <v>0</v>
      </c>
      <c r="P26">
        <v>4225</v>
      </c>
      <c r="Q26">
        <f>COUNTIF('GPA Calculator'!$B$5:$B$98,P26)+COUNTIF('GPA Calculator'!$L$5:$L$98,P26)</f>
        <v>0</v>
      </c>
      <c r="S26">
        <v>4325</v>
      </c>
      <c r="T26">
        <f>COUNTIF('GPA Calculator'!$B$5:$B$98,S26)+COUNTIF('GPA Calculator'!$L$5:$L$98,S26)</f>
        <v>0</v>
      </c>
      <c r="V26">
        <v>4425</v>
      </c>
      <c r="W26">
        <f>COUNTIF('GPA Calculator'!$B$5:$B$98,V26)+COUNTIF('GPA Calculator'!$L$5:$L$98,V26)</f>
        <v>0</v>
      </c>
    </row>
    <row r="27" spans="1:23" x14ac:dyDescent="0.25">
      <c r="A27">
        <v>3126</v>
      </c>
      <c r="B27">
        <f>COUNTIF('GPA Calculator'!$B$5:$B$98,A27)+COUNTIF('GPA Calculator'!$L$5:$L$98,A27)</f>
        <v>0</v>
      </c>
      <c r="D27">
        <v>3226</v>
      </c>
      <c r="E27">
        <f>COUNTIF('GPA Calculator'!$B$5:$B$98,D27)+COUNTIF('GPA Calculator'!$L$5:$L$98,D27)</f>
        <v>0</v>
      </c>
      <c r="G27">
        <v>3326</v>
      </c>
      <c r="H27">
        <f>COUNTIF('GPA Calculator'!$B$5:$B$98,G27)+COUNTIF('GPA Calculator'!$L$5:$L$98,G27)</f>
        <v>0</v>
      </c>
      <c r="J27">
        <v>3426</v>
      </c>
      <c r="K27">
        <f>COUNTIF('GPA Calculator'!$B$5:$B$98,J27)+COUNTIF('GPA Calculator'!$L$5:$L$98,J27)</f>
        <v>0</v>
      </c>
      <c r="M27">
        <v>4126</v>
      </c>
      <c r="N27">
        <f>COUNTIF('GPA Calculator'!$B$5:$B$98,M27)+COUNTIF('GPA Calculator'!$L$5:$L$98,M27)</f>
        <v>0</v>
      </c>
      <c r="P27">
        <v>4226</v>
      </c>
      <c r="Q27">
        <f>COUNTIF('GPA Calculator'!$B$5:$B$98,P27)+COUNTIF('GPA Calculator'!$L$5:$L$98,P27)</f>
        <v>0</v>
      </c>
      <c r="S27">
        <v>4326</v>
      </c>
      <c r="T27">
        <f>COUNTIF('GPA Calculator'!$B$5:$B$98,S27)+COUNTIF('GPA Calculator'!$L$5:$L$98,S27)</f>
        <v>0</v>
      </c>
      <c r="V27">
        <v>4426</v>
      </c>
      <c r="W27">
        <f>COUNTIF('GPA Calculator'!$B$5:$B$98,V27)+COUNTIF('GPA Calculator'!$L$5:$L$98,V27)</f>
        <v>0</v>
      </c>
    </row>
    <row r="28" spans="1:23" x14ac:dyDescent="0.25">
      <c r="A28">
        <v>3127</v>
      </c>
      <c r="B28">
        <f>COUNTIF('GPA Calculator'!$B$5:$B$98,A28)+COUNTIF('GPA Calculator'!$L$5:$L$98,A28)</f>
        <v>0</v>
      </c>
      <c r="D28">
        <v>3227</v>
      </c>
      <c r="E28">
        <f>COUNTIF('GPA Calculator'!$B$5:$B$98,D28)+COUNTIF('GPA Calculator'!$L$5:$L$98,D28)</f>
        <v>0</v>
      </c>
      <c r="G28">
        <v>3327</v>
      </c>
      <c r="H28">
        <f>COUNTIF('GPA Calculator'!$B$5:$B$98,G28)+COUNTIF('GPA Calculator'!$L$5:$L$98,G28)</f>
        <v>0</v>
      </c>
      <c r="J28">
        <v>3427</v>
      </c>
      <c r="K28">
        <f>COUNTIF('GPA Calculator'!$B$5:$B$98,J28)+COUNTIF('GPA Calculator'!$L$5:$L$98,J28)</f>
        <v>0</v>
      </c>
      <c r="M28">
        <v>4127</v>
      </c>
      <c r="N28">
        <f>COUNTIF('GPA Calculator'!$B$5:$B$98,M28)+COUNTIF('GPA Calculator'!$L$5:$L$98,M28)</f>
        <v>0</v>
      </c>
      <c r="P28">
        <v>4227</v>
      </c>
      <c r="Q28">
        <f>COUNTIF('GPA Calculator'!$B$5:$B$98,P28)+COUNTIF('GPA Calculator'!$L$5:$L$98,P28)</f>
        <v>0</v>
      </c>
      <c r="S28">
        <v>4327</v>
      </c>
      <c r="T28">
        <f>COUNTIF('GPA Calculator'!$B$5:$B$98,S28)+COUNTIF('GPA Calculator'!$L$5:$L$98,S28)</f>
        <v>0</v>
      </c>
      <c r="V28">
        <v>4427</v>
      </c>
      <c r="W28">
        <f>COUNTIF('GPA Calculator'!$B$5:$B$98,V28)+COUNTIF('GPA Calculator'!$L$5:$L$98,V28)</f>
        <v>0</v>
      </c>
    </row>
    <row r="29" spans="1:23" x14ac:dyDescent="0.25">
      <c r="A29">
        <v>3128</v>
      </c>
      <c r="B29">
        <f>COUNTIF('GPA Calculator'!$B$5:$B$98,A29)+COUNTIF('GPA Calculator'!$L$5:$L$98,A29)</f>
        <v>0</v>
      </c>
      <c r="D29">
        <v>3228</v>
      </c>
      <c r="E29">
        <f>COUNTIF('GPA Calculator'!$B$5:$B$98,D29)+COUNTIF('GPA Calculator'!$L$5:$L$98,D29)</f>
        <v>0</v>
      </c>
      <c r="G29">
        <v>3328</v>
      </c>
      <c r="H29">
        <f>COUNTIF('GPA Calculator'!$B$5:$B$98,G29)+COUNTIF('GPA Calculator'!$L$5:$L$98,G29)</f>
        <v>0</v>
      </c>
      <c r="J29">
        <v>3428</v>
      </c>
      <c r="K29">
        <f>COUNTIF('GPA Calculator'!$B$5:$B$98,J29)+COUNTIF('GPA Calculator'!$L$5:$L$98,J29)</f>
        <v>0</v>
      </c>
      <c r="M29">
        <v>4128</v>
      </c>
      <c r="N29">
        <f>COUNTIF('GPA Calculator'!$B$5:$B$98,M29)+COUNTIF('GPA Calculator'!$L$5:$L$98,M29)</f>
        <v>0</v>
      </c>
      <c r="P29">
        <v>4228</v>
      </c>
      <c r="Q29">
        <f>COUNTIF('GPA Calculator'!$B$5:$B$98,P29)+COUNTIF('GPA Calculator'!$L$5:$L$98,P29)</f>
        <v>0</v>
      </c>
      <c r="S29">
        <v>4328</v>
      </c>
      <c r="T29">
        <f>COUNTIF('GPA Calculator'!$B$5:$B$98,S29)+COUNTIF('GPA Calculator'!$L$5:$L$98,S29)</f>
        <v>0</v>
      </c>
      <c r="V29">
        <v>4428</v>
      </c>
      <c r="W29">
        <f>COUNTIF('GPA Calculator'!$B$5:$B$98,V29)+COUNTIF('GPA Calculator'!$L$5:$L$98,V29)</f>
        <v>0</v>
      </c>
    </row>
    <row r="30" spans="1:23" x14ac:dyDescent="0.25">
      <c r="A30">
        <v>3129</v>
      </c>
      <c r="B30">
        <f>COUNTIF('GPA Calculator'!$B$5:$B$98,A30)+COUNTIF('GPA Calculator'!$L$5:$L$98,A30)</f>
        <v>0</v>
      </c>
      <c r="D30">
        <v>3229</v>
      </c>
      <c r="E30">
        <f>COUNTIF('GPA Calculator'!$B$5:$B$98,D30)+COUNTIF('GPA Calculator'!$L$5:$L$98,D30)</f>
        <v>0</v>
      </c>
      <c r="G30">
        <v>3329</v>
      </c>
      <c r="H30">
        <f>COUNTIF('GPA Calculator'!$B$5:$B$98,G30)+COUNTIF('GPA Calculator'!$L$5:$L$98,G30)</f>
        <v>0</v>
      </c>
      <c r="J30">
        <v>3429</v>
      </c>
      <c r="K30">
        <f>COUNTIF('GPA Calculator'!$B$5:$B$98,J30)+COUNTIF('GPA Calculator'!$L$5:$L$98,J30)</f>
        <v>0</v>
      </c>
      <c r="M30">
        <v>4129</v>
      </c>
      <c r="N30">
        <f>COUNTIF('GPA Calculator'!$B$5:$B$98,M30)+COUNTIF('GPA Calculator'!$L$5:$L$98,M30)</f>
        <v>0</v>
      </c>
      <c r="P30">
        <v>4229</v>
      </c>
      <c r="Q30">
        <f>COUNTIF('GPA Calculator'!$B$5:$B$98,P30)+COUNTIF('GPA Calculator'!$L$5:$L$98,P30)</f>
        <v>0</v>
      </c>
      <c r="S30">
        <v>4329</v>
      </c>
      <c r="T30">
        <f>COUNTIF('GPA Calculator'!$B$5:$B$98,S30)+COUNTIF('GPA Calculator'!$L$5:$L$98,S30)</f>
        <v>0</v>
      </c>
      <c r="V30">
        <v>4429</v>
      </c>
      <c r="W30">
        <f>COUNTIF('GPA Calculator'!$B$5:$B$98,V30)+COUNTIF('GPA Calculator'!$L$5:$L$98,V30)</f>
        <v>0</v>
      </c>
    </row>
    <row r="31" spans="1:23" x14ac:dyDescent="0.25">
      <c r="A31">
        <v>3130</v>
      </c>
      <c r="B31">
        <f>COUNTIF('GPA Calculator'!$B$5:$B$98,A31)+COUNTIF('GPA Calculator'!$L$5:$L$98,A31)</f>
        <v>0</v>
      </c>
      <c r="D31">
        <v>3230</v>
      </c>
      <c r="E31">
        <f>COUNTIF('GPA Calculator'!$B$5:$B$98,D31)+COUNTIF('GPA Calculator'!$L$5:$L$98,D31)</f>
        <v>0</v>
      </c>
      <c r="G31">
        <v>3330</v>
      </c>
      <c r="H31">
        <f>COUNTIF('GPA Calculator'!$B$5:$B$98,G31)+COUNTIF('GPA Calculator'!$L$5:$L$98,G31)</f>
        <v>0</v>
      </c>
      <c r="J31">
        <v>3430</v>
      </c>
      <c r="K31">
        <f>COUNTIF('GPA Calculator'!$B$5:$B$98,J31)+COUNTIF('GPA Calculator'!$L$5:$L$98,J31)</f>
        <v>0</v>
      </c>
      <c r="M31">
        <v>4130</v>
      </c>
      <c r="N31">
        <f>COUNTIF('GPA Calculator'!$B$5:$B$98,M31)+COUNTIF('GPA Calculator'!$L$5:$L$98,M31)</f>
        <v>0</v>
      </c>
      <c r="P31">
        <v>4230</v>
      </c>
      <c r="Q31">
        <f>COUNTIF('GPA Calculator'!$B$5:$B$98,P31)+COUNTIF('GPA Calculator'!$L$5:$L$98,P31)</f>
        <v>0</v>
      </c>
      <c r="S31">
        <v>4330</v>
      </c>
      <c r="T31">
        <f>COUNTIF('GPA Calculator'!$B$5:$B$98,S31)+COUNTIF('GPA Calculator'!$L$5:$L$98,S31)</f>
        <v>0</v>
      </c>
      <c r="V31">
        <v>4430</v>
      </c>
      <c r="W31">
        <f>COUNTIF('GPA Calculator'!$B$5:$B$98,V31)+COUNTIF('GPA Calculator'!$L$5:$L$98,V31)</f>
        <v>0</v>
      </c>
    </row>
    <row r="32" spans="1:23" x14ac:dyDescent="0.25">
      <c r="A32">
        <v>3131</v>
      </c>
      <c r="B32">
        <f>COUNTIF('GPA Calculator'!$B$5:$B$98,A32)+COUNTIF('GPA Calculator'!$L$5:$L$98,A32)</f>
        <v>0</v>
      </c>
      <c r="D32">
        <v>3231</v>
      </c>
      <c r="E32">
        <f>COUNTIF('GPA Calculator'!$B$5:$B$98,D32)+COUNTIF('GPA Calculator'!$L$5:$L$98,D32)</f>
        <v>0</v>
      </c>
      <c r="G32">
        <v>3331</v>
      </c>
      <c r="H32">
        <f>COUNTIF('GPA Calculator'!$B$5:$B$98,G32)+COUNTIF('GPA Calculator'!$L$5:$L$98,G32)</f>
        <v>0</v>
      </c>
      <c r="J32">
        <v>3431</v>
      </c>
      <c r="K32">
        <f>COUNTIF('GPA Calculator'!$B$5:$B$98,J32)+COUNTIF('GPA Calculator'!$L$5:$L$98,J32)</f>
        <v>0</v>
      </c>
      <c r="M32">
        <v>4131</v>
      </c>
      <c r="N32">
        <f>COUNTIF('GPA Calculator'!$B$5:$B$98,M32)+COUNTIF('GPA Calculator'!$L$5:$L$98,M32)</f>
        <v>0</v>
      </c>
      <c r="P32">
        <v>4231</v>
      </c>
      <c r="Q32">
        <f>COUNTIF('GPA Calculator'!$B$5:$B$98,P32)+COUNTIF('GPA Calculator'!$L$5:$L$98,P32)</f>
        <v>0</v>
      </c>
      <c r="S32">
        <v>4331</v>
      </c>
      <c r="T32">
        <f>COUNTIF('GPA Calculator'!$B$5:$B$98,S32)+COUNTIF('GPA Calculator'!$L$5:$L$98,S32)</f>
        <v>0</v>
      </c>
      <c r="V32">
        <v>4431</v>
      </c>
      <c r="W32">
        <f>COUNTIF('GPA Calculator'!$B$5:$B$98,V32)+COUNTIF('GPA Calculator'!$L$5:$L$98,V32)</f>
        <v>0</v>
      </c>
    </row>
    <row r="33" spans="1:23" x14ac:dyDescent="0.25">
      <c r="A33">
        <v>3132</v>
      </c>
      <c r="B33">
        <f>COUNTIF('GPA Calculator'!$B$5:$B$98,A33)+COUNTIF('GPA Calculator'!$L$5:$L$98,A33)</f>
        <v>0</v>
      </c>
      <c r="D33">
        <v>3232</v>
      </c>
      <c r="E33">
        <f>COUNTIF('GPA Calculator'!$B$5:$B$98,D33)+COUNTIF('GPA Calculator'!$L$5:$L$98,D33)</f>
        <v>0</v>
      </c>
      <c r="G33">
        <v>3332</v>
      </c>
      <c r="H33">
        <f>COUNTIF('GPA Calculator'!$B$5:$B$98,G33)+COUNTIF('GPA Calculator'!$L$5:$L$98,G33)</f>
        <v>0</v>
      </c>
      <c r="J33">
        <v>3432</v>
      </c>
      <c r="K33">
        <f>COUNTIF('GPA Calculator'!$B$5:$B$98,J33)+COUNTIF('GPA Calculator'!$L$5:$L$98,J33)</f>
        <v>0</v>
      </c>
      <c r="M33">
        <v>4132</v>
      </c>
      <c r="N33">
        <f>COUNTIF('GPA Calculator'!$B$5:$B$98,M33)+COUNTIF('GPA Calculator'!$L$5:$L$98,M33)</f>
        <v>0</v>
      </c>
      <c r="P33">
        <v>4232</v>
      </c>
      <c r="Q33">
        <f>COUNTIF('GPA Calculator'!$B$5:$B$98,P33)+COUNTIF('GPA Calculator'!$L$5:$L$98,P33)</f>
        <v>0</v>
      </c>
      <c r="S33">
        <v>4332</v>
      </c>
      <c r="T33">
        <f>COUNTIF('GPA Calculator'!$B$5:$B$98,S33)+COUNTIF('GPA Calculator'!$L$5:$L$98,S33)</f>
        <v>0</v>
      </c>
      <c r="V33">
        <v>4432</v>
      </c>
      <c r="W33">
        <f>COUNTIF('GPA Calculator'!$B$5:$B$98,V33)+COUNTIF('GPA Calculator'!$L$5:$L$98,V33)</f>
        <v>0</v>
      </c>
    </row>
    <row r="34" spans="1:23" x14ac:dyDescent="0.25">
      <c r="A34">
        <v>3133</v>
      </c>
      <c r="B34">
        <f>COUNTIF('GPA Calculator'!$B$5:$B$98,A34)+COUNTIF('GPA Calculator'!$L$5:$L$98,A34)</f>
        <v>0</v>
      </c>
      <c r="D34">
        <v>3233</v>
      </c>
      <c r="E34">
        <f>COUNTIF('GPA Calculator'!$B$5:$B$98,D34)+COUNTIF('GPA Calculator'!$L$5:$L$98,D34)</f>
        <v>0</v>
      </c>
      <c r="G34">
        <v>3333</v>
      </c>
      <c r="H34">
        <f>COUNTIF('GPA Calculator'!$B$5:$B$98,G34)+COUNTIF('GPA Calculator'!$L$5:$L$98,G34)</f>
        <v>0</v>
      </c>
      <c r="J34">
        <v>3433</v>
      </c>
      <c r="K34">
        <f>COUNTIF('GPA Calculator'!$B$5:$B$98,J34)+COUNTIF('GPA Calculator'!$L$5:$L$98,J34)</f>
        <v>0</v>
      </c>
      <c r="M34">
        <v>4133</v>
      </c>
      <c r="N34">
        <f>COUNTIF('GPA Calculator'!$B$5:$B$98,M34)+COUNTIF('GPA Calculator'!$L$5:$L$98,M34)</f>
        <v>0</v>
      </c>
      <c r="P34">
        <v>4233</v>
      </c>
      <c r="Q34">
        <f>COUNTIF('GPA Calculator'!$B$5:$B$98,P34)+COUNTIF('GPA Calculator'!$L$5:$L$98,P34)</f>
        <v>0</v>
      </c>
      <c r="S34">
        <v>4333</v>
      </c>
      <c r="T34">
        <f>COUNTIF('GPA Calculator'!$B$5:$B$98,S34)+COUNTIF('GPA Calculator'!$L$5:$L$98,S34)</f>
        <v>0</v>
      </c>
      <c r="V34">
        <v>4433</v>
      </c>
      <c r="W34">
        <f>COUNTIF('GPA Calculator'!$B$5:$B$98,V34)+COUNTIF('GPA Calculator'!$L$5:$L$98,V34)</f>
        <v>0</v>
      </c>
    </row>
    <row r="35" spans="1:23" x14ac:dyDescent="0.25">
      <c r="A35">
        <v>3134</v>
      </c>
      <c r="B35">
        <f>COUNTIF('GPA Calculator'!$B$5:$B$98,A35)+COUNTIF('GPA Calculator'!$L$5:$L$98,A35)</f>
        <v>0</v>
      </c>
      <c r="D35">
        <v>3234</v>
      </c>
      <c r="E35">
        <f>COUNTIF('GPA Calculator'!$B$5:$B$98,D35)+COUNTIF('GPA Calculator'!$L$5:$L$98,D35)</f>
        <v>0</v>
      </c>
      <c r="G35">
        <v>3334</v>
      </c>
      <c r="H35">
        <f>COUNTIF('GPA Calculator'!$B$5:$B$98,G35)+COUNTIF('GPA Calculator'!$L$5:$L$98,G35)</f>
        <v>0</v>
      </c>
      <c r="J35">
        <v>3434</v>
      </c>
      <c r="K35">
        <f>COUNTIF('GPA Calculator'!$B$5:$B$98,J35)+COUNTIF('GPA Calculator'!$L$5:$L$98,J35)</f>
        <v>0</v>
      </c>
      <c r="M35">
        <v>4134</v>
      </c>
      <c r="N35">
        <f>COUNTIF('GPA Calculator'!$B$5:$B$98,M35)+COUNTIF('GPA Calculator'!$L$5:$L$98,M35)</f>
        <v>0</v>
      </c>
      <c r="P35">
        <v>4234</v>
      </c>
      <c r="Q35">
        <f>COUNTIF('GPA Calculator'!$B$5:$B$98,P35)+COUNTIF('GPA Calculator'!$L$5:$L$98,P35)</f>
        <v>0</v>
      </c>
      <c r="S35">
        <v>4334</v>
      </c>
      <c r="T35">
        <f>COUNTIF('GPA Calculator'!$B$5:$B$98,S35)+COUNTIF('GPA Calculator'!$L$5:$L$98,S35)</f>
        <v>0</v>
      </c>
      <c r="V35">
        <v>4434</v>
      </c>
      <c r="W35">
        <f>COUNTIF('GPA Calculator'!$B$5:$B$98,V35)+COUNTIF('GPA Calculator'!$L$5:$L$98,V35)</f>
        <v>0</v>
      </c>
    </row>
    <row r="36" spans="1:23" x14ac:dyDescent="0.25">
      <c r="A36">
        <v>3135</v>
      </c>
      <c r="B36">
        <f>COUNTIF('GPA Calculator'!$B$5:$B$98,A36)+COUNTIF('GPA Calculator'!$L$5:$L$98,A36)</f>
        <v>0</v>
      </c>
      <c r="D36">
        <v>3235</v>
      </c>
      <c r="E36">
        <f>COUNTIF('GPA Calculator'!$B$5:$B$98,D36)+COUNTIF('GPA Calculator'!$L$5:$L$98,D36)</f>
        <v>0</v>
      </c>
      <c r="G36">
        <v>3335</v>
      </c>
      <c r="H36">
        <f>COUNTIF('GPA Calculator'!$B$5:$B$98,G36)+COUNTIF('GPA Calculator'!$L$5:$L$98,G36)</f>
        <v>0</v>
      </c>
      <c r="J36">
        <v>3435</v>
      </c>
      <c r="K36">
        <f>COUNTIF('GPA Calculator'!$B$5:$B$98,J36)+COUNTIF('GPA Calculator'!$L$5:$L$98,J36)</f>
        <v>0</v>
      </c>
      <c r="M36">
        <v>4135</v>
      </c>
      <c r="N36">
        <f>COUNTIF('GPA Calculator'!$B$5:$B$98,M36)+COUNTIF('GPA Calculator'!$L$5:$L$98,M36)</f>
        <v>0</v>
      </c>
      <c r="P36">
        <v>4235</v>
      </c>
      <c r="Q36">
        <f>COUNTIF('GPA Calculator'!$B$5:$B$98,P36)+COUNTIF('GPA Calculator'!$L$5:$L$98,P36)</f>
        <v>0</v>
      </c>
      <c r="S36">
        <v>4335</v>
      </c>
      <c r="T36">
        <f>COUNTIF('GPA Calculator'!$B$5:$B$98,S36)+COUNTIF('GPA Calculator'!$L$5:$L$98,S36)</f>
        <v>0</v>
      </c>
      <c r="V36">
        <v>4435</v>
      </c>
      <c r="W36">
        <f>COUNTIF('GPA Calculator'!$B$5:$B$98,V36)+COUNTIF('GPA Calculator'!$L$5:$L$98,V36)</f>
        <v>0</v>
      </c>
    </row>
    <row r="37" spans="1:23" x14ac:dyDescent="0.25">
      <c r="A37">
        <v>3136</v>
      </c>
      <c r="B37">
        <f>COUNTIF('GPA Calculator'!$B$5:$B$98,A37)+COUNTIF('GPA Calculator'!$L$5:$L$98,A37)</f>
        <v>0</v>
      </c>
      <c r="D37">
        <v>3236</v>
      </c>
      <c r="E37">
        <f>COUNTIF('GPA Calculator'!$B$5:$B$98,D37)+COUNTIF('GPA Calculator'!$L$5:$L$98,D37)</f>
        <v>0</v>
      </c>
      <c r="G37">
        <v>3336</v>
      </c>
      <c r="H37">
        <f>COUNTIF('GPA Calculator'!$B$5:$B$98,G37)+COUNTIF('GPA Calculator'!$L$5:$L$98,G37)</f>
        <v>0</v>
      </c>
      <c r="J37">
        <v>3436</v>
      </c>
      <c r="K37">
        <f>COUNTIF('GPA Calculator'!$B$5:$B$98,J37)+COUNTIF('GPA Calculator'!$L$5:$L$98,J37)</f>
        <v>0</v>
      </c>
      <c r="M37">
        <v>4136</v>
      </c>
      <c r="N37">
        <f>COUNTIF('GPA Calculator'!$B$5:$B$98,M37)+COUNTIF('GPA Calculator'!$L$5:$L$98,M37)</f>
        <v>0</v>
      </c>
      <c r="P37">
        <v>4236</v>
      </c>
      <c r="Q37">
        <f>COUNTIF('GPA Calculator'!$B$5:$B$98,P37)+COUNTIF('GPA Calculator'!$L$5:$L$98,P37)</f>
        <v>0</v>
      </c>
      <c r="S37">
        <v>4336</v>
      </c>
      <c r="T37">
        <f>COUNTIF('GPA Calculator'!$B$5:$B$98,S37)+COUNTIF('GPA Calculator'!$L$5:$L$98,S37)</f>
        <v>0</v>
      </c>
      <c r="V37">
        <v>4436</v>
      </c>
      <c r="W37">
        <f>COUNTIF('GPA Calculator'!$B$5:$B$98,V37)+COUNTIF('GPA Calculator'!$L$5:$L$98,V37)</f>
        <v>0</v>
      </c>
    </row>
    <row r="38" spans="1:23" x14ac:dyDescent="0.25">
      <c r="A38">
        <v>3137</v>
      </c>
      <c r="B38">
        <f>COUNTIF('GPA Calculator'!$B$5:$B$98,A38)+COUNTIF('GPA Calculator'!$L$5:$L$98,A38)</f>
        <v>0</v>
      </c>
      <c r="D38">
        <v>3237</v>
      </c>
      <c r="E38">
        <f>COUNTIF('GPA Calculator'!$B$5:$B$98,D38)+COUNTIF('GPA Calculator'!$L$5:$L$98,D38)</f>
        <v>0</v>
      </c>
      <c r="G38">
        <v>3337</v>
      </c>
      <c r="H38">
        <f>COUNTIF('GPA Calculator'!$B$5:$B$98,G38)+COUNTIF('GPA Calculator'!$L$5:$L$98,G38)</f>
        <v>0</v>
      </c>
      <c r="J38">
        <v>3437</v>
      </c>
      <c r="K38">
        <f>COUNTIF('GPA Calculator'!$B$5:$B$98,J38)+COUNTIF('GPA Calculator'!$L$5:$L$98,J38)</f>
        <v>0</v>
      </c>
      <c r="M38">
        <v>4137</v>
      </c>
      <c r="N38">
        <f>COUNTIF('GPA Calculator'!$B$5:$B$98,M38)+COUNTIF('GPA Calculator'!$L$5:$L$98,M38)</f>
        <v>0</v>
      </c>
      <c r="P38">
        <v>4237</v>
      </c>
      <c r="Q38">
        <f>COUNTIF('GPA Calculator'!$B$5:$B$98,P38)+COUNTIF('GPA Calculator'!$L$5:$L$98,P38)</f>
        <v>0</v>
      </c>
      <c r="S38">
        <v>4337</v>
      </c>
      <c r="T38">
        <f>COUNTIF('GPA Calculator'!$B$5:$B$98,S38)+COUNTIF('GPA Calculator'!$L$5:$L$98,S38)</f>
        <v>0</v>
      </c>
      <c r="V38">
        <v>4437</v>
      </c>
      <c r="W38">
        <f>COUNTIF('GPA Calculator'!$B$5:$B$98,V38)+COUNTIF('GPA Calculator'!$L$5:$L$98,V38)</f>
        <v>0</v>
      </c>
    </row>
    <row r="39" spans="1:23" x14ac:dyDescent="0.25">
      <c r="A39">
        <v>3138</v>
      </c>
      <c r="B39">
        <f>COUNTIF('GPA Calculator'!$B$5:$B$98,A39)+COUNTIF('GPA Calculator'!$L$5:$L$98,A39)</f>
        <v>0</v>
      </c>
      <c r="D39">
        <v>3238</v>
      </c>
      <c r="E39">
        <f>COUNTIF('GPA Calculator'!$B$5:$B$98,D39)+COUNTIF('GPA Calculator'!$L$5:$L$98,D39)</f>
        <v>0</v>
      </c>
      <c r="G39">
        <v>3338</v>
      </c>
      <c r="H39">
        <f>COUNTIF('GPA Calculator'!$B$5:$B$98,G39)+COUNTIF('GPA Calculator'!$L$5:$L$98,G39)</f>
        <v>0</v>
      </c>
      <c r="J39">
        <v>3438</v>
      </c>
      <c r="K39">
        <f>COUNTIF('GPA Calculator'!$B$5:$B$98,J39)+COUNTIF('GPA Calculator'!$L$5:$L$98,J39)</f>
        <v>0</v>
      </c>
      <c r="M39">
        <v>4138</v>
      </c>
      <c r="N39">
        <f>COUNTIF('GPA Calculator'!$B$5:$B$98,M39)+COUNTIF('GPA Calculator'!$L$5:$L$98,M39)</f>
        <v>0</v>
      </c>
      <c r="P39">
        <v>4238</v>
      </c>
      <c r="Q39">
        <f>COUNTIF('GPA Calculator'!$B$5:$B$98,P39)+COUNTIF('GPA Calculator'!$L$5:$L$98,P39)</f>
        <v>0</v>
      </c>
      <c r="S39">
        <v>4338</v>
      </c>
      <c r="T39">
        <f>COUNTIF('GPA Calculator'!$B$5:$B$98,S39)+COUNTIF('GPA Calculator'!$L$5:$L$98,S39)</f>
        <v>0</v>
      </c>
      <c r="V39">
        <v>4438</v>
      </c>
      <c r="W39">
        <f>COUNTIF('GPA Calculator'!$B$5:$B$98,V39)+COUNTIF('GPA Calculator'!$L$5:$L$98,V39)</f>
        <v>0</v>
      </c>
    </row>
    <row r="40" spans="1:23" x14ac:dyDescent="0.25">
      <c r="A40">
        <v>3139</v>
      </c>
      <c r="B40">
        <f>COUNTIF('GPA Calculator'!$B$5:$B$98,A40)+COUNTIF('GPA Calculator'!$L$5:$L$98,A40)</f>
        <v>0</v>
      </c>
      <c r="D40">
        <v>3239</v>
      </c>
      <c r="E40">
        <f>COUNTIF('GPA Calculator'!$B$5:$B$98,D40)+COUNTIF('GPA Calculator'!$L$5:$L$98,D40)</f>
        <v>0</v>
      </c>
      <c r="G40">
        <v>3339</v>
      </c>
      <c r="H40">
        <f>COUNTIF('GPA Calculator'!$B$5:$B$98,G40)+COUNTIF('GPA Calculator'!$L$5:$L$98,G40)</f>
        <v>0</v>
      </c>
      <c r="J40">
        <v>3439</v>
      </c>
      <c r="K40">
        <f>COUNTIF('GPA Calculator'!$B$5:$B$98,J40)+COUNTIF('GPA Calculator'!$L$5:$L$98,J40)</f>
        <v>0</v>
      </c>
      <c r="M40">
        <v>4139</v>
      </c>
      <c r="N40">
        <f>COUNTIF('GPA Calculator'!$B$5:$B$98,M40)+COUNTIF('GPA Calculator'!$L$5:$L$98,M40)</f>
        <v>0</v>
      </c>
      <c r="P40">
        <v>4239</v>
      </c>
      <c r="Q40">
        <f>COUNTIF('GPA Calculator'!$B$5:$B$98,P40)+COUNTIF('GPA Calculator'!$L$5:$L$98,P40)</f>
        <v>0</v>
      </c>
      <c r="S40">
        <v>4339</v>
      </c>
      <c r="T40">
        <f>COUNTIF('GPA Calculator'!$B$5:$B$98,S40)+COUNTIF('GPA Calculator'!$L$5:$L$98,S40)</f>
        <v>0</v>
      </c>
      <c r="V40">
        <v>4439</v>
      </c>
      <c r="W40">
        <f>COUNTIF('GPA Calculator'!$B$5:$B$98,V40)+COUNTIF('GPA Calculator'!$L$5:$L$98,V40)</f>
        <v>0</v>
      </c>
    </row>
    <row r="41" spans="1:23" x14ac:dyDescent="0.25">
      <c r="A41">
        <v>3140</v>
      </c>
      <c r="B41">
        <f>COUNTIF('GPA Calculator'!$B$5:$B$98,A41)+COUNTIF('GPA Calculator'!$L$5:$L$98,A41)</f>
        <v>0</v>
      </c>
      <c r="D41">
        <v>3240</v>
      </c>
      <c r="E41">
        <f>COUNTIF('GPA Calculator'!$B$5:$B$98,D41)+COUNTIF('GPA Calculator'!$L$5:$L$98,D41)</f>
        <v>0</v>
      </c>
      <c r="G41">
        <v>3340</v>
      </c>
      <c r="H41">
        <f>COUNTIF('GPA Calculator'!$B$5:$B$98,G41)+COUNTIF('GPA Calculator'!$L$5:$L$98,G41)</f>
        <v>0</v>
      </c>
      <c r="J41">
        <v>3440</v>
      </c>
      <c r="K41">
        <f>COUNTIF('GPA Calculator'!$B$5:$B$98,J41)+COUNTIF('GPA Calculator'!$L$5:$L$98,J41)</f>
        <v>0</v>
      </c>
      <c r="M41">
        <v>4140</v>
      </c>
      <c r="N41">
        <f>COUNTIF('GPA Calculator'!$B$5:$B$98,M41)+COUNTIF('GPA Calculator'!$L$5:$L$98,M41)</f>
        <v>0</v>
      </c>
      <c r="P41">
        <v>4240</v>
      </c>
      <c r="Q41">
        <f>COUNTIF('GPA Calculator'!$B$5:$B$98,P41)+COUNTIF('GPA Calculator'!$L$5:$L$98,P41)</f>
        <v>0</v>
      </c>
      <c r="S41">
        <v>4340</v>
      </c>
      <c r="T41">
        <f>COUNTIF('GPA Calculator'!$B$5:$B$98,S41)+COUNTIF('GPA Calculator'!$L$5:$L$98,S41)</f>
        <v>0</v>
      </c>
      <c r="V41">
        <v>4440</v>
      </c>
      <c r="W41">
        <f>COUNTIF('GPA Calculator'!$B$5:$B$98,V41)+COUNTIF('GPA Calculator'!$L$5:$L$98,V41)</f>
        <v>0</v>
      </c>
    </row>
    <row r="42" spans="1:23" x14ac:dyDescent="0.25">
      <c r="A42">
        <v>3141</v>
      </c>
      <c r="B42">
        <f>COUNTIF('GPA Calculator'!$B$5:$B$98,A42)+COUNTIF('GPA Calculator'!$L$5:$L$98,A42)</f>
        <v>0</v>
      </c>
      <c r="D42">
        <v>3241</v>
      </c>
      <c r="E42">
        <f>COUNTIF('GPA Calculator'!$B$5:$B$98,D42)+COUNTIF('GPA Calculator'!$L$5:$L$98,D42)</f>
        <v>0</v>
      </c>
      <c r="G42">
        <v>3341</v>
      </c>
      <c r="H42">
        <f>COUNTIF('GPA Calculator'!$B$5:$B$98,G42)+COUNTIF('GPA Calculator'!$L$5:$L$98,G42)</f>
        <v>0</v>
      </c>
      <c r="J42">
        <v>3441</v>
      </c>
      <c r="K42">
        <f>COUNTIF('GPA Calculator'!$B$5:$B$98,J42)+COUNTIF('GPA Calculator'!$L$5:$L$98,J42)</f>
        <v>0</v>
      </c>
      <c r="M42">
        <v>4141</v>
      </c>
      <c r="N42">
        <f>COUNTIF('GPA Calculator'!$B$5:$B$98,M42)+COUNTIF('GPA Calculator'!$L$5:$L$98,M42)</f>
        <v>0</v>
      </c>
      <c r="P42">
        <v>4241</v>
      </c>
      <c r="Q42">
        <f>COUNTIF('GPA Calculator'!$B$5:$B$98,P42)+COUNTIF('GPA Calculator'!$L$5:$L$98,P42)</f>
        <v>0</v>
      </c>
      <c r="S42">
        <v>4341</v>
      </c>
      <c r="T42">
        <f>COUNTIF('GPA Calculator'!$B$5:$B$98,S42)+COUNTIF('GPA Calculator'!$L$5:$L$98,S42)</f>
        <v>0</v>
      </c>
      <c r="V42">
        <v>4441</v>
      </c>
      <c r="W42">
        <f>COUNTIF('GPA Calculator'!$B$5:$B$98,V42)+COUNTIF('GPA Calculator'!$L$5:$L$98,V42)</f>
        <v>0</v>
      </c>
    </row>
    <row r="43" spans="1:23" x14ac:dyDescent="0.25">
      <c r="A43">
        <v>3142</v>
      </c>
      <c r="B43">
        <f>COUNTIF('GPA Calculator'!$B$5:$B$98,A43)+COUNTIF('GPA Calculator'!$L$5:$L$98,A43)</f>
        <v>0</v>
      </c>
      <c r="D43">
        <v>3242</v>
      </c>
      <c r="E43">
        <f>COUNTIF('GPA Calculator'!$B$5:$B$98,D43)+COUNTIF('GPA Calculator'!$L$5:$L$98,D43)</f>
        <v>0</v>
      </c>
      <c r="G43">
        <v>3342</v>
      </c>
      <c r="H43">
        <f>COUNTIF('GPA Calculator'!$B$5:$B$98,G43)+COUNTIF('GPA Calculator'!$L$5:$L$98,G43)</f>
        <v>0</v>
      </c>
      <c r="J43">
        <v>3442</v>
      </c>
      <c r="K43">
        <f>COUNTIF('GPA Calculator'!$B$5:$B$98,J43)+COUNTIF('GPA Calculator'!$L$5:$L$98,J43)</f>
        <v>0</v>
      </c>
      <c r="M43">
        <v>4142</v>
      </c>
      <c r="N43">
        <f>COUNTIF('GPA Calculator'!$B$5:$B$98,M43)+COUNTIF('GPA Calculator'!$L$5:$L$98,M43)</f>
        <v>0</v>
      </c>
      <c r="P43">
        <v>4242</v>
      </c>
      <c r="Q43">
        <f>COUNTIF('GPA Calculator'!$B$5:$B$98,P43)+COUNTIF('GPA Calculator'!$L$5:$L$98,P43)</f>
        <v>0</v>
      </c>
      <c r="S43">
        <v>4342</v>
      </c>
      <c r="T43">
        <f>COUNTIF('GPA Calculator'!$B$5:$B$98,S43)+COUNTIF('GPA Calculator'!$L$5:$L$98,S43)</f>
        <v>0</v>
      </c>
      <c r="V43">
        <v>4442</v>
      </c>
      <c r="W43">
        <f>COUNTIF('GPA Calculator'!$B$5:$B$98,V43)+COUNTIF('GPA Calculator'!$L$5:$L$98,V43)</f>
        <v>0</v>
      </c>
    </row>
    <row r="44" spans="1:23" x14ac:dyDescent="0.25">
      <c r="A44">
        <v>3143</v>
      </c>
      <c r="B44">
        <f>COUNTIF('GPA Calculator'!$B$5:$B$98,A44)+COUNTIF('GPA Calculator'!$L$5:$L$98,A44)</f>
        <v>0</v>
      </c>
      <c r="D44">
        <v>3243</v>
      </c>
      <c r="E44">
        <f>COUNTIF('GPA Calculator'!$B$5:$B$98,D44)+COUNTIF('GPA Calculator'!$L$5:$L$98,D44)</f>
        <v>0</v>
      </c>
      <c r="G44">
        <v>3343</v>
      </c>
      <c r="H44">
        <f>COUNTIF('GPA Calculator'!$B$5:$B$98,G44)+COUNTIF('GPA Calculator'!$L$5:$L$98,G44)</f>
        <v>0</v>
      </c>
      <c r="J44">
        <v>3443</v>
      </c>
      <c r="K44">
        <f>COUNTIF('GPA Calculator'!$B$5:$B$98,J44)+COUNTIF('GPA Calculator'!$L$5:$L$98,J44)</f>
        <v>0</v>
      </c>
      <c r="M44">
        <v>4143</v>
      </c>
      <c r="N44">
        <f>COUNTIF('GPA Calculator'!$B$5:$B$98,M44)+COUNTIF('GPA Calculator'!$L$5:$L$98,M44)</f>
        <v>0</v>
      </c>
      <c r="P44">
        <v>4243</v>
      </c>
      <c r="Q44">
        <f>COUNTIF('GPA Calculator'!$B$5:$B$98,P44)+COUNTIF('GPA Calculator'!$L$5:$L$98,P44)</f>
        <v>0</v>
      </c>
      <c r="S44">
        <v>4343</v>
      </c>
      <c r="T44">
        <f>COUNTIF('GPA Calculator'!$B$5:$B$98,S44)+COUNTIF('GPA Calculator'!$L$5:$L$98,S44)</f>
        <v>0</v>
      </c>
      <c r="V44">
        <v>4443</v>
      </c>
      <c r="W44">
        <f>COUNTIF('GPA Calculator'!$B$5:$B$98,V44)+COUNTIF('GPA Calculator'!$L$5:$L$98,V44)</f>
        <v>0</v>
      </c>
    </row>
    <row r="45" spans="1:23" x14ac:dyDescent="0.25">
      <c r="A45">
        <v>3144</v>
      </c>
      <c r="B45">
        <f>COUNTIF('GPA Calculator'!$B$5:$B$98,A45)+COUNTIF('GPA Calculator'!$L$5:$L$98,A45)</f>
        <v>0</v>
      </c>
      <c r="D45">
        <v>3244</v>
      </c>
      <c r="E45">
        <f>COUNTIF('GPA Calculator'!$B$5:$B$98,D45)+COUNTIF('GPA Calculator'!$L$5:$L$98,D45)</f>
        <v>0</v>
      </c>
      <c r="G45">
        <v>3344</v>
      </c>
      <c r="H45">
        <f>COUNTIF('GPA Calculator'!$B$5:$B$98,G45)+COUNTIF('GPA Calculator'!$L$5:$L$98,G45)</f>
        <v>0</v>
      </c>
      <c r="J45">
        <v>3444</v>
      </c>
      <c r="K45">
        <f>COUNTIF('GPA Calculator'!$B$5:$B$98,J45)+COUNTIF('GPA Calculator'!$L$5:$L$98,J45)</f>
        <v>0</v>
      </c>
      <c r="M45">
        <v>4144</v>
      </c>
      <c r="N45">
        <f>COUNTIF('GPA Calculator'!$B$5:$B$98,M45)+COUNTIF('GPA Calculator'!$L$5:$L$98,M45)</f>
        <v>0</v>
      </c>
      <c r="P45">
        <v>4244</v>
      </c>
      <c r="Q45">
        <f>COUNTIF('GPA Calculator'!$B$5:$B$98,P45)+COUNTIF('GPA Calculator'!$L$5:$L$98,P45)</f>
        <v>0</v>
      </c>
      <c r="S45">
        <v>4344</v>
      </c>
      <c r="T45">
        <f>COUNTIF('GPA Calculator'!$B$5:$B$98,S45)+COUNTIF('GPA Calculator'!$L$5:$L$98,S45)</f>
        <v>0</v>
      </c>
      <c r="V45">
        <v>4444</v>
      </c>
      <c r="W45">
        <f>COUNTIF('GPA Calculator'!$B$5:$B$98,V45)+COUNTIF('GPA Calculator'!$L$5:$L$98,V45)</f>
        <v>0</v>
      </c>
    </row>
    <row r="46" spans="1:23" x14ac:dyDescent="0.25">
      <c r="A46">
        <v>3145</v>
      </c>
      <c r="B46">
        <f>COUNTIF('GPA Calculator'!$B$5:$B$98,A46)+COUNTIF('GPA Calculator'!$L$5:$L$98,A46)</f>
        <v>0</v>
      </c>
      <c r="D46">
        <v>3245</v>
      </c>
      <c r="E46">
        <f>COUNTIF('GPA Calculator'!$B$5:$B$98,D46)+COUNTIF('GPA Calculator'!$L$5:$L$98,D46)</f>
        <v>0</v>
      </c>
      <c r="G46">
        <v>3345</v>
      </c>
      <c r="H46">
        <f>COUNTIF('GPA Calculator'!$B$5:$B$98,G46)+COUNTIF('GPA Calculator'!$L$5:$L$98,G46)</f>
        <v>0</v>
      </c>
      <c r="J46">
        <v>3445</v>
      </c>
      <c r="K46">
        <f>COUNTIF('GPA Calculator'!$B$5:$B$98,J46)+COUNTIF('GPA Calculator'!$L$5:$L$98,J46)</f>
        <v>0</v>
      </c>
      <c r="M46">
        <v>4145</v>
      </c>
      <c r="N46">
        <f>COUNTIF('GPA Calculator'!$B$5:$B$98,M46)+COUNTIF('GPA Calculator'!$L$5:$L$98,M46)</f>
        <v>0</v>
      </c>
      <c r="P46">
        <v>4245</v>
      </c>
      <c r="Q46">
        <f>COUNTIF('GPA Calculator'!$B$5:$B$98,P46)+COUNTIF('GPA Calculator'!$L$5:$L$98,P46)</f>
        <v>0</v>
      </c>
      <c r="S46">
        <v>4345</v>
      </c>
      <c r="T46">
        <f>COUNTIF('GPA Calculator'!$B$5:$B$98,S46)+COUNTIF('GPA Calculator'!$L$5:$L$98,S46)</f>
        <v>0</v>
      </c>
      <c r="V46">
        <v>4445</v>
      </c>
      <c r="W46">
        <f>COUNTIF('GPA Calculator'!$B$5:$B$98,V46)+COUNTIF('GPA Calculator'!$L$5:$L$98,V46)</f>
        <v>0</v>
      </c>
    </row>
    <row r="47" spans="1:23" x14ac:dyDescent="0.25">
      <c r="A47">
        <v>3146</v>
      </c>
      <c r="B47">
        <f>COUNTIF('GPA Calculator'!$B$5:$B$98,A47)+COUNTIF('GPA Calculator'!$L$5:$L$98,A47)</f>
        <v>0</v>
      </c>
      <c r="D47">
        <v>3246</v>
      </c>
      <c r="E47">
        <f>COUNTIF('GPA Calculator'!$B$5:$B$98,D47)+COUNTIF('GPA Calculator'!$L$5:$L$98,D47)</f>
        <v>0</v>
      </c>
      <c r="G47">
        <v>3346</v>
      </c>
      <c r="H47">
        <f>COUNTIF('GPA Calculator'!$B$5:$B$98,G47)+COUNTIF('GPA Calculator'!$L$5:$L$98,G47)</f>
        <v>0</v>
      </c>
      <c r="J47">
        <v>3446</v>
      </c>
      <c r="K47">
        <f>COUNTIF('GPA Calculator'!$B$5:$B$98,J47)+COUNTIF('GPA Calculator'!$L$5:$L$98,J47)</f>
        <v>0</v>
      </c>
      <c r="M47">
        <v>4146</v>
      </c>
      <c r="N47">
        <f>COUNTIF('GPA Calculator'!$B$5:$B$98,M47)+COUNTIF('GPA Calculator'!$L$5:$L$98,M47)</f>
        <v>0</v>
      </c>
      <c r="P47">
        <v>4246</v>
      </c>
      <c r="Q47">
        <f>COUNTIF('GPA Calculator'!$B$5:$B$98,P47)+COUNTIF('GPA Calculator'!$L$5:$L$98,P47)</f>
        <v>0</v>
      </c>
      <c r="S47">
        <v>4346</v>
      </c>
      <c r="T47">
        <f>COUNTIF('GPA Calculator'!$B$5:$B$98,S47)+COUNTIF('GPA Calculator'!$L$5:$L$98,S47)</f>
        <v>0</v>
      </c>
      <c r="V47">
        <v>4446</v>
      </c>
      <c r="W47">
        <f>COUNTIF('GPA Calculator'!$B$5:$B$98,V47)+COUNTIF('GPA Calculator'!$L$5:$L$98,V47)</f>
        <v>0</v>
      </c>
    </row>
    <row r="48" spans="1:23" x14ac:dyDescent="0.25">
      <c r="A48">
        <v>3147</v>
      </c>
      <c r="B48">
        <f>COUNTIF('GPA Calculator'!$B$5:$B$98,A48)+COUNTIF('GPA Calculator'!$L$5:$L$98,A48)</f>
        <v>0</v>
      </c>
      <c r="D48">
        <v>3247</v>
      </c>
      <c r="E48">
        <f>COUNTIF('GPA Calculator'!$B$5:$B$98,D48)+COUNTIF('GPA Calculator'!$L$5:$L$98,D48)</f>
        <v>0</v>
      </c>
      <c r="G48">
        <v>3347</v>
      </c>
      <c r="H48">
        <f>COUNTIF('GPA Calculator'!$B$5:$B$98,G48)+COUNTIF('GPA Calculator'!$L$5:$L$98,G48)</f>
        <v>0</v>
      </c>
      <c r="J48">
        <v>3447</v>
      </c>
      <c r="K48">
        <f>COUNTIF('GPA Calculator'!$B$5:$B$98,J48)+COUNTIF('GPA Calculator'!$L$5:$L$98,J48)</f>
        <v>0</v>
      </c>
      <c r="M48">
        <v>4147</v>
      </c>
      <c r="N48">
        <f>COUNTIF('GPA Calculator'!$B$5:$B$98,M48)+COUNTIF('GPA Calculator'!$L$5:$L$98,M48)</f>
        <v>0</v>
      </c>
      <c r="P48">
        <v>4247</v>
      </c>
      <c r="Q48">
        <f>COUNTIF('GPA Calculator'!$B$5:$B$98,P48)+COUNTIF('GPA Calculator'!$L$5:$L$98,P48)</f>
        <v>0</v>
      </c>
      <c r="S48">
        <v>4347</v>
      </c>
      <c r="T48">
        <f>COUNTIF('GPA Calculator'!$B$5:$B$98,S48)+COUNTIF('GPA Calculator'!$L$5:$L$98,S48)</f>
        <v>0</v>
      </c>
      <c r="V48">
        <v>4447</v>
      </c>
      <c r="W48">
        <f>COUNTIF('GPA Calculator'!$B$5:$B$98,V48)+COUNTIF('GPA Calculator'!$L$5:$L$98,V48)</f>
        <v>0</v>
      </c>
    </row>
    <row r="49" spans="1:23" x14ac:dyDescent="0.25">
      <c r="A49">
        <v>3148</v>
      </c>
      <c r="B49">
        <f>COUNTIF('GPA Calculator'!$B$5:$B$98,A49)+COUNTIF('GPA Calculator'!$L$5:$L$98,A49)</f>
        <v>0</v>
      </c>
      <c r="D49">
        <v>3248</v>
      </c>
      <c r="E49">
        <f>COUNTIF('GPA Calculator'!$B$5:$B$98,D49)+COUNTIF('GPA Calculator'!$L$5:$L$98,D49)</f>
        <v>0</v>
      </c>
      <c r="G49">
        <v>3348</v>
      </c>
      <c r="H49">
        <f>COUNTIF('GPA Calculator'!$B$5:$B$98,G49)+COUNTIF('GPA Calculator'!$L$5:$L$98,G49)</f>
        <v>0</v>
      </c>
      <c r="J49">
        <v>3448</v>
      </c>
      <c r="K49">
        <f>COUNTIF('GPA Calculator'!$B$5:$B$98,J49)+COUNTIF('GPA Calculator'!$L$5:$L$98,J49)</f>
        <v>0</v>
      </c>
      <c r="M49">
        <v>4148</v>
      </c>
      <c r="N49">
        <f>COUNTIF('GPA Calculator'!$B$5:$B$98,M49)+COUNTIF('GPA Calculator'!$L$5:$L$98,M49)</f>
        <v>0</v>
      </c>
      <c r="P49">
        <v>4248</v>
      </c>
      <c r="Q49">
        <f>COUNTIF('GPA Calculator'!$B$5:$B$98,P49)+COUNTIF('GPA Calculator'!$L$5:$L$98,P49)</f>
        <v>0</v>
      </c>
      <c r="S49">
        <v>4348</v>
      </c>
      <c r="T49">
        <f>COUNTIF('GPA Calculator'!$B$5:$B$98,S49)+COUNTIF('GPA Calculator'!$L$5:$L$98,S49)</f>
        <v>0</v>
      </c>
      <c r="V49">
        <v>4448</v>
      </c>
      <c r="W49">
        <f>COUNTIF('GPA Calculator'!$B$5:$B$98,V49)+COUNTIF('GPA Calculator'!$L$5:$L$98,V49)</f>
        <v>0</v>
      </c>
    </row>
    <row r="50" spans="1:23" x14ac:dyDescent="0.25">
      <c r="A50">
        <v>3149</v>
      </c>
      <c r="B50">
        <f>COUNTIF('GPA Calculator'!$B$5:$B$98,A50)+COUNTIF('GPA Calculator'!$L$5:$L$98,A50)</f>
        <v>0</v>
      </c>
      <c r="D50">
        <v>3249</v>
      </c>
      <c r="E50">
        <f>COUNTIF('GPA Calculator'!$B$5:$B$98,D50)+COUNTIF('GPA Calculator'!$L$5:$L$98,D50)</f>
        <v>0</v>
      </c>
      <c r="G50">
        <v>3349</v>
      </c>
      <c r="H50">
        <f>COUNTIF('GPA Calculator'!$B$5:$B$98,G50)+COUNTIF('GPA Calculator'!$L$5:$L$98,G50)</f>
        <v>0</v>
      </c>
      <c r="J50">
        <v>3449</v>
      </c>
      <c r="K50">
        <f>COUNTIF('GPA Calculator'!$B$5:$B$98,J50)+COUNTIF('GPA Calculator'!$L$5:$L$98,J50)</f>
        <v>0</v>
      </c>
      <c r="M50">
        <v>4149</v>
      </c>
      <c r="N50">
        <f>COUNTIF('GPA Calculator'!$B$5:$B$98,M50)+COUNTIF('GPA Calculator'!$L$5:$L$98,M50)</f>
        <v>0</v>
      </c>
      <c r="P50">
        <v>4249</v>
      </c>
      <c r="Q50">
        <f>COUNTIF('GPA Calculator'!$B$5:$B$98,P50)+COUNTIF('GPA Calculator'!$L$5:$L$98,P50)</f>
        <v>0</v>
      </c>
      <c r="S50">
        <v>4349</v>
      </c>
      <c r="T50">
        <f>COUNTIF('GPA Calculator'!$B$5:$B$98,S50)+COUNTIF('GPA Calculator'!$L$5:$L$98,S50)</f>
        <v>0</v>
      </c>
      <c r="V50">
        <v>4449</v>
      </c>
      <c r="W50">
        <f>COUNTIF('GPA Calculator'!$B$5:$B$98,V50)+COUNTIF('GPA Calculator'!$L$5:$L$98,V50)</f>
        <v>0</v>
      </c>
    </row>
    <row r="51" spans="1:23" x14ac:dyDescent="0.25">
      <c r="A51">
        <v>3150</v>
      </c>
      <c r="B51">
        <f>COUNTIF('GPA Calculator'!$B$5:$B$98,A51)+COUNTIF('GPA Calculator'!$L$5:$L$98,A51)</f>
        <v>0</v>
      </c>
      <c r="D51">
        <v>3250</v>
      </c>
      <c r="E51">
        <f>COUNTIF('GPA Calculator'!$B$5:$B$98,D51)+COUNTIF('GPA Calculator'!$L$5:$L$98,D51)</f>
        <v>0</v>
      </c>
      <c r="G51">
        <v>3350</v>
      </c>
      <c r="H51">
        <f>COUNTIF('GPA Calculator'!$B$5:$B$98,G51)+COUNTIF('GPA Calculator'!$L$5:$L$98,G51)</f>
        <v>0</v>
      </c>
      <c r="J51">
        <v>3450</v>
      </c>
      <c r="K51">
        <f>COUNTIF('GPA Calculator'!$B$5:$B$98,J51)+COUNTIF('GPA Calculator'!$L$5:$L$98,J51)</f>
        <v>0</v>
      </c>
      <c r="M51">
        <v>4150</v>
      </c>
      <c r="N51">
        <f>COUNTIF('GPA Calculator'!$B$5:$B$98,M51)+COUNTIF('GPA Calculator'!$L$5:$L$98,M51)</f>
        <v>0</v>
      </c>
      <c r="P51">
        <v>4250</v>
      </c>
      <c r="Q51">
        <f>COUNTIF('GPA Calculator'!$B$5:$B$98,P51)+COUNTIF('GPA Calculator'!$L$5:$L$98,P51)</f>
        <v>0</v>
      </c>
      <c r="S51">
        <v>4350</v>
      </c>
      <c r="T51">
        <f>COUNTIF('GPA Calculator'!$B$5:$B$98,S51)+COUNTIF('GPA Calculator'!$L$5:$L$98,S51)</f>
        <v>0</v>
      </c>
      <c r="V51">
        <v>4450</v>
      </c>
      <c r="W51">
        <f>COUNTIF('GPA Calculator'!$B$5:$B$98,V51)+COUNTIF('GPA Calculator'!$L$5:$L$98,V51)</f>
        <v>0</v>
      </c>
    </row>
    <row r="52" spans="1:23" x14ac:dyDescent="0.25">
      <c r="A52">
        <v>3151</v>
      </c>
      <c r="B52">
        <f>COUNTIF('GPA Calculator'!$B$5:$B$98,A52)+COUNTIF('GPA Calculator'!$L$5:$L$98,A52)</f>
        <v>0</v>
      </c>
      <c r="D52">
        <v>3251</v>
      </c>
      <c r="E52">
        <f>COUNTIF('GPA Calculator'!$B$5:$B$98,D52)+COUNTIF('GPA Calculator'!$L$5:$L$98,D52)</f>
        <v>0</v>
      </c>
      <c r="G52">
        <v>3351</v>
      </c>
      <c r="H52">
        <f>COUNTIF('GPA Calculator'!$B$5:$B$98,G52)+COUNTIF('GPA Calculator'!$L$5:$L$98,G52)</f>
        <v>0</v>
      </c>
      <c r="J52">
        <v>3451</v>
      </c>
      <c r="K52">
        <f>COUNTIF('GPA Calculator'!$B$5:$B$98,J52)+COUNTIF('GPA Calculator'!$L$5:$L$98,J52)</f>
        <v>0</v>
      </c>
      <c r="M52">
        <v>4151</v>
      </c>
      <c r="N52">
        <f>COUNTIF('GPA Calculator'!$B$5:$B$98,M52)+COUNTIF('GPA Calculator'!$L$5:$L$98,M52)</f>
        <v>0</v>
      </c>
      <c r="P52">
        <v>4251</v>
      </c>
      <c r="Q52">
        <f>COUNTIF('GPA Calculator'!$B$5:$B$98,P52)+COUNTIF('GPA Calculator'!$L$5:$L$98,P52)</f>
        <v>0</v>
      </c>
      <c r="S52">
        <v>4351</v>
      </c>
      <c r="T52">
        <f>COUNTIF('GPA Calculator'!$B$5:$B$98,S52)+COUNTIF('GPA Calculator'!$L$5:$L$98,S52)</f>
        <v>0</v>
      </c>
      <c r="V52">
        <v>4451</v>
      </c>
      <c r="W52">
        <f>COUNTIF('GPA Calculator'!$B$5:$B$98,V52)+COUNTIF('GPA Calculator'!$L$5:$L$98,V52)</f>
        <v>0</v>
      </c>
    </row>
    <row r="53" spans="1:23" x14ac:dyDescent="0.25">
      <c r="A53">
        <v>3152</v>
      </c>
      <c r="B53">
        <f>COUNTIF('GPA Calculator'!$B$5:$B$98,A53)+COUNTIF('GPA Calculator'!$L$5:$L$98,A53)</f>
        <v>0</v>
      </c>
      <c r="D53">
        <v>3252</v>
      </c>
      <c r="E53">
        <f>COUNTIF('GPA Calculator'!$B$5:$B$98,D53)+COUNTIF('GPA Calculator'!$L$5:$L$98,D53)</f>
        <v>0</v>
      </c>
      <c r="G53">
        <v>3352</v>
      </c>
      <c r="H53">
        <f>COUNTIF('GPA Calculator'!$B$5:$B$98,G53)+COUNTIF('GPA Calculator'!$L$5:$L$98,G53)</f>
        <v>0</v>
      </c>
      <c r="J53">
        <v>3452</v>
      </c>
      <c r="K53">
        <f>COUNTIF('GPA Calculator'!$B$5:$B$98,J53)+COUNTIF('GPA Calculator'!$L$5:$L$98,J53)</f>
        <v>0</v>
      </c>
      <c r="M53">
        <v>4152</v>
      </c>
      <c r="N53">
        <f>COUNTIF('GPA Calculator'!$B$5:$B$98,M53)+COUNTIF('GPA Calculator'!$L$5:$L$98,M53)</f>
        <v>0</v>
      </c>
      <c r="P53">
        <v>4252</v>
      </c>
      <c r="Q53">
        <f>COUNTIF('GPA Calculator'!$B$5:$B$98,P53)+COUNTIF('GPA Calculator'!$L$5:$L$98,P53)</f>
        <v>0</v>
      </c>
      <c r="S53">
        <v>4352</v>
      </c>
      <c r="T53">
        <f>COUNTIF('GPA Calculator'!$B$5:$B$98,S53)+COUNTIF('GPA Calculator'!$L$5:$L$98,S53)</f>
        <v>0</v>
      </c>
      <c r="V53">
        <v>4452</v>
      </c>
      <c r="W53">
        <f>COUNTIF('GPA Calculator'!$B$5:$B$98,V53)+COUNTIF('GPA Calculator'!$L$5:$L$98,V53)</f>
        <v>0</v>
      </c>
    </row>
    <row r="54" spans="1:23" x14ac:dyDescent="0.25">
      <c r="A54">
        <v>3153</v>
      </c>
      <c r="B54">
        <f>COUNTIF('GPA Calculator'!$B$5:$B$98,A54)+COUNTIF('GPA Calculator'!$L$5:$L$98,A54)</f>
        <v>0</v>
      </c>
      <c r="D54">
        <v>3253</v>
      </c>
      <c r="E54">
        <f>COUNTIF('GPA Calculator'!$B$5:$B$98,D54)+COUNTIF('GPA Calculator'!$L$5:$L$98,D54)</f>
        <v>0</v>
      </c>
      <c r="G54">
        <v>3353</v>
      </c>
      <c r="H54">
        <f>COUNTIF('GPA Calculator'!$B$5:$B$98,G54)+COUNTIF('GPA Calculator'!$L$5:$L$98,G54)</f>
        <v>0</v>
      </c>
      <c r="J54">
        <v>3453</v>
      </c>
      <c r="K54">
        <f>COUNTIF('GPA Calculator'!$B$5:$B$98,J54)+COUNTIF('GPA Calculator'!$L$5:$L$98,J54)</f>
        <v>0</v>
      </c>
      <c r="M54">
        <v>4153</v>
      </c>
      <c r="N54">
        <f>COUNTIF('GPA Calculator'!$B$5:$B$98,M54)+COUNTIF('GPA Calculator'!$L$5:$L$98,M54)</f>
        <v>0</v>
      </c>
      <c r="P54">
        <v>4253</v>
      </c>
      <c r="Q54">
        <f>COUNTIF('GPA Calculator'!$B$5:$B$98,P54)+COUNTIF('GPA Calculator'!$L$5:$L$98,P54)</f>
        <v>0</v>
      </c>
      <c r="S54">
        <v>4353</v>
      </c>
      <c r="T54">
        <f>COUNTIF('GPA Calculator'!$B$5:$B$98,S54)+COUNTIF('GPA Calculator'!$L$5:$L$98,S54)</f>
        <v>0</v>
      </c>
      <c r="V54">
        <v>4453</v>
      </c>
      <c r="W54">
        <f>COUNTIF('GPA Calculator'!$B$5:$B$98,V54)+COUNTIF('GPA Calculator'!$L$5:$L$98,V54)</f>
        <v>0</v>
      </c>
    </row>
    <row r="55" spans="1:23" x14ac:dyDescent="0.25">
      <c r="A55">
        <v>3154</v>
      </c>
      <c r="B55">
        <f>COUNTIF('GPA Calculator'!$B$5:$B$98,A55)+COUNTIF('GPA Calculator'!$L$5:$L$98,A55)</f>
        <v>0</v>
      </c>
      <c r="D55">
        <v>3254</v>
      </c>
      <c r="E55">
        <f>COUNTIF('GPA Calculator'!$B$5:$B$98,D55)+COUNTIF('GPA Calculator'!$L$5:$L$98,D55)</f>
        <v>0</v>
      </c>
      <c r="G55">
        <v>3354</v>
      </c>
      <c r="H55">
        <f>COUNTIF('GPA Calculator'!$B$5:$B$98,G55)+COUNTIF('GPA Calculator'!$L$5:$L$98,G55)</f>
        <v>0</v>
      </c>
      <c r="J55">
        <v>3454</v>
      </c>
      <c r="K55">
        <f>COUNTIF('GPA Calculator'!$B$5:$B$98,J55)+COUNTIF('GPA Calculator'!$L$5:$L$98,J55)</f>
        <v>0</v>
      </c>
      <c r="M55">
        <v>4154</v>
      </c>
      <c r="N55">
        <f>COUNTIF('GPA Calculator'!$B$5:$B$98,M55)+COUNTIF('GPA Calculator'!$L$5:$L$98,M55)</f>
        <v>0</v>
      </c>
      <c r="P55">
        <v>4254</v>
      </c>
      <c r="Q55">
        <f>COUNTIF('GPA Calculator'!$B$5:$B$98,P55)+COUNTIF('GPA Calculator'!$L$5:$L$98,P55)</f>
        <v>0</v>
      </c>
      <c r="S55">
        <v>4354</v>
      </c>
      <c r="T55">
        <f>COUNTIF('GPA Calculator'!$B$5:$B$98,S55)+COUNTIF('GPA Calculator'!$L$5:$L$98,S55)</f>
        <v>0</v>
      </c>
      <c r="V55">
        <v>4454</v>
      </c>
      <c r="W55">
        <f>COUNTIF('GPA Calculator'!$B$5:$B$98,V55)+COUNTIF('GPA Calculator'!$L$5:$L$98,V55)</f>
        <v>0</v>
      </c>
    </row>
    <row r="56" spans="1:23" x14ac:dyDescent="0.25">
      <c r="A56">
        <v>3155</v>
      </c>
      <c r="B56">
        <f>COUNTIF('GPA Calculator'!$B$5:$B$98,A56)+COUNTIF('GPA Calculator'!$L$5:$L$98,A56)</f>
        <v>0</v>
      </c>
      <c r="D56">
        <v>3255</v>
      </c>
      <c r="E56">
        <f>COUNTIF('GPA Calculator'!$B$5:$B$98,D56)+COUNTIF('GPA Calculator'!$L$5:$L$98,D56)</f>
        <v>0</v>
      </c>
      <c r="G56">
        <v>3355</v>
      </c>
      <c r="H56">
        <f>COUNTIF('GPA Calculator'!$B$5:$B$98,G56)+COUNTIF('GPA Calculator'!$L$5:$L$98,G56)</f>
        <v>0</v>
      </c>
      <c r="J56">
        <v>3455</v>
      </c>
      <c r="K56">
        <f>COUNTIF('GPA Calculator'!$B$5:$B$98,J56)+COUNTIF('GPA Calculator'!$L$5:$L$98,J56)</f>
        <v>0</v>
      </c>
      <c r="M56">
        <v>4155</v>
      </c>
      <c r="N56">
        <f>COUNTIF('GPA Calculator'!$B$5:$B$98,M56)+COUNTIF('GPA Calculator'!$L$5:$L$98,M56)</f>
        <v>0</v>
      </c>
      <c r="P56">
        <v>4255</v>
      </c>
      <c r="Q56">
        <f>COUNTIF('GPA Calculator'!$B$5:$B$98,P56)+COUNTIF('GPA Calculator'!$L$5:$L$98,P56)</f>
        <v>0</v>
      </c>
      <c r="S56">
        <v>4355</v>
      </c>
      <c r="T56">
        <f>COUNTIF('GPA Calculator'!$B$5:$B$98,S56)+COUNTIF('GPA Calculator'!$L$5:$L$98,S56)</f>
        <v>0</v>
      </c>
      <c r="V56">
        <v>4455</v>
      </c>
      <c r="W56">
        <f>COUNTIF('GPA Calculator'!$B$5:$B$98,V56)+COUNTIF('GPA Calculator'!$L$5:$L$98,V56)</f>
        <v>0</v>
      </c>
    </row>
    <row r="57" spans="1:23" x14ac:dyDescent="0.25">
      <c r="A57">
        <v>3156</v>
      </c>
      <c r="B57">
        <f>COUNTIF('GPA Calculator'!$B$5:$B$98,A57)+COUNTIF('GPA Calculator'!$L$5:$L$98,A57)</f>
        <v>0</v>
      </c>
      <c r="D57">
        <v>3256</v>
      </c>
      <c r="E57">
        <f>COUNTIF('GPA Calculator'!$B$5:$B$98,D57)+COUNTIF('GPA Calculator'!$L$5:$L$98,D57)</f>
        <v>0</v>
      </c>
      <c r="G57">
        <v>3356</v>
      </c>
      <c r="H57">
        <f>COUNTIF('GPA Calculator'!$B$5:$B$98,G57)+COUNTIF('GPA Calculator'!$L$5:$L$98,G57)</f>
        <v>0</v>
      </c>
      <c r="J57">
        <v>3456</v>
      </c>
      <c r="K57">
        <f>COUNTIF('GPA Calculator'!$B$5:$B$98,J57)+COUNTIF('GPA Calculator'!$L$5:$L$98,J57)</f>
        <v>0</v>
      </c>
      <c r="M57">
        <v>4156</v>
      </c>
      <c r="N57">
        <f>COUNTIF('GPA Calculator'!$B$5:$B$98,M57)+COUNTIF('GPA Calculator'!$L$5:$L$98,M57)</f>
        <v>0</v>
      </c>
      <c r="P57">
        <v>4256</v>
      </c>
      <c r="Q57">
        <f>COUNTIF('GPA Calculator'!$B$5:$B$98,P57)+COUNTIF('GPA Calculator'!$L$5:$L$98,P57)</f>
        <v>0</v>
      </c>
      <c r="S57">
        <v>4356</v>
      </c>
      <c r="T57">
        <f>COUNTIF('GPA Calculator'!$B$5:$B$98,S57)+COUNTIF('GPA Calculator'!$L$5:$L$98,S57)</f>
        <v>0</v>
      </c>
      <c r="V57">
        <v>4456</v>
      </c>
      <c r="W57">
        <f>COUNTIF('GPA Calculator'!$B$5:$B$98,V57)+COUNTIF('GPA Calculator'!$L$5:$L$98,V57)</f>
        <v>0</v>
      </c>
    </row>
    <row r="58" spans="1:23" x14ac:dyDescent="0.25">
      <c r="A58">
        <v>3157</v>
      </c>
      <c r="B58">
        <f>COUNTIF('GPA Calculator'!$B$5:$B$98,A58)+COUNTIF('GPA Calculator'!$L$5:$L$98,A58)</f>
        <v>0</v>
      </c>
      <c r="D58">
        <v>3257</v>
      </c>
      <c r="E58">
        <f>COUNTIF('GPA Calculator'!$B$5:$B$98,D58)+COUNTIF('GPA Calculator'!$L$5:$L$98,D58)</f>
        <v>0</v>
      </c>
      <c r="G58">
        <v>3357</v>
      </c>
      <c r="H58">
        <f>COUNTIF('GPA Calculator'!$B$5:$B$98,G58)+COUNTIF('GPA Calculator'!$L$5:$L$98,G58)</f>
        <v>0</v>
      </c>
      <c r="J58">
        <v>3457</v>
      </c>
      <c r="K58">
        <f>COUNTIF('GPA Calculator'!$B$5:$B$98,J58)+COUNTIF('GPA Calculator'!$L$5:$L$98,J58)</f>
        <v>0</v>
      </c>
      <c r="M58">
        <v>4157</v>
      </c>
      <c r="N58">
        <f>COUNTIF('GPA Calculator'!$B$5:$B$98,M58)+COUNTIF('GPA Calculator'!$L$5:$L$98,M58)</f>
        <v>0</v>
      </c>
      <c r="P58">
        <v>4257</v>
      </c>
      <c r="Q58">
        <f>COUNTIF('GPA Calculator'!$B$5:$B$98,P58)+COUNTIF('GPA Calculator'!$L$5:$L$98,P58)</f>
        <v>0</v>
      </c>
      <c r="S58">
        <v>4357</v>
      </c>
      <c r="T58">
        <f>COUNTIF('GPA Calculator'!$B$5:$B$98,S58)+COUNTIF('GPA Calculator'!$L$5:$L$98,S58)</f>
        <v>0</v>
      </c>
      <c r="V58">
        <v>4457</v>
      </c>
      <c r="W58">
        <f>COUNTIF('GPA Calculator'!$B$5:$B$98,V58)+COUNTIF('GPA Calculator'!$L$5:$L$98,V58)</f>
        <v>0</v>
      </c>
    </row>
    <row r="59" spans="1:23" x14ac:dyDescent="0.25">
      <c r="A59">
        <v>3158</v>
      </c>
      <c r="B59">
        <f>COUNTIF('GPA Calculator'!$B$5:$B$98,A59)+COUNTIF('GPA Calculator'!$L$5:$L$98,A59)</f>
        <v>0</v>
      </c>
      <c r="D59">
        <v>3258</v>
      </c>
      <c r="E59">
        <f>COUNTIF('GPA Calculator'!$B$5:$B$98,D59)+COUNTIF('GPA Calculator'!$L$5:$L$98,D59)</f>
        <v>0</v>
      </c>
      <c r="G59">
        <v>3358</v>
      </c>
      <c r="H59">
        <f>COUNTIF('GPA Calculator'!$B$5:$B$98,G59)+COUNTIF('GPA Calculator'!$L$5:$L$98,G59)</f>
        <v>0</v>
      </c>
      <c r="J59">
        <v>3458</v>
      </c>
      <c r="K59">
        <f>COUNTIF('GPA Calculator'!$B$5:$B$98,J59)+COUNTIF('GPA Calculator'!$L$5:$L$98,J59)</f>
        <v>0</v>
      </c>
      <c r="M59">
        <v>4158</v>
      </c>
      <c r="N59">
        <f>COUNTIF('GPA Calculator'!$B$5:$B$98,M59)+COUNTIF('GPA Calculator'!$L$5:$L$98,M59)</f>
        <v>0</v>
      </c>
      <c r="P59">
        <v>4258</v>
      </c>
      <c r="Q59">
        <f>COUNTIF('GPA Calculator'!$B$5:$B$98,P59)+COUNTIF('GPA Calculator'!$L$5:$L$98,P59)</f>
        <v>0</v>
      </c>
      <c r="S59">
        <v>4358</v>
      </c>
      <c r="T59">
        <f>COUNTIF('GPA Calculator'!$B$5:$B$98,S59)+COUNTIF('GPA Calculator'!$L$5:$L$98,S59)</f>
        <v>0</v>
      </c>
      <c r="V59">
        <v>4458</v>
      </c>
      <c r="W59">
        <f>COUNTIF('GPA Calculator'!$B$5:$B$98,V59)+COUNTIF('GPA Calculator'!$L$5:$L$98,V59)</f>
        <v>0</v>
      </c>
    </row>
    <row r="60" spans="1:23" x14ac:dyDescent="0.25">
      <c r="A60">
        <v>3159</v>
      </c>
      <c r="B60">
        <f>COUNTIF('GPA Calculator'!$B$5:$B$98,A60)+COUNTIF('GPA Calculator'!$L$5:$L$98,A60)</f>
        <v>0</v>
      </c>
      <c r="D60">
        <v>3259</v>
      </c>
      <c r="E60">
        <f>COUNTIF('GPA Calculator'!$B$5:$B$98,D60)+COUNTIF('GPA Calculator'!$L$5:$L$98,D60)</f>
        <v>0</v>
      </c>
      <c r="G60">
        <v>3359</v>
      </c>
      <c r="H60">
        <f>COUNTIF('GPA Calculator'!$B$5:$B$98,G60)+COUNTIF('GPA Calculator'!$L$5:$L$98,G60)</f>
        <v>0</v>
      </c>
      <c r="J60">
        <v>3459</v>
      </c>
      <c r="K60">
        <f>COUNTIF('GPA Calculator'!$B$5:$B$98,J60)+COUNTIF('GPA Calculator'!$L$5:$L$98,J60)</f>
        <v>0</v>
      </c>
      <c r="M60">
        <v>4159</v>
      </c>
      <c r="N60">
        <f>COUNTIF('GPA Calculator'!$B$5:$B$98,M60)+COUNTIF('GPA Calculator'!$L$5:$L$98,M60)</f>
        <v>0</v>
      </c>
      <c r="P60">
        <v>4259</v>
      </c>
      <c r="Q60">
        <f>COUNTIF('GPA Calculator'!$B$5:$B$98,P60)+COUNTIF('GPA Calculator'!$L$5:$L$98,P60)</f>
        <v>0</v>
      </c>
      <c r="S60">
        <v>4359</v>
      </c>
      <c r="T60">
        <f>COUNTIF('GPA Calculator'!$B$5:$B$98,S60)+COUNTIF('GPA Calculator'!$L$5:$L$98,S60)</f>
        <v>0</v>
      </c>
      <c r="V60">
        <v>4459</v>
      </c>
      <c r="W60">
        <f>COUNTIF('GPA Calculator'!$B$5:$B$98,V60)+COUNTIF('GPA Calculator'!$L$5:$L$98,V60)</f>
        <v>0</v>
      </c>
    </row>
    <row r="61" spans="1:23" x14ac:dyDescent="0.25">
      <c r="A61">
        <v>3160</v>
      </c>
      <c r="B61">
        <f>COUNTIF('GPA Calculator'!$B$5:$B$98,A61)+COUNTIF('GPA Calculator'!$L$5:$L$98,A61)</f>
        <v>0</v>
      </c>
      <c r="D61">
        <v>3260</v>
      </c>
      <c r="E61">
        <f>COUNTIF('GPA Calculator'!$B$5:$B$98,D61)+COUNTIF('GPA Calculator'!$L$5:$L$98,D61)</f>
        <v>0</v>
      </c>
      <c r="G61">
        <v>3360</v>
      </c>
      <c r="H61">
        <f>COUNTIF('GPA Calculator'!$B$5:$B$98,G61)+COUNTIF('GPA Calculator'!$L$5:$L$98,G61)</f>
        <v>0</v>
      </c>
      <c r="J61">
        <v>3460</v>
      </c>
      <c r="K61">
        <f>COUNTIF('GPA Calculator'!$B$5:$B$98,J61)+COUNTIF('GPA Calculator'!$L$5:$L$98,J61)</f>
        <v>0</v>
      </c>
      <c r="M61">
        <v>4160</v>
      </c>
      <c r="N61">
        <f>COUNTIF('GPA Calculator'!$B$5:$B$98,M61)+COUNTIF('GPA Calculator'!$L$5:$L$98,M61)</f>
        <v>0</v>
      </c>
      <c r="P61">
        <v>4260</v>
      </c>
      <c r="Q61">
        <f>COUNTIF('GPA Calculator'!$B$5:$B$98,P61)+COUNTIF('GPA Calculator'!$L$5:$L$98,P61)</f>
        <v>0</v>
      </c>
      <c r="S61">
        <v>4360</v>
      </c>
      <c r="T61">
        <f>COUNTIF('GPA Calculator'!$B$5:$B$98,S61)+COUNTIF('GPA Calculator'!$L$5:$L$98,S61)</f>
        <v>0</v>
      </c>
      <c r="V61">
        <v>4460</v>
      </c>
      <c r="W61">
        <f>COUNTIF('GPA Calculator'!$B$5:$B$98,V61)+COUNTIF('GPA Calculator'!$L$5:$L$98,V61)</f>
        <v>0</v>
      </c>
    </row>
    <row r="62" spans="1:23" x14ac:dyDescent="0.25">
      <c r="A62">
        <v>3161</v>
      </c>
      <c r="B62">
        <f>COUNTIF('GPA Calculator'!$B$5:$B$98,A62)+COUNTIF('GPA Calculator'!$L$5:$L$98,A62)</f>
        <v>0</v>
      </c>
      <c r="D62">
        <v>3261</v>
      </c>
      <c r="E62">
        <f>COUNTIF('GPA Calculator'!$B$5:$B$98,D62)+COUNTIF('GPA Calculator'!$L$5:$L$98,D62)</f>
        <v>0</v>
      </c>
      <c r="G62">
        <v>3361</v>
      </c>
      <c r="H62">
        <f>COUNTIF('GPA Calculator'!$B$5:$B$98,G62)+COUNTIF('GPA Calculator'!$L$5:$L$98,G62)</f>
        <v>0</v>
      </c>
      <c r="J62">
        <v>3461</v>
      </c>
      <c r="K62">
        <f>COUNTIF('GPA Calculator'!$B$5:$B$98,J62)+COUNTIF('GPA Calculator'!$L$5:$L$98,J62)</f>
        <v>0</v>
      </c>
      <c r="M62">
        <v>4161</v>
      </c>
      <c r="N62">
        <f>COUNTIF('GPA Calculator'!$B$5:$B$98,M62)+COUNTIF('GPA Calculator'!$L$5:$L$98,M62)</f>
        <v>0</v>
      </c>
      <c r="P62">
        <v>4261</v>
      </c>
      <c r="Q62">
        <f>COUNTIF('GPA Calculator'!$B$5:$B$98,P62)+COUNTIF('GPA Calculator'!$L$5:$L$98,P62)</f>
        <v>0</v>
      </c>
      <c r="S62">
        <v>4361</v>
      </c>
      <c r="T62">
        <f>COUNTIF('GPA Calculator'!$B$5:$B$98,S62)+COUNTIF('GPA Calculator'!$L$5:$L$98,S62)</f>
        <v>0</v>
      </c>
      <c r="V62">
        <v>4461</v>
      </c>
      <c r="W62">
        <f>COUNTIF('GPA Calculator'!$B$5:$B$98,V62)+COUNTIF('GPA Calculator'!$L$5:$L$98,V62)</f>
        <v>0</v>
      </c>
    </row>
    <row r="63" spans="1:23" x14ac:dyDescent="0.25">
      <c r="A63">
        <v>3162</v>
      </c>
      <c r="B63">
        <f>COUNTIF('GPA Calculator'!$B$5:$B$98,A63)+COUNTIF('GPA Calculator'!$L$5:$L$98,A63)</f>
        <v>0</v>
      </c>
      <c r="D63">
        <v>3262</v>
      </c>
      <c r="E63">
        <f>COUNTIF('GPA Calculator'!$B$5:$B$98,D63)+COUNTIF('GPA Calculator'!$L$5:$L$98,D63)</f>
        <v>0</v>
      </c>
      <c r="G63">
        <v>3362</v>
      </c>
      <c r="H63">
        <f>COUNTIF('GPA Calculator'!$B$5:$B$98,G63)+COUNTIF('GPA Calculator'!$L$5:$L$98,G63)</f>
        <v>0</v>
      </c>
      <c r="J63">
        <v>3462</v>
      </c>
      <c r="K63">
        <f>COUNTIF('GPA Calculator'!$B$5:$B$98,J63)+COUNTIF('GPA Calculator'!$L$5:$L$98,J63)</f>
        <v>0</v>
      </c>
      <c r="M63">
        <v>4162</v>
      </c>
      <c r="N63">
        <f>COUNTIF('GPA Calculator'!$B$5:$B$98,M63)+COUNTIF('GPA Calculator'!$L$5:$L$98,M63)</f>
        <v>0</v>
      </c>
      <c r="P63">
        <v>4262</v>
      </c>
      <c r="Q63">
        <f>COUNTIF('GPA Calculator'!$B$5:$B$98,P63)+COUNTIF('GPA Calculator'!$L$5:$L$98,P63)</f>
        <v>0</v>
      </c>
      <c r="S63">
        <v>4362</v>
      </c>
      <c r="T63">
        <f>COUNTIF('GPA Calculator'!$B$5:$B$98,S63)+COUNTIF('GPA Calculator'!$L$5:$L$98,S63)</f>
        <v>0</v>
      </c>
      <c r="V63">
        <v>4462</v>
      </c>
      <c r="W63">
        <f>COUNTIF('GPA Calculator'!$B$5:$B$98,V63)+COUNTIF('GPA Calculator'!$L$5:$L$98,V63)</f>
        <v>0</v>
      </c>
    </row>
    <row r="64" spans="1:23" x14ac:dyDescent="0.25">
      <c r="A64">
        <v>3163</v>
      </c>
      <c r="B64">
        <f>COUNTIF('GPA Calculator'!$B$5:$B$98,A64)+COUNTIF('GPA Calculator'!$L$5:$L$98,A64)</f>
        <v>0</v>
      </c>
      <c r="D64">
        <v>3263</v>
      </c>
      <c r="E64">
        <f>COUNTIF('GPA Calculator'!$B$5:$B$98,D64)+COUNTIF('GPA Calculator'!$L$5:$L$98,D64)</f>
        <v>0</v>
      </c>
      <c r="G64">
        <v>3363</v>
      </c>
      <c r="H64">
        <f>COUNTIF('GPA Calculator'!$B$5:$B$98,G64)+COUNTIF('GPA Calculator'!$L$5:$L$98,G64)</f>
        <v>0</v>
      </c>
      <c r="J64">
        <v>3463</v>
      </c>
      <c r="K64">
        <f>COUNTIF('GPA Calculator'!$B$5:$B$98,J64)+COUNTIF('GPA Calculator'!$L$5:$L$98,J64)</f>
        <v>0</v>
      </c>
      <c r="M64">
        <v>4163</v>
      </c>
      <c r="N64">
        <f>COUNTIF('GPA Calculator'!$B$5:$B$98,M64)+COUNTIF('GPA Calculator'!$L$5:$L$98,M64)</f>
        <v>0</v>
      </c>
      <c r="P64">
        <v>4263</v>
      </c>
      <c r="Q64">
        <f>COUNTIF('GPA Calculator'!$B$5:$B$98,P64)+COUNTIF('GPA Calculator'!$L$5:$L$98,P64)</f>
        <v>0</v>
      </c>
      <c r="S64">
        <v>4363</v>
      </c>
      <c r="T64">
        <f>COUNTIF('GPA Calculator'!$B$5:$B$98,S64)+COUNTIF('GPA Calculator'!$L$5:$L$98,S64)</f>
        <v>0</v>
      </c>
      <c r="V64">
        <v>4463</v>
      </c>
      <c r="W64">
        <f>COUNTIF('GPA Calculator'!$B$5:$B$98,V64)+COUNTIF('GPA Calculator'!$L$5:$L$98,V64)</f>
        <v>0</v>
      </c>
    </row>
    <row r="65" spans="1:23" x14ac:dyDescent="0.25">
      <c r="A65">
        <v>3164</v>
      </c>
      <c r="B65">
        <f>COUNTIF('GPA Calculator'!$B$5:$B$98,A65)+COUNTIF('GPA Calculator'!$L$5:$L$98,A65)</f>
        <v>0</v>
      </c>
      <c r="D65">
        <v>3264</v>
      </c>
      <c r="E65">
        <f>COUNTIF('GPA Calculator'!$B$5:$B$98,D65)+COUNTIF('GPA Calculator'!$L$5:$L$98,D65)</f>
        <v>0</v>
      </c>
      <c r="G65">
        <v>3364</v>
      </c>
      <c r="H65">
        <f>COUNTIF('GPA Calculator'!$B$5:$B$98,G65)+COUNTIF('GPA Calculator'!$L$5:$L$98,G65)</f>
        <v>0</v>
      </c>
      <c r="J65">
        <v>3464</v>
      </c>
      <c r="K65">
        <f>COUNTIF('GPA Calculator'!$B$5:$B$98,J65)+COUNTIF('GPA Calculator'!$L$5:$L$98,J65)</f>
        <v>0</v>
      </c>
      <c r="M65">
        <v>4164</v>
      </c>
      <c r="N65">
        <f>COUNTIF('GPA Calculator'!$B$5:$B$98,M65)+COUNTIF('GPA Calculator'!$L$5:$L$98,M65)</f>
        <v>0</v>
      </c>
      <c r="P65">
        <v>4264</v>
      </c>
      <c r="Q65">
        <f>COUNTIF('GPA Calculator'!$B$5:$B$98,P65)+COUNTIF('GPA Calculator'!$L$5:$L$98,P65)</f>
        <v>0</v>
      </c>
      <c r="S65">
        <v>4364</v>
      </c>
      <c r="T65">
        <f>COUNTIF('GPA Calculator'!$B$5:$B$98,S65)+COUNTIF('GPA Calculator'!$L$5:$L$98,S65)</f>
        <v>0</v>
      </c>
      <c r="V65">
        <v>4464</v>
      </c>
      <c r="W65">
        <f>COUNTIF('GPA Calculator'!$B$5:$B$98,V65)+COUNTIF('GPA Calculator'!$L$5:$L$98,V65)</f>
        <v>0</v>
      </c>
    </row>
    <row r="66" spans="1:23" x14ac:dyDescent="0.25">
      <c r="A66">
        <v>3165</v>
      </c>
      <c r="B66">
        <f>COUNTIF('GPA Calculator'!$B$5:$B$98,A66)+COUNTIF('GPA Calculator'!$L$5:$L$98,A66)</f>
        <v>0</v>
      </c>
      <c r="D66">
        <v>3265</v>
      </c>
      <c r="E66">
        <f>COUNTIF('GPA Calculator'!$B$5:$B$98,D66)+COUNTIF('GPA Calculator'!$L$5:$L$98,D66)</f>
        <v>0</v>
      </c>
      <c r="G66">
        <v>3365</v>
      </c>
      <c r="H66">
        <f>COUNTIF('GPA Calculator'!$B$5:$B$98,G66)+COUNTIF('GPA Calculator'!$L$5:$L$98,G66)</f>
        <v>0</v>
      </c>
      <c r="J66">
        <v>3465</v>
      </c>
      <c r="K66">
        <f>COUNTIF('GPA Calculator'!$B$5:$B$98,J66)+COUNTIF('GPA Calculator'!$L$5:$L$98,J66)</f>
        <v>0</v>
      </c>
      <c r="M66">
        <v>4165</v>
      </c>
      <c r="N66">
        <f>COUNTIF('GPA Calculator'!$B$5:$B$98,M66)+COUNTIF('GPA Calculator'!$L$5:$L$98,M66)</f>
        <v>0</v>
      </c>
      <c r="P66">
        <v>4265</v>
      </c>
      <c r="Q66">
        <f>COUNTIF('GPA Calculator'!$B$5:$B$98,P66)+COUNTIF('GPA Calculator'!$L$5:$L$98,P66)</f>
        <v>0</v>
      </c>
      <c r="S66">
        <v>4365</v>
      </c>
      <c r="T66">
        <f>COUNTIF('GPA Calculator'!$B$5:$B$98,S66)+COUNTIF('GPA Calculator'!$L$5:$L$98,S66)</f>
        <v>0</v>
      </c>
      <c r="V66">
        <v>4465</v>
      </c>
      <c r="W66">
        <f>COUNTIF('GPA Calculator'!$B$5:$B$98,V66)+COUNTIF('GPA Calculator'!$L$5:$L$98,V66)</f>
        <v>0</v>
      </c>
    </row>
    <row r="67" spans="1:23" x14ac:dyDescent="0.25">
      <c r="A67">
        <v>3166</v>
      </c>
      <c r="B67">
        <f>COUNTIF('GPA Calculator'!$B$5:$B$98,A67)+COUNTIF('GPA Calculator'!$L$5:$L$98,A67)</f>
        <v>0</v>
      </c>
      <c r="D67">
        <v>3266</v>
      </c>
      <c r="E67">
        <f>COUNTIF('GPA Calculator'!$B$5:$B$98,D67)+COUNTIF('GPA Calculator'!$L$5:$L$98,D67)</f>
        <v>0</v>
      </c>
      <c r="G67">
        <v>3366</v>
      </c>
      <c r="H67">
        <f>COUNTIF('GPA Calculator'!$B$5:$B$98,G67)+COUNTIF('GPA Calculator'!$L$5:$L$98,G67)</f>
        <v>0</v>
      </c>
      <c r="J67">
        <v>3466</v>
      </c>
      <c r="K67">
        <f>COUNTIF('GPA Calculator'!$B$5:$B$98,J67)+COUNTIF('GPA Calculator'!$L$5:$L$98,J67)</f>
        <v>0</v>
      </c>
      <c r="M67">
        <v>4166</v>
      </c>
      <c r="N67">
        <f>COUNTIF('GPA Calculator'!$B$5:$B$98,M67)+COUNTIF('GPA Calculator'!$L$5:$L$98,M67)</f>
        <v>0</v>
      </c>
      <c r="P67">
        <v>4266</v>
      </c>
      <c r="Q67">
        <f>COUNTIF('GPA Calculator'!$B$5:$B$98,P67)+COUNTIF('GPA Calculator'!$L$5:$L$98,P67)</f>
        <v>0</v>
      </c>
      <c r="S67">
        <v>4366</v>
      </c>
      <c r="T67">
        <f>COUNTIF('GPA Calculator'!$B$5:$B$98,S67)+COUNTIF('GPA Calculator'!$L$5:$L$98,S67)</f>
        <v>0</v>
      </c>
      <c r="V67">
        <v>4466</v>
      </c>
      <c r="W67">
        <f>COUNTIF('GPA Calculator'!$B$5:$B$98,V67)+COUNTIF('GPA Calculator'!$L$5:$L$98,V67)</f>
        <v>0</v>
      </c>
    </row>
    <row r="68" spans="1:23" x14ac:dyDescent="0.25">
      <c r="A68">
        <v>3167</v>
      </c>
      <c r="B68">
        <f>COUNTIF('GPA Calculator'!$B$5:$B$98,A68)+COUNTIF('GPA Calculator'!$L$5:$L$98,A68)</f>
        <v>0</v>
      </c>
      <c r="D68">
        <v>3267</v>
      </c>
      <c r="E68">
        <f>COUNTIF('GPA Calculator'!$B$5:$B$98,D68)+COUNTIF('GPA Calculator'!$L$5:$L$98,D68)</f>
        <v>0</v>
      </c>
      <c r="G68">
        <v>3367</v>
      </c>
      <c r="H68">
        <f>COUNTIF('GPA Calculator'!$B$5:$B$98,G68)+COUNTIF('GPA Calculator'!$L$5:$L$98,G68)</f>
        <v>0</v>
      </c>
      <c r="J68">
        <v>3467</v>
      </c>
      <c r="K68">
        <f>COUNTIF('GPA Calculator'!$B$5:$B$98,J68)+COUNTIF('GPA Calculator'!$L$5:$L$98,J68)</f>
        <v>0</v>
      </c>
      <c r="M68">
        <v>4167</v>
      </c>
      <c r="N68">
        <f>COUNTIF('GPA Calculator'!$B$5:$B$98,M68)+COUNTIF('GPA Calculator'!$L$5:$L$98,M68)</f>
        <v>0</v>
      </c>
      <c r="P68">
        <v>4267</v>
      </c>
      <c r="Q68">
        <f>COUNTIF('GPA Calculator'!$B$5:$B$98,P68)+COUNTIF('GPA Calculator'!$L$5:$L$98,P68)</f>
        <v>0</v>
      </c>
      <c r="S68">
        <v>4367</v>
      </c>
      <c r="T68">
        <f>COUNTIF('GPA Calculator'!$B$5:$B$98,S68)+COUNTIF('GPA Calculator'!$L$5:$L$98,S68)</f>
        <v>0</v>
      </c>
      <c r="V68">
        <v>4467</v>
      </c>
      <c r="W68">
        <f>COUNTIF('GPA Calculator'!$B$5:$B$98,V68)+COUNTIF('GPA Calculator'!$L$5:$L$98,V68)</f>
        <v>0</v>
      </c>
    </row>
    <row r="69" spans="1:23" x14ac:dyDescent="0.25">
      <c r="A69">
        <v>3168</v>
      </c>
      <c r="B69">
        <f>COUNTIF('GPA Calculator'!$B$5:$B$98,A69)+COUNTIF('GPA Calculator'!$L$5:$L$98,A69)</f>
        <v>0</v>
      </c>
      <c r="D69">
        <v>3268</v>
      </c>
      <c r="E69">
        <f>COUNTIF('GPA Calculator'!$B$5:$B$98,D69)+COUNTIF('GPA Calculator'!$L$5:$L$98,D69)</f>
        <v>0</v>
      </c>
      <c r="G69">
        <v>3368</v>
      </c>
      <c r="H69">
        <f>COUNTIF('GPA Calculator'!$B$5:$B$98,G69)+COUNTIF('GPA Calculator'!$L$5:$L$98,G69)</f>
        <v>0</v>
      </c>
      <c r="J69">
        <v>3468</v>
      </c>
      <c r="K69">
        <f>COUNTIF('GPA Calculator'!$B$5:$B$98,J69)+COUNTIF('GPA Calculator'!$L$5:$L$98,J69)</f>
        <v>0</v>
      </c>
      <c r="M69">
        <v>4168</v>
      </c>
      <c r="N69">
        <f>COUNTIF('GPA Calculator'!$B$5:$B$98,M69)+COUNTIF('GPA Calculator'!$L$5:$L$98,M69)</f>
        <v>0</v>
      </c>
      <c r="P69">
        <v>4268</v>
      </c>
      <c r="Q69">
        <f>COUNTIF('GPA Calculator'!$B$5:$B$98,P69)+COUNTIF('GPA Calculator'!$L$5:$L$98,P69)</f>
        <v>0</v>
      </c>
      <c r="S69">
        <v>4368</v>
      </c>
      <c r="T69">
        <f>COUNTIF('GPA Calculator'!$B$5:$B$98,S69)+COUNTIF('GPA Calculator'!$L$5:$L$98,S69)</f>
        <v>0</v>
      </c>
      <c r="V69">
        <v>4468</v>
      </c>
      <c r="W69">
        <f>COUNTIF('GPA Calculator'!$B$5:$B$98,V69)+COUNTIF('GPA Calculator'!$L$5:$L$98,V69)</f>
        <v>0</v>
      </c>
    </row>
    <row r="70" spans="1:23" x14ac:dyDescent="0.25">
      <c r="A70">
        <v>3169</v>
      </c>
      <c r="B70">
        <f>COUNTIF('GPA Calculator'!$B$5:$B$98,A70)+COUNTIF('GPA Calculator'!$L$5:$L$98,A70)</f>
        <v>0</v>
      </c>
      <c r="D70">
        <v>3269</v>
      </c>
      <c r="E70">
        <f>COUNTIF('GPA Calculator'!$B$5:$B$98,D70)+COUNTIF('GPA Calculator'!$L$5:$L$98,D70)</f>
        <v>0</v>
      </c>
      <c r="G70">
        <v>3369</v>
      </c>
      <c r="H70">
        <f>COUNTIF('GPA Calculator'!$B$5:$B$98,G70)+COUNTIF('GPA Calculator'!$L$5:$L$98,G70)</f>
        <v>0</v>
      </c>
      <c r="J70">
        <v>3469</v>
      </c>
      <c r="K70">
        <f>COUNTIF('GPA Calculator'!$B$5:$B$98,J70)+COUNTIF('GPA Calculator'!$L$5:$L$98,J70)</f>
        <v>0</v>
      </c>
      <c r="M70">
        <v>4169</v>
      </c>
      <c r="N70">
        <f>COUNTIF('GPA Calculator'!$B$5:$B$98,M70)+COUNTIF('GPA Calculator'!$L$5:$L$98,M70)</f>
        <v>0</v>
      </c>
      <c r="P70">
        <v>4269</v>
      </c>
      <c r="Q70">
        <f>COUNTIF('GPA Calculator'!$B$5:$B$98,P70)+COUNTIF('GPA Calculator'!$L$5:$L$98,P70)</f>
        <v>0</v>
      </c>
      <c r="S70">
        <v>4369</v>
      </c>
      <c r="T70">
        <f>COUNTIF('GPA Calculator'!$B$5:$B$98,S70)+COUNTIF('GPA Calculator'!$L$5:$L$98,S70)</f>
        <v>0</v>
      </c>
      <c r="V70">
        <v>4469</v>
      </c>
      <c r="W70">
        <f>COUNTIF('GPA Calculator'!$B$5:$B$98,V70)+COUNTIF('GPA Calculator'!$L$5:$L$98,V70)</f>
        <v>0</v>
      </c>
    </row>
    <row r="71" spans="1:23" x14ac:dyDescent="0.25">
      <c r="A71">
        <v>3170</v>
      </c>
      <c r="B71">
        <f>COUNTIF('GPA Calculator'!$B$5:$B$98,A71)+COUNTIF('GPA Calculator'!$L$5:$L$98,A71)</f>
        <v>0</v>
      </c>
      <c r="D71">
        <v>3270</v>
      </c>
      <c r="E71">
        <f>COUNTIF('GPA Calculator'!$B$5:$B$98,D71)+COUNTIF('GPA Calculator'!$L$5:$L$98,D71)</f>
        <v>0</v>
      </c>
      <c r="G71">
        <v>3370</v>
      </c>
      <c r="H71">
        <f>COUNTIF('GPA Calculator'!$B$5:$B$98,G71)+COUNTIF('GPA Calculator'!$L$5:$L$98,G71)</f>
        <v>0</v>
      </c>
      <c r="J71">
        <v>3470</v>
      </c>
      <c r="K71">
        <f>COUNTIF('GPA Calculator'!$B$5:$B$98,J71)+COUNTIF('GPA Calculator'!$L$5:$L$98,J71)</f>
        <v>0</v>
      </c>
      <c r="M71">
        <v>4170</v>
      </c>
      <c r="N71">
        <f>COUNTIF('GPA Calculator'!$B$5:$B$98,M71)+COUNTIF('GPA Calculator'!$L$5:$L$98,M71)</f>
        <v>0</v>
      </c>
      <c r="P71">
        <v>4270</v>
      </c>
      <c r="Q71">
        <f>COUNTIF('GPA Calculator'!$B$5:$B$98,P71)+COUNTIF('GPA Calculator'!$L$5:$L$98,P71)</f>
        <v>0</v>
      </c>
      <c r="S71">
        <v>4370</v>
      </c>
      <c r="T71">
        <f>COUNTIF('GPA Calculator'!$B$5:$B$98,S71)+COUNTIF('GPA Calculator'!$L$5:$L$98,S71)</f>
        <v>0</v>
      </c>
      <c r="V71">
        <v>4470</v>
      </c>
      <c r="W71">
        <f>COUNTIF('GPA Calculator'!$B$5:$B$98,V71)+COUNTIF('GPA Calculator'!$L$5:$L$98,V71)</f>
        <v>0</v>
      </c>
    </row>
    <row r="72" spans="1:23" x14ac:dyDescent="0.25">
      <c r="A72">
        <v>3171</v>
      </c>
      <c r="B72">
        <f>COUNTIF('GPA Calculator'!$B$5:$B$98,A72)+COUNTIF('GPA Calculator'!$L$5:$L$98,A72)</f>
        <v>0</v>
      </c>
      <c r="D72">
        <v>3271</v>
      </c>
      <c r="E72">
        <f>COUNTIF('GPA Calculator'!$B$5:$B$98,D72)+COUNTIF('GPA Calculator'!$L$5:$L$98,D72)</f>
        <v>0</v>
      </c>
      <c r="G72">
        <v>3371</v>
      </c>
      <c r="H72">
        <f>COUNTIF('GPA Calculator'!$B$5:$B$98,G72)+COUNTIF('GPA Calculator'!$L$5:$L$98,G72)</f>
        <v>0</v>
      </c>
      <c r="J72">
        <v>3471</v>
      </c>
      <c r="K72">
        <f>COUNTIF('GPA Calculator'!$B$5:$B$98,J72)+COUNTIF('GPA Calculator'!$L$5:$L$98,J72)</f>
        <v>0</v>
      </c>
      <c r="M72">
        <v>4171</v>
      </c>
      <c r="N72">
        <f>COUNTIF('GPA Calculator'!$B$5:$B$98,M72)+COUNTIF('GPA Calculator'!$L$5:$L$98,M72)</f>
        <v>0</v>
      </c>
      <c r="P72">
        <v>4271</v>
      </c>
      <c r="Q72">
        <f>COUNTIF('GPA Calculator'!$B$5:$B$98,P72)+COUNTIF('GPA Calculator'!$L$5:$L$98,P72)</f>
        <v>0</v>
      </c>
      <c r="S72">
        <v>4371</v>
      </c>
      <c r="T72">
        <f>COUNTIF('GPA Calculator'!$B$5:$B$98,S72)+COUNTIF('GPA Calculator'!$L$5:$L$98,S72)</f>
        <v>0</v>
      </c>
      <c r="V72">
        <v>4471</v>
      </c>
      <c r="W72">
        <f>COUNTIF('GPA Calculator'!$B$5:$B$98,V72)+COUNTIF('GPA Calculator'!$L$5:$L$98,V72)</f>
        <v>0</v>
      </c>
    </row>
    <row r="73" spans="1:23" x14ac:dyDescent="0.25">
      <c r="A73">
        <v>3172</v>
      </c>
      <c r="B73">
        <f>COUNTIF('GPA Calculator'!$B$5:$B$98,A73)+COUNTIF('GPA Calculator'!$L$5:$L$98,A73)</f>
        <v>0</v>
      </c>
      <c r="D73">
        <v>3272</v>
      </c>
      <c r="E73">
        <f>COUNTIF('GPA Calculator'!$B$5:$B$98,D73)+COUNTIF('GPA Calculator'!$L$5:$L$98,D73)</f>
        <v>0</v>
      </c>
      <c r="G73">
        <v>3372</v>
      </c>
      <c r="H73">
        <f>COUNTIF('GPA Calculator'!$B$5:$B$98,G73)+COUNTIF('GPA Calculator'!$L$5:$L$98,G73)</f>
        <v>0</v>
      </c>
      <c r="J73">
        <v>3472</v>
      </c>
      <c r="K73">
        <f>COUNTIF('GPA Calculator'!$B$5:$B$98,J73)+COUNTIF('GPA Calculator'!$L$5:$L$98,J73)</f>
        <v>0</v>
      </c>
      <c r="M73">
        <v>4172</v>
      </c>
      <c r="N73">
        <f>COUNTIF('GPA Calculator'!$B$5:$B$98,M73)+COUNTIF('GPA Calculator'!$L$5:$L$98,M73)</f>
        <v>0</v>
      </c>
      <c r="P73">
        <v>4272</v>
      </c>
      <c r="Q73">
        <f>COUNTIF('GPA Calculator'!$B$5:$B$98,P73)+COUNTIF('GPA Calculator'!$L$5:$L$98,P73)</f>
        <v>0</v>
      </c>
      <c r="S73">
        <v>4372</v>
      </c>
      <c r="T73">
        <f>COUNTIF('GPA Calculator'!$B$5:$B$98,S73)+COUNTIF('GPA Calculator'!$L$5:$L$98,S73)</f>
        <v>0</v>
      </c>
      <c r="V73">
        <v>4472</v>
      </c>
      <c r="W73">
        <f>COUNTIF('GPA Calculator'!$B$5:$B$98,V73)+COUNTIF('GPA Calculator'!$L$5:$L$98,V73)</f>
        <v>0</v>
      </c>
    </row>
    <row r="74" spans="1:23" x14ac:dyDescent="0.25">
      <c r="A74">
        <v>3173</v>
      </c>
      <c r="B74">
        <f>COUNTIF('GPA Calculator'!$B$5:$B$98,A74)+COUNTIF('GPA Calculator'!$L$5:$L$98,A74)</f>
        <v>0</v>
      </c>
      <c r="D74">
        <v>3273</v>
      </c>
      <c r="E74">
        <f>COUNTIF('GPA Calculator'!$B$5:$B$98,D74)+COUNTIF('GPA Calculator'!$L$5:$L$98,D74)</f>
        <v>0</v>
      </c>
      <c r="G74">
        <v>3373</v>
      </c>
      <c r="H74">
        <f>COUNTIF('GPA Calculator'!$B$5:$B$98,G74)+COUNTIF('GPA Calculator'!$L$5:$L$98,G74)</f>
        <v>0</v>
      </c>
      <c r="J74">
        <v>3473</v>
      </c>
      <c r="K74">
        <f>COUNTIF('GPA Calculator'!$B$5:$B$98,J74)+COUNTIF('GPA Calculator'!$L$5:$L$98,J74)</f>
        <v>0</v>
      </c>
      <c r="M74">
        <v>4173</v>
      </c>
      <c r="N74">
        <f>COUNTIF('GPA Calculator'!$B$5:$B$98,M74)+COUNTIF('GPA Calculator'!$L$5:$L$98,M74)</f>
        <v>0</v>
      </c>
      <c r="P74">
        <v>4273</v>
      </c>
      <c r="Q74">
        <f>COUNTIF('GPA Calculator'!$B$5:$B$98,P74)+COUNTIF('GPA Calculator'!$L$5:$L$98,P74)</f>
        <v>0</v>
      </c>
      <c r="S74">
        <v>4373</v>
      </c>
      <c r="T74">
        <f>COUNTIF('GPA Calculator'!$B$5:$B$98,S74)+COUNTIF('GPA Calculator'!$L$5:$L$98,S74)</f>
        <v>0</v>
      </c>
      <c r="V74">
        <v>4473</v>
      </c>
      <c r="W74">
        <f>COUNTIF('GPA Calculator'!$B$5:$B$98,V74)+COUNTIF('GPA Calculator'!$L$5:$L$98,V74)</f>
        <v>0</v>
      </c>
    </row>
    <row r="75" spans="1:23" x14ac:dyDescent="0.25">
      <c r="A75">
        <v>3174</v>
      </c>
      <c r="B75">
        <f>COUNTIF('GPA Calculator'!$B$5:$B$98,A75)+COUNTIF('GPA Calculator'!$L$5:$L$98,A75)</f>
        <v>0</v>
      </c>
      <c r="D75">
        <v>3274</v>
      </c>
      <c r="E75">
        <f>COUNTIF('GPA Calculator'!$B$5:$B$98,D75)+COUNTIF('GPA Calculator'!$L$5:$L$98,D75)</f>
        <v>0</v>
      </c>
      <c r="G75">
        <v>3374</v>
      </c>
      <c r="H75">
        <f>COUNTIF('GPA Calculator'!$B$5:$B$98,G75)+COUNTIF('GPA Calculator'!$L$5:$L$98,G75)</f>
        <v>0</v>
      </c>
      <c r="J75">
        <v>3474</v>
      </c>
      <c r="K75">
        <f>COUNTIF('GPA Calculator'!$B$5:$B$98,J75)+COUNTIF('GPA Calculator'!$L$5:$L$98,J75)</f>
        <v>0</v>
      </c>
      <c r="M75">
        <v>4174</v>
      </c>
      <c r="N75">
        <f>COUNTIF('GPA Calculator'!$B$5:$B$98,M75)+COUNTIF('GPA Calculator'!$L$5:$L$98,M75)</f>
        <v>0</v>
      </c>
      <c r="P75">
        <v>4274</v>
      </c>
      <c r="Q75">
        <f>COUNTIF('GPA Calculator'!$B$5:$B$98,P75)+COUNTIF('GPA Calculator'!$L$5:$L$98,P75)</f>
        <v>0</v>
      </c>
      <c r="S75">
        <v>4374</v>
      </c>
      <c r="T75">
        <f>COUNTIF('GPA Calculator'!$B$5:$B$98,S75)+COUNTIF('GPA Calculator'!$L$5:$L$98,S75)</f>
        <v>0</v>
      </c>
      <c r="V75">
        <v>4474</v>
      </c>
      <c r="W75">
        <f>COUNTIF('GPA Calculator'!$B$5:$B$98,V75)+COUNTIF('GPA Calculator'!$L$5:$L$98,V75)</f>
        <v>0</v>
      </c>
    </row>
    <row r="76" spans="1:23" x14ac:dyDescent="0.25">
      <c r="A76">
        <v>3175</v>
      </c>
      <c r="B76">
        <f>COUNTIF('GPA Calculator'!$B$5:$B$98,A76)+COUNTIF('GPA Calculator'!$L$5:$L$98,A76)</f>
        <v>0</v>
      </c>
      <c r="D76">
        <v>3275</v>
      </c>
      <c r="E76">
        <f>COUNTIF('GPA Calculator'!$B$5:$B$98,D76)+COUNTIF('GPA Calculator'!$L$5:$L$98,D76)</f>
        <v>0</v>
      </c>
      <c r="G76">
        <v>3375</v>
      </c>
      <c r="H76">
        <f>COUNTIF('GPA Calculator'!$B$5:$B$98,G76)+COUNTIF('GPA Calculator'!$L$5:$L$98,G76)</f>
        <v>0</v>
      </c>
      <c r="J76">
        <v>3475</v>
      </c>
      <c r="K76">
        <f>COUNTIF('GPA Calculator'!$B$5:$B$98,J76)+COUNTIF('GPA Calculator'!$L$5:$L$98,J76)</f>
        <v>0</v>
      </c>
      <c r="M76">
        <v>4175</v>
      </c>
      <c r="N76">
        <f>COUNTIF('GPA Calculator'!$B$5:$B$98,M76)+COUNTIF('GPA Calculator'!$L$5:$L$98,M76)</f>
        <v>0</v>
      </c>
      <c r="P76">
        <v>4275</v>
      </c>
      <c r="Q76">
        <f>COUNTIF('GPA Calculator'!$B$5:$B$98,P76)+COUNTIF('GPA Calculator'!$L$5:$L$98,P76)</f>
        <v>0</v>
      </c>
      <c r="S76">
        <v>4375</v>
      </c>
      <c r="T76">
        <f>COUNTIF('GPA Calculator'!$B$5:$B$98,S76)+COUNTIF('GPA Calculator'!$L$5:$L$98,S76)</f>
        <v>0</v>
      </c>
      <c r="V76">
        <v>4475</v>
      </c>
      <c r="W76">
        <f>COUNTIF('GPA Calculator'!$B$5:$B$98,V76)+COUNTIF('GPA Calculator'!$L$5:$L$98,V76)</f>
        <v>0</v>
      </c>
    </row>
    <row r="77" spans="1:23" x14ac:dyDescent="0.25">
      <c r="A77">
        <v>3176</v>
      </c>
      <c r="B77">
        <f>COUNTIF('GPA Calculator'!$B$5:$B$98,A77)+COUNTIF('GPA Calculator'!$L$5:$L$98,A77)</f>
        <v>0</v>
      </c>
      <c r="D77">
        <v>3276</v>
      </c>
      <c r="E77">
        <f>COUNTIF('GPA Calculator'!$B$5:$B$98,D77)+COUNTIF('GPA Calculator'!$L$5:$L$98,D77)</f>
        <v>0</v>
      </c>
      <c r="G77">
        <v>3376</v>
      </c>
      <c r="H77">
        <f>COUNTIF('GPA Calculator'!$B$5:$B$98,G77)+COUNTIF('GPA Calculator'!$L$5:$L$98,G77)</f>
        <v>0</v>
      </c>
      <c r="J77">
        <v>3476</v>
      </c>
      <c r="K77">
        <f>COUNTIF('GPA Calculator'!$B$5:$B$98,J77)+COUNTIF('GPA Calculator'!$L$5:$L$98,J77)</f>
        <v>0</v>
      </c>
      <c r="M77">
        <v>4176</v>
      </c>
      <c r="N77">
        <f>COUNTIF('GPA Calculator'!$B$5:$B$98,M77)+COUNTIF('GPA Calculator'!$L$5:$L$98,M77)</f>
        <v>0</v>
      </c>
      <c r="P77">
        <v>4276</v>
      </c>
      <c r="Q77">
        <f>COUNTIF('GPA Calculator'!$B$5:$B$98,P77)+COUNTIF('GPA Calculator'!$L$5:$L$98,P77)</f>
        <v>0</v>
      </c>
      <c r="S77">
        <v>4376</v>
      </c>
      <c r="T77">
        <f>COUNTIF('GPA Calculator'!$B$5:$B$98,S77)+COUNTIF('GPA Calculator'!$L$5:$L$98,S77)</f>
        <v>0</v>
      </c>
      <c r="V77">
        <v>4476</v>
      </c>
      <c r="W77">
        <f>COUNTIF('GPA Calculator'!$B$5:$B$98,V77)+COUNTIF('GPA Calculator'!$L$5:$L$98,V77)</f>
        <v>0</v>
      </c>
    </row>
    <row r="78" spans="1:23" x14ac:dyDescent="0.25">
      <c r="A78">
        <v>3177</v>
      </c>
      <c r="B78">
        <f>COUNTIF('GPA Calculator'!$B$5:$B$98,A78)+COUNTIF('GPA Calculator'!$L$5:$L$98,A78)</f>
        <v>0</v>
      </c>
      <c r="D78">
        <v>3277</v>
      </c>
      <c r="E78">
        <f>COUNTIF('GPA Calculator'!$B$5:$B$98,D78)+COUNTIF('GPA Calculator'!$L$5:$L$98,D78)</f>
        <v>0</v>
      </c>
      <c r="G78">
        <v>3377</v>
      </c>
      <c r="H78">
        <f>COUNTIF('GPA Calculator'!$B$5:$B$98,G78)+COUNTIF('GPA Calculator'!$L$5:$L$98,G78)</f>
        <v>0</v>
      </c>
      <c r="J78">
        <v>3477</v>
      </c>
      <c r="K78">
        <f>COUNTIF('GPA Calculator'!$B$5:$B$98,J78)+COUNTIF('GPA Calculator'!$L$5:$L$98,J78)</f>
        <v>0</v>
      </c>
      <c r="M78">
        <v>4177</v>
      </c>
      <c r="N78">
        <f>COUNTIF('GPA Calculator'!$B$5:$B$98,M78)+COUNTIF('GPA Calculator'!$L$5:$L$98,M78)</f>
        <v>0</v>
      </c>
      <c r="P78">
        <v>4277</v>
      </c>
      <c r="Q78">
        <f>COUNTIF('GPA Calculator'!$B$5:$B$98,P78)+COUNTIF('GPA Calculator'!$L$5:$L$98,P78)</f>
        <v>0</v>
      </c>
      <c r="S78">
        <v>4377</v>
      </c>
      <c r="T78">
        <f>COUNTIF('GPA Calculator'!$B$5:$B$98,S78)+COUNTIF('GPA Calculator'!$L$5:$L$98,S78)</f>
        <v>0</v>
      </c>
      <c r="V78">
        <v>4477</v>
      </c>
      <c r="W78">
        <f>COUNTIF('GPA Calculator'!$B$5:$B$98,V78)+COUNTIF('GPA Calculator'!$L$5:$L$98,V78)</f>
        <v>0</v>
      </c>
    </row>
    <row r="79" spans="1:23" x14ac:dyDescent="0.25">
      <c r="A79">
        <v>3178</v>
      </c>
      <c r="B79">
        <f>COUNTIF('GPA Calculator'!$B$5:$B$98,A79)+COUNTIF('GPA Calculator'!$L$5:$L$98,A79)</f>
        <v>0</v>
      </c>
      <c r="D79">
        <v>3278</v>
      </c>
      <c r="E79">
        <f>COUNTIF('GPA Calculator'!$B$5:$B$98,D79)+COUNTIF('GPA Calculator'!$L$5:$L$98,D79)</f>
        <v>0</v>
      </c>
      <c r="G79">
        <v>3378</v>
      </c>
      <c r="H79">
        <f>COUNTIF('GPA Calculator'!$B$5:$B$98,G79)+COUNTIF('GPA Calculator'!$L$5:$L$98,G79)</f>
        <v>0</v>
      </c>
      <c r="J79">
        <v>3478</v>
      </c>
      <c r="K79">
        <f>COUNTIF('GPA Calculator'!$B$5:$B$98,J79)+COUNTIF('GPA Calculator'!$L$5:$L$98,J79)</f>
        <v>0</v>
      </c>
      <c r="M79">
        <v>4178</v>
      </c>
      <c r="N79">
        <f>COUNTIF('GPA Calculator'!$B$5:$B$98,M79)+COUNTIF('GPA Calculator'!$L$5:$L$98,M79)</f>
        <v>0</v>
      </c>
      <c r="P79">
        <v>4278</v>
      </c>
      <c r="Q79">
        <f>COUNTIF('GPA Calculator'!$B$5:$B$98,P79)+COUNTIF('GPA Calculator'!$L$5:$L$98,P79)</f>
        <v>0</v>
      </c>
      <c r="S79">
        <v>4378</v>
      </c>
      <c r="T79">
        <f>COUNTIF('GPA Calculator'!$B$5:$B$98,S79)+COUNTIF('GPA Calculator'!$L$5:$L$98,S79)</f>
        <v>0</v>
      </c>
      <c r="V79">
        <v>4478</v>
      </c>
      <c r="W79">
        <f>COUNTIF('GPA Calculator'!$B$5:$B$98,V79)+COUNTIF('GPA Calculator'!$L$5:$L$98,V79)</f>
        <v>0</v>
      </c>
    </row>
    <row r="80" spans="1:23" x14ac:dyDescent="0.25">
      <c r="A80">
        <v>3179</v>
      </c>
      <c r="B80">
        <f>COUNTIF('GPA Calculator'!$B$5:$B$98,A80)+COUNTIF('GPA Calculator'!$L$5:$L$98,A80)</f>
        <v>0</v>
      </c>
      <c r="D80">
        <v>3279</v>
      </c>
      <c r="E80">
        <f>COUNTIF('GPA Calculator'!$B$5:$B$98,D80)+COUNTIF('GPA Calculator'!$L$5:$L$98,D80)</f>
        <v>0</v>
      </c>
      <c r="G80">
        <v>3379</v>
      </c>
      <c r="H80">
        <f>COUNTIF('GPA Calculator'!$B$5:$B$98,G80)+COUNTIF('GPA Calculator'!$L$5:$L$98,G80)</f>
        <v>0</v>
      </c>
      <c r="J80">
        <v>3479</v>
      </c>
      <c r="K80">
        <f>COUNTIF('GPA Calculator'!$B$5:$B$98,J80)+COUNTIF('GPA Calculator'!$L$5:$L$98,J80)</f>
        <v>0</v>
      </c>
      <c r="M80">
        <v>4179</v>
      </c>
      <c r="N80">
        <f>COUNTIF('GPA Calculator'!$B$5:$B$98,M80)+COUNTIF('GPA Calculator'!$L$5:$L$98,M80)</f>
        <v>0</v>
      </c>
      <c r="P80">
        <v>4279</v>
      </c>
      <c r="Q80">
        <f>COUNTIF('GPA Calculator'!$B$5:$B$98,P80)+COUNTIF('GPA Calculator'!$L$5:$L$98,P80)</f>
        <v>0</v>
      </c>
      <c r="S80">
        <v>4379</v>
      </c>
      <c r="T80">
        <f>COUNTIF('GPA Calculator'!$B$5:$B$98,S80)+COUNTIF('GPA Calculator'!$L$5:$L$98,S80)</f>
        <v>0</v>
      </c>
      <c r="V80">
        <v>4479</v>
      </c>
      <c r="W80">
        <f>COUNTIF('GPA Calculator'!$B$5:$B$98,V80)+COUNTIF('GPA Calculator'!$L$5:$L$98,V80)</f>
        <v>0</v>
      </c>
    </row>
    <row r="81" spans="1:23" x14ac:dyDescent="0.25">
      <c r="A81">
        <v>3180</v>
      </c>
      <c r="B81">
        <f>COUNTIF('GPA Calculator'!$B$5:$B$98,A81)+COUNTIF('GPA Calculator'!$L$5:$L$98,A81)</f>
        <v>0</v>
      </c>
      <c r="D81">
        <v>3280</v>
      </c>
      <c r="E81">
        <f>COUNTIF('GPA Calculator'!$B$5:$B$98,D81)+COUNTIF('GPA Calculator'!$L$5:$L$98,D81)</f>
        <v>0</v>
      </c>
      <c r="G81">
        <v>3380</v>
      </c>
      <c r="H81">
        <f>COUNTIF('GPA Calculator'!$B$5:$B$98,G81)+COUNTIF('GPA Calculator'!$L$5:$L$98,G81)</f>
        <v>0</v>
      </c>
      <c r="J81">
        <v>3480</v>
      </c>
      <c r="K81">
        <f>COUNTIF('GPA Calculator'!$B$5:$B$98,J81)+COUNTIF('GPA Calculator'!$L$5:$L$98,J81)</f>
        <v>0</v>
      </c>
      <c r="M81">
        <v>4180</v>
      </c>
      <c r="N81">
        <f>COUNTIF('GPA Calculator'!$B$5:$B$98,M81)+COUNTIF('GPA Calculator'!$L$5:$L$98,M81)</f>
        <v>0</v>
      </c>
      <c r="P81">
        <v>4280</v>
      </c>
      <c r="Q81">
        <f>COUNTIF('GPA Calculator'!$B$5:$B$98,P81)+COUNTIF('GPA Calculator'!$L$5:$L$98,P81)</f>
        <v>0</v>
      </c>
      <c r="S81">
        <v>4380</v>
      </c>
      <c r="T81">
        <f>COUNTIF('GPA Calculator'!$B$5:$B$98,S81)+COUNTIF('GPA Calculator'!$L$5:$L$98,S81)</f>
        <v>0</v>
      </c>
      <c r="V81">
        <v>4480</v>
      </c>
      <c r="W81">
        <f>COUNTIF('GPA Calculator'!$B$5:$B$98,V81)+COUNTIF('GPA Calculator'!$L$5:$L$98,V81)</f>
        <v>0</v>
      </c>
    </row>
    <row r="82" spans="1:23" x14ac:dyDescent="0.25">
      <c r="A82">
        <v>3181</v>
      </c>
      <c r="B82">
        <f>COUNTIF('GPA Calculator'!$B$5:$B$98,A82)+COUNTIF('GPA Calculator'!$L$5:$L$98,A82)</f>
        <v>0</v>
      </c>
      <c r="D82">
        <v>3281</v>
      </c>
      <c r="E82">
        <f>COUNTIF('GPA Calculator'!$B$5:$B$98,D82)+COUNTIF('GPA Calculator'!$L$5:$L$98,D82)</f>
        <v>0</v>
      </c>
      <c r="G82">
        <v>3381</v>
      </c>
      <c r="H82">
        <f>COUNTIF('GPA Calculator'!$B$5:$B$98,G82)+COUNTIF('GPA Calculator'!$L$5:$L$98,G82)</f>
        <v>0</v>
      </c>
      <c r="J82">
        <v>3481</v>
      </c>
      <c r="K82">
        <f>COUNTIF('GPA Calculator'!$B$5:$B$98,J82)+COUNTIF('GPA Calculator'!$L$5:$L$98,J82)</f>
        <v>0</v>
      </c>
      <c r="M82">
        <v>4181</v>
      </c>
      <c r="N82">
        <f>COUNTIF('GPA Calculator'!$B$5:$B$98,M82)+COUNTIF('GPA Calculator'!$L$5:$L$98,M82)</f>
        <v>0</v>
      </c>
      <c r="P82">
        <v>4281</v>
      </c>
      <c r="Q82">
        <f>COUNTIF('GPA Calculator'!$B$5:$B$98,P82)+COUNTIF('GPA Calculator'!$L$5:$L$98,P82)</f>
        <v>0</v>
      </c>
      <c r="S82">
        <v>4381</v>
      </c>
      <c r="T82">
        <f>COUNTIF('GPA Calculator'!$B$5:$B$98,S82)+COUNTIF('GPA Calculator'!$L$5:$L$98,S82)</f>
        <v>0</v>
      </c>
      <c r="V82">
        <v>4481</v>
      </c>
      <c r="W82">
        <f>COUNTIF('GPA Calculator'!$B$5:$B$98,V82)+COUNTIF('GPA Calculator'!$L$5:$L$98,V82)</f>
        <v>0</v>
      </c>
    </row>
    <row r="83" spans="1:23" x14ac:dyDescent="0.25">
      <c r="A83">
        <v>3182</v>
      </c>
      <c r="B83">
        <f>COUNTIF('GPA Calculator'!$B$5:$B$98,A83)+COUNTIF('GPA Calculator'!$L$5:$L$98,A83)</f>
        <v>0</v>
      </c>
      <c r="D83">
        <v>3282</v>
      </c>
      <c r="E83">
        <f>COUNTIF('GPA Calculator'!$B$5:$B$98,D83)+COUNTIF('GPA Calculator'!$L$5:$L$98,D83)</f>
        <v>0</v>
      </c>
      <c r="G83">
        <v>3382</v>
      </c>
      <c r="H83">
        <f>COUNTIF('GPA Calculator'!$B$5:$B$98,G83)+COUNTIF('GPA Calculator'!$L$5:$L$98,G83)</f>
        <v>0</v>
      </c>
      <c r="J83">
        <v>3482</v>
      </c>
      <c r="K83">
        <f>COUNTIF('GPA Calculator'!$B$5:$B$98,J83)+COUNTIF('GPA Calculator'!$L$5:$L$98,J83)</f>
        <v>0</v>
      </c>
      <c r="M83">
        <v>4182</v>
      </c>
      <c r="N83">
        <f>COUNTIF('GPA Calculator'!$B$5:$B$98,M83)+COUNTIF('GPA Calculator'!$L$5:$L$98,M83)</f>
        <v>0</v>
      </c>
      <c r="P83">
        <v>4282</v>
      </c>
      <c r="Q83">
        <f>COUNTIF('GPA Calculator'!$B$5:$B$98,P83)+COUNTIF('GPA Calculator'!$L$5:$L$98,P83)</f>
        <v>0</v>
      </c>
      <c r="S83">
        <v>4382</v>
      </c>
      <c r="T83">
        <f>COUNTIF('GPA Calculator'!$B$5:$B$98,S83)+COUNTIF('GPA Calculator'!$L$5:$L$98,S83)</f>
        <v>0</v>
      </c>
      <c r="V83">
        <v>4482</v>
      </c>
      <c r="W83">
        <f>COUNTIF('GPA Calculator'!$B$5:$B$98,V83)+COUNTIF('GPA Calculator'!$L$5:$L$98,V83)</f>
        <v>0</v>
      </c>
    </row>
    <row r="84" spans="1:23" x14ac:dyDescent="0.25">
      <c r="A84">
        <v>3183</v>
      </c>
      <c r="B84">
        <f>COUNTIF('GPA Calculator'!$B$5:$B$98,A84)+COUNTIF('GPA Calculator'!$L$5:$L$98,A84)</f>
        <v>0</v>
      </c>
      <c r="D84">
        <v>3283</v>
      </c>
      <c r="E84">
        <f>COUNTIF('GPA Calculator'!$B$5:$B$98,D84)+COUNTIF('GPA Calculator'!$L$5:$L$98,D84)</f>
        <v>0</v>
      </c>
      <c r="G84">
        <v>3383</v>
      </c>
      <c r="H84">
        <f>COUNTIF('GPA Calculator'!$B$5:$B$98,G84)+COUNTIF('GPA Calculator'!$L$5:$L$98,G84)</f>
        <v>0</v>
      </c>
      <c r="J84">
        <v>3483</v>
      </c>
      <c r="K84">
        <f>COUNTIF('GPA Calculator'!$B$5:$B$98,J84)+COUNTIF('GPA Calculator'!$L$5:$L$98,J84)</f>
        <v>0</v>
      </c>
      <c r="M84">
        <v>4183</v>
      </c>
      <c r="N84">
        <f>COUNTIF('GPA Calculator'!$B$5:$B$98,M84)+COUNTIF('GPA Calculator'!$L$5:$L$98,M84)</f>
        <v>0</v>
      </c>
      <c r="P84">
        <v>4283</v>
      </c>
      <c r="Q84">
        <f>COUNTIF('GPA Calculator'!$B$5:$B$98,P84)+COUNTIF('GPA Calculator'!$L$5:$L$98,P84)</f>
        <v>0</v>
      </c>
      <c r="S84">
        <v>4383</v>
      </c>
      <c r="T84">
        <f>COUNTIF('GPA Calculator'!$B$5:$B$98,S84)+COUNTIF('GPA Calculator'!$L$5:$L$98,S84)</f>
        <v>0</v>
      </c>
      <c r="V84">
        <v>4483</v>
      </c>
      <c r="W84">
        <f>COUNTIF('GPA Calculator'!$B$5:$B$98,V84)+COUNTIF('GPA Calculator'!$L$5:$L$98,V84)</f>
        <v>0</v>
      </c>
    </row>
    <row r="85" spans="1:23" x14ac:dyDescent="0.25">
      <c r="A85">
        <v>3184</v>
      </c>
      <c r="B85">
        <f>COUNTIF('GPA Calculator'!$B$5:$B$98,A85)+COUNTIF('GPA Calculator'!$L$5:$L$98,A85)</f>
        <v>0</v>
      </c>
      <c r="D85">
        <v>3284</v>
      </c>
      <c r="E85">
        <f>COUNTIF('GPA Calculator'!$B$5:$B$98,D85)+COUNTIF('GPA Calculator'!$L$5:$L$98,D85)</f>
        <v>0</v>
      </c>
      <c r="G85">
        <v>3384</v>
      </c>
      <c r="H85">
        <f>COUNTIF('GPA Calculator'!$B$5:$B$98,G85)+COUNTIF('GPA Calculator'!$L$5:$L$98,G85)</f>
        <v>0</v>
      </c>
      <c r="J85">
        <v>3484</v>
      </c>
      <c r="K85">
        <f>COUNTIF('GPA Calculator'!$B$5:$B$98,J85)+COUNTIF('GPA Calculator'!$L$5:$L$98,J85)</f>
        <v>0</v>
      </c>
      <c r="M85">
        <v>4184</v>
      </c>
      <c r="N85">
        <f>COUNTIF('GPA Calculator'!$B$5:$B$98,M85)+COUNTIF('GPA Calculator'!$L$5:$L$98,M85)</f>
        <v>0</v>
      </c>
      <c r="P85">
        <v>4284</v>
      </c>
      <c r="Q85">
        <f>COUNTIF('GPA Calculator'!$B$5:$B$98,P85)+COUNTIF('GPA Calculator'!$L$5:$L$98,P85)</f>
        <v>0</v>
      </c>
      <c r="S85">
        <v>4384</v>
      </c>
      <c r="T85">
        <f>COUNTIF('GPA Calculator'!$B$5:$B$98,S85)+COUNTIF('GPA Calculator'!$L$5:$L$98,S85)</f>
        <v>0</v>
      </c>
      <c r="V85">
        <v>4484</v>
      </c>
      <c r="W85">
        <f>COUNTIF('GPA Calculator'!$B$5:$B$98,V85)+COUNTIF('GPA Calculator'!$L$5:$L$98,V85)</f>
        <v>0</v>
      </c>
    </row>
    <row r="86" spans="1:23" x14ac:dyDescent="0.25">
      <c r="A86">
        <v>3185</v>
      </c>
      <c r="B86">
        <f>COUNTIF('GPA Calculator'!$B$5:$B$98,A86)+COUNTIF('GPA Calculator'!$L$5:$L$98,A86)</f>
        <v>0</v>
      </c>
      <c r="D86">
        <v>3285</v>
      </c>
      <c r="E86">
        <f>COUNTIF('GPA Calculator'!$B$5:$B$98,D86)+COUNTIF('GPA Calculator'!$L$5:$L$98,D86)</f>
        <v>0</v>
      </c>
      <c r="G86">
        <v>3385</v>
      </c>
      <c r="H86">
        <f>COUNTIF('GPA Calculator'!$B$5:$B$98,G86)+COUNTIF('GPA Calculator'!$L$5:$L$98,G86)</f>
        <v>0</v>
      </c>
      <c r="J86">
        <v>3485</v>
      </c>
      <c r="K86">
        <f>COUNTIF('GPA Calculator'!$B$5:$B$98,J86)+COUNTIF('GPA Calculator'!$L$5:$L$98,J86)</f>
        <v>0</v>
      </c>
      <c r="M86">
        <v>4185</v>
      </c>
      <c r="N86">
        <f>COUNTIF('GPA Calculator'!$B$5:$B$98,M86)+COUNTIF('GPA Calculator'!$L$5:$L$98,M86)</f>
        <v>0</v>
      </c>
      <c r="P86">
        <v>4285</v>
      </c>
      <c r="Q86">
        <f>COUNTIF('GPA Calculator'!$B$5:$B$98,P86)+COUNTIF('GPA Calculator'!$L$5:$L$98,P86)</f>
        <v>0</v>
      </c>
      <c r="S86">
        <v>4385</v>
      </c>
      <c r="T86">
        <f>COUNTIF('GPA Calculator'!$B$5:$B$98,S86)+COUNTIF('GPA Calculator'!$L$5:$L$98,S86)</f>
        <v>0</v>
      </c>
      <c r="V86">
        <v>4485</v>
      </c>
      <c r="W86">
        <f>COUNTIF('GPA Calculator'!$B$5:$B$98,V86)+COUNTIF('GPA Calculator'!$L$5:$L$98,V86)</f>
        <v>0</v>
      </c>
    </row>
    <row r="87" spans="1:23" x14ac:dyDescent="0.25">
      <c r="A87">
        <v>3186</v>
      </c>
      <c r="B87">
        <f>COUNTIF('GPA Calculator'!$B$5:$B$98,A87)+COUNTIF('GPA Calculator'!$L$5:$L$98,A87)</f>
        <v>0</v>
      </c>
      <c r="D87">
        <v>3286</v>
      </c>
      <c r="E87">
        <f>COUNTIF('GPA Calculator'!$B$5:$B$98,D87)+COUNTIF('GPA Calculator'!$L$5:$L$98,D87)</f>
        <v>0</v>
      </c>
      <c r="G87">
        <v>3386</v>
      </c>
      <c r="H87">
        <f>COUNTIF('GPA Calculator'!$B$5:$B$98,G87)+COUNTIF('GPA Calculator'!$L$5:$L$98,G87)</f>
        <v>0</v>
      </c>
      <c r="J87">
        <v>3486</v>
      </c>
      <c r="K87">
        <f>COUNTIF('GPA Calculator'!$B$5:$B$98,J87)+COUNTIF('GPA Calculator'!$L$5:$L$98,J87)</f>
        <v>0</v>
      </c>
      <c r="M87">
        <v>4186</v>
      </c>
      <c r="N87">
        <f>COUNTIF('GPA Calculator'!$B$5:$B$98,M87)+COUNTIF('GPA Calculator'!$L$5:$L$98,M87)</f>
        <v>0</v>
      </c>
      <c r="P87">
        <v>4286</v>
      </c>
      <c r="Q87">
        <f>COUNTIF('GPA Calculator'!$B$5:$B$98,P87)+COUNTIF('GPA Calculator'!$L$5:$L$98,P87)</f>
        <v>0</v>
      </c>
      <c r="S87">
        <v>4386</v>
      </c>
      <c r="T87">
        <f>COUNTIF('GPA Calculator'!$B$5:$B$98,S87)+COUNTIF('GPA Calculator'!$L$5:$L$98,S87)</f>
        <v>0</v>
      </c>
      <c r="V87">
        <v>4486</v>
      </c>
      <c r="W87">
        <f>COUNTIF('GPA Calculator'!$B$5:$B$98,V87)+COUNTIF('GPA Calculator'!$L$5:$L$98,V87)</f>
        <v>0</v>
      </c>
    </row>
    <row r="88" spans="1:23" x14ac:dyDescent="0.25">
      <c r="A88">
        <v>3187</v>
      </c>
      <c r="B88">
        <f>COUNTIF('GPA Calculator'!$B$5:$B$98,A88)+COUNTIF('GPA Calculator'!$L$5:$L$98,A88)</f>
        <v>0</v>
      </c>
      <c r="D88">
        <v>3287</v>
      </c>
      <c r="E88">
        <f>COUNTIF('GPA Calculator'!$B$5:$B$98,D88)+COUNTIF('GPA Calculator'!$L$5:$L$98,D88)</f>
        <v>0</v>
      </c>
      <c r="G88">
        <v>3387</v>
      </c>
      <c r="H88">
        <f>COUNTIF('GPA Calculator'!$B$5:$B$98,G88)+COUNTIF('GPA Calculator'!$L$5:$L$98,G88)</f>
        <v>0</v>
      </c>
      <c r="J88">
        <v>3487</v>
      </c>
      <c r="K88">
        <f>COUNTIF('GPA Calculator'!$B$5:$B$98,J88)+COUNTIF('GPA Calculator'!$L$5:$L$98,J88)</f>
        <v>0</v>
      </c>
      <c r="M88">
        <v>4187</v>
      </c>
      <c r="N88">
        <f>COUNTIF('GPA Calculator'!$B$5:$B$98,M88)+COUNTIF('GPA Calculator'!$L$5:$L$98,M88)</f>
        <v>0</v>
      </c>
      <c r="P88">
        <v>4287</v>
      </c>
      <c r="Q88">
        <f>COUNTIF('GPA Calculator'!$B$5:$B$98,P88)+COUNTIF('GPA Calculator'!$L$5:$L$98,P88)</f>
        <v>0</v>
      </c>
      <c r="S88">
        <v>4387</v>
      </c>
      <c r="T88">
        <f>COUNTIF('GPA Calculator'!$B$5:$B$98,S88)+COUNTIF('GPA Calculator'!$L$5:$L$98,S88)</f>
        <v>0</v>
      </c>
      <c r="V88">
        <v>4487</v>
      </c>
      <c r="W88">
        <f>COUNTIF('GPA Calculator'!$B$5:$B$98,V88)+COUNTIF('GPA Calculator'!$L$5:$L$98,V88)</f>
        <v>0</v>
      </c>
    </row>
    <row r="89" spans="1:23" x14ac:dyDescent="0.25">
      <c r="A89">
        <v>3188</v>
      </c>
      <c r="B89">
        <f>COUNTIF('GPA Calculator'!$B$5:$B$98,A89)+COUNTIF('GPA Calculator'!$L$5:$L$98,A89)</f>
        <v>0</v>
      </c>
      <c r="D89">
        <v>3288</v>
      </c>
      <c r="E89">
        <f>COUNTIF('GPA Calculator'!$B$5:$B$98,D89)+COUNTIF('GPA Calculator'!$L$5:$L$98,D89)</f>
        <v>0</v>
      </c>
      <c r="G89">
        <v>3388</v>
      </c>
      <c r="H89">
        <f>COUNTIF('GPA Calculator'!$B$5:$B$98,G89)+COUNTIF('GPA Calculator'!$L$5:$L$98,G89)</f>
        <v>0</v>
      </c>
      <c r="J89">
        <v>3488</v>
      </c>
      <c r="K89">
        <f>COUNTIF('GPA Calculator'!$B$5:$B$98,J89)+COUNTIF('GPA Calculator'!$L$5:$L$98,J89)</f>
        <v>0</v>
      </c>
      <c r="M89">
        <v>4188</v>
      </c>
      <c r="N89">
        <f>COUNTIF('GPA Calculator'!$B$5:$B$98,M89)+COUNTIF('GPA Calculator'!$L$5:$L$98,M89)</f>
        <v>0</v>
      </c>
      <c r="P89">
        <v>4288</v>
      </c>
      <c r="Q89">
        <f>COUNTIF('GPA Calculator'!$B$5:$B$98,P89)+COUNTIF('GPA Calculator'!$L$5:$L$98,P89)</f>
        <v>0</v>
      </c>
      <c r="S89">
        <v>4388</v>
      </c>
      <c r="T89">
        <f>COUNTIF('GPA Calculator'!$B$5:$B$98,S89)+COUNTIF('GPA Calculator'!$L$5:$L$98,S89)</f>
        <v>0</v>
      </c>
      <c r="V89">
        <v>4488</v>
      </c>
      <c r="W89">
        <f>COUNTIF('GPA Calculator'!$B$5:$B$98,V89)+COUNTIF('GPA Calculator'!$L$5:$L$98,V89)</f>
        <v>0</v>
      </c>
    </row>
    <row r="90" spans="1:23" x14ac:dyDescent="0.25">
      <c r="A90">
        <v>3189</v>
      </c>
      <c r="B90">
        <f>COUNTIF('GPA Calculator'!$B$5:$B$98,A90)+COUNTIF('GPA Calculator'!$L$5:$L$98,A90)</f>
        <v>0</v>
      </c>
      <c r="D90">
        <v>3289</v>
      </c>
      <c r="E90">
        <f>COUNTIF('GPA Calculator'!$B$5:$B$98,D90)+COUNTIF('GPA Calculator'!$L$5:$L$98,D90)</f>
        <v>0</v>
      </c>
      <c r="G90">
        <v>3389</v>
      </c>
      <c r="H90">
        <f>COUNTIF('GPA Calculator'!$B$5:$B$98,G90)+COUNTIF('GPA Calculator'!$L$5:$L$98,G90)</f>
        <v>0</v>
      </c>
      <c r="J90">
        <v>3489</v>
      </c>
      <c r="K90">
        <f>COUNTIF('GPA Calculator'!$B$5:$B$98,J90)+COUNTIF('GPA Calculator'!$L$5:$L$98,J90)</f>
        <v>0</v>
      </c>
      <c r="M90">
        <v>4189</v>
      </c>
      <c r="N90">
        <f>COUNTIF('GPA Calculator'!$B$5:$B$98,M90)+COUNTIF('GPA Calculator'!$L$5:$L$98,M90)</f>
        <v>0</v>
      </c>
      <c r="P90">
        <v>4289</v>
      </c>
      <c r="Q90">
        <f>COUNTIF('GPA Calculator'!$B$5:$B$98,P90)+COUNTIF('GPA Calculator'!$L$5:$L$98,P90)</f>
        <v>0</v>
      </c>
      <c r="S90">
        <v>4389</v>
      </c>
      <c r="T90">
        <f>COUNTIF('GPA Calculator'!$B$5:$B$98,S90)+COUNTIF('GPA Calculator'!$L$5:$L$98,S90)</f>
        <v>0</v>
      </c>
      <c r="V90">
        <v>4489</v>
      </c>
      <c r="W90">
        <f>COUNTIF('GPA Calculator'!$B$5:$B$98,V90)+COUNTIF('GPA Calculator'!$L$5:$L$98,V90)</f>
        <v>0</v>
      </c>
    </row>
    <row r="91" spans="1:23" x14ac:dyDescent="0.25">
      <c r="A91">
        <v>3190</v>
      </c>
      <c r="B91">
        <f>COUNTIF('GPA Calculator'!$B$5:$B$98,A91)+COUNTIF('GPA Calculator'!$L$5:$L$98,A91)</f>
        <v>0</v>
      </c>
      <c r="D91">
        <v>3290</v>
      </c>
      <c r="E91">
        <f>COUNTIF('GPA Calculator'!$B$5:$B$98,D91)+COUNTIF('GPA Calculator'!$L$5:$L$98,D91)</f>
        <v>0</v>
      </c>
      <c r="G91">
        <v>3390</v>
      </c>
      <c r="H91">
        <f>COUNTIF('GPA Calculator'!$B$5:$B$98,G91)+COUNTIF('GPA Calculator'!$L$5:$L$98,G91)</f>
        <v>0</v>
      </c>
      <c r="J91">
        <v>3490</v>
      </c>
      <c r="K91">
        <f>COUNTIF('GPA Calculator'!$B$5:$B$98,J91)+COUNTIF('GPA Calculator'!$L$5:$L$98,J91)</f>
        <v>0</v>
      </c>
      <c r="M91">
        <v>4190</v>
      </c>
      <c r="N91">
        <f>COUNTIF('GPA Calculator'!$B$5:$B$98,M91)+COUNTIF('GPA Calculator'!$L$5:$L$98,M91)</f>
        <v>0</v>
      </c>
      <c r="P91">
        <v>4290</v>
      </c>
      <c r="Q91">
        <f>COUNTIF('GPA Calculator'!$B$5:$B$98,P91)+COUNTIF('GPA Calculator'!$L$5:$L$98,P91)</f>
        <v>0</v>
      </c>
      <c r="S91">
        <v>4390</v>
      </c>
      <c r="T91">
        <f>COUNTIF('GPA Calculator'!$B$5:$B$98,S91)+COUNTIF('GPA Calculator'!$L$5:$L$98,S91)</f>
        <v>0</v>
      </c>
      <c r="V91">
        <v>4490</v>
      </c>
      <c r="W91">
        <f>COUNTIF('GPA Calculator'!$B$5:$B$98,V91)+COUNTIF('GPA Calculator'!$L$5:$L$98,V91)</f>
        <v>0</v>
      </c>
    </row>
    <row r="92" spans="1:23" x14ac:dyDescent="0.25">
      <c r="A92">
        <v>3191</v>
      </c>
      <c r="B92">
        <f>COUNTIF('GPA Calculator'!$B$5:$B$98,A92)+COUNTIF('GPA Calculator'!$L$5:$L$98,A92)</f>
        <v>0</v>
      </c>
      <c r="D92">
        <v>3291</v>
      </c>
      <c r="E92">
        <f>COUNTIF('GPA Calculator'!$B$5:$B$98,D92)+COUNTIF('GPA Calculator'!$L$5:$L$98,D92)</f>
        <v>0</v>
      </c>
      <c r="G92">
        <v>3391</v>
      </c>
      <c r="H92">
        <f>COUNTIF('GPA Calculator'!$B$5:$B$98,G92)+COUNTIF('GPA Calculator'!$L$5:$L$98,G92)</f>
        <v>0</v>
      </c>
      <c r="J92">
        <v>3491</v>
      </c>
      <c r="K92">
        <f>COUNTIF('GPA Calculator'!$B$5:$B$98,J92)+COUNTIF('GPA Calculator'!$L$5:$L$98,J92)</f>
        <v>0</v>
      </c>
      <c r="M92">
        <v>4191</v>
      </c>
      <c r="N92">
        <f>COUNTIF('GPA Calculator'!$B$5:$B$98,M92)+COUNTIF('GPA Calculator'!$L$5:$L$98,M92)</f>
        <v>0</v>
      </c>
      <c r="P92">
        <v>4291</v>
      </c>
      <c r="Q92">
        <f>COUNTIF('GPA Calculator'!$B$5:$B$98,P92)+COUNTIF('GPA Calculator'!$L$5:$L$98,P92)</f>
        <v>0</v>
      </c>
      <c r="S92">
        <v>4391</v>
      </c>
      <c r="T92">
        <f>COUNTIF('GPA Calculator'!$B$5:$B$98,S92)+COUNTIF('GPA Calculator'!$L$5:$L$98,S92)</f>
        <v>0</v>
      </c>
      <c r="V92">
        <v>4491</v>
      </c>
      <c r="W92">
        <f>COUNTIF('GPA Calculator'!$B$5:$B$98,V92)+COUNTIF('GPA Calculator'!$L$5:$L$98,V92)</f>
        <v>0</v>
      </c>
    </row>
    <row r="93" spans="1:23" x14ac:dyDescent="0.25">
      <c r="A93">
        <v>3192</v>
      </c>
      <c r="B93">
        <f>COUNTIF('GPA Calculator'!$B$5:$B$98,A93)+COUNTIF('GPA Calculator'!$L$5:$L$98,A93)</f>
        <v>0</v>
      </c>
      <c r="D93">
        <v>3292</v>
      </c>
      <c r="E93">
        <f>COUNTIF('GPA Calculator'!$B$5:$B$98,D93)+COUNTIF('GPA Calculator'!$L$5:$L$98,D93)</f>
        <v>0</v>
      </c>
      <c r="G93">
        <v>3392</v>
      </c>
      <c r="H93">
        <f>COUNTIF('GPA Calculator'!$B$5:$B$98,G93)+COUNTIF('GPA Calculator'!$L$5:$L$98,G93)</f>
        <v>0</v>
      </c>
      <c r="J93">
        <v>3492</v>
      </c>
      <c r="K93">
        <f>COUNTIF('GPA Calculator'!$B$5:$B$98,J93)+COUNTIF('GPA Calculator'!$L$5:$L$98,J93)</f>
        <v>0</v>
      </c>
      <c r="M93">
        <v>4192</v>
      </c>
      <c r="N93">
        <f>COUNTIF('GPA Calculator'!$B$5:$B$98,M93)+COUNTIF('GPA Calculator'!$L$5:$L$98,M93)</f>
        <v>0</v>
      </c>
      <c r="P93">
        <v>4292</v>
      </c>
      <c r="Q93">
        <f>COUNTIF('GPA Calculator'!$B$5:$B$98,P93)+COUNTIF('GPA Calculator'!$L$5:$L$98,P93)</f>
        <v>0</v>
      </c>
      <c r="S93">
        <v>4392</v>
      </c>
      <c r="T93">
        <f>COUNTIF('GPA Calculator'!$B$5:$B$98,S93)+COUNTIF('GPA Calculator'!$L$5:$L$98,S93)</f>
        <v>0</v>
      </c>
      <c r="V93">
        <v>4492</v>
      </c>
      <c r="W93">
        <f>COUNTIF('GPA Calculator'!$B$5:$B$98,V93)+COUNTIF('GPA Calculator'!$L$5:$L$98,V93)</f>
        <v>0</v>
      </c>
    </row>
    <row r="94" spans="1:23" x14ac:dyDescent="0.25">
      <c r="A94">
        <v>3193</v>
      </c>
      <c r="B94">
        <f>COUNTIF('GPA Calculator'!$B$5:$B$98,A94)+COUNTIF('GPA Calculator'!$L$5:$L$98,A94)</f>
        <v>0</v>
      </c>
      <c r="D94">
        <v>3293</v>
      </c>
      <c r="E94">
        <f>COUNTIF('GPA Calculator'!$B$5:$B$98,D94)+COUNTIF('GPA Calculator'!$L$5:$L$98,D94)</f>
        <v>0</v>
      </c>
      <c r="G94">
        <v>3393</v>
      </c>
      <c r="H94">
        <f>COUNTIF('GPA Calculator'!$B$5:$B$98,G94)+COUNTIF('GPA Calculator'!$L$5:$L$98,G94)</f>
        <v>0</v>
      </c>
      <c r="J94">
        <v>3493</v>
      </c>
      <c r="K94">
        <f>COUNTIF('GPA Calculator'!$B$5:$B$98,J94)+COUNTIF('GPA Calculator'!$L$5:$L$98,J94)</f>
        <v>0</v>
      </c>
      <c r="M94">
        <v>4193</v>
      </c>
      <c r="N94">
        <f>COUNTIF('GPA Calculator'!$B$5:$B$98,M94)+COUNTIF('GPA Calculator'!$L$5:$L$98,M94)</f>
        <v>0</v>
      </c>
      <c r="P94">
        <v>4293</v>
      </c>
      <c r="Q94">
        <f>COUNTIF('GPA Calculator'!$B$5:$B$98,P94)+COUNTIF('GPA Calculator'!$L$5:$L$98,P94)</f>
        <v>0</v>
      </c>
      <c r="S94">
        <v>4393</v>
      </c>
      <c r="T94">
        <f>COUNTIF('GPA Calculator'!$B$5:$B$98,S94)+COUNTIF('GPA Calculator'!$L$5:$L$98,S94)</f>
        <v>0</v>
      </c>
      <c r="V94">
        <v>4493</v>
      </c>
      <c r="W94">
        <f>COUNTIF('GPA Calculator'!$B$5:$B$98,V94)+COUNTIF('GPA Calculator'!$L$5:$L$98,V94)</f>
        <v>0</v>
      </c>
    </row>
    <row r="95" spans="1:23" x14ac:dyDescent="0.25">
      <c r="A95">
        <v>3194</v>
      </c>
      <c r="B95">
        <f>COUNTIF('GPA Calculator'!$B$5:$B$98,A95)+COUNTIF('GPA Calculator'!$L$5:$L$98,A95)</f>
        <v>0</v>
      </c>
      <c r="D95">
        <v>3294</v>
      </c>
      <c r="E95">
        <f>COUNTIF('GPA Calculator'!$B$5:$B$98,D95)+COUNTIF('GPA Calculator'!$L$5:$L$98,D95)</f>
        <v>0</v>
      </c>
      <c r="G95">
        <v>3394</v>
      </c>
      <c r="H95">
        <f>COUNTIF('GPA Calculator'!$B$5:$B$98,G95)+COUNTIF('GPA Calculator'!$L$5:$L$98,G95)</f>
        <v>0</v>
      </c>
      <c r="J95">
        <v>3494</v>
      </c>
      <c r="K95">
        <f>COUNTIF('GPA Calculator'!$B$5:$B$98,J95)+COUNTIF('GPA Calculator'!$L$5:$L$98,J95)</f>
        <v>0</v>
      </c>
      <c r="M95">
        <v>4194</v>
      </c>
      <c r="N95">
        <f>COUNTIF('GPA Calculator'!$B$5:$B$98,M95)+COUNTIF('GPA Calculator'!$L$5:$L$98,M95)</f>
        <v>0</v>
      </c>
      <c r="P95">
        <v>4294</v>
      </c>
      <c r="Q95">
        <f>COUNTIF('GPA Calculator'!$B$5:$B$98,P95)+COUNTIF('GPA Calculator'!$L$5:$L$98,P95)</f>
        <v>0</v>
      </c>
      <c r="S95">
        <v>4394</v>
      </c>
      <c r="T95">
        <f>COUNTIF('GPA Calculator'!$B$5:$B$98,S95)+COUNTIF('GPA Calculator'!$L$5:$L$98,S95)</f>
        <v>0</v>
      </c>
      <c r="V95">
        <v>4494</v>
      </c>
      <c r="W95">
        <f>COUNTIF('GPA Calculator'!$B$5:$B$98,V95)+COUNTIF('GPA Calculator'!$L$5:$L$98,V95)</f>
        <v>0</v>
      </c>
    </row>
    <row r="96" spans="1:23" x14ac:dyDescent="0.25">
      <c r="A96">
        <v>3195</v>
      </c>
      <c r="B96">
        <f>COUNTIF('GPA Calculator'!$B$5:$B$98,A96)+COUNTIF('GPA Calculator'!$L$5:$L$98,A96)</f>
        <v>0</v>
      </c>
      <c r="D96">
        <v>3295</v>
      </c>
      <c r="E96">
        <f>COUNTIF('GPA Calculator'!$B$5:$B$98,D96)+COUNTIF('GPA Calculator'!$L$5:$L$98,D96)</f>
        <v>0</v>
      </c>
      <c r="G96">
        <v>3395</v>
      </c>
      <c r="H96">
        <f>COUNTIF('GPA Calculator'!$B$5:$B$98,G96)+COUNTIF('GPA Calculator'!$L$5:$L$98,G96)</f>
        <v>0</v>
      </c>
      <c r="J96">
        <v>3495</v>
      </c>
      <c r="K96">
        <f>COUNTIF('GPA Calculator'!$B$5:$B$98,J96)+COUNTIF('GPA Calculator'!$L$5:$L$98,J96)</f>
        <v>0</v>
      </c>
      <c r="M96">
        <v>4195</v>
      </c>
      <c r="N96">
        <f>COUNTIF('GPA Calculator'!$B$5:$B$98,M96)+COUNTIF('GPA Calculator'!$L$5:$L$98,M96)</f>
        <v>0</v>
      </c>
      <c r="P96">
        <v>4295</v>
      </c>
      <c r="Q96">
        <f>COUNTIF('GPA Calculator'!$B$5:$B$98,P96)+COUNTIF('GPA Calculator'!$L$5:$L$98,P96)</f>
        <v>0</v>
      </c>
      <c r="S96">
        <v>4395</v>
      </c>
      <c r="T96">
        <f>COUNTIF('GPA Calculator'!$B$5:$B$98,S96)+COUNTIF('GPA Calculator'!$L$5:$L$98,S96)</f>
        <v>0</v>
      </c>
      <c r="V96">
        <v>4495</v>
      </c>
      <c r="W96">
        <f>COUNTIF('GPA Calculator'!$B$5:$B$98,V96)+COUNTIF('GPA Calculator'!$L$5:$L$98,V96)</f>
        <v>0</v>
      </c>
    </row>
    <row r="97" spans="1:24" x14ac:dyDescent="0.25">
      <c r="A97">
        <v>3196</v>
      </c>
      <c r="B97">
        <f>COUNTIF('GPA Calculator'!$B$5:$B$98,A97)+COUNTIF('GPA Calculator'!$L$5:$L$98,A97)</f>
        <v>0</v>
      </c>
      <c r="D97">
        <v>3296</v>
      </c>
      <c r="E97">
        <f>COUNTIF('GPA Calculator'!$B$5:$B$98,D97)+COUNTIF('GPA Calculator'!$L$5:$L$98,D97)</f>
        <v>0</v>
      </c>
      <c r="G97">
        <v>3396</v>
      </c>
      <c r="H97">
        <f>COUNTIF('GPA Calculator'!$B$5:$B$98,G97)+COUNTIF('GPA Calculator'!$L$5:$L$98,G97)</f>
        <v>0</v>
      </c>
      <c r="J97">
        <v>3496</v>
      </c>
      <c r="K97">
        <f>COUNTIF('GPA Calculator'!$B$5:$B$98,J97)+COUNTIF('GPA Calculator'!$L$5:$L$98,J97)</f>
        <v>0</v>
      </c>
      <c r="M97">
        <v>4196</v>
      </c>
      <c r="N97">
        <f>COUNTIF('GPA Calculator'!$B$5:$B$98,M97)+COUNTIF('GPA Calculator'!$L$5:$L$98,M97)</f>
        <v>0</v>
      </c>
      <c r="P97">
        <v>4296</v>
      </c>
      <c r="Q97">
        <f>COUNTIF('GPA Calculator'!$B$5:$B$98,P97)+COUNTIF('GPA Calculator'!$L$5:$L$98,P97)</f>
        <v>0</v>
      </c>
      <c r="S97">
        <v>4396</v>
      </c>
      <c r="T97">
        <f>COUNTIF('GPA Calculator'!$B$5:$B$98,S97)+COUNTIF('GPA Calculator'!$L$5:$L$98,S97)</f>
        <v>0</v>
      </c>
      <c r="V97">
        <v>4496</v>
      </c>
      <c r="W97">
        <f>COUNTIF('GPA Calculator'!$B$5:$B$98,V97)+COUNTIF('GPA Calculator'!$L$5:$L$98,V97)</f>
        <v>0</v>
      </c>
    </row>
    <row r="98" spans="1:24" x14ac:dyDescent="0.25">
      <c r="A98">
        <v>3197</v>
      </c>
      <c r="B98">
        <f>COUNTIF('GPA Calculator'!$B$5:$B$98,A98)+COUNTIF('GPA Calculator'!$L$5:$L$98,A98)</f>
        <v>0</v>
      </c>
      <c r="D98">
        <v>3297</v>
      </c>
      <c r="E98">
        <f>COUNTIF('GPA Calculator'!$B$5:$B$98,D98)+COUNTIF('GPA Calculator'!$L$5:$L$98,D98)</f>
        <v>0</v>
      </c>
      <c r="G98">
        <v>3397</v>
      </c>
      <c r="H98">
        <f>COUNTIF('GPA Calculator'!$B$5:$B$98,G98)+COUNTIF('GPA Calculator'!$L$5:$L$98,G98)</f>
        <v>0</v>
      </c>
      <c r="J98">
        <v>3497</v>
      </c>
      <c r="K98">
        <f>COUNTIF('GPA Calculator'!$B$5:$B$98,J98)+COUNTIF('GPA Calculator'!$L$5:$L$98,J98)</f>
        <v>0</v>
      </c>
      <c r="M98">
        <v>4197</v>
      </c>
      <c r="N98">
        <f>COUNTIF('GPA Calculator'!$B$5:$B$98,M98)+COUNTIF('GPA Calculator'!$L$5:$L$98,M98)</f>
        <v>0</v>
      </c>
      <c r="P98">
        <v>4297</v>
      </c>
      <c r="Q98">
        <f>COUNTIF('GPA Calculator'!$B$5:$B$98,P98)+COUNTIF('GPA Calculator'!$L$5:$L$98,P98)</f>
        <v>0</v>
      </c>
      <c r="S98">
        <v>4397</v>
      </c>
      <c r="T98">
        <f>COUNTIF('GPA Calculator'!$B$5:$B$98,S98)+COUNTIF('GPA Calculator'!$L$5:$L$98,S98)</f>
        <v>0</v>
      </c>
      <c r="V98">
        <v>4497</v>
      </c>
      <c r="W98">
        <f>COUNTIF('GPA Calculator'!$B$5:$B$98,V98)+COUNTIF('GPA Calculator'!$L$5:$L$98,V98)</f>
        <v>0</v>
      </c>
    </row>
    <row r="99" spans="1:24" x14ac:dyDescent="0.25">
      <c r="A99">
        <v>3198</v>
      </c>
      <c r="B99">
        <f>COUNTIF('GPA Calculator'!$B$5:$B$98,A99)+COUNTIF('GPA Calculator'!$L$5:$L$98,A99)</f>
        <v>0</v>
      </c>
      <c r="D99">
        <v>3298</v>
      </c>
      <c r="E99">
        <f>COUNTIF('GPA Calculator'!$B$5:$B$98,D99)+COUNTIF('GPA Calculator'!$L$5:$L$98,D99)</f>
        <v>0</v>
      </c>
      <c r="G99">
        <v>3398</v>
      </c>
      <c r="H99">
        <f>COUNTIF('GPA Calculator'!$B$5:$B$98,G99)+COUNTIF('GPA Calculator'!$L$5:$L$98,G99)</f>
        <v>0</v>
      </c>
      <c r="J99">
        <v>3498</v>
      </c>
      <c r="K99">
        <f>COUNTIF('GPA Calculator'!$B$5:$B$98,J99)+COUNTIF('GPA Calculator'!$L$5:$L$98,J99)</f>
        <v>0</v>
      </c>
      <c r="M99">
        <v>4198</v>
      </c>
      <c r="N99">
        <f>COUNTIF('GPA Calculator'!$B$5:$B$98,M99)+COUNTIF('GPA Calculator'!$L$5:$L$98,M99)</f>
        <v>0</v>
      </c>
      <c r="P99">
        <v>4298</v>
      </c>
      <c r="Q99">
        <f>COUNTIF('GPA Calculator'!$B$5:$B$98,P99)+COUNTIF('GPA Calculator'!$L$5:$L$98,P99)</f>
        <v>0</v>
      </c>
      <c r="S99">
        <v>4398</v>
      </c>
      <c r="T99">
        <f>COUNTIF('GPA Calculator'!$B$5:$B$98,S99)+COUNTIF('GPA Calculator'!$L$5:$L$98,S99)</f>
        <v>0</v>
      </c>
      <c r="V99">
        <v>4498</v>
      </c>
      <c r="W99">
        <f>COUNTIF('GPA Calculator'!$B$5:$B$98,V99)+COUNTIF('GPA Calculator'!$L$5:$L$98,V99)</f>
        <v>0</v>
      </c>
    </row>
    <row r="100" spans="1:24" x14ac:dyDescent="0.25">
      <c r="A100">
        <v>3199</v>
      </c>
      <c r="B100">
        <f>COUNTIF('GPA Calculator'!$B$5:$B$98,A100)+COUNTIF('GPA Calculator'!$L$5:$L$98,A100)</f>
        <v>0</v>
      </c>
      <c r="D100">
        <v>3299</v>
      </c>
      <c r="E100">
        <f>COUNTIF('GPA Calculator'!$B$5:$B$98,D100)+COUNTIF('GPA Calculator'!$L$5:$L$98,D100)</f>
        <v>0</v>
      </c>
      <c r="G100">
        <v>3399</v>
      </c>
      <c r="H100">
        <f>COUNTIF('GPA Calculator'!$B$5:$B$98,G100)+COUNTIF('GPA Calculator'!$L$5:$L$98,G100)</f>
        <v>0</v>
      </c>
      <c r="J100">
        <v>3499</v>
      </c>
      <c r="K100">
        <f>COUNTIF('GPA Calculator'!$B$5:$B$98,J100)+COUNTIF('GPA Calculator'!$L$5:$L$98,J100)</f>
        <v>0</v>
      </c>
      <c r="M100">
        <v>4199</v>
      </c>
      <c r="N100">
        <f>COUNTIF('GPA Calculator'!$B$5:$B$98,M100)+COUNTIF('GPA Calculator'!$L$5:$L$98,M100)</f>
        <v>0</v>
      </c>
      <c r="P100">
        <v>4299</v>
      </c>
      <c r="Q100">
        <f>COUNTIF('GPA Calculator'!$B$5:$B$98,P100)+COUNTIF('GPA Calculator'!$L$5:$L$98,P100)</f>
        <v>0</v>
      </c>
      <c r="S100">
        <v>4399</v>
      </c>
      <c r="T100">
        <f>COUNTIF('GPA Calculator'!$B$5:$B$98,S100)+COUNTIF('GPA Calculator'!$L$5:$L$98,S100)</f>
        <v>0</v>
      </c>
      <c r="V100">
        <v>4499</v>
      </c>
      <c r="W100">
        <f>COUNTIF('GPA Calculator'!$B$5:$B$98,V100)+COUNTIF('GPA Calculator'!$L$5:$L$98,V100)</f>
        <v>0</v>
      </c>
    </row>
    <row r="101" spans="1:24" x14ac:dyDescent="0.25">
      <c r="B101">
        <f>SUM(B1:B100)</f>
        <v>0</v>
      </c>
      <c r="E101">
        <f>SUM(E1:E100)*2</f>
        <v>0</v>
      </c>
      <c r="H101">
        <f>SUM(H1:H100)*3</f>
        <v>0</v>
      </c>
      <c r="K101">
        <f>SUM(K1:K100)*4</f>
        <v>0</v>
      </c>
      <c r="N101">
        <f>SUM(N1:N100)</f>
        <v>0</v>
      </c>
      <c r="Q101">
        <f>SUM(Q1:Q100)*2</f>
        <v>0</v>
      </c>
      <c r="T101">
        <f>SUM(T1:T100)*3</f>
        <v>0</v>
      </c>
      <c r="W101">
        <f>SUM(W1:W100)*4</f>
        <v>0</v>
      </c>
      <c r="X101">
        <f>SUM(B101:W101)</f>
        <v>0</v>
      </c>
    </row>
  </sheetData>
  <sheetProtection password="D0A3" sheet="1" objects="1" scenarios="1" select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Instructions</vt:lpstr>
      <vt:lpstr>GPA Calculator</vt:lpstr>
      <vt:lpstr>GPA Formulas</vt:lpstr>
      <vt:lpstr>BCMP GPA Calc</vt:lpstr>
      <vt:lpstr>Upper-level Calcs</vt:lpstr>
      <vt:lpstr>'GPA Calculator'!Print_Area</vt:lpstr>
    </vt:vector>
  </TitlesOfParts>
  <Company>Baylor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Academic Planner &amp; GPA Calculator</dc:title>
  <dc:creator>Robert J Shipp Jr</dc:creator>
  <cp:lastModifiedBy>Shipp, Bob</cp:lastModifiedBy>
  <cp:lastPrinted>2014-06-09T17:11:51Z</cp:lastPrinted>
  <dcterms:created xsi:type="dcterms:W3CDTF">2011-04-19T13:48:42Z</dcterms:created>
  <dcterms:modified xsi:type="dcterms:W3CDTF">2014-06-09T17:23:49Z</dcterms:modified>
</cp:coreProperties>
</file>