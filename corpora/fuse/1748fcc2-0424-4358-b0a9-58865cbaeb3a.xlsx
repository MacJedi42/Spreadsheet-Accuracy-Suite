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F:\Common\DEV SERVICES\Staff\NMcKinney\NEW REPORTS FOR STARTS\2014\SEPTEMBER 2014\"/>
    </mc:Choice>
  </mc:AlternateContent>
  <workbookProtection workbookAlgorithmName="SHA-512" workbookHashValue="/8tc3AEXGS7j5/CQROGxQf1hnWNiJjHJUYrAxJMoj4Q8fKTN/fAvbsWfc0Vkgy9o9tVEXpXHQURHVSy0uFOZRQ==" workbookSaltValue="lj0rgxTUdFnhl0lUgLrv/A==" workbookSpinCount="100000" lockStructure="1"/>
  <bookViews>
    <workbookView xWindow="2025" yWindow="660" windowWidth="25215" windowHeight="15405"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B463" i="5" l="1"/>
  <c r="B462" i="5"/>
  <c r="B280" i="5"/>
  <c r="B207" i="5"/>
  <c r="N68" i="2"/>
  <c r="B68" i="2"/>
  <c r="M59" i="8"/>
  <c r="B59" i="8"/>
</calcChain>
</file>

<file path=xl/sharedStrings.xml><?xml version="1.0" encoding="utf-8"?>
<sst xmlns="http://schemas.openxmlformats.org/spreadsheetml/2006/main" count="2367" uniqueCount="578">
  <si>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</si>
  <si>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</si>
  <si>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</si>
  <si>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</si>
  <si>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</si>
  <si>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</si>
  <si>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</si>
  <si>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</si>
  <si>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</si>
  <si>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</si>
  <si>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</si>
  <si>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</si>
  <si>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</si>
  <si>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</si>
  <si>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</si>
  <si>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</si>
  <si>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</si>
  <si>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</si>
  <si>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</si>
  <si>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</si>
  <si>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</si>
  <si>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</si>
  <si>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</si>
  <si>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</si>
  <si>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</si>
  <si>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</si>
  <si>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</si>
  <si>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</si>
  <si>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</si>
  <si>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</si>
  <si>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</si>
  <si>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</si>
  <si>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</si>
  <si>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</si>
  <si>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</si>
  <si>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</si>
  <si>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</si>
  <si>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</si>
  <si>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</si>
  <si>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</si>
  <si>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</si>
  <si>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</si>
  <si>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</si>
  <si>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</si>
  <si>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</si>
  <si>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</si>
  <si>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</si>
  <si>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</si>
  <si>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LP</t>
  </si>
  <si>
    <t>AP</t>
  </si>
  <si>
    <t>NE</t>
  </si>
  <si>
    <t>HS33</t>
  </si>
  <si>
    <t>SLG HOLDINGS</t>
  </si>
  <si>
    <t>LC</t>
  </si>
  <si>
    <t>LLANO VISTA</t>
  </si>
  <si>
    <t>CT</t>
  </si>
  <si>
    <t>MV2</t>
  </si>
  <si>
    <t>PULTE DEVELOPMENT NEW MEXICO,</t>
  </si>
  <si>
    <t>LOS ALTOS</t>
  </si>
  <si>
    <t>AVE</t>
  </si>
  <si>
    <t>PA3</t>
  </si>
  <si>
    <t>DR</t>
  </si>
  <si>
    <t>PA2</t>
  </si>
  <si>
    <t>LN</t>
  </si>
  <si>
    <t>TC1</t>
  </si>
  <si>
    <t>LE</t>
  </si>
  <si>
    <t>RD</t>
  </si>
  <si>
    <t>SW</t>
  </si>
  <si>
    <t>U08</t>
  </si>
  <si>
    <t>PC</t>
  </si>
  <si>
    <t>OCO</t>
  </si>
  <si>
    <t>TIWA</t>
  </si>
  <si>
    <t>OH</t>
  </si>
  <si>
    <t>STILLBROOKE HOMES INC</t>
  </si>
  <si>
    <t>SFR</t>
  </si>
  <si>
    <t>ST</t>
  </si>
  <si>
    <t>U17</t>
  </si>
  <si>
    <t>DRH SOUTHWEST CONST. INC</t>
  </si>
  <si>
    <t>U20</t>
  </si>
  <si>
    <t>CASA VERDE BUILDERS</t>
  </si>
  <si>
    <t>NACELLE</t>
  </si>
  <si>
    <t>CN2</t>
  </si>
  <si>
    <t>SOUTHERN</t>
  </si>
  <si>
    <t>BLVD</t>
  </si>
  <si>
    <t>SE</t>
  </si>
  <si>
    <t>U10</t>
  </si>
  <si>
    <t>OWNER BUILDER</t>
  </si>
  <si>
    <t>U16</t>
  </si>
  <si>
    <t>CIR</t>
  </si>
  <si>
    <t>6TH</t>
  </si>
  <si>
    <t>U11</t>
  </si>
  <si>
    <t>SFR
TOTAL</t>
  </si>
  <si>
    <t>VALUATION
TOTAL</t>
  </si>
  <si>
    <t>AR</t>
  </si>
  <si>
    <t>CEDH3</t>
  </si>
  <si>
    <t>BLUEBERRY</t>
  </si>
  <si>
    <t>NH09</t>
  </si>
  <si>
    <t>VH3</t>
  </si>
  <si>
    <t>CH</t>
  </si>
  <si>
    <t>EH1</t>
  </si>
  <si>
    <t>GROFF LUMBER</t>
  </si>
  <si>
    <t>GARR</t>
  </si>
  <si>
    <t>POOL</t>
  </si>
  <si>
    <t>RRF</t>
  </si>
  <si>
    <t>CN1</t>
  </si>
  <si>
    <t>CLEARWATER</t>
  </si>
  <si>
    <t>CHERRY HILLS CONST.</t>
  </si>
  <si>
    <t>CEDH2</t>
  </si>
  <si>
    <t>HIGH DESERT</t>
  </si>
  <si>
    <t>NH14</t>
  </si>
  <si>
    <t>AAA ROOFING CO</t>
  </si>
  <si>
    <t>PLATINUM</t>
  </si>
  <si>
    <t>RHINO ROOFING</t>
  </si>
  <si>
    <t>SHED</t>
  </si>
  <si>
    <t>26TH</t>
  </si>
  <si>
    <t>SR</t>
  </si>
  <si>
    <t>PL</t>
  </si>
  <si>
    <t>ADDITION
TOTAL</t>
  </si>
  <si>
    <t>CS</t>
  </si>
  <si>
    <t>NCOM</t>
  </si>
  <si>
    <t>ENCHANTED HILLS</t>
  </si>
  <si>
    <t>OUT TO BID</t>
  </si>
  <si>
    <t>NM HIGHWAY 528</t>
  </si>
  <si>
    <t>RCOM</t>
  </si>
  <si>
    <t>TANGLEWOOD CONSTRUCTION</t>
  </si>
  <si>
    <t>C</t>
  </si>
  <si>
    <t>ZENITH</t>
  </si>
  <si>
    <t>BTC</t>
  </si>
  <si>
    <t>A</t>
  </si>
  <si>
    <t>TCOM</t>
  </si>
  <si>
    <t>2ND</t>
  </si>
  <si>
    <t>CN2A</t>
  </si>
  <si>
    <t>6A</t>
  </si>
  <si>
    <t>SKAGWAY</t>
  </si>
  <si>
    <t>LE3A</t>
  </si>
  <si>
    <t>VHW1</t>
  </si>
  <si>
    <t>VISTA ESTE</t>
  </si>
  <si>
    <t>WRANGELL</t>
  </si>
  <si>
    <t>LE4A</t>
  </si>
  <si>
    <t>IPE</t>
  </si>
  <si>
    <t>MONTERREY</t>
  </si>
  <si>
    <t>VISTA DE COLINAS</t>
  </si>
  <si>
    <t>ADE</t>
  </si>
  <si>
    <t>ALBOR</t>
  </si>
  <si>
    <t>STARS</t>
  </si>
  <si>
    <t>ARKANSAS</t>
  </si>
  <si>
    <t>FREEMONT HILLS</t>
  </si>
  <si>
    <t>EH7</t>
  </si>
  <si>
    <t>VH1</t>
  </si>
  <si>
    <t>REDWOOD</t>
  </si>
  <si>
    <t>TDS</t>
  </si>
  <si>
    <t>SALT RIVER</t>
  </si>
  <si>
    <t>TOS</t>
  </si>
  <si>
    <t>LCE4</t>
  </si>
  <si>
    <t>Tr</t>
  </si>
  <si>
    <t>CABZ</t>
  </si>
  <si>
    <t>CEREZA</t>
  </si>
  <si>
    <t>SICOMORO</t>
  </si>
  <si>
    <t>OSPREY</t>
  </si>
  <si>
    <t>PUENTA ALTO</t>
  </si>
  <si>
    <t>TR</t>
  </si>
  <si>
    <t>VISTA LARGA</t>
  </si>
  <si>
    <t>ROOSTER POINT</t>
  </si>
  <si>
    <t>RLEM2</t>
  </si>
  <si>
    <t>ICARIAN</t>
  </si>
  <si>
    <t>KAFKA</t>
  </si>
  <si>
    <t>SUMMERTREE HOME INC.</t>
  </si>
  <si>
    <t>CRESCENT CUSTOM HOMES, INC.</t>
  </si>
  <si>
    <t>ONIES</t>
  </si>
  <si>
    <t>12TH</t>
  </si>
  <si>
    <t>16B</t>
  </si>
  <si>
    <t>DELFINIO</t>
  </si>
  <si>
    <t>NORTH POLE</t>
  </si>
  <si>
    <t>SAN JUAN DE RIO</t>
  </si>
  <si>
    <t>SPYGLASS</t>
  </si>
  <si>
    <t>EST1</t>
  </si>
  <si>
    <t>PALADIN</t>
  </si>
  <si>
    <t>MONTREAL</t>
  </si>
  <si>
    <t>PEARL</t>
  </si>
  <si>
    <t>NMED2</t>
  </si>
  <si>
    <t>9TH</t>
  </si>
  <si>
    <t>COLINA SERENA</t>
  </si>
  <si>
    <t>LCE2</t>
  </si>
  <si>
    <t>NEW COMMERCIAL</t>
  </si>
  <si>
    <t>COMMERCIAL REMODEL/INTERIOR TENANT IMPROVEMENT</t>
  </si>
  <si>
    <t>G1</t>
  </si>
  <si>
    <t>A1A1</t>
  </si>
  <si>
    <t>TELECOMMUNICATION</t>
  </si>
  <si>
    <t>ELEC</t>
  </si>
  <si>
    <t>LASER</t>
  </si>
  <si>
    <t>VH4</t>
  </si>
  <si>
    <t>B</t>
  </si>
  <si>
    <t>1A1</t>
  </si>
  <si>
    <t>MEADOWLARK</t>
  </si>
  <si>
    <t>H</t>
  </si>
  <si>
    <t>TR B</t>
  </si>
  <si>
    <t>CCCEH</t>
  </si>
  <si>
    <t>E</t>
  </si>
  <si>
    <t>ROCKAWAY</t>
  </si>
  <si>
    <t>IPW</t>
  </si>
  <si>
    <t>UNSER</t>
  </si>
  <si>
    <t>5A</t>
  </si>
  <si>
    <t>CABE</t>
  </si>
  <si>
    <t>WELLSPRING</t>
  </si>
  <si>
    <t>ELER</t>
  </si>
  <si>
    <t>ABRAZO</t>
  </si>
  <si>
    <t>U13</t>
  </si>
  <si>
    <t>BAYAS</t>
  </si>
  <si>
    <t>YDE</t>
  </si>
  <si>
    <t>BLACK HAWK</t>
  </si>
  <si>
    <t>CN3</t>
  </si>
  <si>
    <t>CROWN</t>
  </si>
  <si>
    <t>WAPR</t>
  </si>
  <si>
    <t>EL CAMINO</t>
  </si>
  <si>
    <t>CCRS</t>
  </si>
  <si>
    <t>GRANDE</t>
  </si>
  <si>
    <t>4A</t>
  </si>
  <si>
    <t>RH2</t>
  </si>
  <si>
    <t>1A</t>
  </si>
  <si>
    <t>JACOB'S</t>
  </si>
  <si>
    <t>CLN3</t>
  </si>
  <si>
    <t>JEFFREY</t>
  </si>
  <si>
    <t>NH08</t>
  </si>
  <si>
    <t>KALGAN</t>
  </si>
  <si>
    <t>MIRADOR</t>
  </si>
  <si>
    <t>MDS</t>
  </si>
  <si>
    <t>REDONDO PEAK</t>
  </si>
  <si>
    <t>REDONDO SANTA FE</t>
  </si>
  <si>
    <t>VDSF</t>
  </si>
  <si>
    <t>EH13A</t>
  </si>
  <si>
    <t>STALLION</t>
  </si>
  <si>
    <t>STONY MEADOWS</t>
  </si>
  <si>
    <t>NMED9</t>
  </si>
  <si>
    <t>WALSH</t>
  </si>
  <si>
    <t>WILDER</t>
  </si>
  <si>
    <t>RRDG</t>
  </si>
  <si>
    <t>OAK</t>
  </si>
  <si>
    <t>CEDH</t>
  </si>
  <si>
    <t>11TH</t>
  </si>
  <si>
    <t>U07</t>
  </si>
  <si>
    <t>21ST</t>
  </si>
  <si>
    <t>23RD</t>
  </si>
  <si>
    <t>33RD</t>
  </si>
  <si>
    <t>15A</t>
  </si>
  <si>
    <t>ETPR</t>
  </si>
  <si>
    <t>NOME</t>
  </si>
  <si>
    <t>LE3B</t>
  </si>
  <si>
    <t>REDONDO SIERRA</t>
  </si>
  <si>
    <t>SVM</t>
  </si>
  <si>
    <t>MECHANICAL</t>
  </si>
  <si>
    <t>MECC</t>
  </si>
  <si>
    <t>MECR</t>
  </si>
  <si>
    <t>BLACK RIVER</t>
  </si>
  <si>
    <t>CN2R1</t>
  </si>
  <si>
    <t>18A</t>
  </si>
  <si>
    <t>AS</t>
  </si>
  <si>
    <t>LITTLER</t>
  </si>
  <si>
    <t>PHW</t>
  </si>
  <si>
    <t>PALO ALTO</t>
  </si>
  <si>
    <t>WESTERN HILLS</t>
  </si>
  <si>
    <t>WH</t>
  </si>
  <si>
    <t>WILKES</t>
  </si>
  <si>
    <t>TRIN</t>
  </si>
  <si>
    <t>MECHANICAL
TOTAL</t>
  </si>
  <si>
    <t>PLUMBING</t>
  </si>
  <si>
    <t>PLMC</t>
  </si>
  <si>
    <t>NORTHERN</t>
  </si>
  <si>
    <t>UPVN</t>
  </si>
  <si>
    <t>3A</t>
  </si>
  <si>
    <t>WESTSIDE</t>
  </si>
  <si>
    <t>PLMR</t>
  </si>
  <si>
    <t>EH3</t>
  </si>
  <si>
    <t>BRAZOS</t>
  </si>
  <si>
    <t>COUNTRY CLUB</t>
  </si>
  <si>
    <t>CCV</t>
  </si>
  <si>
    <t>SPW</t>
  </si>
  <si>
    <t>SARA</t>
  </si>
  <si>
    <t>DIAMOND PEAK</t>
  </si>
  <si>
    <t>HERMIT FALLS</t>
  </si>
  <si>
    <t>HRV2</t>
  </si>
  <si>
    <t>KIVA</t>
  </si>
  <si>
    <t>LANDING</t>
  </si>
  <si>
    <t>LAS RAMBLAS</t>
  </si>
  <si>
    <t>LEE</t>
  </si>
  <si>
    <t>NH05</t>
  </si>
  <si>
    <t>LOS MIRADORES</t>
  </si>
  <si>
    <t>MOSCA</t>
  </si>
  <si>
    <t>MOUNTAIN HAWK</t>
  </si>
  <si>
    <t>GLDNW</t>
  </si>
  <si>
    <t>TR F</t>
  </si>
  <si>
    <t>PHN2</t>
  </si>
  <si>
    <t>EH2</t>
  </si>
  <si>
    <t>LCE3</t>
  </si>
  <si>
    <t>REBECCA</t>
  </si>
  <si>
    <t>NH13</t>
  </si>
  <si>
    <t>ROCK</t>
  </si>
  <si>
    <t>SANDIA</t>
  </si>
  <si>
    <t>NMED11</t>
  </si>
  <si>
    <t>TIFFANY</t>
  </si>
  <si>
    <t>TIFFIN MEADOWS</t>
  </si>
  <si>
    <t>NMED7</t>
  </si>
  <si>
    <t>CCH</t>
  </si>
  <si>
    <t>RH</t>
  </si>
  <si>
    <t>35TH</t>
  </si>
  <si>
    <t>4TH</t>
  </si>
  <si>
    <t>PLUMBING
TOTAL</t>
  </si>
  <si>
    <t>TRADES
TOTAL</t>
  </si>
  <si>
    <t>SEPTEMBER 2014 SINGLE FAMILY RESIDENTIAL STARTS</t>
  </si>
  <si>
    <t>SEPTEMBER 2014 RESIDENTIAL ADDITIONS</t>
  </si>
  <si>
    <t>SEPTEMBER 2014 NON-RESIDENTIAL DATA</t>
  </si>
  <si>
    <t>SEPTEMBER 2014 MULTI-FAMILY</t>
  </si>
  <si>
    <t>SEPTEMBER</t>
  </si>
  <si>
    <t>SEPTEMBER 2014 TRADE PERMITS (ELECTRICAL, MECHANICAL, PLUMBING)</t>
  </si>
  <si>
    <t>ARCHIBEQUE</t>
  </si>
  <si>
    <t>CHAMPION WINDOW CO. OF</t>
  </si>
  <si>
    <t>P&amp;M CONCRETE CONST.</t>
  </si>
  <si>
    <t>HUNTERS MEADOWS</t>
  </si>
  <si>
    <t>SWIFT BUILT OF NEW MEXICO, LLC</t>
  </si>
  <si>
    <t>NAGOYA</t>
  </si>
  <si>
    <t>TWIN BUILDERS CUSTOM HOMES INC</t>
  </si>
  <si>
    <t>NIGHTGLOW</t>
  </si>
  <si>
    <t>U12</t>
  </si>
  <si>
    <t>PEACEFUL MEADOWS</t>
  </si>
  <si>
    <t>VHW2</t>
  </si>
  <si>
    <t>RB CONTRACTORS LLC</t>
  </si>
  <si>
    <t>TIERRA ABIERTA</t>
  </si>
  <si>
    <t>LCE7B</t>
  </si>
  <si>
    <t>FULL MEASURE LLC DBA SANDIA SU</t>
  </si>
  <si>
    <t>TULIP</t>
  </si>
  <si>
    <t>SH2R2</t>
  </si>
  <si>
    <t>WY</t>
  </si>
  <si>
    <t>WOLF CREEK</t>
  </si>
  <si>
    <t>STOKES DAVID</t>
  </si>
  <si>
    <t>10TH</t>
  </si>
  <si>
    <t>NW</t>
  </si>
  <si>
    <t>MITCHELL CONSTRUCTION LLC</t>
  </si>
  <si>
    <t>TIERRA ROSA</t>
  </si>
  <si>
    <t>LCE7A</t>
  </si>
  <si>
    <t>BLUEWATER POOLS INC</t>
  </si>
  <si>
    <t>ASBURY</t>
  </si>
  <si>
    <t>ALL WEATHER ROOFING, INC</t>
  </si>
  <si>
    <t>CIMARRON MEADOWS</t>
  </si>
  <si>
    <t>NMED4</t>
  </si>
  <si>
    <t>COPPER</t>
  </si>
  <si>
    <t>VH2</t>
  </si>
  <si>
    <t>CORAL</t>
  </si>
  <si>
    <t>SRM INC.</t>
  </si>
  <si>
    <t>GYPSUM</t>
  </si>
  <si>
    <t>ALLSTATE ROOFING, LLC</t>
  </si>
  <si>
    <t>HOLLYBERRY</t>
  </si>
  <si>
    <t>NH01</t>
  </si>
  <si>
    <t>OTERO &amp; SONS ROOFING CORP</t>
  </si>
  <si>
    <t>LA NUEZ</t>
  </si>
  <si>
    <t>POWDER RIVER</t>
  </si>
  <si>
    <t>GOODRICH ROOFING CO INC</t>
  </si>
  <si>
    <t>PYRITE</t>
  </si>
  <si>
    <t>VHW3</t>
  </si>
  <si>
    <t>A-2-Z ROOFING LLC SUITE A-198</t>
  </si>
  <si>
    <t>ROADRUNNER</t>
  </si>
  <si>
    <t>SARATOGA</t>
  </si>
  <si>
    <t>SIERRA</t>
  </si>
  <si>
    <t>SNEAD</t>
  </si>
  <si>
    <t>SPUR</t>
  </si>
  <si>
    <t>RIGHT WAY ROOFING</t>
  </si>
  <si>
    <t>STAGECOACH</t>
  </si>
  <si>
    <t>WH2</t>
  </si>
  <si>
    <t>SUNSET</t>
  </si>
  <si>
    <t>141A</t>
  </si>
  <si>
    <t>140A</t>
  </si>
  <si>
    <t>WHITE HORSE</t>
  </si>
  <si>
    <t>SHR</t>
  </si>
  <si>
    <t>EVERGUARD ROOFING, LLC</t>
  </si>
  <si>
    <t>3RD</t>
  </si>
  <si>
    <t>LUZ DE SOL</t>
  </si>
  <si>
    <t>RORPP2</t>
  </si>
  <si>
    <t>SACRED POWER CORPORATION</t>
  </si>
  <si>
    <t>AFFORDABLE SOLAR INSTALLATIONS</t>
  </si>
  <si>
    <t>CONSOLIDATED SOLAR TECHNOLOGIE</t>
  </si>
  <si>
    <t>VIS</t>
  </si>
  <si>
    <t>RIO OSO</t>
  </si>
  <si>
    <t>WESTFIELD</t>
  </si>
  <si>
    <t>EH9</t>
  </si>
  <si>
    <t>ALAMO</t>
  </si>
  <si>
    <t>PICEA</t>
  </si>
  <si>
    <t>CC</t>
  </si>
  <si>
    <t>LGI HOMES NM CONSTRUCTION LLC</t>
  </si>
  <si>
    <t>HWS</t>
  </si>
  <si>
    <t>COLINA ROJA</t>
  </si>
  <si>
    <t>EL VALLE</t>
  </si>
  <si>
    <t>TQM, LLC</t>
  </si>
  <si>
    <t>VW</t>
  </si>
  <si>
    <t>ESCUDO</t>
  </si>
  <si>
    <t>PALMYRA</t>
  </si>
  <si>
    <t>GOLF COURSE</t>
  </si>
  <si>
    <t>HIGH MESA</t>
  </si>
  <si>
    <t>ILFORD</t>
  </si>
  <si>
    <t>D</t>
  </si>
  <si>
    <t>HR</t>
  </si>
  <si>
    <t>ABP</t>
  </si>
  <si>
    <t>RRSHOP</t>
  </si>
  <si>
    <t>36TH</t>
  </si>
  <si>
    <t>PV</t>
  </si>
  <si>
    <t>ANN</t>
  </si>
  <si>
    <t>26A</t>
  </si>
  <si>
    <t>17A</t>
  </si>
  <si>
    <t>BAHAMA</t>
  </si>
  <si>
    <t>21A</t>
  </si>
  <si>
    <t>22A</t>
  </si>
  <si>
    <t>13A</t>
  </si>
  <si>
    <t>23A</t>
  </si>
  <si>
    <t>BENTGRASS MEADOW</t>
  </si>
  <si>
    <t>DIAM</t>
  </si>
  <si>
    <t>BROADMOOR</t>
  </si>
  <si>
    <t>CAMACHO</t>
  </si>
  <si>
    <t>CAMINO BARRANCA</t>
  </si>
  <si>
    <t>PALCIT</t>
  </si>
  <si>
    <t>CHARLENE</t>
  </si>
  <si>
    <t>STAR2</t>
  </si>
  <si>
    <t>CHOLLA</t>
  </si>
  <si>
    <t>COCHITI</t>
  </si>
  <si>
    <t>NMED14</t>
  </si>
  <si>
    <t>DAKOTA MORNING</t>
  </si>
  <si>
    <t>DAL</t>
  </si>
  <si>
    <t>DESERT PINON</t>
  </si>
  <si>
    <t>NMED18</t>
  </si>
  <si>
    <t>DOMAIN</t>
  </si>
  <si>
    <t>EASTLAKE</t>
  </si>
  <si>
    <t>ISL1</t>
  </si>
  <si>
    <t>EL ALAMO</t>
  </si>
  <si>
    <t>EL PASEO</t>
  </si>
  <si>
    <t>EL PICADOR</t>
  </si>
  <si>
    <t>HAWK</t>
  </si>
  <si>
    <t>CN1R1</t>
  </si>
  <si>
    <t>10A</t>
  </si>
  <si>
    <t>HUSKY</t>
  </si>
  <si>
    <t>INCA</t>
  </si>
  <si>
    <t>LOMA LINDA</t>
  </si>
  <si>
    <t>LCE9B</t>
  </si>
  <si>
    <t>MILLER</t>
  </si>
  <si>
    <t>NICKEL</t>
  </si>
  <si>
    <t>NORTHERN LIGHTS</t>
  </si>
  <si>
    <t>CLN1</t>
  </si>
  <si>
    <t>PRADO HERMOSA</t>
  </si>
  <si>
    <t>PA1</t>
  </si>
  <si>
    <t>QUIXOTE</t>
  </si>
  <si>
    <t>RANCHO ORO</t>
  </si>
  <si>
    <t>RANGE</t>
  </si>
  <si>
    <t>REGENCY PARK</t>
  </si>
  <si>
    <t>SANTA ELENA</t>
  </si>
  <si>
    <t>SANTA FE MEADOWS</t>
  </si>
  <si>
    <t>SAVANNAH</t>
  </si>
  <si>
    <t>CN2R2</t>
  </si>
  <si>
    <t>SHORE MEADOWS</t>
  </si>
  <si>
    <t>SPRUCE MEADOWS</t>
  </si>
  <si>
    <t>NMED17</t>
  </si>
  <si>
    <t>SUMMER WINDS</t>
  </si>
  <si>
    <t>TREVINO</t>
  </si>
  <si>
    <t>TROUT CREEK</t>
  </si>
  <si>
    <t>VILLA VERDE</t>
  </si>
  <si>
    <t>WEST ISLAND</t>
  </si>
  <si>
    <t>BB</t>
  </si>
  <si>
    <t>YUCCA</t>
  </si>
  <si>
    <t>31ST</t>
  </si>
  <si>
    <t>34TH</t>
  </si>
  <si>
    <t>20A</t>
  </si>
  <si>
    <t>NAPOLEON</t>
  </si>
  <si>
    <t>LE4B</t>
  </si>
  <si>
    <t>ACE</t>
  </si>
  <si>
    <t>DEBORAH</t>
  </si>
  <si>
    <t>FULCRUM</t>
  </si>
  <si>
    <t>CCIEH</t>
  </si>
  <si>
    <t>1A1A</t>
  </si>
  <si>
    <t>ALLEGHENY</t>
  </si>
  <si>
    <t>ARIZONA SUNSET</t>
  </si>
  <si>
    <t>CATTAIL</t>
  </si>
  <si>
    <t>CHARLES</t>
  </si>
  <si>
    <t>DAVID</t>
  </si>
  <si>
    <t>FRAN</t>
  </si>
  <si>
    <t>GREENVIEW</t>
  </si>
  <si>
    <t>NH03</t>
  </si>
  <si>
    <t>MACKENZIE</t>
  </si>
  <si>
    <t>PUMICE</t>
  </si>
  <si>
    <t>12A</t>
  </si>
  <si>
    <t>REYNOSA</t>
  </si>
  <si>
    <t>YCC</t>
  </si>
  <si>
    <t>ROSSWOOD</t>
  </si>
  <si>
    <t>ARROWHEAD RIDGE</t>
  </si>
  <si>
    <t>BARBARA</t>
  </si>
  <si>
    <t>F</t>
  </si>
  <si>
    <t>RIDGECREST</t>
  </si>
  <si>
    <t>RRMP</t>
  </si>
  <si>
    <t>ALBANY HILLS</t>
  </si>
  <si>
    <t>ALBINO</t>
  </si>
  <si>
    <t>CORRAL</t>
  </si>
  <si>
    <t>ES</t>
  </si>
  <si>
    <t>APACHE</t>
  </si>
  <si>
    <t>CEDH6</t>
  </si>
  <si>
    <t>ASHKIRK</t>
  </si>
  <si>
    <t>GHR</t>
  </si>
  <si>
    <t>BLUE RIVER</t>
  </si>
  <si>
    <t>CASPER</t>
  </si>
  <si>
    <t>CHIPPEWA</t>
  </si>
  <si>
    <t>CORTE CASTELLANA</t>
  </si>
  <si>
    <t>CRZN</t>
  </si>
  <si>
    <t>ISL2</t>
  </si>
  <si>
    <t>43A</t>
  </si>
  <si>
    <t>FAIRBANKS</t>
  </si>
  <si>
    <t>FOXWOOD</t>
  </si>
  <si>
    <t>RHR</t>
  </si>
  <si>
    <t>GLORIETA MEADOWS</t>
  </si>
  <si>
    <t>NMED1</t>
  </si>
  <si>
    <t>GRAY HAWK</t>
  </si>
  <si>
    <t>GHE</t>
  </si>
  <si>
    <t>HARTFORD HILLS</t>
  </si>
  <si>
    <t>EH5</t>
  </si>
  <si>
    <t>LA MIRAGE</t>
  </si>
  <si>
    <t>HRV1</t>
  </si>
  <si>
    <t>LAS MEDANALES</t>
  </si>
  <si>
    <t>LIL</t>
  </si>
  <si>
    <t>NH04</t>
  </si>
  <si>
    <t>MV1</t>
  </si>
  <si>
    <t>LOIRE</t>
  </si>
  <si>
    <t>LOS BALCONES</t>
  </si>
  <si>
    <t>MANZANO</t>
  </si>
  <si>
    <t>MARTIN MEADOWS</t>
  </si>
  <si>
    <t>NMED5</t>
  </si>
  <si>
    <t>OTTAWA</t>
  </si>
  <si>
    <t>PANORAMA</t>
  </si>
  <si>
    <t>PARHAM</t>
  </si>
  <si>
    <t>CORR</t>
  </si>
  <si>
    <t>PERMA</t>
  </si>
  <si>
    <t>NH04A</t>
  </si>
  <si>
    <t>PLATA</t>
  </si>
  <si>
    <t>PONTIAC</t>
  </si>
  <si>
    <t>SAFFIN</t>
  </si>
  <si>
    <t>SAN AUGUSTIN</t>
  </si>
  <si>
    <t>SAND DUNE</t>
  </si>
  <si>
    <t>NH15</t>
  </si>
  <si>
    <t>SANTOLINO</t>
  </si>
  <si>
    <t>SIERRA VERDE</t>
  </si>
  <si>
    <t>SILVER CREEK</t>
  </si>
  <si>
    <t>SKYVIEW</t>
  </si>
  <si>
    <t>SNOW HEIGHTS</t>
  </si>
  <si>
    <t>NR2</t>
  </si>
  <si>
    <t>WH3</t>
  </si>
  <si>
    <t>SUNFLOWER</t>
  </si>
  <si>
    <t>CEDH5</t>
  </si>
  <si>
    <t>TERRACE</t>
  </si>
  <si>
    <t>TOWHEE</t>
  </si>
  <si>
    <t>CN1R5</t>
  </si>
  <si>
    <t>VERIDIAN</t>
  </si>
  <si>
    <t>WESTERN MESA</t>
  </si>
  <si>
    <t>WITHINGTON PEAK</t>
  </si>
  <si>
    <t>WYOMING AUTUMN</t>
  </si>
  <si>
    <t>7TH</t>
  </si>
  <si>
    <t>ELECTRIC
TOTAL</t>
  </si>
  <si>
    <t>RETAIL/CONVENIENT STORE</t>
  </si>
  <si>
    <t>MEDLOCK COMMERCIAL CONTRACTORS</t>
  </si>
  <si>
    <t>5B</t>
  </si>
  <si>
    <t>PMP</t>
  </si>
  <si>
    <t>NEW OFFICE/INSTITUTION</t>
  </si>
  <si>
    <t>MEDICAL OFFICE</t>
  </si>
  <si>
    <t>LATITUDE LLC</t>
  </si>
  <si>
    <t>GN</t>
  </si>
  <si>
    <t>OFIN</t>
  </si>
  <si>
    <t>ACADEMICS</t>
  </si>
  <si>
    <t>RACHEL MATTHEW HOMES</t>
  </si>
  <si>
    <t>SUNDT</t>
  </si>
  <si>
    <t>IGUANA DEVELOPMENT COMPANY</t>
  </si>
  <si>
    <t>JARA CONSTRUCTION CO</t>
  </si>
  <si>
    <t>MCDAVID CONSTRUCTION INC.</t>
  </si>
  <si>
    <t>8A</t>
  </si>
  <si>
    <t>OBREGON</t>
  </si>
  <si>
    <t>ALLEN BUILDERS OF CORRALES</t>
  </si>
  <si>
    <t>31A</t>
  </si>
  <si>
    <t>INSIGHT CONSTRUCTION LLC</t>
  </si>
  <si>
    <t>EH</t>
  </si>
  <si>
    <t>SANTA FE HILLS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</si>
</sst>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17"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u/>
      <sz val="10"/>
      <color theme="10"/>
      <name val="Arial"/>
      <family val="2"/>
    </font>
    <font>
      <u/>
      <sz val="10"/>
      <color theme="11"/>
      <name val="Arial"/>
      <family val="2"/>
    </font>
    <font>
      <b/>
      <sz val="10"/>
      <name val="Arial"/>
      <family val="2"/>
    </font>
    <font>
      <sz val="8"/>
      <color theme="1"/>
      <name val="Calibri"/>
      <family val="2"/>
      <scheme val="minor"/>
    </font>
    <font>
      <u/>
      <sz val="8"/>
      <color theme="1"/>
      <name val="Arial"/>
      <family val="2"/>
    </font>
  </fonts>
  <fills count="7">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149998474074526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134">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4" borderId="1"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165" fontId="8" fillId="0" borderId="0" xfId="0" applyNumberFormat="1" applyFont="1" applyAlignment="1">
      <alignment horizontal="center"/>
    </xf>
    <xf numFmtId="0" fontId="8"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10" fillId="0" borderId="0" xfId="0" applyFont="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center" wrapText="1"/>
    </xf>
    <xf numFmtId="0" fontId="8" fillId="0" borderId="2" xfId="0" applyFont="1" applyBorder="1" applyAlignment="1">
      <alignment horizontal="center" wrapText="1"/>
    </xf>
    <xf numFmtId="0" fontId="11" fillId="0" borderId="2" xfId="0" applyFont="1" applyBorder="1" applyAlignment="1">
      <alignment horizontal="center" wrapText="1"/>
    </xf>
    <xf numFmtId="0" fontId="11" fillId="0" borderId="2" xfId="0" applyFont="1" applyBorder="1" applyAlignment="1">
      <alignment horizontal="center"/>
    </xf>
    <xf numFmtId="164" fontId="8" fillId="0" borderId="2" xfId="0" applyNumberFormat="1" applyFont="1" applyBorder="1" applyAlignment="1">
      <alignment horizontal="center"/>
    </xf>
    <xf numFmtId="0" fontId="8" fillId="0" borderId="2" xfId="0" applyFont="1" applyBorder="1" applyAlignment="1">
      <alignment horizontal="center"/>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8" fillId="0" borderId="0" xfId="0" applyFont="1"/>
    <xf numFmtId="0" fontId="11" fillId="0" borderId="1" xfId="0" applyFont="1" applyBorder="1" applyAlignment="1">
      <alignment horizontal="center" wrapText="1"/>
    </xf>
    <xf numFmtId="0" fontId="11" fillId="0" borderId="0" xfId="0" applyFont="1" applyAlignment="1">
      <alignment horizontal="center"/>
    </xf>
    <xf numFmtId="0" fontId="8" fillId="0" borderId="1" xfId="0" applyFont="1" applyBorder="1"/>
    <xf numFmtId="0" fontId="8" fillId="4" borderId="3" xfId="0" applyFont="1" applyFill="1" applyBorder="1" applyAlignment="1">
      <alignment horizontal="center" wrapText="1"/>
    </xf>
    <xf numFmtId="0" fontId="11" fillId="4" borderId="4" xfId="0" applyFont="1" applyFill="1" applyBorder="1" applyAlignment="1">
      <alignment horizontal="center" wrapText="1"/>
    </xf>
    <xf numFmtId="0" fontId="11" fillId="4" borderId="4"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8" fillId="5" borderId="4" xfId="0" applyFont="1" applyFill="1" applyBorder="1"/>
    <xf numFmtId="0" fontId="8" fillId="5" borderId="5" xfId="0" applyFont="1" applyFill="1" applyBorder="1"/>
    <xf numFmtId="0" fontId="8"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8" fillId="0" borderId="11" xfId="0" applyFont="1" applyBorder="1" applyAlignment="1">
      <alignment horizontal="center"/>
    </xf>
    <xf numFmtId="0" fontId="5" fillId="0" borderId="1" xfId="0" applyFont="1" applyBorder="1" applyAlignment="1">
      <alignment horizontal="center" wrapText="1"/>
    </xf>
    <xf numFmtId="165" fontId="6" fillId="0" borderId="1" xfId="0" applyNumberFormat="1" applyFont="1" applyBorder="1" applyAlignment="1">
      <alignment horizontal="center"/>
    </xf>
    <xf numFmtId="165" fontId="8" fillId="0" borderId="8" xfId="0" applyNumberFormat="1" applyFont="1" applyBorder="1" applyAlignment="1">
      <alignment horizontal="center"/>
    </xf>
    <xf numFmtId="165" fontId="8" fillId="2" borderId="1" xfId="0" applyNumberFormat="1" applyFont="1" applyFill="1" applyBorder="1" applyAlignment="1">
      <alignment horizontal="center"/>
    </xf>
    <xf numFmtId="0" fontId="14"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4"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0" fontId="2" fillId="0" borderId="1" xfId="0" applyFont="1" applyFill="1" applyBorder="1" applyAlignment="1">
      <alignment horizontal="center"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0" fontId="1" fillId="0" borderId="1" xfId="0" applyFont="1" applyBorder="1" applyAlignment="1">
      <alignment horizontal="center" wrapText="1"/>
    </xf>
    <xf numFmtId="0" fontId="1" fillId="0" borderId="4" xfId="0" applyFont="1" applyBorder="1" applyAlignment="1">
      <alignment horizontal="center"/>
    </xf>
    <xf numFmtId="164" fontId="1" fillId="0" borderId="4" xfId="0" applyNumberFormat="1" applyFont="1" applyBorder="1" applyAlignment="1">
      <alignment horizontal="center"/>
    </xf>
    <xf numFmtId="165" fontId="1" fillId="0" borderId="4" xfId="0" applyNumberFormat="1" applyFont="1" applyBorder="1" applyAlignment="1">
      <alignment horizontal="center"/>
    </xf>
    <xf numFmtId="0" fontId="1" fillId="0" borderId="5" xfId="0" applyFont="1" applyBorder="1" applyAlignment="1">
      <alignment horizontal="center"/>
    </xf>
    <xf numFmtId="0" fontId="2" fillId="0" borderId="3" xfId="0" applyFont="1" applyBorder="1" applyAlignment="1">
      <alignment horizontal="center" wrapText="1"/>
    </xf>
    <xf numFmtId="0" fontId="2" fillId="0" borderId="5" xfId="0" applyFont="1" applyBorder="1" applyAlignment="1">
      <alignment horizontal="center" wrapText="1"/>
    </xf>
    <xf numFmtId="0" fontId="6"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1" fillId="0" borderId="3" xfId="0" applyFont="1" applyBorder="1" applyAlignment="1">
      <alignment horizontal="center" wrapText="1" shrinkToFit="1"/>
    </xf>
    <xf numFmtId="0" fontId="9" fillId="0" borderId="5" xfId="0" applyFont="1" applyBorder="1" applyAlignment="1">
      <alignment horizontal="center" shrinkToFit="1"/>
    </xf>
    <xf numFmtId="164" fontId="1" fillId="0" borderId="1" xfId="0" applyNumberFormat="1" applyFont="1" applyBorder="1" applyAlignment="1">
      <alignment horizontal="center" wrapText="1"/>
    </xf>
    <xf numFmtId="0" fontId="15" fillId="0" borderId="1" xfId="0" applyFont="1" applyBorder="1" applyAlignment="1">
      <alignment horizontal="center"/>
    </xf>
    <xf numFmtId="3" fontId="15" fillId="0" borderId="1" xfId="0" applyNumberFormat="1" applyFont="1" applyBorder="1" applyAlignment="1">
      <alignment horizontal="center"/>
    </xf>
    <xf numFmtId="165" fontId="15" fillId="0" borderId="1" xfId="0" applyNumberFormat="1" applyFont="1" applyBorder="1" applyAlignment="1">
      <alignment horizontal="center"/>
    </xf>
    <xf numFmtId="0" fontId="15" fillId="0" borderId="0" xfId="0" applyFont="1" applyAlignment="1">
      <alignment horizontal="center"/>
    </xf>
    <xf numFmtId="3" fontId="15" fillId="0" borderId="0" xfId="0" applyNumberFormat="1" applyFont="1" applyAlignment="1">
      <alignment horizontal="center"/>
    </xf>
    <xf numFmtId="165" fontId="15" fillId="0" borderId="0" xfId="0" applyNumberFormat="1" applyFont="1" applyAlignment="1">
      <alignment horizontal="center"/>
    </xf>
    <xf numFmtId="0" fontId="15" fillId="0" borderId="1" xfId="0" applyFont="1" applyBorder="1" applyAlignment="1">
      <alignment horizontal="center" wrapText="1"/>
    </xf>
    <xf numFmtId="3" fontId="15" fillId="0" borderId="1" xfId="0" applyNumberFormat="1" applyFont="1" applyBorder="1" applyAlignment="1">
      <alignment horizontal="center" wrapText="1"/>
    </xf>
    <xf numFmtId="0" fontId="1" fillId="6" borderId="1" xfId="0" applyFont="1" applyFill="1" applyBorder="1" applyAlignment="1">
      <alignment horizontal="center"/>
    </xf>
    <xf numFmtId="0" fontId="1" fillId="0" borderId="1" xfId="0" applyFont="1" applyFill="1" applyBorder="1" applyAlignment="1">
      <alignment horizontal="center"/>
    </xf>
    <xf numFmtId="0" fontId="4" fillId="0" borderId="1" xfId="0" applyFont="1" applyBorder="1" applyAlignment="1">
      <alignment horizontal="center"/>
    </xf>
    <xf numFmtId="0" fontId="4" fillId="0" borderId="0" xfId="0" applyFont="1" applyBorder="1" applyAlignment="1">
      <alignment horizontal="center"/>
    </xf>
    <xf numFmtId="0" fontId="16" fillId="0" borderId="3" xfId="0" applyFont="1" applyBorder="1" applyAlignment="1"/>
    <xf numFmtId="0" fontId="16" fillId="0" borderId="4" xfId="0" applyFont="1" applyBorder="1" applyAlignment="1"/>
    <xf numFmtId="0" fontId="16" fillId="0" borderId="5" xfId="0" applyFont="1" applyBorder="1" applyAlignment="1"/>
    <xf numFmtId="0" fontId="16" fillId="0" borderId="3" xfId="0" applyFont="1" applyBorder="1" applyAlignment="1">
      <alignment horizontal="left"/>
    </xf>
    <xf numFmtId="0" fontId="16" fillId="0" borderId="4" xfId="0" applyFont="1" applyBorder="1" applyAlignment="1">
      <alignment horizontal="left"/>
    </xf>
    <xf numFmtId="0" fontId="16" fillId="0" borderId="5" xfId="0" applyFont="1" applyBorder="1" applyAlignment="1">
      <alignment horizontal="left"/>
    </xf>
    <xf numFmtId="0" fontId="16" fillId="0" borderId="3" xfId="0" applyFont="1" applyBorder="1" applyAlignment="1">
      <alignment horizontal="left"/>
    </xf>
    <xf numFmtId="0" fontId="4" fillId="0" borderId="3" xfId="0" applyFont="1" applyBorder="1" applyAlignment="1">
      <alignment horizontal="center"/>
    </xf>
    <xf numFmtId="0" fontId="1" fillId="0" borderId="5" xfId="0" applyFont="1" applyBorder="1"/>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1"/>
              <c:layout>
                <c:manualLayout>
                  <c:xMode val="edge"/>
                  <c:yMode val="edge"/>
                  <c:x val="0.70477247502774698"/>
                  <c:y val="0.53596614950634702"/>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2"/>
              <c:layout>
                <c:manualLayout>
                  <c:xMode val="edge"/>
                  <c:yMode val="edge"/>
                  <c:x val="0.60155382907880095"/>
                  <c:y val="0.69534555712270796"/>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3"/>
              <c:layout>
                <c:manualLayout>
                  <c:xMode val="edge"/>
                  <c:yMode val="edge"/>
                  <c:x val="0.13651498335183099"/>
                  <c:y val="0.7954866008462619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4"/>
              <c:layout>
                <c:manualLayout>
                  <c:xMode val="edge"/>
                  <c:yMode val="edge"/>
                  <c:x val="7.7691453940066602E-2"/>
                  <c:y val="0.349788434414669"/>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5"/>
              <c:layout>
                <c:manualLayout>
                  <c:xMode val="edge"/>
                  <c:yMode val="edge"/>
                  <c:x val="0.221975582685905"/>
                  <c:y val="0.21438645980253901"/>
                </c:manualLayout>
              </c:layout>
              <c:dLblPos val="bestFit"/>
              <c:showLegendKey val="1"/>
              <c:showVal val="0"/>
              <c:showCatName val="1"/>
              <c:showSerName val="0"/>
              <c:showPercent val="1"/>
              <c:showBubbleSize val="0"/>
              <c:extLst>
                <c:ext xmlns:c15="http://schemas.microsoft.com/office/drawing/2012/chart" uri="{CE6537A1-D6FC-4f65-9D91-7224C49458BB}"/>
              </c:extLst>
            </c:dLbl>
            <c:dLbl>
              <c:idx val="6"/>
              <c:layout>
                <c:manualLayout>
                  <c:xMode val="edge"/>
                  <c:yMode val="edge"/>
                  <c:x val="0.36847946725860198"/>
                  <c:y val="0.20028208744710899"/>
                </c:manualLayout>
              </c:layout>
              <c:dLblPos val="bestFit"/>
              <c:showLegendKey val="1"/>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extLst>
              <c:ext xmlns:c15="http://schemas.microsoft.com/office/drawing/2012/chart" uri="{CE6537A1-D6FC-4f65-9D91-7224C49458BB}"/>
            </c:extLst>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15</xdr:col>
      <xdr:colOff>447675</xdr:colOff>
      <xdr:row>0</xdr:row>
      <xdr:rowOff>76200</xdr:rowOff>
    </xdr:from>
    <xdr:to>
      <xdr:col>15</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123825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123825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8"/>
  <sheetViews>
    <sheetView tabSelected="1" zoomScaleNormal="100" zoomScalePageLayoutView="125" workbookViewId="0">
      <selection activeCell="A6" sqref="A6"/>
    </sheetView>
  </sheetViews>
  <sheetFormatPr defaultColWidth="8.85546875" defaultRowHeight="12.75" x14ac:dyDescent="0.2"/>
  <cols>
    <col min="1" max="1" width="10.28515625" style="1" customWidth="1"/>
    <col min="2" max="2" width="7.42578125" style="1" customWidth="1"/>
    <col min="3" max="3" width="20.7109375" style="1" customWidth="1"/>
    <col min="4" max="4" width="7" style="1" customWidth="1"/>
    <col min="5" max="5" width="8.85546875" style="1"/>
    <col min="6" max="6" width="7.42578125" style="1" customWidth="1"/>
    <col min="7" max="7" width="6" style="1" customWidth="1"/>
    <col min="8" max="9" width="6.42578125" style="1" customWidth="1"/>
    <col min="10" max="10" width="8.7109375" style="1" customWidth="1"/>
    <col min="11" max="11" width="8.42578125" style="3" customWidth="1"/>
    <col min="12" max="12" width="8.42578125" style="18" customWidth="1"/>
    <col min="13" max="13" width="10.140625" style="3" customWidth="1"/>
    <col min="14" max="14" width="11.28515625" style="44" customWidth="1"/>
    <col min="15" max="15" width="34.85546875" style="5" customWidth="1"/>
  </cols>
  <sheetData>
    <row r="1" spans="1:17" s="4" customFormat="1" ht="11.25" x14ac:dyDescent="0.2">
      <c r="A1" s="1"/>
      <c r="B1" s="1"/>
      <c r="C1" s="1"/>
      <c r="D1" s="1"/>
      <c r="E1" s="1"/>
      <c r="F1" s="1"/>
      <c r="G1" s="1"/>
      <c r="H1" s="1"/>
      <c r="I1" s="6" t="s">
        <v>29</v>
      </c>
      <c r="J1" s="1"/>
      <c r="K1" s="1"/>
      <c r="L1" s="1"/>
      <c r="M1" s="3"/>
      <c r="N1" s="18"/>
      <c r="O1" s="1"/>
      <c r="P1" s="16"/>
      <c r="Q1" s="16"/>
    </row>
    <row r="2" spans="1:17" s="4" customFormat="1" ht="11.25" customHeight="1" x14ac:dyDescent="0.2">
      <c r="A2" s="1"/>
      <c r="B2" s="1"/>
      <c r="C2" s="1"/>
      <c r="D2" s="1"/>
      <c r="E2" s="1"/>
      <c r="F2" s="1"/>
      <c r="G2" s="1"/>
      <c r="H2" s="1"/>
      <c r="I2" s="2" t="s">
        <v>307</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24</v>
      </c>
      <c r="B5" s="36"/>
      <c r="C5" s="37" t="s">
        <v>0</v>
      </c>
      <c r="D5" s="37"/>
      <c r="E5" s="38"/>
      <c r="F5" s="38"/>
      <c r="G5" s="9" t="s">
        <v>1</v>
      </c>
      <c r="H5" s="9"/>
      <c r="I5" s="20"/>
      <c r="J5" s="9" t="s">
        <v>2</v>
      </c>
      <c r="K5" s="9"/>
      <c r="L5" s="9" t="s">
        <v>3</v>
      </c>
      <c r="M5" s="11" t="s">
        <v>4</v>
      </c>
      <c r="N5" s="19" t="s">
        <v>5</v>
      </c>
      <c r="O5" s="9" t="s">
        <v>25</v>
      </c>
      <c r="P5" s="16"/>
      <c r="Q5" s="16"/>
    </row>
    <row r="6" spans="1:17" s="4" customFormat="1" ht="22.5" x14ac:dyDescent="0.2">
      <c r="A6" s="34"/>
      <c r="B6" s="39" t="s">
        <v>26</v>
      </c>
      <c r="C6" s="40" t="s">
        <v>27</v>
      </c>
      <c r="D6" s="40" t="s">
        <v>31</v>
      </c>
      <c r="E6" s="40" t="s">
        <v>32</v>
      </c>
      <c r="F6" s="23" t="s">
        <v>13</v>
      </c>
      <c r="G6" s="23" t="s">
        <v>14</v>
      </c>
      <c r="H6" s="23" t="s">
        <v>15</v>
      </c>
      <c r="I6" s="24" t="s">
        <v>6</v>
      </c>
      <c r="J6" s="24" t="s">
        <v>7</v>
      </c>
      <c r="K6" s="23" t="s">
        <v>34</v>
      </c>
      <c r="L6" s="23" t="s">
        <v>9</v>
      </c>
      <c r="M6" s="29"/>
      <c r="N6" s="47"/>
      <c r="O6" s="35"/>
      <c r="P6" s="16"/>
      <c r="Q6" s="16"/>
    </row>
    <row r="7" spans="1:17" s="4" customFormat="1" ht="12.95" customHeight="1" x14ac:dyDescent="0.2">
      <c r="A7" s="25"/>
      <c r="B7" s="26"/>
      <c r="C7" s="26"/>
      <c r="D7" s="26"/>
      <c r="E7" s="26"/>
      <c r="F7" s="26"/>
      <c r="G7" s="26"/>
      <c r="H7" s="26"/>
      <c r="I7" s="26"/>
      <c r="J7" s="26"/>
      <c r="K7" s="26"/>
      <c r="L7" s="26"/>
      <c r="M7" s="30"/>
      <c r="N7" s="48"/>
      <c r="O7" s="27"/>
      <c r="P7" s="16"/>
      <c r="Q7" s="16"/>
    </row>
    <row r="8" spans="1:17" x14ac:dyDescent="0.2">
      <c r="A8" s="113" t="s">
        <v>155</v>
      </c>
      <c r="B8" s="113">
        <v>1510</v>
      </c>
      <c r="C8" s="113" t="s">
        <v>382</v>
      </c>
      <c r="D8" s="113" t="s">
        <v>61</v>
      </c>
      <c r="E8" s="113" t="s">
        <v>84</v>
      </c>
      <c r="F8" s="113" t="s">
        <v>142</v>
      </c>
      <c r="G8" s="113">
        <v>10</v>
      </c>
      <c r="H8" s="113">
        <v>1</v>
      </c>
      <c r="I8" s="113">
        <v>14</v>
      </c>
      <c r="J8" s="113">
        <v>5946</v>
      </c>
      <c r="K8" s="113" t="s">
        <v>49</v>
      </c>
      <c r="L8" s="113">
        <v>140908</v>
      </c>
      <c r="M8" s="114">
        <v>3171</v>
      </c>
      <c r="N8" s="115">
        <v>213123</v>
      </c>
      <c r="O8" s="113" t="s">
        <v>77</v>
      </c>
    </row>
    <row r="9" spans="1:17" x14ac:dyDescent="0.2">
      <c r="A9" s="113" t="s">
        <v>155</v>
      </c>
      <c r="B9" s="113">
        <v>2812</v>
      </c>
      <c r="C9" s="113" t="s">
        <v>383</v>
      </c>
      <c r="D9" s="113" t="s">
        <v>63</v>
      </c>
      <c r="E9" s="113" t="s">
        <v>84</v>
      </c>
      <c r="F9" s="113" t="s">
        <v>142</v>
      </c>
      <c r="G9" s="113">
        <v>7</v>
      </c>
      <c r="H9" s="113">
        <v>5</v>
      </c>
      <c r="I9" s="113">
        <v>14</v>
      </c>
      <c r="J9" s="113">
        <v>6287</v>
      </c>
      <c r="K9" s="113" t="s">
        <v>49</v>
      </c>
      <c r="L9" s="113">
        <v>140919</v>
      </c>
      <c r="M9" s="114">
        <v>3301</v>
      </c>
      <c r="N9" s="115">
        <v>221860</v>
      </c>
      <c r="O9" s="113" t="s">
        <v>77</v>
      </c>
    </row>
    <row r="10" spans="1:17" x14ac:dyDescent="0.2">
      <c r="A10" s="113" t="s">
        <v>384</v>
      </c>
      <c r="B10" s="113">
        <v>47</v>
      </c>
      <c r="C10" s="113" t="s">
        <v>282</v>
      </c>
      <c r="D10" s="113" t="s">
        <v>59</v>
      </c>
      <c r="E10" s="113" t="s">
        <v>334</v>
      </c>
      <c r="F10" s="113" t="s">
        <v>214</v>
      </c>
      <c r="G10" s="113">
        <v>3</v>
      </c>
      <c r="H10" s="113">
        <v>88</v>
      </c>
      <c r="I10" s="113">
        <v>14</v>
      </c>
      <c r="J10" s="113">
        <v>5878</v>
      </c>
      <c r="K10" s="113" t="s">
        <v>49</v>
      </c>
      <c r="L10" s="113">
        <v>140904</v>
      </c>
      <c r="M10" s="114">
        <v>1973</v>
      </c>
      <c r="N10" s="115">
        <v>132605</v>
      </c>
      <c r="O10" s="113" t="s">
        <v>385</v>
      </c>
    </row>
    <row r="11" spans="1:17" x14ac:dyDescent="0.2">
      <c r="A11" s="113" t="s">
        <v>384</v>
      </c>
      <c r="B11" s="113">
        <v>51</v>
      </c>
      <c r="C11" s="113" t="s">
        <v>282</v>
      </c>
      <c r="D11" s="113" t="s">
        <v>59</v>
      </c>
      <c r="E11" s="113" t="s">
        <v>334</v>
      </c>
      <c r="F11" s="113" t="s">
        <v>214</v>
      </c>
      <c r="G11" s="113">
        <v>3</v>
      </c>
      <c r="H11" s="113">
        <v>89</v>
      </c>
      <c r="I11" s="113">
        <v>14</v>
      </c>
      <c r="J11" s="113">
        <v>5881</v>
      </c>
      <c r="K11" s="113" t="s">
        <v>49</v>
      </c>
      <c r="L11" s="113">
        <v>140904</v>
      </c>
      <c r="M11" s="114">
        <v>2976</v>
      </c>
      <c r="N11" s="115">
        <v>200017</v>
      </c>
      <c r="O11" s="113" t="s">
        <v>385</v>
      </c>
    </row>
    <row r="12" spans="1:17" x14ac:dyDescent="0.2">
      <c r="A12" s="113" t="s">
        <v>384</v>
      </c>
      <c r="B12" s="113">
        <v>55</v>
      </c>
      <c r="C12" s="113" t="s">
        <v>282</v>
      </c>
      <c r="D12" s="113" t="s">
        <v>59</v>
      </c>
      <c r="E12" s="113" t="s">
        <v>334</v>
      </c>
      <c r="F12" s="113" t="s">
        <v>214</v>
      </c>
      <c r="G12" s="113">
        <v>3</v>
      </c>
      <c r="H12" s="113">
        <v>90</v>
      </c>
      <c r="I12" s="113">
        <v>14</v>
      </c>
      <c r="J12" s="113">
        <v>5879</v>
      </c>
      <c r="K12" s="113" t="s">
        <v>49</v>
      </c>
      <c r="L12" s="113">
        <v>140904</v>
      </c>
      <c r="M12" s="114">
        <v>2504</v>
      </c>
      <c r="N12" s="115">
        <v>168294</v>
      </c>
      <c r="O12" s="113" t="s">
        <v>385</v>
      </c>
    </row>
    <row r="13" spans="1:17" x14ac:dyDescent="0.2">
      <c r="A13" s="113" t="s">
        <v>384</v>
      </c>
      <c r="B13" s="113">
        <v>59</v>
      </c>
      <c r="C13" s="113" t="s">
        <v>282</v>
      </c>
      <c r="D13" s="113" t="s">
        <v>59</v>
      </c>
      <c r="E13" s="113" t="s">
        <v>334</v>
      </c>
      <c r="F13" s="113" t="s">
        <v>214</v>
      </c>
      <c r="G13" s="113">
        <v>3</v>
      </c>
      <c r="H13" s="113">
        <v>91</v>
      </c>
      <c r="I13" s="113">
        <v>14</v>
      </c>
      <c r="J13" s="113">
        <v>5880</v>
      </c>
      <c r="K13" s="113" t="s">
        <v>49</v>
      </c>
      <c r="L13" s="113">
        <v>140904</v>
      </c>
      <c r="M13" s="114">
        <v>2131</v>
      </c>
      <c r="N13" s="115">
        <v>143225</v>
      </c>
      <c r="O13" s="113" t="s">
        <v>385</v>
      </c>
    </row>
    <row r="14" spans="1:17" x14ac:dyDescent="0.2">
      <c r="A14" s="113" t="s">
        <v>386</v>
      </c>
      <c r="B14" s="113">
        <v>6557</v>
      </c>
      <c r="C14" s="113" t="s">
        <v>287</v>
      </c>
      <c r="D14" s="113" t="s">
        <v>48</v>
      </c>
      <c r="E14" s="113" t="s">
        <v>50</v>
      </c>
      <c r="F14" s="113" t="s">
        <v>51</v>
      </c>
      <c r="G14" s="113">
        <v>1</v>
      </c>
      <c r="H14" s="113">
        <v>27</v>
      </c>
      <c r="I14" s="113">
        <v>14</v>
      </c>
      <c r="J14" s="113">
        <v>5830</v>
      </c>
      <c r="K14" s="113" t="s">
        <v>49</v>
      </c>
      <c r="L14" s="113">
        <v>140902</v>
      </c>
      <c r="M14" s="114">
        <v>2591</v>
      </c>
      <c r="N14" s="115">
        <v>174141</v>
      </c>
      <c r="O14" s="113" t="s">
        <v>52</v>
      </c>
    </row>
    <row r="15" spans="1:17" x14ac:dyDescent="0.2">
      <c r="A15" s="113" t="s">
        <v>386</v>
      </c>
      <c r="B15" s="113">
        <v>6524</v>
      </c>
      <c r="C15" s="113" t="s">
        <v>158</v>
      </c>
      <c r="D15" s="113" t="s">
        <v>61</v>
      </c>
      <c r="E15" s="113" t="s">
        <v>50</v>
      </c>
      <c r="F15" s="113" t="s">
        <v>51</v>
      </c>
      <c r="G15" s="113">
        <v>8</v>
      </c>
      <c r="H15" s="113">
        <v>25</v>
      </c>
      <c r="I15" s="113">
        <v>14</v>
      </c>
      <c r="J15" s="113">
        <v>5877</v>
      </c>
      <c r="K15" s="113" t="s">
        <v>49</v>
      </c>
      <c r="L15" s="113">
        <v>140904</v>
      </c>
      <c r="M15" s="114">
        <v>1594</v>
      </c>
      <c r="N15" s="115">
        <v>107133</v>
      </c>
      <c r="O15" s="113" t="s">
        <v>52</v>
      </c>
    </row>
    <row r="16" spans="1:17" x14ac:dyDescent="0.2">
      <c r="A16" s="113" t="s">
        <v>53</v>
      </c>
      <c r="B16" s="113">
        <v>4033</v>
      </c>
      <c r="C16" s="113" t="s">
        <v>387</v>
      </c>
      <c r="D16" s="113" t="s">
        <v>63</v>
      </c>
      <c r="E16" s="113" t="s">
        <v>50</v>
      </c>
      <c r="F16" s="113" t="s">
        <v>64</v>
      </c>
      <c r="G16" s="113">
        <v>1</v>
      </c>
      <c r="H16" s="113">
        <v>23</v>
      </c>
      <c r="I16" s="113">
        <v>14</v>
      </c>
      <c r="J16" s="113">
        <v>6386</v>
      </c>
      <c r="K16" s="113" t="s">
        <v>49</v>
      </c>
      <c r="L16" s="113">
        <v>140923</v>
      </c>
      <c r="M16" s="114">
        <v>3898</v>
      </c>
      <c r="N16" s="115">
        <v>261985</v>
      </c>
      <c r="O16" s="113" t="s">
        <v>57</v>
      </c>
    </row>
    <row r="17" spans="1:15" x14ac:dyDescent="0.2">
      <c r="A17" s="113" t="s">
        <v>53</v>
      </c>
      <c r="B17" s="113">
        <v>3606</v>
      </c>
      <c r="C17" s="113" t="s">
        <v>181</v>
      </c>
      <c r="D17" s="113" t="s">
        <v>116</v>
      </c>
      <c r="E17" s="113" t="s">
        <v>50</v>
      </c>
      <c r="F17" s="113" t="s">
        <v>182</v>
      </c>
      <c r="G17" s="113">
        <v>2</v>
      </c>
      <c r="H17" s="113">
        <v>6</v>
      </c>
      <c r="I17" s="113">
        <v>14</v>
      </c>
      <c r="J17" s="113">
        <v>5808</v>
      </c>
      <c r="K17" s="113" t="s">
        <v>49</v>
      </c>
      <c r="L17" s="113">
        <v>140909</v>
      </c>
      <c r="M17" s="114">
        <v>5664</v>
      </c>
      <c r="N17" s="115">
        <v>380677</v>
      </c>
      <c r="O17" s="113" t="s">
        <v>57</v>
      </c>
    </row>
    <row r="18" spans="1:15" x14ac:dyDescent="0.2">
      <c r="A18" s="113" t="s">
        <v>53</v>
      </c>
      <c r="B18" s="113">
        <v>146</v>
      </c>
      <c r="C18" s="113" t="s">
        <v>388</v>
      </c>
      <c r="D18" s="113" t="s">
        <v>55</v>
      </c>
      <c r="E18" s="113" t="s">
        <v>50</v>
      </c>
      <c r="F18" s="113" t="s">
        <v>56</v>
      </c>
      <c r="G18" s="113">
        <v>3</v>
      </c>
      <c r="H18" s="113">
        <v>2</v>
      </c>
      <c r="I18" s="113">
        <v>14</v>
      </c>
      <c r="J18" s="113">
        <v>6387</v>
      </c>
      <c r="K18" s="113" t="s">
        <v>49</v>
      </c>
      <c r="L18" s="113">
        <v>140923</v>
      </c>
      <c r="M18" s="114">
        <v>3019</v>
      </c>
      <c r="N18" s="115">
        <v>202907</v>
      </c>
      <c r="O18" s="113" t="s">
        <v>57</v>
      </c>
    </row>
    <row r="19" spans="1:15" x14ac:dyDescent="0.2">
      <c r="A19" s="113" t="s">
        <v>53</v>
      </c>
      <c r="B19" s="113">
        <v>3117</v>
      </c>
      <c r="C19" s="113" t="s">
        <v>54</v>
      </c>
      <c r="D19" s="113" t="s">
        <v>55</v>
      </c>
      <c r="E19" s="113" t="s">
        <v>50</v>
      </c>
      <c r="F19" s="113" t="s">
        <v>56</v>
      </c>
      <c r="G19" s="113">
        <v>1</v>
      </c>
      <c r="H19" s="113">
        <v>33</v>
      </c>
      <c r="I19" s="113">
        <v>14</v>
      </c>
      <c r="J19" s="113">
        <v>6054</v>
      </c>
      <c r="K19" s="113" t="s">
        <v>49</v>
      </c>
      <c r="L19" s="113">
        <v>140910</v>
      </c>
      <c r="M19" s="114">
        <v>3541</v>
      </c>
      <c r="N19" s="115">
        <v>237991</v>
      </c>
      <c r="O19" s="113" t="s">
        <v>57</v>
      </c>
    </row>
    <row r="20" spans="1:15" x14ac:dyDescent="0.2">
      <c r="A20" s="113" t="s">
        <v>53</v>
      </c>
      <c r="B20" s="113">
        <v>3803</v>
      </c>
      <c r="C20" s="113" t="s">
        <v>58</v>
      </c>
      <c r="D20" s="113" t="s">
        <v>59</v>
      </c>
      <c r="E20" s="113" t="s">
        <v>50</v>
      </c>
      <c r="F20" s="113" t="s">
        <v>60</v>
      </c>
      <c r="G20" s="113">
        <v>2</v>
      </c>
      <c r="H20" s="113">
        <v>1</v>
      </c>
      <c r="I20" s="113">
        <v>14</v>
      </c>
      <c r="J20" s="113">
        <v>6055</v>
      </c>
      <c r="K20" s="113" t="s">
        <v>49</v>
      </c>
      <c r="L20" s="113">
        <v>140910</v>
      </c>
      <c r="M20" s="114">
        <v>2796</v>
      </c>
      <c r="N20" s="115">
        <v>187919</v>
      </c>
      <c r="O20" s="113" t="s">
        <v>57</v>
      </c>
    </row>
    <row r="21" spans="1:15" x14ac:dyDescent="0.2">
      <c r="A21" s="113" t="s">
        <v>53</v>
      </c>
      <c r="B21" s="113">
        <v>740</v>
      </c>
      <c r="C21" s="113" t="s">
        <v>258</v>
      </c>
      <c r="D21" s="113" t="s">
        <v>61</v>
      </c>
      <c r="E21" s="113" t="s">
        <v>50</v>
      </c>
      <c r="F21" s="113" t="s">
        <v>60</v>
      </c>
      <c r="G21" s="113">
        <v>2</v>
      </c>
      <c r="H21" s="113">
        <v>5</v>
      </c>
      <c r="I21" s="113">
        <v>14</v>
      </c>
      <c r="J21" s="113">
        <v>5806</v>
      </c>
      <c r="K21" s="113" t="s">
        <v>49</v>
      </c>
      <c r="L21" s="113">
        <v>140909</v>
      </c>
      <c r="M21" s="114">
        <v>2587</v>
      </c>
      <c r="N21" s="115">
        <v>173872</v>
      </c>
      <c r="O21" s="113" t="s">
        <v>57</v>
      </c>
    </row>
    <row r="22" spans="1:15" x14ac:dyDescent="0.2">
      <c r="A22" s="113" t="s">
        <v>53</v>
      </c>
      <c r="B22" s="113">
        <v>813</v>
      </c>
      <c r="C22" s="113" t="s">
        <v>258</v>
      </c>
      <c r="D22" s="113" t="s">
        <v>61</v>
      </c>
      <c r="E22" s="113" t="s">
        <v>50</v>
      </c>
      <c r="F22" s="113" t="s">
        <v>62</v>
      </c>
      <c r="G22" s="113">
        <v>5</v>
      </c>
      <c r="H22" s="113">
        <v>3</v>
      </c>
      <c r="I22" s="113">
        <v>14</v>
      </c>
      <c r="J22" s="113">
        <v>5807</v>
      </c>
      <c r="K22" s="113" t="s">
        <v>49</v>
      </c>
      <c r="L22" s="113">
        <v>140909</v>
      </c>
      <c r="M22" s="114">
        <v>2766</v>
      </c>
      <c r="N22" s="115">
        <v>185903</v>
      </c>
      <c r="O22" s="113" t="s">
        <v>57</v>
      </c>
    </row>
    <row r="23" spans="1:15" x14ac:dyDescent="0.2">
      <c r="A23" s="113" t="s">
        <v>53</v>
      </c>
      <c r="B23" s="113">
        <v>3833</v>
      </c>
      <c r="C23" s="113" t="s">
        <v>159</v>
      </c>
      <c r="D23" s="113" t="s">
        <v>59</v>
      </c>
      <c r="E23" s="113" t="s">
        <v>50</v>
      </c>
      <c r="F23" s="113" t="s">
        <v>62</v>
      </c>
      <c r="G23" s="113">
        <v>4</v>
      </c>
      <c r="H23" s="113">
        <v>8</v>
      </c>
      <c r="I23" s="113">
        <v>14</v>
      </c>
      <c r="J23" s="113">
        <v>6385</v>
      </c>
      <c r="K23" s="113" t="s">
        <v>49</v>
      </c>
      <c r="L23" s="113">
        <v>140923</v>
      </c>
      <c r="M23" s="114">
        <v>2424</v>
      </c>
      <c r="N23" s="115">
        <v>162917</v>
      </c>
      <c r="O23" s="113" t="s">
        <v>57</v>
      </c>
    </row>
    <row r="24" spans="1:15" x14ac:dyDescent="0.2">
      <c r="A24" s="113" t="s">
        <v>53</v>
      </c>
      <c r="B24" s="113">
        <v>19</v>
      </c>
      <c r="C24" s="113" t="s">
        <v>161</v>
      </c>
      <c r="D24" s="113" t="s">
        <v>116</v>
      </c>
      <c r="E24" s="113" t="s">
        <v>50</v>
      </c>
      <c r="F24" s="113" t="s">
        <v>153</v>
      </c>
      <c r="G24" s="113">
        <v>4</v>
      </c>
      <c r="H24" s="113">
        <v>12</v>
      </c>
      <c r="I24" s="113">
        <v>14</v>
      </c>
      <c r="J24" s="113">
        <v>6056</v>
      </c>
      <c r="K24" s="113" t="s">
        <v>49</v>
      </c>
      <c r="L24" s="113">
        <v>140910</v>
      </c>
      <c r="M24" s="114">
        <v>5814</v>
      </c>
      <c r="N24" s="115">
        <v>390759</v>
      </c>
      <c r="O24" s="113" t="s">
        <v>57</v>
      </c>
    </row>
    <row r="25" spans="1:15" x14ac:dyDescent="0.2">
      <c r="A25" s="113" t="s">
        <v>65</v>
      </c>
      <c r="B25" s="113">
        <v>7317</v>
      </c>
      <c r="C25" s="113" t="s">
        <v>245</v>
      </c>
      <c r="D25" s="113" t="s">
        <v>61</v>
      </c>
      <c r="E25" s="113" t="s">
        <v>50</v>
      </c>
      <c r="F25" s="113" t="s">
        <v>246</v>
      </c>
      <c r="G25" s="113">
        <v>2</v>
      </c>
      <c r="H25" s="113">
        <v>4</v>
      </c>
      <c r="I25" s="113">
        <v>14</v>
      </c>
      <c r="J25" s="113">
        <v>6066</v>
      </c>
      <c r="K25" s="113" t="s">
        <v>49</v>
      </c>
      <c r="L25" s="113">
        <v>140911</v>
      </c>
      <c r="M25" s="114">
        <v>3456</v>
      </c>
      <c r="N25" s="115">
        <v>232278</v>
      </c>
      <c r="O25" s="113" t="s">
        <v>389</v>
      </c>
    </row>
    <row r="26" spans="1:15" x14ac:dyDescent="0.2">
      <c r="A26" s="113" t="s">
        <v>65</v>
      </c>
      <c r="B26" s="113">
        <v>7321</v>
      </c>
      <c r="C26" s="113" t="s">
        <v>245</v>
      </c>
      <c r="D26" s="113" t="s">
        <v>61</v>
      </c>
      <c r="E26" s="113" t="s">
        <v>50</v>
      </c>
      <c r="F26" s="113" t="s">
        <v>246</v>
      </c>
      <c r="G26" s="113">
        <v>2</v>
      </c>
      <c r="H26" s="113">
        <v>5</v>
      </c>
      <c r="I26" s="113">
        <v>14</v>
      </c>
      <c r="J26" s="113">
        <v>6067</v>
      </c>
      <c r="K26" s="113" t="s">
        <v>49</v>
      </c>
      <c r="L26" s="113">
        <v>140911</v>
      </c>
      <c r="M26" s="114">
        <v>3456</v>
      </c>
      <c r="N26" s="115">
        <v>232278</v>
      </c>
      <c r="O26" s="113" t="s">
        <v>389</v>
      </c>
    </row>
    <row r="27" spans="1:15" x14ac:dyDescent="0.2">
      <c r="A27" s="113" t="s">
        <v>65</v>
      </c>
      <c r="B27" s="113">
        <v>7328</v>
      </c>
      <c r="C27" s="113" t="s">
        <v>245</v>
      </c>
      <c r="D27" s="113" t="s">
        <v>61</v>
      </c>
      <c r="E27" s="113" t="s">
        <v>50</v>
      </c>
      <c r="F27" s="113" t="s">
        <v>246</v>
      </c>
      <c r="G27" s="113">
        <v>1</v>
      </c>
      <c r="H27" s="113">
        <v>4</v>
      </c>
      <c r="I27" s="113">
        <v>14</v>
      </c>
      <c r="J27" s="113">
        <v>6281</v>
      </c>
      <c r="K27" s="113" t="s">
        <v>49</v>
      </c>
      <c r="L27" s="113">
        <v>140919</v>
      </c>
      <c r="M27" s="114">
        <v>2966</v>
      </c>
      <c r="N27" s="115">
        <v>199345</v>
      </c>
      <c r="O27" s="113" t="s">
        <v>389</v>
      </c>
    </row>
    <row r="28" spans="1:15" x14ac:dyDescent="0.2">
      <c r="A28" s="113" t="s">
        <v>65</v>
      </c>
      <c r="B28" s="113">
        <v>7063</v>
      </c>
      <c r="C28" s="113" t="s">
        <v>137</v>
      </c>
      <c r="D28" s="113" t="s">
        <v>48</v>
      </c>
      <c r="E28" s="113" t="s">
        <v>50</v>
      </c>
      <c r="F28" s="113" t="s">
        <v>138</v>
      </c>
      <c r="G28" s="113">
        <v>8</v>
      </c>
      <c r="H28" s="113">
        <v>11</v>
      </c>
      <c r="I28" s="113">
        <v>14</v>
      </c>
      <c r="J28" s="113">
        <v>6193</v>
      </c>
      <c r="K28" s="113" t="s">
        <v>49</v>
      </c>
      <c r="L28" s="113">
        <v>140917</v>
      </c>
      <c r="M28" s="114">
        <v>3324</v>
      </c>
      <c r="N28" s="115">
        <v>223406</v>
      </c>
      <c r="O28" s="113" t="s">
        <v>77</v>
      </c>
    </row>
    <row r="29" spans="1:15" x14ac:dyDescent="0.2">
      <c r="A29" s="113" t="s">
        <v>70</v>
      </c>
      <c r="B29" s="113">
        <v>2929</v>
      </c>
      <c r="C29" s="113" t="s">
        <v>280</v>
      </c>
      <c r="D29" s="113" t="s">
        <v>390</v>
      </c>
      <c r="E29" s="113" t="s">
        <v>50</v>
      </c>
      <c r="F29" s="113" t="s">
        <v>72</v>
      </c>
      <c r="G29" s="113">
        <v>3</v>
      </c>
      <c r="H29" s="113">
        <v>8</v>
      </c>
      <c r="I29" s="113">
        <v>14</v>
      </c>
      <c r="J29" s="113">
        <v>5829</v>
      </c>
      <c r="K29" s="113" t="s">
        <v>49</v>
      </c>
      <c r="L29" s="113">
        <v>140902</v>
      </c>
      <c r="M29" s="114">
        <v>4086</v>
      </c>
      <c r="N29" s="115">
        <v>274620</v>
      </c>
      <c r="O29" s="113" t="s">
        <v>52</v>
      </c>
    </row>
    <row r="30" spans="1:15" x14ac:dyDescent="0.2">
      <c r="A30" s="113" t="s">
        <v>70</v>
      </c>
      <c r="B30" s="113">
        <v>625</v>
      </c>
      <c r="C30" s="113" t="s">
        <v>71</v>
      </c>
      <c r="D30" s="113" t="s">
        <v>63</v>
      </c>
      <c r="E30" s="113" t="s">
        <v>50</v>
      </c>
      <c r="F30" s="113" t="s">
        <v>72</v>
      </c>
      <c r="G30" s="113">
        <v>1</v>
      </c>
      <c r="H30" s="113">
        <v>1</v>
      </c>
      <c r="I30" s="113">
        <v>14</v>
      </c>
      <c r="J30" s="113">
        <v>6119</v>
      </c>
      <c r="K30" s="113" t="s">
        <v>49</v>
      </c>
      <c r="L30" s="113">
        <v>140915</v>
      </c>
      <c r="M30" s="114">
        <v>4086</v>
      </c>
      <c r="N30" s="115">
        <v>274620</v>
      </c>
      <c r="O30" s="113" t="s">
        <v>52</v>
      </c>
    </row>
    <row r="31" spans="1:15" x14ac:dyDescent="0.2">
      <c r="A31" s="113" t="s">
        <v>70</v>
      </c>
      <c r="B31" s="113">
        <v>737</v>
      </c>
      <c r="C31" s="113" t="s">
        <v>71</v>
      </c>
      <c r="D31" s="113" t="s">
        <v>63</v>
      </c>
      <c r="E31" s="113" t="s">
        <v>50</v>
      </c>
      <c r="F31" s="113" t="s">
        <v>72</v>
      </c>
      <c r="G31" s="113">
        <v>1</v>
      </c>
      <c r="H31" s="113">
        <v>13</v>
      </c>
      <c r="I31" s="113">
        <v>14</v>
      </c>
      <c r="J31" s="113">
        <v>6167</v>
      </c>
      <c r="K31" s="113" t="s">
        <v>49</v>
      </c>
      <c r="L31" s="113">
        <v>140916</v>
      </c>
      <c r="M31" s="114">
        <v>3123</v>
      </c>
      <c r="N31" s="115">
        <v>209897</v>
      </c>
      <c r="O31" s="113" t="s">
        <v>73</v>
      </c>
    </row>
    <row r="32" spans="1:15" x14ac:dyDescent="0.2">
      <c r="A32" s="113" t="s">
        <v>74</v>
      </c>
      <c r="B32" s="113">
        <v>904</v>
      </c>
      <c r="C32" s="113" t="s">
        <v>211</v>
      </c>
      <c r="D32" s="113" t="s">
        <v>55</v>
      </c>
      <c r="E32" s="113" t="s">
        <v>50</v>
      </c>
      <c r="F32" s="113" t="s">
        <v>212</v>
      </c>
      <c r="G32" s="113" t="s">
        <v>191</v>
      </c>
      <c r="H32" s="113">
        <v>10</v>
      </c>
      <c r="I32" s="113">
        <v>14</v>
      </c>
      <c r="J32" s="113">
        <v>6228</v>
      </c>
      <c r="K32" s="113" t="s">
        <v>49</v>
      </c>
      <c r="L32" s="113">
        <v>140917</v>
      </c>
      <c r="M32" s="114">
        <v>3641</v>
      </c>
      <c r="N32" s="115">
        <v>244712</v>
      </c>
      <c r="O32" s="113" t="s">
        <v>77</v>
      </c>
    </row>
    <row r="33" spans="1:15" x14ac:dyDescent="0.2">
      <c r="A33" s="113" t="s">
        <v>74</v>
      </c>
      <c r="B33" s="113">
        <v>908</v>
      </c>
      <c r="C33" s="113" t="s">
        <v>211</v>
      </c>
      <c r="D33" s="113" t="s">
        <v>55</v>
      </c>
      <c r="E33" s="113" t="s">
        <v>50</v>
      </c>
      <c r="F33" s="113" t="s">
        <v>212</v>
      </c>
      <c r="G33" s="113" t="s">
        <v>191</v>
      </c>
      <c r="H33" s="113">
        <v>11</v>
      </c>
      <c r="I33" s="113">
        <v>14</v>
      </c>
      <c r="J33" s="113">
        <v>6230</v>
      </c>
      <c r="K33" s="113" t="s">
        <v>49</v>
      </c>
      <c r="L33" s="113">
        <v>140917</v>
      </c>
      <c r="M33" s="114">
        <v>3462</v>
      </c>
      <c r="N33" s="115">
        <v>232681</v>
      </c>
      <c r="O33" s="113" t="s">
        <v>77</v>
      </c>
    </row>
    <row r="34" spans="1:15" x14ac:dyDescent="0.2">
      <c r="A34" s="113" t="s">
        <v>74</v>
      </c>
      <c r="B34" s="113">
        <v>2508</v>
      </c>
      <c r="C34" s="113" t="s">
        <v>391</v>
      </c>
      <c r="D34" s="113" t="s">
        <v>66</v>
      </c>
      <c r="E34" s="113" t="s">
        <v>50</v>
      </c>
      <c r="F34" s="113" t="s">
        <v>206</v>
      </c>
      <c r="G34" s="113">
        <v>136</v>
      </c>
      <c r="H34" s="113">
        <v>16</v>
      </c>
      <c r="I34" s="113">
        <v>14</v>
      </c>
      <c r="J34" s="113">
        <v>6038</v>
      </c>
      <c r="K34" s="113" t="s">
        <v>69</v>
      </c>
      <c r="L34" s="113">
        <v>140910</v>
      </c>
      <c r="M34" s="114">
        <v>3562</v>
      </c>
      <c r="N34" s="115">
        <v>239402</v>
      </c>
      <c r="O34" s="113" t="s">
        <v>79</v>
      </c>
    </row>
    <row r="35" spans="1:15" x14ac:dyDescent="0.2">
      <c r="A35" s="113" t="s">
        <v>74</v>
      </c>
      <c r="B35" s="113">
        <v>1000</v>
      </c>
      <c r="C35" s="113" t="s">
        <v>219</v>
      </c>
      <c r="D35" s="113" t="s">
        <v>61</v>
      </c>
      <c r="E35" s="113" t="s">
        <v>50</v>
      </c>
      <c r="F35" s="113" t="s">
        <v>220</v>
      </c>
      <c r="G35" s="113">
        <v>2</v>
      </c>
      <c r="H35" s="113">
        <v>1</v>
      </c>
      <c r="I35" s="113">
        <v>14</v>
      </c>
      <c r="J35" s="113">
        <v>6195</v>
      </c>
      <c r="K35" s="113" t="s">
        <v>49</v>
      </c>
      <c r="L35" s="113">
        <v>140917</v>
      </c>
      <c r="M35" s="114">
        <v>1928</v>
      </c>
      <c r="N35" s="115">
        <v>129581</v>
      </c>
      <c r="O35" s="113" t="s">
        <v>77</v>
      </c>
    </row>
    <row r="36" spans="1:15" x14ac:dyDescent="0.2">
      <c r="A36" s="113" t="s">
        <v>74</v>
      </c>
      <c r="B36" s="113">
        <v>1004</v>
      </c>
      <c r="C36" s="113" t="s">
        <v>219</v>
      </c>
      <c r="D36" s="113" t="s">
        <v>61</v>
      </c>
      <c r="E36" s="113" t="s">
        <v>50</v>
      </c>
      <c r="F36" s="113" t="s">
        <v>220</v>
      </c>
      <c r="G36" s="113">
        <v>2</v>
      </c>
      <c r="H36" s="113">
        <v>2</v>
      </c>
      <c r="I36" s="113">
        <v>14</v>
      </c>
      <c r="J36" s="113">
        <v>6213</v>
      </c>
      <c r="K36" s="113" t="s">
        <v>49</v>
      </c>
      <c r="L36" s="113">
        <v>140917</v>
      </c>
      <c r="M36" s="114">
        <v>2500</v>
      </c>
      <c r="N36" s="115">
        <v>168025</v>
      </c>
      <c r="O36" s="113" t="s">
        <v>77</v>
      </c>
    </row>
    <row r="37" spans="1:15" x14ac:dyDescent="0.2">
      <c r="A37" s="113" t="s">
        <v>74</v>
      </c>
      <c r="B37" s="113">
        <v>1008</v>
      </c>
      <c r="C37" s="113" t="s">
        <v>219</v>
      </c>
      <c r="D37" s="113" t="s">
        <v>61</v>
      </c>
      <c r="E37" s="113" t="s">
        <v>50</v>
      </c>
      <c r="F37" s="113" t="s">
        <v>220</v>
      </c>
      <c r="G37" s="113">
        <v>2</v>
      </c>
      <c r="H37" s="113">
        <v>3</v>
      </c>
      <c r="I37" s="113">
        <v>14</v>
      </c>
      <c r="J37" s="113">
        <v>6211</v>
      </c>
      <c r="K37" s="113" t="s">
        <v>49</v>
      </c>
      <c r="L37" s="113">
        <v>140917</v>
      </c>
      <c r="M37" s="114">
        <v>2333</v>
      </c>
      <c r="N37" s="115">
        <v>156801</v>
      </c>
      <c r="O37" s="113" t="s">
        <v>77</v>
      </c>
    </row>
    <row r="38" spans="1:15" x14ac:dyDescent="0.2">
      <c r="A38" s="113" t="s">
        <v>74</v>
      </c>
      <c r="B38" s="113">
        <v>1012</v>
      </c>
      <c r="C38" s="113" t="s">
        <v>219</v>
      </c>
      <c r="D38" s="113" t="s">
        <v>61</v>
      </c>
      <c r="E38" s="113" t="s">
        <v>50</v>
      </c>
      <c r="F38" s="113" t="s">
        <v>220</v>
      </c>
      <c r="G38" s="113">
        <v>2</v>
      </c>
      <c r="H38" s="113">
        <v>4</v>
      </c>
      <c r="I38" s="113">
        <v>14</v>
      </c>
      <c r="J38" s="113">
        <v>6208</v>
      </c>
      <c r="K38" s="113" t="s">
        <v>49</v>
      </c>
      <c r="L38" s="113">
        <v>140917</v>
      </c>
      <c r="M38" s="114">
        <v>2169</v>
      </c>
      <c r="N38" s="115">
        <v>145778</v>
      </c>
      <c r="O38" s="113" t="s">
        <v>77</v>
      </c>
    </row>
    <row r="39" spans="1:15" x14ac:dyDescent="0.2">
      <c r="A39" s="113" t="s">
        <v>74</v>
      </c>
      <c r="B39" s="113">
        <v>1016</v>
      </c>
      <c r="C39" s="113" t="s">
        <v>219</v>
      </c>
      <c r="D39" s="113" t="s">
        <v>61</v>
      </c>
      <c r="E39" s="113" t="s">
        <v>50</v>
      </c>
      <c r="F39" s="113" t="s">
        <v>220</v>
      </c>
      <c r="G39" s="113">
        <v>2</v>
      </c>
      <c r="H39" s="113">
        <v>5</v>
      </c>
      <c r="I39" s="113">
        <v>14</v>
      </c>
      <c r="J39" s="113">
        <v>6197</v>
      </c>
      <c r="K39" s="113" t="s">
        <v>49</v>
      </c>
      <c r="L39" s="113">
        <v>140917</v>
      </c>
      <c r="M39" s="114">
        <v>1940</v>
      </c>
      <c r="N39" s="115">
        <v>130387</v>
      </c>
      <c r="O39" s="113" t="s">
        <v>77</v>
      </c>
    </row>
    <row r="40" spans="1:15" x14ac:dyDescent="0.2">
      <c r="A40" s="113" t="s">
        <v>74</v>
      </c>
      <c r="B40" s="113">
        <v>1019</v>
      </c>
      <c r="C40" s="113" t="s">
        <v>219</v>
      </c>
      <c r="D40" s="113" t="s">
        <v>61</v>
      </c>
      <c r="E40" s="113" t="s">
        <v>50</v>
      </c>
      <c r="F40" s="113" t="s">
        <v>220</v>
      </c>
      <c r="G40" s="113">
        <v>1</v>
      </c>
      <c r="H40" s="113">
        <v>1</v>
      </c>
      <c r="I40" s="113">
        <v>14</v>
      </c>
      <c r="J40" s="113">
        <v>6204</v>
      </c>
      <c r="K40" s="113" t="s">
        <v>49</v>
      </c>
      <c r="L40" s="113">
        <v>140917</v>
      </c>
      <c r="M40" s="114">
        <v>1940</v>
      </c>
      <c r="N40" s="115">
        <v>130387</v>
      </c>
      <c r="O40" s="113" t="s">
        <v>77</v>
      </c>
    </row>
    <row r="41" spans="1:15" x14ac:dyDescent="0.2">
      <c r="A41" s="113" t="s">
        <v>74</v>
      </c>
      <c r="B41" s="113">
        <v>1020</v>
      </c>
      <c r="C41" s="113" t="s">
        <v>219</v>
      </c>
      <c r="D41" s="113" t="s">
        <v>61</v>
      </c>
      <c r="E41" s="113" t="s">
        <v>50</v>
      </c>
      <c r="F41" s="113" t="s">
        <v>220</v>
      </c>
      <c r="G41" s="113">
        <v>2</v>
      </c>
      <c r="H41" s="113">
        <v>6</v>
      </c>
      <c r="I41" s="113">
        <v>14</v>
      </c>
      <c r="J41" s="113">
        <v>6196</v>
      </c>
      <c r="K41" s="113" t="s">
        <v>49</v>
      </c>
      <c r="L41" s="113">
        <v>140917</v>
      </c>
      <c r="M41" s="114">
        <v>1928</v>
      </c>
      <c r="N41" s="115">
        <v>129581</v>
      </c>
      <c r="O41" s="113" t="s">
        <v>77</v>
      </c>
    </row>
    <row r="42" spans="1:15" x14ac:dyDescent="0.2">
      <c r="A42" s="113" t="s">
        <v>74</v>
      </c>
      <c r="B42" s="113">
        <v>1023</v>
      </c>
      <c r="C42" s="113" t="s">
        <v>219</v>
      </c>
      <c r="D42" s="113" t="s">
        <v>61</v>
      </c>
      <c r="E42" s="113" t="s">
        <v>50</v>
      </c>
      <c r="F42" s="113" t="s">
        <v>220</v>
      </c>
      <c r="G42" s="113">
        <v>1</v>
      </c>
      <c r="H42" s="113">
        <v>2</v>
      </c>
      <c r="I42" s="113">
        <v>14</v>
      </c>
      <c r="J42" s="113">
        <v>6212</v>
      </c>
      <c r="K42" s="113" t="s">
        <v>49</v>
      </c>
      <c r="L42" s="113">
        <v>140917</v>
      </c>
      <c r="M42" s="114">
        <v>2500</v>
      </c>
      <c r="N42" s="115">
        <v>168025</v>
      </c>
      <c r="O42" s="113" t="s">
        <v>77</v>
      </c>
    </row>
    <row r="43" spans="1:15" x14ac:dyDescent="0.2">
      <c r="A43" s="113" t="s">
        <v>74</v>
      </c>
      <c r="B43" s="113">
        <v>1024</v>
      </c>
      <c r="C43" s="113" t="s">
        <v>219</v>
      </c>
      <c r="D43" s="113" t="s">
        <v>61</v>
      </c>
      <c r="E43" s="113" t="s">
        <v>50</v>
      </c>
      <c r="F43" s="113" t="s">
        <v>220</v>
      </c>
      <c r="G43" s="113">
        <v>2</v>
      </c>
      <c r="H43" s="113">
        <v>7</v>
      </c>
      <c r="I43" s="113">
        <v>14</v>
      </c>
      <c r="J43" s="113">
        <v>6207</v>
      </c>
      <c r="K43" s="113" t="s">
        <v>49</v>
      </c>
      <c r="L43" s="113">
        <v>140917</v>
      </c>
      <c r="M43" s="114">
        <v>2169</v>
      </c>
      <c r="N43" s="115">
        <v>145778</v>
      </c>
      <c r="O43" s="113" t="s">
        <v>77</v>
      </c>
    </row>
    <row r="44" spans="1:15" x14ac:dyDescent="0.2">
      <c r="A44" s="113" t="s">
        <v>74</v>
      </c>
      <c r="B44" s="113">
        <v>1027</v>
      </c>
      <c r="C44" s="113" t="s">
        <v>219</v>
      </c>
      <c r="D44" s="113" t="s">
        <v>61</v>
      </c>
      <c r="E44" s="113" t="s">
        <v>50</v>
      </c>
      <c r="F44" s="113" t="s">
        <v>220</v>
      </c>
      <c r="G44" s="113">
        <v>1</v>
      </c>
      <c r="H44" s="113">
        <v>3</v>
      </c>
      <c r="I44" s="113">
        <v>14</v>
      </c>
      <c r="J44" s="113">
        <v>6205</v>
      </c>
      <c r="K44" s="113" t="s">
        <v>49</v>
      </c>
      <c r="L44" s="113">
        <v>140917</v>
      </c>
      <c r="M44" s="114">
        <v>1940</v>
      </c>
      <c r="N44" s="115">
        <v>130387</v>
      </c>
      <c r="O44" s="113" t="s">
        <v>77</v>
      </c>
    </row>
    <row r="45" spans="1:15" x14ac:dyDescent="0.2">
      <c r="A45" s="113" t="s">
        <v>74</v>
      </c>
      <c r="B45" s="113">
        <v>1028</v>
      </c>
      <c r="C45" s="113" t="s">
        <v>219</v>
      </c>
      <c r="D45" s="113" t="s">
        <v>61</v>
      </c>
      <c r="E45" s="113" t="s">
        <v>50</v>
      </c>
      <c r="F45" s="113" t="s">
        <v>220</v>
      </c>
      <c r="G45" s="113">
        <v>2</v>
      </c>
      <c r="H45" s="113">
        <v>8</v>
      </c>
      <c r="I45" s="113">
        <v>14</v>
      </c>
      <c r="J45" s="113">
        <v>6201</v>
      </c>
      <c r="K45" s="113" t="s">
        <v>49</v>
      </c>
      <c r="L45" s="113">
        <v>140917</v>
      </c>
      <c r="M45" s="114">
        <v>1940</v>
      </c>
      <c r="N45" s="115">
        <v>130387</v>
      </c>
      <c r="O45" s="113" t="s">
        <v>77</v>
      </c>
    </row>
    <row r="46" spans="1:15" x14ac:dyDescent="0.2">
      <c r="A46" s="113" t="s">
        <v>74</v>
      </c>
      <c r="B46" s="113">
        <v>1031</v>
      </c>
      <c r="C46" s="113" t="s">
        <v>219</v>
      </c>
      <c r="D46" s="113" t="s">
        <v>61</v>
      </c>
      <c r="E46" s="113" t="s">
        <v>50</v>
      </c>
      <c r="F46" s="113" t="s">
        <v>220</v>
      </c>
      <c r="G46" s="113">
        <v>1</v>
      </c>
      <c r="H46" s="113">
        <v>4</v>
      </c>
      <c r="I46" s="113">
        <v>14</v>
      </c>
      <c r="J46" s="113">
        <v>6194</v>
      </c>
      <c r="K46" s="113" t="s">
        <v>49</v>
      </c>
      <c r="L46" s="113">
        <v>140917</v>
      </c>
      <c r="M46" s="114">
        <v>1928</v>
      </c>
      <c r="N46" s="115">
        <v>129581</v>
      </c>
      <c r="O46" s="113" t="s">
        <v>77</v>
      </c>
    </row>
    <row r="47" spans="1:15" x14ac:dyDescent="0.2">
      <c r="A47" s="113" t="s">
        <v>74</v>
      </c>
      <c r="B47" s="113">
        <v>1032</v>
      </c>
      <c r="C47" s="113" t="s">
        <v>219</v>
      </c>
      <c r="D47" s="113" t="s">
        <v>61</v>
      </c>
      <c r="E47" s="113" t="s">
        <v>50</v>
      </c>
      <c r="F47" s="113" t="s">
        <v>220</v>
      </c>
      <c r="G47" s="113">
        <v>2</v>
      </c>
      <c r="H47" s="113">
        <v>9</v>
      </c>
      <c r="I47" s="113">
        <v>14</v>
      </c>
      <c r="J47" s="113">
        <v>6210</v>
      </c>
      <c r="K47" s="113" t="s">
        <v>49</v>
      </c>
      <c r="L47" s="113">
        <v>140917</v>
      </c>
      <c r="M47" s="114">
        <v>2333</v>
      </c>
      <c r="N47" s="115">
        <v>156801</v>
      </c>
      <c r="O47" s="113" t="s">
        <v>77</v>
      </c>
    </row>
    <row r="48" spans="1:15" x14ac:dyDescent="0.2">
      <c r="A48" s="113" t="s">
        <v>74</v>
      </c>
      <c r="B48" s="113">
        <v>1035</v>
      </c>
      <c r="C48" s="113" t="s">
        <v>219</v>
      </c>
      <c r="D48" s="113" t="s">
        <v>61</v>
      </c>
      <c r="E48" s="113" t="s">
        <v>50</v>
      </c>
      <c r="F48" s="113" t="s">
        <v>220</v>
      </c>
      <c r="G48" s="113">
        <v>1</v>
      </c>
      <c r="H48" s="113">
        <v>5</v>
      </c>
      <c r="I48" s="113">
        <v>14</v>
      </c>
      <c r="J48" s="113">
        <v>6209</v>
      </c>
      <c r="K48" s="113" t="s">
        <v>49</v>
      </c>
      <c r="L48" s="113">
        <v>140917</v>
      </c>
      <c r="M48" s="114">
        <v>2169</v>
      </c>
      <c r="N48" s="115">
        <v>145778</v>
      </c>
      <c r="O48" s="113" t="s">
        <v>77</v>
      </c>
    </row>
    <row r="49" spans="1:15" x14ac:dyDescent="0.2">
      <c r="A49" s="113" t="s">
        <v>74</v>
      </c>
      <c r="B49" s="113">
        <v>1036</v>
      </c>
      <c r="C49" s="113" t="s">
        <v>219</v>
      </c>
      <c r="D49" s="113" t="s">
        <v>61</v>
      </c>
      <c r="E49" s="113" t="s">
        <v>50</v>
      </c>
      <c r="F49" s="113" t="s">
        <v>220</v>
      </c>
      <c r="G49" s="113">
        <v>2</v>
      </c>
      <c r="H49" s="113">
        <v>10</v>
      </c>
      <c r="I49" s="113">
        <v>14</v>
      </c>
      <c r="J49" s="113">
        <v>6203</v>
      </c>
      <c r="K49" s="113" t="s">
        <v>49</v>
      </c>
      <c r="L49" s="113">
        <v>140917</v>
      </c>
      <c r="M49" s="114">
        <v>1940</v>
      </c>
      <c r="N49" s="115">
        <v>130387</v>
      </c>
      <c r="O49" s="113" t="s">
        <v>77</v>
      </c>
    </row>
    <row r="50" spans="1:15" x14ac:dyDescent="0.2">
      <c r="A50" s="113" t="s">
        <v>74</v>
      </c>
      <c r="B50" s="113">
        <v>1039</v>
      </c>
      <c r="C50" s="113" t="s">
        <v>219</v>
      </c>
      <c r="D50" s="113" t="s">
        <v>61</v>
      </c>
      <c r="E50" s="113" t="s">
        <v>50</v>
      </c>
      <c r="F50" s="113" t="s">
        <v>220</v>
      </c>
      <c r="G50" s="113">
        <v>1</v>
      </c>
      <c r="H50" s="113">
        <v>6</v>
      </c>
      <c r="I50" s="113">
        <v>14</v>
      </c>
      <c r="J50" s="113">
        <v>6200</v>
      </c>
      <c r="K50" s="113" t="s">
        <v>49</v>
      </c>
      <c r="L50" s="113">
        <v>140917</v>
      </c>
      <c r="M50" s="114">
        <v>0</v>
      </c>
      <c r="N50" s="115">
        <v>130387</v>
      </c>
      <c r="O50" s="113" t="s">
        <v>77</v>
      </c>
    </row>
    <row r="51" spans="1:15" x14ac:dyDescent="0.2">
      <c r="A51" s="113" t="s">
        <v>74</v>
      </c>
      <c r="B51" s="113">
        <v>1040</v>
      </c>
      <c r="C51" s="113" t="s">
        <v>219</v>
      </c>
      <c r="D51" s="113" t="s">
        <v>61</v>
      </c>
      <c r="E51" s="113" t="s">
        <v>50</v>
      </c>
      <c r="F51" s="113" t="s">
        <v>220</v>
      </c>
      <c r="G51" s="113">
        <v>2</v>
      </c>
      <c r="H51" s="113">
        <v>11</v>
      </c>
      <c r="I51" s="113">
        <v>14</v>
      </c>
      <c r="J51" s="113">
        <v>6206</v>
      </c>
      <c r="K51" s="113" t="s">
        <v>49</v>
      </c>
      <c r="L51" s="113">
        <v>140917</v>
      </c>
      <c r="M51" s="114">
        <v>2169</v>
      </c>
      <c r="N51" s="115">
        <v>145778</v>
      </c>
      <c r="O51" s="113" t="s">
        <v>77</v>
      </c>
    </row>
    <row r="52" spans="1:15" x14ac:dyDescent="0.2">
      <c r="A52" s="113" t="s">
        <v>74</v>
      </c>
      <c r="B52" s="113">
        <v>404</v>
      </c>
      <c r="C52" s="113" t="s">
        <v>281</v>
      </c>
      <c r="D52" s="113" t="s">
        <v>160</v>
      </c>
      <c r="E52" s="113" t="s">
        <v>50</v>
      </c>
      <c r="F52" s="113" t="s">
        <v>212</v>
      </c>
      <c r="G52" s="113" t="s">
        <v>125</v>
      </c>
      <c r="H52" s="113">
        <v>23</v>
      </c>
      <c r="I52" s="113">
        <v>14</v>
      </c>
      <c r="J52" s="113">
        <v>6236</v>
      </c>
      <c r="K52" s="113" t="s">
        <v>49</v>
      </c>
      <c r="L52" s="113">
        <v>140917</v>
      </c>
      <c r="M52" s="114">
        <v>2783</v>
      </c>
      <c r="N52" s="115">
        <v>187045</v>
      </c>
      <c r="O52" s="113" t="s">
        <v>77</v>
      </c>
    </row>
    <row r="53" spans="1:15" x14ac:dyDescent="0.2">
      <c r="A53" s="113" t="s">
        <v>74</v>
      </c>
      <c r="B53" s="113">
        <v>408</v>
      </c>
      <c r="C53" s="113" t="s">
        <v>281</v>
      </c>
      <c r="D53" s="113" t="s">
        <v>160</v>
      </c>
      <c r="E53" s="113" t="s">
        <v>50</v>
      </c>
      <c r="F53" s="113" t="s">
        <v>212</v>
      </c>
      <c r="G53" s="113" t="s">
        <v>125</v>
      </c>
      <c r="H53" s="113">
        <v>24</v>
      </c>
      <c r="I53" s="113">
        <v>14</v>
      </c>
      <c r="J53" s="113">
        <v>6238</v>
      </c>
      <c r="K53" s="113" t="s">
        <v>49</v>
      </c>
      <c r="L53" s="113">
        <v>140917</v>
      </c>
      <c r="M53" s="114">
        <v>2595</v>
      </c>
      <c r="N53" s="115">
        <v>174410</v>
      </c>
      <c r="O53" s="113" t="s">
        <v>77</v>
      </c>
    </row>
    <row r="54" spans="1:15" x14ac:dyDescent="0.2">
      <c r="A54" s="113" t="s">
        <v>74</v>
      </c>
      <c r="B54" s="113">
        <v>501</v>
      </c>
      <c r="C54" s="113" t="s">
        <v>281</v>
      </c>
      <c r="D54" s="113" t="s">
        <v>55</v>
      </c>
      <c r="E54" s="113" t="s">
        <v>50</v>
      </c>
      <c r="F54" s="113" t="s">
        <v>212</v>
      </c>
      <c r="G54" s="113" t="s">
        <v>128</v>
      </c>
      <c r="H54" s="113">
        <v>1</v>
      </c>
      <c r="I54" s="113">
        <v>14</v>
      </c>
      <c r="J54" s="113">
        <v>5943</v>
      </c>
      <c r="K54" s="113" t="s">
        <v>49</v>
      </c>
      <c r="L54" s="113">
        <v>140908</v>
      </c>
      <c r="M54" s="114">
        <v>2322</v>
      </c>
      <c r="N54" s="115">
        <v>156062</v>
      </c>
      <c r="O54" s="113" t="s">
        <v>77</v>
      </c>
    </row>
    <row r="55" spans="1:15" x14ac:dyDescent="0.2">
      <c r="A55" s="113" t="s">
        <v>74</v>
      </c>
      <c r="B55" s="113">
        <v>504</v>
      </c>
      <c r="C55" s="113" t="s">
        <v>281</v>
      </c>
      <c r="D55" s="113" t="s">
        <v>55</v>
      </c>
      <c r="E55" s="113" t="s">
        <v>50</v>
      </c>
      <c r="F55" s="113" t="s">
        <v>212</v>
      </c>
      <c r="G55" s="113" t="s">
        <v>128</v>
      </c>
      <c r="H55" s="113">
        <v>16</v>
      </c>
      <c r="I55" s="113">
        <v>14</v>
      </c>
      <c r="J55" s="113">
        <v>6222</v>
      </c>
      <c r="K55" s="113" t="s">
        <v>49</v>
      </c>
      <c r="L55" s="113">
        <v>140917</v>
      </c>
      <c r="M55" s="114">
        <v>2322</v>
      </c>
      <c r="N55" s="115">
        <v>156062</v>
      </c>
      <c r="O55" s="113" t="s">
        <v>77</v>
      </c>
    </row>
    <row r="56" spans="1:15" x14ac:dyDescent="0.2">
      <c r="A56" s="113" t="s">
        <v>74</v>
      </c>
      <c r="B56" s="113">
        <v>505</v>
      </c>
      <c r="C56" s="113" t="s">
        <v>281</v>
      </c>
      <c r="D56" s="113" t="s">
        <v>55</v>
      </c>
      <c r="E56" s="113" t="s">
        <v>50</v>
      </c>
      <c r="F56" s="113" t="s">
        <v>212</v>
      </c>
      <c r="G56" s="113" t="s">
        <v>128</v>
      </c>
      <c r="H56" s="113">
        <v>2</v>
      </c>
      <c r="I56" s="113">
        <v>14</v>
      </c>
      <c r="J56" s="113">
        <v>6223</v>
      </c>
      <c r="K56" s="113" t="s">
        <v>49</v>
      </c>
      <c r="L56" s="113">
        <v>140917</v>
      </c>
      <c r="M56" s="114">
        <v>3825</v>
      </c>
      <c r="N56" s="115">
        <v>257078</v>
      </c>
      <c r="O56" s="113" t="s">
        <v>77</v>
      </c>
    </row>
    <row r="57" spans="1:15" x14ac:dyDescent="0.2">
      <c r="A57" s="113" t="s">
        <v>74</v>
      </c>
      <c r="B57" s="113">
        <v>512</v>
      </c>
      <c r="C57" s="113" t="s">
        <v>281</v>
      </c>
      <c r="D57" s="113" t="s">
        <v>55</v>
      </c>
      <c r="E57" s="113" t="s">
        <v>50</v>
      </c>
      <c r="F57" s="113" t="s">
        <v>212</v>
      </c>
      <c r="G57" s="113" t="s">
        <v>128</v>
      </c>
      <c r="H57" s="113">
        <v>14</v>
      </c>
      <c r="I57" s="113">
        <v>14</v>
      </c>
      <c r="J57" s="113">
        <v>6237</v>
      </c>
      <c r="K57" s="113" t="s">
        <v>49</v>
      </c>
      <c r="L57" s="113">
        <v>140917</v>
      </c>
      <c r="M57" s="114">
        <v>2103</v>
      </c>
      <c r="N57" s="115">
        <v>141343</v>
      </c>
      <c r="O57" s="113" t="s">
        <v>77</v>
      </c>
    </row>
    <row r="58" spans="1:15" x14ac:dyDescent="0.2">
      <c r="A58" s="113" t="s">
        <v>74</v>
      </c>
      <c r="B58" s="113">
        <v>517</v>
      </c>
      <c r="C58" s="113" t="s">
        <v>281</v>
      </c>
      <c r="D58" s="113" t="s">
        <v>55</v>
      </c>
      <c r="E58" s="113" t="s">
        <v>50</v>
      </c>
      <c r="F58" s="113" t="s">
        <v>212</v>
      </c>
      <c r="G58" s="113" t="s">
        <v>128</v>
      </c>
      <c r="H58" s="113">
        <v>5</v>
      </c>
      <c r="I58" s="113">
        <v>14</v>
      </c>
      <c r="J58" s="113">
        <v>6224</v>
      </c>
      <c r="K58" s="113" t="s">
        <v>49</v>
      </c>
      <c r="L58" s="113">
        <v>140917</v>
      </c>
      <c r="M58" s="114">
        <v>2825</v>
      </c>
      <c r="N58" s="115">
        <v>189868</v>
      </c>
      <c r="O58" s="113" t="s">
        <v>77</v>
      </c>
    </row>
    <row r="59" spans="1:15" x14ac:dyDescent="0.2">
      <c r="A59" s="113" t="s">
        <v>74</v>
      </c>
      <c r="B59" s="113">
        <v>521</v>
      </c>
      <c r="C59" s="113" t="s">
        <v>281</v>
      </c>
      <c r="D59" s="113" t="s">
        <v>55</v>
      </c>
      <c r="E59" s="113" t="s">
        <v>50</v>
      </c>
      <c r="F59" s="113" t="s">
        <v>212</v>
      </c>
      <c r="G59" s="113" t="s">
        <v>128</v>
      </c>
      <c r="H59" s="113">
        <v>6</v>
      </c>
      <c r="I59" s="113">
        <v>14</v>
      </c>
      <c r="J59" s="113">
        <v>6226</v>
      </c>
      <c r="K59" s="113" t="s">
        <v>49</v>
      </c>
      <c r="L59" s="113">
        <v>140917</v>
      </c>
      <c r="M59" s="114">
        <v>2783</v>
      </c>
      <c r="N59" s="115">
        <v>187045</v>
      </c>
      <c r="O59" s="113" t="s">
        <v>77</v>
      </c>
    </row>
    <row r="60" spans="1:15" x14ac:dyDescent="0.2">
      <c r="A60" s="113" t="s">
        <v>74</v>
      </c>
      <c r="B60" s="113">
        <v>524</v>
      </c>
      <c r="C60" s="113" t="s">
        <v>281</v>
      </c>
      <c r="D60" s="113" t="s">
        <v>55</v>
      </c>
      <c r="E60" s="113" t="s">
        <v>50</v>
      </c>
      <c r="F60" s="113" t="s">
        <v>212</v>
      </c>
      <c r="G60" s="113" t="s">
        <v>128</v>
      </c>
      <c r="H60" s="113">
        <v>11</v>
      </c>
      <c r="I60" s="113">
        <v>14</v>
      </c>
      <c r="J60" s="113">
        <v>6220</v>
      </c>
      <c r="K60" s="113" t="s">
        <v>49</v>
      </c>
      <c r="L60" s="113">
        <v>140917</v>
      </c>
      <c r="M60" s="114">
        <v>3236</v>
      </c>
      <c r="N60" s="115">
        <v>217492</v>
      </c>
      <c r="O60" s="113" t="s">
        <v>77</v>
      </c>
    </row>
    <row r="61" spans="1:15" x14ac:dyDescent="0.2">
      <c r="A61" s="113" t="s">
        <v>74</v>
      </c>
      <c r="B61" s="113">
        <v>525</v>
      </c>
      <c r="C61" s="113" t="s">
        <v>281</v>
      </c>
      <c r="D61" s="113" t="s">
        <v>55</v>
      </c>
      <c r="E61" s="113" t="s">
        <v>50</v>
      </c>
      <c r="F61" s="113" t="s">
        <v>212</v>
      </c>
      <c r="G61" s="113" t="s">
        <v>128</v>
      </c>
      <c r="H61" s="113">
        <v>7</v>
      </c>
      <c r="I61" s="113">
        <v>14</v>
      </c>
      <c r="J61" s="113">
        <v>6235</v>
      </c>
      <c r="K61" s="113" t="s">
        <v>49</v>
      </c>
      <c r="L61" s="113">
        <v>140917</v>
      </c>
      <c r="M61" s="114">
        <v>3236</v>
      </c>
      <c r="N61" s="115">
        <v>217492</v>
      </c>
      <c r="O61" s="113" t="s">
        <v>77</v>
      </c>
    </row>
    <row r="62" spans="1:15" x14ac:dyDescent="0.2">
      <c r="A62" s="113" t="s">
        <v>74</v>
      </c>
      <c r="B62" s="113">
        <v>529</v>
      </c>
      <c r="C62" s="113" t="s">
        <v>281</v>
      </c>
      <c r="D62" s="113" t="s">
        <v>55</v>
      </c>
      <c r="E62" s="113" t="s">
        <v>50</v>
      </c>
      <c r="F62" s="113" t="s">
        <v>212</v>
      </c>
      <c r="G62" s="113" t="s">
        <v>128</v>
      </c>
      <c r="H62" s="113">
        <v>8</v>
      </c>
      <c r="I62" s="113">
        <v>14</v>
      </c>
      <c r="J62" s="113">
        <v>6221</v>
      </c>
      <c r="K62" s="113" t="s">
        <v>49</v>
      </c>
      <c r="L62" s="113">
        <v>140917</v>
      </c>
      <c r="M62" s="114">
        <v>2103</v>
      </c>
      <c r="N62" s="115">
        <v>141343</v>
      </c>
      <c r="O62" s="113" t="s">
        <v>77</v>
      </c>
    </row>
    <row r="63" spans="1:15" x14ac:dyDescent="0.2">
      <c r="A63" s="113" t="s">
        <v>74</v>
      </c>
      <c r="B63" s="113">
        <v>533</v>
      </c>
      <c r="C63" s="113" t="s">
        <v>281</v>
      </c>
      <c r="D63" s="113" t="s">
        <v>55</v>
      </c>
      <c r="E63" s="113" t="s">
        <v>50</v>
      </c>
      <c r="F63" s="113" t="s">
        <v>212</v>
      </c>
      <c r="G63" s="113" t="s">
        <v>128</v>
      </c>
      <c r="H63" s="113">
        <v>9</v>
      </c>
      <c r="I63" s="113">
        <v>14</v>
      </c>
      <c r="J63" s="113">
        <v>6233</v>
      </c>
      <c r="K63" s="113" t="s">
        <v>49</v>
      </c>
      <c r="L63" s="113">
        <v>140917</v>
      </c>
      <c r="M63" s="114">
        <v>3641</v>
      </c>
      <c r="N63" s="115">
        <v>244712</v>
      </c>
      <c r="O63" s="113" t="s">
        <v>77</v>
      </c>
    </row>
    <row r="64" spans="1:15" x14ac:dyDescent="0.2">
      <c r="A64" s="113" t="s">
        <v>74</v>
      </c>
      <c r="B64" s="113">
        <v>3304</v>
      </c>
      <c r="C64" s="113" t="s">
        <v>392</v>
      </c>
      <c r="D64" s="113" t="s">
        <v>55</v>
      </c>
      <c r="E64" s="113" t="s">
        <v>50</v>
      </c>
      <c r="F64" s="113" t="s">
        <v>78</v>
      </c>
      <c r="G64" s="113">
        <v>102</v>
      </c>
      <c r="H64" s="113">
        <v>37</v>
      </c>
      <c r="I64" s="113">
        <v>14</v>
      </c>
      <c r="J64" s="113">
        <v>6011</v>
      </c>
      <c r="K64" s="113" t="s">
        <v>49</v>
      </c>
      <c r="L64" s="113">
        <v>140909</v>
      </c>
      <c r="M64" s="114">
        <v>3317</v>
      </c>
      <c r="N64" s="115">
        <v>222936</v>
      </c>
      <c r="O64" s="113" t="s">
        <v>166</v>
      </c>
    </row>
    <row r="65" spans="1:15" x14ac:dyDescent="0.2">
      <c r="A65" s="113" t="s">
        <v>74</v>
      </c>
      <c r="B65" s="113">
        <v>1405</v>
      </c>
      <c r="C65" s="113" t="s">
        <v>240</v>
      </c>
      <c r="D65" s="113" t="s">
        <v>59</v>
      </c>
      <c r="E65" s="113" t="s">
        <v>84</v>
      </c>
      <c r="F65" s="113" t="s">
        <v>85</v>
      </c>
      <c r="G65" s="113">
        <v>23</v>
      </c>
      <c r="H65" s="113">
        <v>23</v>
      </c>
      <c r="I65" s="113">
        <v>14</v>
      </c>
      <c r="J65" s="113">
        <v>6277</v>
      </c>
      <c r="K65" s="113" t="s">
        <v>49</v>
      </c>
      <c r="L65" s="113">
        <v>140918</v>
      </c>
      <c r="M65" s="114">
        <v>4313</v>
      </c>
      <c r="N65" s="115">
        <v>300000</v>
      </c>
      <c r="O65" s="113" t="s">
        <v>167</v>
      </c>
    </row>
    <row r="66" spans="1:15" x14ac:dyDescent="0.2">
      <c r="A66" s="113" t="s">
        <v>74</v>
      </c>
      <c r="B66" s="113">
        <v>604</v>
      </c>
      <c r="C66" s="113" t="s">
        <v>304</v>
      </c>
      <c r="D66" s="113" t="s">
        <v>75</v>
      </c>
      <c r="E66" s="113" t="s">
        <v>50</v>
      </c>
      <c r="F66" s="113" t="s">
        <v>90</v>
      </c>
      <c r="G66" s="113">
        <v>5</v>
      </c>
      <c r="H66" s="113">
        <v>15</v>
      </c>
      <c r="I66" s="113">
        <v>14</v>
      </c>
      <c r="J66" s="113">
        <v>5909</v>
      </c>
      <c r="K66" s="113" t="s">
        <v>49</v>
      </c>
      <c r="L66" s="113">
        <v>140905</v>
      </c>
      <c r="M66" s="114">
        <v>2936</v>
      </c>
      <c r="N66" s="115">
        <v>197329</v>
      </c>
      <c r="O66" s="113" t="s">
        <v>86</v>
      </c>
    </row>
    <row r="67" spans="1:15" x14ac:dyDescent="0.2">
      <c r="A67" s="116" t="s">
        <v>30</v>
      </c>
      <c r="B67" s="116"/>
      <c r="C67" s="116"/>
      <c r="D67" s="116"/>
      <c r="E67" s="116"/>
      <c r="F67" s="116"/>
      <c r="G67" s="116"/>
      <c r="H67" s="116"/>
      <c r="I67" s="116"/>
      <c r="J67" s="116"/>
      <c r="K67" s="116"/>
      <c r="L67" s="116"/>
      <c r="M67" s="117"/>
      <c r="N67" s="118"/>
      <c r="O67" s="116"/>
    </row>
    <row r="68" spans="1:15" ht="22.5" x14ac:dyDescent="0.2">
      <c r="A68" s="119" t="s">
        <v>91</v>
      </c>
      <c r="B68" s="113">
        <f>60-1</f>
        <v>59</v>
      </c>
      <c r="C68" s="116"/>
      <c r="D68" s="116"/>
      <c r="E68" s="116"/>
      <c r="F68" s="116"/>
      <c r="G68" s="116"/>
      <c r="H68" s="116"/>
      <c r="I68" s="116"/>
      <c r="J68" s="116"/>
      <c r="K68" s="116"/>
      <c r="L68" s="116"/>
      <c r="M68" s="120" t="s">
        <v>92</v>
      </c>
      <c r="N68" s="115">
        <f>SUM(N8:N66)</f>
        <v>11302613</v>
      </c>
      <c r="O68" s="116"/>
    </row>
  </sheetData>
  <phoneticPr fontId="1" type="noConversion"/>
  <pageMargins left="0.25" right="0.25" top="0.5" bottom="0.5" header="0.5" footer="0.5"/>
  <pageSetup scale="54" orientation="landscape" r:id="rId1"/>
  <headerFooter alignWithMargins="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9"/>
  <sheetViews>
    <sheetView zoomScaleNormal="100" zoomScalePageLayoutView="125" workbookViewId="0">
      <selection activeCell="A5" sqref="A5"/>
    </sheetView>
  </sheetViews>
  <sheetFormatPr defaultColWidth="8.85546875" defaultRowHeight="12.75" x14ac:dyDescent="0.2"/>
  <cols>
    <col min="1" max="1" width="11.7109375" style="1" customWidth="1"/>
    <col min="2" max="2" width="8.85546875" style="1"/>
    <col min="3" max="3" width="21.2851562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8.7109375" style="1" customWidth="1"/>
    <col min="11" max="11" width="7.42578125" style="18" customWidth="1"/>
    <col min="12" max="12" width="10.85546875" style="28" customWidth="1"/>
    <col min="13" max="13" width="10.85546875" style="44" customWidth="1"/>
    <col min="14" max="14" width="38.28515625" style="5" customWidth="1"/>
    <col min="15" max="52" width="8.85546875" style="17"/>
  </cols>
  <sheetData>
    <row r="1" spans="1:54" s="4" customFormat="1" ht="11.25" x14ac:dyDescent="0.2">
      <c r="A1" s="1"/>
      <c r="B1" s="1"/>
      <c r="C1" s="1"/>
      <c r="D1" s="42" t="s">
        <v>29</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308</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customHeight="1" x14ac:dyDescent="0.2">
      <c r="A4" s="7" t="s">
        <v>10</v>
      </c>
      <c r="B4" s="8"/>
      <c r="C4" s="8"/>
      <c r="D4" s="9" t="s">
        <v>0</v>
      </c>
      <c r="E4" s="9"/>
      <c r="F4" s="8"/>
      <c r="G4" s="9" t="s">
        <v>1</v>
      </c>
      <c r="H4" s="8"/>
      <c r="I4" s="105" t="s">
        <v>2</v>
      </c>
      <c r="J4" s="106"/>
      <c r="K4" s="9" t="s">
        <v>3</v>
      </c>
      <c r="L4" s="11" t="s">
        <v>4</v>
      </c>
      <c r="M4" s="19" t="s">
        <v>5</v>
      </c>
      <c r="N4" s="52" t="s">
        <v>25</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31</v>
      </c>
      <c r="E5" s="13" t="s">
        <v>32</v>
      </c>
      <c r="F5" s="14" t="s">
        <v>13</v>
      </c>
      <c r="G5" s="13" t="s">
        <v>14</v>
      </c>
      <c r="H5" s="13" t="s">
        <v>15</v>
      </c>
      <c r="I5" s="13" t="s">
        <v>6</v>
      </c>
      <c r="J5" s="13" t="s">
        <v>16</v>
      </c>
      <c r="K5" s="13" t="s">
        <v>9</v>
      </c>
      <c r="L5" s="50"/>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1"/>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93</v>
      </c>
      <c r="B7" s="8">
        <v>867</v>
      </c>
      <c r="C7" s="8" t="s">
        <v>313</v>
      </c>
      <c r="D7" s="8" t="s">
        <v>59</v>
      </c>
      <c r="E7" s="8" t="s">
        <v>84</v>
      </c>
      <c r="F7" s="8" t="s">
        <v>107</v>
      </c>
      <c r="G7" s="8">
        <v>1</v>
      </c>
      <c r="H7" s="8">
        <v>37</v>
      </c>
      <c r="I7" s="8">
        <v>14</v>
      </c>
      <c r="J7" s="8">
        <v>5832</v>
      </c>
      <c r="K7" s="8">
        <v>140902</v>
      </c>
      <c r="L7" s="97">
        <v>280</v>
      </c>
      <c r="M7" s="98">
        <v>3819</v>
      </c>
      <c r="N7" s="8" t="s">
        <v>86</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93</v>
      </c>
      <c r="B8" s="8">
        <v>1509</v>
      </c>
      <c r="C8" s="8" t="s">
        <v>156</v>
      </c>
      <c r="D8" s="8" t="s">
        <v>61</v>
      </c>
      <c r="E8" s="8" t="s">
        <v>84</v>
      </c>
      <c r="F8" s="8" t="s">
        <v>142</v>
      </c>
      <c r="G8" s="8">
        <v>10</v>
      </c>
      <c r="H8" s="8">
        <v>6</v>
      </c>
      <c r="I8" s="8">
        <v>14</v>
      </c>
      <c r="J8" s="8">
        <v>5944</v>
      </c>
      <c r="K8" s="8">
        <v>140908</v>
      </c>
      <c r="L8" s="97">
        <v>209</v>
      </c>
      <c r="M8" s="98">
        <v>14000</v>
      </c>
      <c r="N8" s="8" t="s">
        <v>314</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93</v>
      </c>
      <c r="B9" s="8">
        <v>7800</v>
      </c>
      <c r="C9" s="8" t="s">
        <v>120</v>
      </c>
      <c r="D9" s="8" t="s">
        <v>83</v>
      </c>
      <c r="E9" s="8" t="s">
        <v>50</v>
      </c>
      <c r="F9" s="8" t="s">
        <v>196</v>
      </c>
      <c r="G9" s="8" t="s">
        <v>197</v>
      </c>
      <c r="H9" s="8" t="s">
        <v>201</v>
      </c>
      <c r="I9" s="8">
        <v>14</v>
      </c>
      <c r="J9" s="8">
        <v>5824</v>
      </c>
      <c r="K9" s="8">
        <v>140902</v>
      </c>
      <c r="L9" s="97">
        <v>72</v>
      </c>
      <c r="M9" s="98">
        <v>8000</v>
      </c>
      <c r="N9" s="8" t="s">
        <v>315</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93</v>
      </c>
      <c r="B10" s="8">
        <v>3346</v>
      </c>
      <c r="C10" s="8" t="s">
        <v>316</v>
      </c>
      <c r="D10" s="8" t="s">
        <v>88</v>
      </c>
      <c r="E10" s="8" t="s">
        <v>50</v>
      </c>
      <c r="F10" s="8" t="s">
        <v>232</v>
      </c>
      <c r="G10" s="8">
        <v>9</v>
      </c>
      <c r="H10" s="8">
        <v>1</v>
      </c>
      <c r="I10" s="8">
        <v>14</v>
      </c>
      <c r="J10" s="8">
        <v>6170</v>
      </c>
      <c r="K10" s="8">
        <v>140916</v>
      </c>
      <c r="L10" s="97">
        <v>144</v>
      </c>
      <c r="M10" s="98">
        <v>3600</v>
      </c>
      <c r="N10" s="8" t="s">
        <v>317</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93</v>
      </c>
      <c r="B11" s="8">
        <v>6833</v>
      </c>
      <c r="C11" s="8" t="s">
        <v>223</v>
      </c>
      <c r="D11" s="8" t="s">
        <v>66</v>
      </c>
      <c r="E11" s="8" t="s">
        <v>50</v>
      </c>
      <c r="F11" s="8" t="s">
        <v>78</v>
      </c>
      <c r="G11" s="8">
        <v>111</v>
      </c>
      <c r="H11" s="8">
        <v>50</v>
      </c>
      <c r="I11" s="8">
        <v>14</v>
      </c>
      <c r="J11" s="8">
        <v>6037</v>
      </c>
      <c r="K11" s="8">
        <v>140910</v>
      </c>
      <c r="L11" s="97">
        <v>2729</v>
      </c>
      <c r="M11" s="98">
        <v>183416</v>
      </c>
      <c r="N11" s="8" t="s">
        <v>79</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93</v>
      </c>
      <c r="B12" s="8">
        <v>1973</v>
      </c>
      <c r="C12" s="8" t="s">
        <v>283</v>
      </c>
      <c r="D12" s="8" t="s">
        <v>48</v>
      </c>
      <c r="E12" s="8" t="s">
        <v>50</v>
      </c>
      <c r="F12" s="8" t="s">
        <v>284</v>
      </c>
      <c r="G12" s="8">
        <v>8</v>
      </c>
      <c r="H12" s="8">
        <v>6</v>
      </c>
      <c r="I12" s="8">
        <v>14</v>
      </c>
      <c r="J12" s="8">
        <v>6191</v>
      </c>
      <c r="K12" s="8">
        <v>140917</v>
      </c>
      <c r="L12" s="97">
        <v>0</v>
      </c>
      <c r="M12" s="98">
        <v>0</v>
      </c>
      <c r="N12" s="8" t="s">
        <v>86</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93</v>
      </c>
      <c r="B13" s="8">
        <v>112</v>
      </c>
      <c r="C13" s="8" t="s">
        <v>285</v>
      </c>
      <c r="D13" s="8" t="s">
        <v>61</v>
      </c>
      <c r="E13" s="8" t="s">
        <v>50</v>
      </c>
      <c r="F13" s="8" t="s">
        <v>153</v>
      </c>
      <c r="G13" s="8">
        <v>2</v>
      </c>
      <c r="H13" s="8">
        <v>4</v>
      </c>
      <c r="I13" s="8">
        <v>14</v>
      </c>
      <c r="J13" s="8">
        <v>5990</v>
      </c>
      <c r="K13" s="8">
        <v>140909</v>
      </c>
      <c r="L13" s="97">
        <v>414</v>
      </c>
      <c r="M13" s="98">
        <v>17384</v>
      </c>
      <c r="N13" s="8" t="s">
        <v>100</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93</v>
      </c>
      <c r="B14" s="8">
        <v>6500</v>
      </c>
      <c r="C14" s="8" t="s">
        <v>318</v>
      </c>
      <c r="D14" s="8" t="s">
        <v>66</v>
      </c>
      <c r="E14" s="8" t="s">
        <v>50</v>
      </c>
      <c r="F14" s="8" t="s">
        <v>78</v>
      </c>
      <c r="G14" s="8">
        <v>107</v>
      </c>
      <c r="H14" s="8">
        <v>43</v>
      </c>
      <c r="I14" s="8">
        <v>14</v>
      </c>
      <c r="J14" s="8">
        <v>6476</v>
      </c>
      <c r="K14" s="8">
        <v>140929</v>
      </c>
      <c r="L14" s="97">
        <v>122</v>
      </c>
      <c r="M14" s="98">
        <v>7500</v>
      </c>
      <c r="N14" s="8" t="s">
        <v>319</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93</v>
      </c>
      <c r="B15" s="8">
        <v>870</v>
      </c>
      <c r="C15" s="8" t="s">
        <v>320</v>
      </c>
      <c r="D15" s="8" t="s">
        <v>59</v>
      </c>
      <c r="E15" s="8" t="s">
        <v>50</v>
      </c>
      <c r="F15" s="8" t="s">
        <v>321</v>
      </c>
      <c r="G15" s="8">
        <v>37</v>
      </c>
      <c r="H15" s="8">
        <v>26</v>
      </c>
      <c r="I15" s="8">
        <v>14</v>
      </c>
      <c r="J15" s="8">
        <v>6297</v>
      </c>
      <c r="K15" s="8">
        <v>140919</v>
      </c>
      <c r="L15" s="97">
        <v>240</v>
      </c>
      <c r="M15" s="98">
        <v>10078</v>
      </c>
      <c r="N15" s="8" t="s">
        <v>86</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93</v>
      </c>
      <c r="B16" s="8">
        <v>324</v>
      </c>
      <c r="C16" s="8" t="s">
        <v>322</v>
      </c>
      <c r="D16" s="8" t="s">
        <v>61</v>
      </c>
      <c r="E16" s="8" t="s">
        <v>50</v>
      </c>
      <c r="F16" s="8" t="s">
        <v>297</v>
      </c>
      <c r="G16" s="8">
        <v>17</v>
      </c>
      <c r="H16" s="8">
        <v>24</v>
      </c>
      <c r="I16" s="8">
        <v>14</v>
      </c>
      <c r="J16" s="8">
        <v>6272</v>
      </c>
      <c r="K16" s="8">
        <v>140918</v>
      </c>
      <c r="L16" s="97">
        <v>357</v>
      </c>
      <c r="M16" s="98">
        <v>149990</v>
      </c>
      <c r="N16" s="8" t="s">
        <v>86</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93</v>
      </c>
      <c r="B17" s="8">
        <v>4555</v>
      </c>
      <c r="C17" s="8" t="s">
        <v>111</v>
      </c>
      <c r="D17" s="8" t="s">
        <v>61</v>
      </c>
      <c r="E17" s="8" t="s">
        <v>50</v>
      </c>
      <c r="F17" s="8" t="s">
        <v>323</v>
      </c>
      <c r="G17" s="8">
        <v>3</v>
      </c>
      <c r="H17" s="8">
        <v>14</v>
      </c>
      <c r="I17" s="8">
        <v>14</v>
      </c>
      <c r="J17" s="8">
        <v>5814</v>
      </c>
      <c r="K17" s="8">
        <v>140902</v>
      </c>
      <c r="L17" s="97">
        <v>402</v>
      </c>
      <c r="M17" s="98">
        <v>16880</v>
      </c>
      <c r="N17" s="8" t="s">
        <v>86</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93</v>
      </c>
      <c r="B18" s="8">
        <v>6908</v>
      </c>
      <c r="C18" s="8" t="s">
        <v>226</v>
      </c>
      <c r="D18" s="8" t="s">
        <v>66</v>
      </c>
      <c r="E18" s="8" t="s">
        <v>50</v>
      </c>
      <c r="F18" s="8" t="s">
        <v>210</v>
      </c>
      <c r="G18" s="8">
        <v>16</v>
      </c>
      <c r="H18" s="8">
        <v>3</v>
      </c>
      <c r="I18" s="8">
        <v>14</v>
      </c>
      <c r="J18" s="8">
        <v>5849</v>
      </c>
      <c r="K18" s="8">
        <v>140904</v>
      </c>
      <c r="L18" s="97">
        <v>800</v>
      </c>
      <c r="M18" s="98">
        <v>33592</v>
      </c>
      <c r="N18" s="8" t="s">
        <v>324</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93</v>
      </c>
      <c r="B19" s="8">
        <v>3728</v>
      </c>
      <c r="C19" s="8" t="s">
        <v>325</v>
      </c>
      <c r="D19" s="8" t="s">
        <v>116</v>
      </c>
      <c r="E19" s="8" t="s">
        <v>50</v>
      </c>
      <c r="F19" s="8" t="s">
        <v>326</v>
      </c>
      <c r="G19" s="8">
        <v>2</v>
      </c>
      <c r="H19" s="8">
        <v>7</v>
      </c>
      <c r="I19" s="8">
        <v>14</v>
      </c>
      <c r="J19" s="8">
        <v>6217</v>
      </c>
      <c r="K19" s="8">
        <v>140917</v>
      </c>
      <c r="L19" s="97">
        <v>168</v>
      </c>
      <c r="M19" s="98">
        <v>7054</v>
      </c>
      <c r="N19" s="8" t="s">
        <v>327</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93</v>
      </c>
      <c r="B20" s="8">
        <v>756</v>
      </c>
      <c r="C20" s="8" t="s">
        <v>328</v>
      </c>
      <c r="D20" s="8" t="s">
        <v>66</v>
      </c>
      <c r="E20" s="8" t="s">
        <v>84</v>
      </c>
      <c r="F20" s="8" t="s">
        <v>329</v>
      </c>
      <c r="G20" s="8">
        <v>4</v>
      </c>
      <c r="H20" s="8">
        <v>6</v>
      </c>
      <c r="I20" s="8">
        <v>14</v>
      </c>
      <c r="J20" s="8">
        <v>5809</v>
      </c>
      <c r="K20" s="8">
        <v>140902</v>
      </c>
      <c r="L20" s="97">
        <v>350</v>
      </c>
      <c r="M20" s="98">
        <v>30000</v>
      </c>
      <c r="N20" s="8" t="s">
        <v>86</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93</v>
      </c>
      <c r="B21" s="8">
        <v>1373</v>
      </c>
      <c r="C21" s="8" t="s">
        <v>261</v>
      </c>
      <c r="D21" s="8" t="s">
        <v>330</v>
      </c>
      <c r="E21" s="8" t="s">
        <v>84</v>
      </c>
      <c r="F21" s="8" t="s">
        <v>262</v>
      </c>
      <c r="G21" s="8">
        <v>4</v>
      </c>
      <c r="H21" s="8">
        <v>9</v>
      </c>
      <c r="I21" s="8">
        <v>14</v>
      </c>
      <c r="J21" s="8">
        <v>5834</v>
      </c>
      <c r="K21" s="8">
        <v>140903</v>
      </c>
      <c r="L21" s="97">
        <v>500</v>
      </c>
      <c r="M21" s="98">
        <v>20995</v>
      </c>
      <c r="N21" s="8" t="s">
        <v>86</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93</v>
      </c>
      <c r="B22" s="8">
        <v>6755</v>
      </c>
      <c r="C22" s="8" t="s">
        <v>331</v>
      </c>
      <c r="D22" s="8" t="s">
        <v>55</v>
      </c>
      <c r="E22" s="8" t="s">
        <v>50</v>
      </c>
      <c r="F22" s="8" t="s">
        <v>81</v>
      </c>
      <c r="G22" s="8">
        <v>14</v>
      </c>
      <c r="H22" s="8">
        <v>2</v>
      </c>
      <c r="I22" s="8">
        <v>14</v>
      </c>
      <c r="J22" s="8">
        <v>5823</v>
      </c>
      <c r="K22" s="8">
        <v>140902</v>
      </c>
      <c r="L22" s="97">
        <v>352</v>
      </c>
      <c r="M22" s="98">
        <v>14780</v>
      </c>
      <c r="N22" s="8" t="s">
        <v>332</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101</v>
      </c>
      <c r="B23" s="8">
        <v>900</v>
      </c>
      <c r="C23" s="8" t="s">
        <v>333</v>
      </c>
      <c r="D23" s="8" t="s">
        <v>59</v>
      </c>
      <c r="E23" s="8" t="s">
        <v>334</v>
      </c>
      <c r="F23" s="8" t="s">
        <v>239</v>
      </c>
      <c r="G23" s="8">
        <v>55</v>
      </c>
      <c r="H23" s="8" t="s">
        <v>216</v>
      </c>
      <c r="I23" s="8">
        <v>14</v>
      </c>
      <c r="J23" s="8">
        <v>6268</v>
      </c>
      <c r="K23" s="8">
        <v>140918</v>
      </c>
      <c r="L23" s="97">
        <v>750</v>
      </c>
      <c r="M23" s="98">
        <v>20000</v>
      </c>
      <c r="N23" s="8" t="s">
        <v>335</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102</v>
      </c>
      <c r="B24" s="8">
        <v>307</v>
      </c>
      <c r="C24" s="8" t="s">
        <v>336</v>
      </c>
      <c r="D24" s="8" t="s">
        <v>116</v>
      </c>
      <c r="E24" s="8" t="s">
        <v>50</v>
      </c>
      <c r="F24" s="8" t="s">
        <v>337</v>
      </c>
      <c r="G24" s="8">
        <v>2</v>
      </c>
      <c r="H24" s="8">
        <v>18</v>
      </c>
      <c r="I24" s="8">
        <v>14</v>
      </c>
      <c r="J24" s="8">
        <v>6160</v>
      </c>
      <c r="K24" s="8">
        <v>140916</v>
      </c>
      <c r="L24" s="97">
        <v>360</v>
      </c>
      <c r="M24" s="98">
        <v>35000</v>
      </c>
      <c r="N24" s="8" t="s">
        <v>338</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103</v>
      </c>
      <c r="B25" s="8">
        <v>961</v>
      </c>
      <c r="C25" s="8" t="s">
        <v>145</v>
      </c>
      <c r="D25" s="8" t="s">
        <v>75</v>
      </c>
      <c r="E25" s="8" t="s">
        <v>84</v>
      </c>
      <c r="F25" s="8" t="s">
        <v>237</v>
      </c>
      <c r="G25" s="8">
        <v>10</v>
      </c>
      <c r="H25" s="8">
        <v>18</v>
      </c>
      <c r="I25" s="8">
        <v>14</v>
      </c>
      <c r="J25" s="8">
        <v>6304</v>
      </c>
      <c r="K25" s="8">
        <v>140922</v>
      </c>
      <c r="L25" s="97">
        <v>2916</v>
      </c>
      <c r="M25" s="98">
        <v>180</v>
      </c>
      <c r="N25" s="8" t="s">
        <v>106</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103</v>
      </c>
      <c r="B26" s="8">
        <v>344</v>
      </c>
      <c r="C26" s="8" t="s">
        <v>339</v>
      </c>
      <c r="D26" s="8" t="s">
        <v>66</v>
      </c>
      <c r="E26" s="8" t="s">
        <v>50</v>
      </c>
      <c r="F26" s="8" t="s">
        <v>135</v>
      </c>
      <c r="G26" s="8">
        <v>10</v>
      </c>
      <c r="H26" s="8">
        <v>28</v>
      </c>
      <c r="I26" s="8">
        <v>14</v>
      </c>
      <c r="J26" s="8">
        <v>6261</v>
      </c>
      <c r="K26" s="8">
        <v>140918</v>
      </c>
      <c r="L26" s="97">
        <v>2100</v>
      </c>
      <c r="M26" s="98">
        <v>6654</v>
      </c>
      <c r="N26" s="8" t="s">
        <v>340</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103</v>
      </c>
      <c r="B27" s="8">
        <v>504</v>
      </c>
      <c r="C27" s="8" t="s">
        <v>341</v>
      </c>
      <c r="D27" s="8" t="s">
        <v>61</v>
      </c>
      <c r="E27" s="8" t="s">
        <v>50</v>
      </c>
      <c r="F27" s="8" t="s">
        <v>342</v>
      </c>
      <c r="G27" s="8">
        <v>3</v>
      </c>
      <c r="H27" s="8">
        <v>3</v>
      </c>
      <c r="I27" s="8">
        <v>14</v>
      </c>
      <c r="J27" s="8">
        <v>6400</v>
      </c>
      <c r="K27" s="8">
        <v>140924</v>
      </c>
      <c r="L27" s="97">
        <v>2400</v>
      </c>
      <c r="M27" s="98">
        <v>7006</v>
      </c>
      <c r="N27" s="8" t="s">
        <v>340</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103</v>
      </c>
      <c r="B28" s="8">
        <v>379</v>
      </c>
      <c r="C28" s="8" t="s">
        <v>343</v>
      </c>
      <c r="D28" s="8" t="s">
        <v>61</v>
      </c>
      <c r="E28" s="8" t="s">
        <v>50</v>
      </c>
      <c r="F28" s="8" t="s">
        <v>344</v>
      </c>
      <c r="G28" s="8">
        <v>10</v>
      </c>
      <c r="H28" s="8">
        <v>14</v>
      </c>
      <c r="I28" s="8">
        <v>14</v>
      </c>
      <c r="J28" s="8">
        <v>6113</v>
      </c>
      <c r="K28" s="8">
        <v>140915</v>
      </c>
      <c r="L28" s="97">
        <v>2072</v>
      </c>
      <c r="M28" s="98">
        <v>6363</v>
      </c>
      <c r="N28" s="8" t="s">
        <v>340</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103</v>
      </c>
      <c r="B29" s="8">
        <v>314</v>
      </c>
      <c r="C29" s="8" t="s">
        <v>345</v>
      </c>
      <c r="D29" s="8" t="s">
        <v>61</v>
      </c>
      <c r="E29" s="8" t="s">
        <v>50</v>
      </c>
      <c r="F29" s="8" t="s">
        <v>148</v>
      </c>
      <c r="G29" s="8">
        <v>8</v>
      </c>
      <c r="H29" s="8">
        <v>7</v>
      </c>
      <c r="I29" s="8">
        <v>14</v>
      </c>
      <c r="J29" s="8">
        <v>6344</v>
      </c>
      <c r="K29" s="8">
        <v>140923</v>
      </c>
      <c r="L29" s="97">
        <v>1700</v>
      </c>
      <c r="M29" s="98">
        <v>4590</v>
      </c>
      <c r="N29" s="8" t="s">
        <v>346</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103</v>
      </c>
      <c r="B30" s="8">
        <v>2574</v>
      </c>
      <c r="C30" s="8" t="s">
        <v>277</v>
      </c>
      <c r="D30" s="8" t="s">
        <v>61</v>
      </c>
      <c r="E30" s="8" t="s">
        <v>50</v>
      </c>
      <c r="F30" s="8" t="s">
        <v>210</v>
      </c>
      <c r="G30" s="8">
        <v>5</v>
      </c>
      <c r="H30" s="8">
        <v>20</v>
      </c>
      <c r="I30" s="8">
        <v>14</v>
      </c>
      <c r="J30" s="8">
        <v>5927</v>
      </c>
      <c r="K30" s="8">
        <v>140908</v>
      </c>
      <c r="L30" s="97">
        <v>3000</v>
      </c>
      <c r="M30" s="98">
        <v>9155</v>
      </c>
      <c r="N30" s="8" t="s">
        <v>110</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103</v>
      </c>
      <c r="B31" s="8">
        <v>4415</v>
      </c>
      <c r="C31" s="8" t="s">
        <v>347</v>
      </c>
      <c r="D31" s="8" t="s">
        <v>55</v>
      </c>
      <c r="E31" s="8" t="s">
        <v>50</v>
      </c>
      <c r="F31" s="8" t="s">
        <v>148</v>
      </c>
      <c r="G31" s="8">
        <v>9</v>
      </c>
      <c r="H31" s="8">
        <v>3</v>
      </c>
      <c r="I31" s="8">
        <v>14</v>
      </c>
      <c r="J31" s="8">
        <v>6093</v>
      </c>
      <c r="K31" s="8">
        <v>140912</v>
      </c>
      <c r="L31" s="97">
        <v>3066</v>
      </c>
      <c r="M31" s="98">
        <v>10126</v>
      </c>
      <c r="N31" s="8" t="s">
        <v>348</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103</v>
      </c>
      <c r="B32" s="8">
        <v>548</v>
      </c>
      <c r="C32" s="8" t="s">
        <v>278</v>
      </c>
      <c r="D32" s="8" t="s">
        <v>61</v>
      </c>
      <c r="E32" s="8" t="s">
        <v>84</v>
      </c>
      <c r="F32" s="8" t="s">
        <v>279</v>
      </c>
      <c r="G32" s="8">
        <v>4</v>
      </c>
      <c r="H32" s="8">
        <v>13</v>
      </c>
      <c r="I32" s="8">
        <v>14</v>
      </c>
      <c r="J32" s="8">
        <v>6478</v>
      </c>
      <c r="K32" s="8">
        <v>140929</v>
      </c>
      <c r="L32" s="97">
        <v>9</v>
      </c>
      <c r="M32" s="98">
        <v>304</v>
      </c>
      <c r="N32" s="8" t="s">
        <v>106</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103</v>
      </c>
      <c r="B33" s="8">
        <v>2304</v>
      </c>
      <c r="C33" s="8" t="s">
        <v>108</v>
      </c>
      <c r="D33" s="8" t="s">
        <v>88</v>
      </c>
      <c r="E33" s="8" t="s">
        <v>50</v>
      </c>
      <c r="F33" s="8" t="s">
        <v>109</v>
      </c>
      <c r="G33" s="8">
        <v>5</v>
      </c>
      <c r="H33" s="8">
        <v>5</v>
      </c>
      <c r="I33" s="8">
        <v>14</v>
      </c>
      <c r="J33" s="8">
        <v>6444</v>
      </c>
      <c r="K33" s="8">
        <v>140925</v>
      </c>
      <c r="L33" s="97">
        <v>1605</v>
      </c>
      <c r="M33" s="98">
        <v>7009</v>
      </c>
      <c r="N33" s="8" t="s">
        <v>340</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103</v>
      </c>
      <c r="B34" s="8">
        <v>1645</v>
      </c>
      <c r="C34" s="8" t="s">
        <v>349</v>
      </c>
      <c r="D34" s="8" t="s">
        <v>61</v>
      </c>
      <c r="E34" s="8" t="s">
        <v>50</v>
      </c>
      <c r="F34" s="8" t="s">
        <v>350</v>
      </c>
      <c r="G34" s="8">
        <v>2</v>
      </c>
      <c r="H34" s="8">
        <v>12</v>
      </c>
      <c r="I34" s="8">
        <v>14</v>
      </c>
      <c r="J34" s="8">
        <v>6179</v>
      </c>
      <c r="K34" s="8">
        <v>140916</v>
      </c>
      <c r="L34" s="97">
        <v>1600</v>
      </c>
      <c r="M34" s="98">
        <v>4200</v>
      </c>
      <c r="N34" s="8" t="s">
        <v>351</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103</v>
      </c>
      <c r="B35" s="8">
        <v>4905</v>
      </c>
      <c r="C35" s="8" t="s">
        <v>352</v>
      </c>
      <c r="D35" s="8" t="s">
        <v>55</v>
      </c>
      <c r="E35" s="8" t="s">
        <v>84</v>
      </c>
      <c r="F35" s="8" t="s">
        <v>98</v>
      </c>
      <c r="G35" s="8">
        <v>12</v>
      </c>
      <c r="H35" s="8">
        <v>48</v>
      </c>
      <c r="I35" s="8">
        <v>14</v>
      </c>
      <c r="J35" s="8">
        <v>6159</v>
      </c>
      <c r="K35" s="8">
        <v>140916</v>
      </c>
      <c r="L35" s="97">
        <v>2500</v>
      </c>
      <c r="M35" s="98">
        <v>5564</v>
      </c>
      <c r="N35" s="8" t="s">
        <v>351</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103</v>
      </c>
      <c r="B36" s="8">
        <v>2400</v>
      </c>
      <c r="C36" s="8" t="s">
        <v>286</v>
      </c>
      <c r="D36" s="8" t="s">
        <v>66</v>
      </c>
      <c r="E36" s="8" t="s">
        <v>50</v>
      </c>
      <c r="F36" s="8" t="s">
        <v>210</v>
      </c>
      <c r="G36" s="8">
        <v>21</v>
      </c>
      <c r="H36" s="8">
        <v>7</v>
      </c>
      <c r="I36" s="8">
        <v>14</v>
      </c>
      <c r="J36" s="8">
        <v>5979</v>
      </c>
      <c r="K36" s="8">
        <v>140909</v>
      </c>
      <c r="L36" s="97">
        <v>2500</v>
      </c>
      <c r="M36" s="98">
        <v>8565</v>
      </c>
      <c r="N36" s="8" t="s">
        <v>110</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103</v>
      </c>
      <c r="B37" s="8">
        <v>181</v>
      </c>
      <c r="C37" s="8" t="s">
        <v>178</v>
      </c>
      <c r="D37" s="8" t="s">
        <v>61</v>
      </c>
      <c r="E37" s="8" t="s">
        <v>50</v>
      </c>
      <c r="F37" s="8" t="s">
        <v>148</v>
      </c>
      <c r="G37" s="8">
        <v>4</v>
      </c>
      <c r="H37" s="8">
        <v>5</v>
      </c>
      <c r="I37" s="8">
        <v>14</v>
      </c>
      <c r="J37" s="8">
        <v>6046</v>
      </c>
      <c r="K37" s="8">
        <v>140910</v>
      </c>
      <c r="L37" s="97">
        <v>1472</v>
      </c>
      <c r="M37" s="98">
        <v>4726</v>
      </c>
      <c r="N37" s="8" t="s">
        <v>340</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103</v>
      </c>
      <c r="B38" s="8">
        <v>1736</v>
      </c>
      <c r="C38" s="8" t="s">
        <v>353</v>
      </c>
      <c r="D38" s="8" t="s">
        <v>61</v>
      </c>
      <c r="E38" s="8" t="s">
        <v>50</v>
      </c>
      <c r="F38" s="8" t="s">
        <v>81</v>
      </c>
      <c r="G38" s="8">
        <v>19</v>
      </c>
      <c r="H38" s="8">
        <v>10</v>
      </c>
      <c r="I38" s="8">
        <v>14</v>
      </c>
      <c r="J38" s="8">
        <v>6071</v>
      </c>
      <c r="K38" s="8">
        <v>140911</v>
      </c>
      <c r="L38" s="97">
        <v>3194</v>
      </c>
      <c r="M38" s="98">
        <v>10022</v>
      </c>
      <c r="N38" s="8" t="s">
        <v>354</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103</v>
      </c>
      <c r="B39" s="8">
        <v>369</v>
      </c>
      <c r="C39" s="8" t="s">
        <v>355</v>
      </c>
      <c r="D39" s="8" t="s">
        <v>61</v>
      </c>
      <c r="E39" s="8" t="s">
        <v>50</v>
      </c>
      <c r="F39" s="8" t="s">
        <v>356</v>
      </c>
      <c r="G39" s="8">
        <v>11</v>
      </c>
      <c r="H39" s="8">
        <v>7</v>
      </c>
      <c r="I39" s="8">
        <v>14</v>
      </c>
      <c r="J39" s="8">
        <v>6047</v>
      </c>
      <c r="K39" s="8">
        <v>140910</v>
      </c>
      <c r="L39" s="97">
        <v>2000</v>
      </c>
      <c r="M39" s="98">
        <v>6400</v>
      </c>
      <c r="N39" s="8" t="s">
        <v>357</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103</v>
      </c>
      <c r="B40" s="8">
        <v>6390</v>
      </c>
      <c r="C40" s="8" t="s">
        <v>358</v>
      </c>
      <c r="D40" s="8" t="s">
        <v>48</v>
      </c>
      <c r="E40" s="8" t="s">
        <v>50</v>
      </c>
      <c r="F40" s="8" t="s">
        <v>104</v>
      </c>
      <c r="G40" s="8">
        <v>1</v>
      </c>
      <c r="H40" s="8">
        <v>16</v>
      </c>
      <c r="I40" s="8">
        <v>14</v>
      </c>
      <c r="J40" s="8">
        <v>6445</v>
      </c>
      <c r="K40" s="8">
        <v>140925</v>
      </c>
      <c r="L40" s="97">
        <v>3206</v>
      </c>
      <c r="M40" s="98">
        <v>10655</v>
      </c>
      <c r="N40" s="8" t="s">
        <v>340</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103</v>
      </c>
      <c r="B41" s="8">
        <v>1621</v>
      </c>
      <c r="C41" s="8" t="s">
        <v>151</v>
      </c>
      <c r="D41" s="8" t="s">
        <v>55</v>
      </c>
      <c r="E41" s="8" t="s">
        <v>50</v>
      </c>
      <c r="F41" s="8" t="s">
        <v>131</v>
      </c>
      <c r="G41" s="8">
        <v>5</v>
      </c>
      <c r="H41" s="8">
        <v>6</v>
      </c>
      <c r="I41" s="8">
        <v>14</v>
      </c>
      <c r="J41" s="8">
        <v>6465</v>
      </c>
      <c r="K41" s="8">
        <v>140926</v>
      </c>
      <c r="L41" s="97">
        <v>0</v>
      </c>
      <c r="M41" s="98">
        <v>0</v>
      </c>
      <c r="N41" s="8" t="s">
        <v>354</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103</v>
      </c>
      <c r="B42" s="8">
        <v>605</v>
      </c>
      <c r="C42" s="8" t="s">
        <v>359</v>
      </c>
      <c r="D42" s="8" t="s">
        <v>61</v>
      </c>
      <c r="E42" s="8" t="s">
        <v>50</v>
      </c>
      <c r="F42" s="8" t="s">
        <v>97</v>
      </c>
      <c r="G42" s="8">
        <v>7</v>
      </c>
      <c r="H42" s="8">
        <v>45</v>
      </c>
      <c r="I42" s="8">
        <v>14</v>
      </c>
      <c r="J42" s="8">
        <v>5835</v>
      </c>
      <c r="K42" s="8">
        <v>140903</v>
      </c>
      <c r="L42" s="97">
        <v>0</v>
      </c>
      <c r="M42" s="98">
        <v>0</v>
      </c>
      <c r="N42" s="8" t="s">
        <v>112</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103</v>
      </c>
      <c r="B43" s="8">
        <v>2125</v>
      </c>
      <c r="C43" s="8" t="s">
        <v>360</v>
      </c>
      <c r="D43" s="8" t="s">
        <v>63</v>
      </c>
      <c r="E43" s="8" t="s">
        <v>50</v>
      </c>
      <c r="F43" s="8" t="s">
        <v>109</v>
      </c>
      <c r="G43" s="8">
        <v>4</v>
      </c>
      <c r="H43" s="8">
        <v>5</v>
      </c>
      <c r="I43" s="8">
        <v>14</v>
      </c>
      <c r="J43" s="8">
        <v>6265</v>
      </c>
      <c r="K43" s="8">
        <v>140918</v>
      </c>
      <c r="L43" s="97">
        <v>1862</v>
      </c>
      <c r="M43" s="98">
        <v>6207</v>
      </c>
      <c r="N43" s="8" t="s">
        <v>340</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103</v>
      </c>
      <c r="B44" s="8">
        <v>701</v>
      </c>
      <c r="C44" s="8" t="s">
        <v>361</v>
      </c>
      <c r="D44" s="8" t="s">
        <v>48</v>
      </c>
      <c r="E44" s="8" t="s">
        <v>84</v>
      </c>
      <c r="F44" s="8" t="s">
        <v>257</v>
      </c>
      <c r="G44" s="8">
        <v>5</v>
      </c>
      <c r="H44" s="8">
        <v>22</v>
      </c>
      <c r="I44" s="8">
        <v>14</v>
      </c>
      <c r="J44" s="8">
        <v>6173</v>
      </c>
      <c r="K44" s="8">
        <v>140916</v>
      </c>
      <c r="L44" s="97">
        <v>2400</v>
      </c>
      <c r="M44" s="98">
        <v>2470</v>
      </c>
      <c r="N44" s="8" t="s">
        <v>86</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103</v>
      </c>
      <c r="B45" s="8">
        <v>956</v>
      </c>
      <c r="C45" s="8" t="s">
        <v>362</v>
      </c>
      <c r="D45" s="8" t="s">
        <v>66</v>
      </c>
      <c r="E45" s="8" t="s">
        <v>84</v>
      </c>
      <c r="F45" s="8" t="s">
        <v>237</v>
      </c>
      <c r="G45" s="8">
        <v>18</v>
      </c>
      <c r="H45" s="8">
        <v>8</v>
      </c>
      <c r="I45" s="8">
        <v>14</v>
      </c>
      <c r="J45" s="8">
        <v>6274</v>
      </c>
      <c r="K45" s="8">
        <v>140918</v>
      </c>
      <c r="L45" s="97">
        <v>0</v>
      </c>
      <c r="M45" s="98">
        <v>0</v>
      </c>
      <c r="N45" s="8" t="s">
        <v>363</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103</v>
      </c>
      <c r="B46" s="8">
        <v>647</v>
      </c>
      <c r="C46" s="8" t="s">
        <v>364</v>
      </c>
      <c r="D46" s="8" t="s">
        <v>66</v>
      </c>
      <c r="E46" s="8" t="s">
        <v>84</v>
      </c>
      <c r="F46" s="8" t="s">
        <v>365</v>
      </c>
      <c r="G46" s="8">
        <v>2</v>
      </c>
      <c r="H46" s="8">
        <v>1</v>
      </c>
      <c r="I46" s="8">
        <v>14</v>
      </c>
      <c r="J46" s="8">
        <v>6481</v>
      </c>
      <c r="K46" s="8">
        <v>140929</v>
      </c>
      <c r="L46" s="97">
        <v>2146</v>
      </c>
      <c r="M46" s="98">
        <v>6733</v>
      </c>
      <c r="N46" s="8" t="s">
        <v>340</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103</v>
      </c>
      <c r="B47" s="8">
        <v>1385</v>
      </c>
      <c r="C47" s="8" t="s">
        <v>366</v>
      </c>
      <c r="D47" s="8" t="s">
        <v>66</v>
      </c>
      <c r="E47" s="8" t="s">
        <v>84</v>
      </c>
      <c r="F47" s="8" t="s">
        <v>90</v>
      </c>
      <c r="G47" s="8" t="s">
        <v>367</v>
      </c>
      <c r="H47" s="8">
        <v>3</v>
      </c>
      <c r="I47" s="8">
        <v>14</v>
      </c>
      <c r="J47" s="8">
        <v>6250</v>
      </c>
      <c r="K47" s="8">
        <v>140918</v>
      </c>
      <c r="L47" s="97">
        <v>2500</v>
      </c>
      <c r="M47" s="98">
        <v>8622</v>
      </c>
      <c r="N47" s="8" t="s">
        <v>110</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103</v>
      </c>
      <c r="B48" s="8">
        <v>1390</v>
      </c>
      <c r="C48" s="8" t="s">
        <v>366</v>
      </c>
      <c r="D48" s="8" t="s">
        <v>66</v>
      </c>
      <c r="E48" s="8" t="s">
        <v>84</v>
      </c>
      <c r="F48" s="8" t="s">
        <v>90</v>
      </c>
      <c r="G48" s="8" t="s">
        <v>368</v>
      </c>
      <c r="H48" s="8">
        <v>23</v>
      </c>
      <c r="I48" s="8">
        <v>14</v>
      </c>
      <c r="J48" s="8">
        <v>6251</v>
      </c>
      <c r="K48" s="8">
        <v>140918</v>
      </c>
      <c r="L48" s="97">
        <v>3000</v>
      </c>
      <c r="M48" s="98">
        <v>9842</v>
      </c>
      <c r="N48" s="8" t="s">
        <v>110</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103</v>
      </c>
      <c r="B49" s="8">
        <v>3530</v>
      </c>
      <c r="C49" s="8" t="s">
        <v>369</v>
      </c>
      <c r="D49" s="8" t="s">
        <v>61</v>
      </c>
      <c r="E49" s="8" t="s">
        <v>84</v>
      </c>
      <c r="F49" s="8" t="s">
        <v>370</v>
      </c>
      <c r="G49" s="8">
        <v>2</v>
      </c>
      <c r="H49" s="8">
        <v>21</v>
      </c>
      <c r="I49" s="8">
        <v>14</v>
      </c>
      <c r="J49" s="8">
        <v>6443</v>
      </c>
      <c r="K49" s="8">
        <v>140925</v>
      </c>
      <c r="L49" s="97">
        <v>2584</v>
      </c>
      <c r="M49" s="98">
        <v>10486</v>
      </c>
      <c r="N49" s="8" t="s">
        <v>371</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103</v>
      </c>
      <c r="B50" s="8">
        <v>726</v>
      </c>
      <c r="C50" s="8" t="s">
        <v>372</v>
      </c>
      <c r="D50" s="8" t="s">
        <v>75</v>
      </c>
      <c r="E50" s="8" t="s">
        <v>67</v>
      </c>
      <c r="F50" s="8" t="s">
        <v>68</v>
      </c>
      <c r="G50" s="8">
        <v>82</v>
      </c>
      <c r="H50" s="8">
        <v>8</v>
      </c>
      <c r="I50" s="8">
        <v>14</v>
      </c>
      <c r="J50" s="8">
        <v>5935</v>
      </c>
      <c r="K50" s="8">
        <v>140908</v>
      </c>
      <c r="L50" s="97">
        <v>1612</v>
      </c>
      <c r="M50" s="98">
        <v>6254</v>
      </c>
      <c r="N50" s="8" t="s">
        <v>354</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113</v>
      </c>
      <c r="B51" s="8">
        <v>6505</v>
      </c>
      <c r="C51" s="8" t="s">
        <v>223</v>
      </c>
      <c r="D51" s="8" t="s">
        <v>66</v>
      </c>
      <c r="E51" s="8" t="s">
        <v>50</v>
      </c>
      <c r="F51" s="8" t="s">
        <v>78</v>
      </c>
      <c r="G51" s="8">
        <v>108</v>
      </c>
      <c r="H51" s="8">
        <v>50</v>
      </c>
      <c r="I51" s="8">
        <v>14</v>
      </c>
      <c r="J51" s="8">
        <v>6079</v>
      </c>
      <c r="K51" s="8">
        <v>140912</v>
      </c>
      <c r="L51" s="97">
        <v>1464</v>
      </c>
      <c r="M51" s="98">
        <v>33936</v>
      </c>
      <c r="N51" s="8" t="s">
        <v>86</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115</v>
      </c>
      <c r="B52" s="8">
        <v>1516</v>
      </c>
      <c r="C52" s="8" t="s">
        <v>373</v>
      </c>
      <c r="D52" s="8" t="s">
        <v>61</v>
      </c>
      <c r="E52" s="8" t="s">
        <v>84</v>
      </c>
      <c r="F52" s="8" t="s">
        <v>374</v>
      </c>
      <c r="G52" s="8">
        <v>4</v>
      </c>
      <c r="H52" s="8">
        <v>1</v>
      </c>
      <c r="I52" s="8">
        <v>14</v>
      </c>
      <c r="J52" s="8">
        <v>5953</v>
      </c>
      <c r="K52" s="8">
        <v>140908</v>
      </c>
      <c r="L52" s="97">
        <v>691</v>
      </c>
      <c r="M52" s="98">
        <v>25000</v>
      </c>
      <c r="N52" s="8" t="s">
        <v>375</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115</v>
      </c>
      <c r="B53" s="8">
        <v>1913</v>
      </c>
      <c r="C53" s="8" t="s">
        <v>140</v>
      </c>
      <c r="D53" s="8" t="s">
        <v>66</v>
      </c>
      <c r="E53" s="8" t="s">
        <v>50</v>
      </c>
      <c r="F53" s="8" t="s">
        <v>76</v>
      </c>
      <c r="G53" s="8">
        <v>123</v>
      </c>
      <c r="H53" s="8">
        <v>5</v>
      </c>
      <c r="I53" s="8">
        <v>14</v>
      </c>
      <c r="J53" s="8">
        <v>6286</v>
      </c>
      <c r="K53" s="8">
        <v>140919</v>
      </c>
      <c r="L53" s="97">
        <v>720</v>
      </c>
      <c r="M53" s="98">
        <v>32131</v>
      </c>
      <c r="N53" s="8" t="s">
        <v>376</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115</v>
      </c>
      <c r="B54" s="8">
        <v>7341</v>
      </c>
      <c r="C54" s="8" t="s">
        <v>245</v>
      </c>
      <c r="D54" s="8" t="s">
        <v>61</v>
      </c>
      <c r="E54" s="8" t="s">
        <v>50</v>
      </c>
      <c r="F54" s="8" t="s">
        <v>246</v>
      </c>
      <c r="G54" s="8">
        <v>2</v>
      </c>
      <c r="H54" s="8">
        <v>7</v>
      </c>
      <c r="I54" s="8">
        <v>14</v>
      </c>
      <c r="J54" s="8">
        <v>6462</v>
      </c>
      <c r="K54" s="8">
        <v>140926</v>
      </c>
      <c r="L54" s="97">
        <v>176</v>
      </c>
      <c r="M54" s="98">
        <v>4656</v>
      </c>
      <c r="N54" s="8" t="s">
        <v>377</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115</v>
      </c>
      <c r="B55" s="8">
        <v>6027</v>
      </c>
      <c r="C55" s="8" t="s">
        <v>247</v>
      </c>
      <c r="D55" s="8" t="s">
        <v>378</v>
      </c>
      <c r="E55" s="8" t="s">
        <v>50</v>
      </c>
      <c r="F55" s="8" t="s">
        <v>248</v>
      </c>
      <c r="G55" s="8">
        <v>2</v>
      </c>
      <c r="H55" s="8">
        <v>10</v>
      </c>
      <c r="I55" s="8">
        <v>14</v>
      </c>
      <c r="J55" s="8">
        <v>6426</v>
      </c>
      <c r="K55" s="8">
        <v>140924</v>
      </c>
      <c r="L55" s="97">
        <v>72</v>
      </c>
      <c r="M55" s="98">
        <v>4800</v>
      </c>
      <c r="N55" s="8" t="s">
        <v>376</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115</v>
      </c>
      <c r="B56" s="8">
        <v>5908</v>
      </c>
      <c r="C56" s="8" t="s">
        <v>379</v>
      </c>
      <c r="D56" s="8" t="s">
        <v>66</v>
      </c>
      <c r="E56" s="8" t="s">
        <v>50</v>
      </c>
      <c r="F56" s="8" t="s">
        <v>76</v>
      </c>
      <c r="G56" s="8">
        <v>166</v>
      </c>
      <c r="H56" s="8">
        <v>13</v>
      </c>
      <c r="I56" s="8">
        <v>14</v>
      </c>
      <c r="J56" s="8">
        <v>6161</v>
      </c>
      <c r="K56" s="8">
        <v>140916</v>
      </c>
      <c r="L56" s="97">
        <v>468</v>
      </c>
      <c r="M56" s="98">
        <v>18084</v>
      </c>
      <c r="N56" s="8" t="s">
        <v>377</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115</v>
      </c>
      <c r="B57" s="8">
        <v>5031</v>
      </c>
      <c r="C57" s="8" t="s">
        <v>380</v>
      </c>
      <c r="D57" s="8" t="s">
        <v>61</v>
      </c>
      <c r="E57" s="8" t="s">
        <v>50</v>
      </c>
      <c r="F57" s="8" t="s">
        <v>381</v>
      </c>
      <c r="G57" s="8">
        <v>6</v>
      </c>
      <c r="H57" s="8">
        <v>19</v>
      </c>
      <c r="I57" s="8">
        <v>14</v>
      </c>
      <c r="J57" s="8">
        <v>6163</v>
      </c>
      <c r="K57" s="8">
        <v>140916</v>
      </c>
      <c r="L57" s="97">
        <v>316</v>
      </c>
      <c r="M57" s="98">
        <v>18084</v>
      </c>
      <c r="N57" s="8" t="s">
        <v>377</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1"/>
      <c r="B58" s="1"/>
      <c r="C58" s="1"/>
      <c r="D58" s="1"/>
      <c r="E58" s="1"/>
      <c r="F58" s="1"/>
      <c r="G58" s="1"/>
      <c r="H58" s="1"/>
      <c r="I58" s="1"/>
      <c r="J58" s="1"/>
      <c r="K58" s="18"/>
      <c r="L58" s="28"/>
      <c r="M58" s="44"/>
      <c r="N58" s="5"/>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22.5" x14ac:dyDescent="0.2">
      <c r="A59" s="100" t="s">
        <v>117</v>
      </c>
      <c r="B59" s="8">
        <f>57-6</f>
        <v>51</v>
      </c>
      <c r="C59" s="1"/>
      <c r="D59" s="1"/>
      <c r="E59" s="1"/>
      <c r="F59" s="1"/>
      <c r="G59" s="1"/>
      <c r="H59" s="1"/>
      <c r="I59" s="1"/>
      <c r="J59" s="1"/>
      <c r="K59" s="18"/>
      <c r="L59" s="112" t="s">
        <v>92</v>
      </c>
      <c r="M59" s="98">
        <f>SUM(M7:M57)</f>
        <v>864912</v>
      </c>
      <c r="N59" s="5"/>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sheetData>
  <mergeCells count="1">
    <mergeCell ref="I4:J4"/>
  </mergeCells>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9"/>
  <sheetViews>
    <sheetView zoomScale="110" zoomScaleNormal="110" zoomScalePageLayoutView="125" workbookViewId="0">
      <selection activeCell="A6" sqref="A6"/>
    </sheetView>
  </sheetViews>
  <sheetFormatPr defaultColWidth="8.85546875" defaultRowHeight="12.75" x14ac:dyDescent="0.2"/>
  <cols>
    <col min="1" max="1" width="11.28515625" style="57" customWidth="1"/>
    <col min="2" max="2" width="8" style="57" customWidth="1"/>
    <col min="3" max="3" width="20.85546875" style="57" customWidth="1"/>
    <col min="4" max="4" width="8" style="57" customWidth="1"/>
    <col min="5" max="6" width="8.85546875" style="57"/>
    <col min="7" max="9" width="7.42578125" style="57" customWidth="1"/>
    <col min="10" max="10" width="5.7109375" style="57" customWidth="1"/>
    <col min="11" max="11" width="8.85546875" style="57"/>
    <col min="12" max="12" width="8.42578125" style="57" customWidth="1"/>
    <col min="13" max="13" width="8.85546875" style="57"/>
    <col min="14" max="14" width="8.7109375" style="58" customWidth="1"/>
    <col min="15" max="15" width="12.42578125" style="54" customWidth="1"/>
    <col min="16" max="16" width="33.42578125" style="57" customWidth="1"/>
    <col min="17" max="17" width="15.7109375" style="5" customWidth="1"/>
    <col min="18" max="18" width="12.28515625" customWidth="1"/>
  </cols>
  <sheetData>
    <row r="1" spans="1:17" s="4" customFormat="1" ht="11.25" x14ac:dyDescent="0.2">
      <c r="A1" s="57"/>
      <c r="B1" s="57"/>
      <c r="C1" s="57"/>
      <c r="D1" s="57"/>
      <c r="E1" s="57"/>
      <c r="F1" s="57"/>
      <c r="G1" s="57"/>
      <c r="H1" s="57"/>
      <c r="I1" s="57"/>
      <c r="J1" s="56" t="s">
        <v>29</v>
      </c>
      <c r="K1" s="57"/>
      <c r="L1" s="57"/>
      <c r="M1" s="57"/>
      <c r="N1" s="58"/>
      <c r="O1" s="54"/>
      <c r="P1" s="57"/>
      <c r="Q1" s="5"/>
    </row>
    <row r="2" spans="1:17" s="4" customFormat="1" ht="11.25" x14ac:dyDescent="0.2">
      <c r="A2" s="57"/>
      <c r="B2" s="57"/>
      <c r="C2" s="57"/>
      <c r="D2" s="57"/>
      <c r="E2" s="57"/>
      <c r="F2" s="57"/>
      <c r="G2" s="57"/>
      <c r="H2" s="57"/>
      <c r="I2" s="57"/>
      <c r="J2" s="2" t="s">
        <v>309</v>
      </c>
      <c r="K2" s="57"/>
      <c r="L2" s="57"/>
      <c r="M2" s="57"/>
      <c r="N2" s="58"/>
      <c r="O2" s="54"/>
      <c r="P2" s="57"/>
      <c r="Q2" s="5"/>
    </row>
    <row r="3" spans="1:17" s="4" customFormat="1" ht="11.25" x14ac:dyDescent="0.2">
      <c r="A3" s="57"/>
      <c r="B3" s="57"/>
      <c r="C3" s="57"/>
      <c r="D3" s="57"/>
      <c r="E3" s="57"/>
      <c r="F3" s="57"/>
      <c r="G3" s="57"/>
      <c r="H3" s="57"/>
      <c r="I3" s="57"/>
      <c r="J3" s="59"/>
      <c r="K3" s="57"/>
      <c r="L3" s="57"/>
      <c r="M3" s="57"/>
      <c r="N3" s="58"/>
      <c r="O3" s="54"/>
      <c r="P3" s="57"/>
      <c r="Q3" s="5"/>
    </row>
    <row r="4" spans="1:17" s="4" customFormat="1" ht="11.25" x14ac:dyDescent="0.2">
      <c r="A4" s="57"/>
      <c r="B4" s="57"/>
      <c r="C4" s="57"/>
      <c r="D4" s="57"/>
      <c r="E4" s="57"/>
      <c r="F4" s="57"/>
      <c r="G4" s="57"/>
      <c r="H4" s="57"/>
      <c r="I4" s="57"/>
      <c r="J4" s="59"/>
      <c r="K4" s="57"/>
      <c r="L4" s="57"/>
      <c r="M4" s="57"/>
      <c r="N4" s="58"/>
      <c r="O4" s="54"/>
      <c r="P4" s="57"/>
      <c r="Q4" s="5"/>
    </row>
    <row r="5" spans="1:17" s="4" customFormat="1" ht="33.75" x14ac:dyDescent="0.2">
      <c r="A5" s="60" t="s">
        <v>10</v>
      </c>
      <c r="B5" s="53"/>
      <c r="C5" s="52" t="s">
        <v>0</v>
      </c>
      <c r="D5" s="52"/>
      <c r="E5" s="52"/>
      <c r="F5" s="53"/>
      <c r="G5" s="52" t="s">
        <v>1</v>
      </c>
      <c r="H5" s="53"/>
      <c r="I5" s="53"/>
      <c r="J5" s="53"/>
      <c r="K5" s="52" t="s">
        <v>2</v>
      </c>
      <c r="L5" s="53"/>
      <c r="M5" s="53"/>
      <c r="N5" s="61" t="s">
        <v>4</v>
      </c>
      <c r="O5" s="85" t="s">
        <v>5</v>
      </c>
      <c r="P5" s="52" t="s">
        <v>25</v>
      </c>
      <c r="Q5" s="5" t="s">
        <v>30</v>
      </c>
    </row>
    <row r="6" spans="1:17" s="4" customFormat="1" ht="22.5" x14ac:dyDescent="0.2">
      <c r="A6" s="62"/>
      <c r="B6" s="63" t="s">
        <v>11</v>
      </c>
      <c r="C6" s="63" t="s">
        <v>12</v>
      </c>
      <c r="D6" s="63" t="s">
        <v>31</v>
      </c>
      <c r="E6" s="63" t="s">
        <v>32</v>
      </c>
      <c r="F6" s="64" t="s">
        <v>13</v>
      </c>
      <c r="G6" s="63" t="s">
        <v>14</v>
      </c>
      <c r="H6" s="63" t="s">
        <v>15</v>
      </c>
      <c r="I6" s="13" t="s">
        <v>154</v>
      </c>
      <c r="J6" s="63" t="s">
        <v>6</v>
      </c>
      <c r="K6" s="63" t="s">
        <v>16</v>
      </c>
      <c r="L6" s="63" t="s">
        <v>8</v>
      </c>
      <c r="M6" s="63" t="s">
        <v>9</v>
      </c>
      <c r="N6" s="65"/>
      <c r="O6" s="86"/>
      <c r="P6" s="53"/>
      <c r="Q6" s="5"/>
    </row>
    <row r="7" spans="1:17" s="16" customFormat="1" ht="12" customHeight="1" x14ac:dyDescent="0.2">
      <c r="A7" s="67"/>
      <c r="B7" s="67"/>
      <c r="C7" s="67"/>
      <c r="D7" s="67"/>
      <c r="E7" s="67"/>
      <c r="F7" s="67"/>
      <c r="G7" s="67"/>
      <c r="H7" s="67"/>
      <c r="I7" s="67"/>
      <c r="J7" s="67"/>
      <c r="K7" s="67"/>
      <c r="L7" s="67"/>
      <c r="M7" s="67"/>
      <c r="N7" s="68"/>
      <c r="O7" s="87"/>
      <c r="P7" s="67"/>
      <c r="Q7" s="22"/>
    </row>
    <row r="8" spans="1:17" s="4" customFormat="1" ht="11.25" x14ac:dyDescent="0.2">
      <c r="A8" s="125" t="s">
        <v>183</v>
      </c>
      <c r="B8" s="126"/>
      <c r="C8" s="126"/>
      <c r="D8" s="126"/>
      <c r="E8" s="126"/>
      <c r="F8" s="126"/>
      <c r="G8" s="126"/>
      <c r="H8" s="126"/>
      <c r="I8" s="126"/>
      <c r="J8" s="126"/>
      <c r="K8" s="126"/>
      <c r="L8" s="126"/>
      <c r="M8" s="126"/>
      <c r="N8" s="126"/>
      <c r="O8" s="126"/>
      <c r="P8" s="127"/>
      <c r="Q8" s="5"/>
    </row>
    <row r="9" spans="1:17" s="4" customFormat="1" ht="11.25" x14ac:dyDescent="0.2">
      <c r="A9" s="8" t="s">
        <v>119</v>
      </c>
      <c r="B9" s="8">
        <v>2211</v>
      </c>
      <c r="C9" s="8" t="s">
        <v>200</v>
      </c>
      <c r="D9" s="8" t="s">
        <v>83</v>
      </c>
      <c r="E9" s="8" t="s">
        <v>84</v>
      </c>
      <c r="F9" s="8" t="s">
        <v>559</v>
      </c>
      <c r="G9" s="8" t="s">
        <v>128</v>
      </c>
      <c r="H9" s="8" t="s">
        <v>558</v>
      </c>
      <c r="I9" s="15"/>
      <c r="J9" s="8">
        <v>14</v>
      </c>
      <c r="K9" s="8">
        <v>6511</v>
      </c>
      <c r="L9" s="8" t="s">
        <v>69</v>
      </c>
      <c r="M9" s="8">
        <v>140930</v>
      </c>
      <c r="N9" s="97">
        <v>4547</v>
      </c>
      <c r="O9" s="98">
        <v>600000</v>
      </c>
      <c r="P9" s="8" t="s">
        <v>557</v>
      </c>
      <c r="Q9" s="4" t="s">
        <v>556</v>
      </c>
    </row>
    <row r="10" spans="1:17" s="4" customFormat="1" ht="11.25" x14ac:dyDescent="0.2">
      <c r="A10" s="5"/>
      <c r="B10" s="5"/>
      <c r="C10" s="5"/>
      <c r="D10" s="5"/>
      <c r="E10" s="5"/>
      <c r="F10" s="5"/>
      <c r="G10" s="5"/>
      <c r="H10" s="5"/>
      <c r="I10" s="5"/>
      <c r="J10" s="5"/>
      <c r="K10" s="5"/>
      <c r="L10" s="5"/>
      <c r="M10" s="28"/>
      <c r="N10" s="44"/>
      <c r="O10" s="5"/>
    </row>
    <row r="11" spans="1:17" s="4" customFormat="1" ht="11.25" x14ac:dyDescent="0.2">
      <c r="A11" s="132" t="s">
        <v>560</v>
      </c>
      <c r="B11" s="101"/>
      <c r="C11" s="101"/>
      <c r="D11" s="101"/>
      <c r="E11" s="101"/>
      <c r="F11" s="101"/>
      <c r="G11" s="101"/>
      <c r="H11" s="101"/>
      <c r="I11" s="101"/>
      <c r="J11" s="101"/>
      <c r="K11" s="101"/>
      <c r="L11" s="101"/>
      <c r="M11" s="102"/>
      <c r="N11" s="103"/>
      <c r="O11" s="101"/>
      <c r="P11" s="133"/>
    </row>
    <row r="12" spans="1:17" s="4" customFormat="1" ht="11.25" x14ac:dyDescent="0.2">
      <c r="A12" s="8" t="s">
        <v>564</v>
      </c>
      <c r="B12" s="8">
        <v>4500</v>
      </c>
      <c r="C12" s="8" t="s">
        <v>567</v>
      </c>
      <c r="D12" s="8" t="s">
        <v>66</v>
      </c>
      <c r="E12" s="8" t="s">
        <v>50</v>
      </c>
      <c r="F12" s="8" t="s">
        <v>199</v>
      </c>
      <c r="G12" s="8"/>
      <c r="H12" s="8"/>
      <c r="I12" s="8"/>
      <c r="J12" s="8">
        <v>14</v>
      </c>
      <c r="K12" s="8">
        <v>6290</v>
      </c>
      <c r="L12" s="8" t="s">
        <v>69</v>
      </c>
      <c r="M12" s="8">
        <v>140919</v>
      </c>
      <c r="N12" s="97">
        <v>42405</v>
      </c>
      <c r="O12" s="98">
        <v>4441500</v>
      </c>
      <c r="P12" s="8" t="s">
        <v>566</v>
      </c>
      <c r="Q12" s="4" t="s">
        <v>565</v>
      </c>
    </row>
    <row r="13" spans="1:17" s="4" customFormat="1" ht="11.25" x14ac:dyDescent="0.2">
      <c r="A13" s="8" t="s">
        <v>564</v>
      </c>
      <c r="B13" s="8">
        <v>1790</v>
      </c>
      <c r="C13" s="8" t="s">
        <v>215</v>
      </c>
      <c r="D13" s="8" t="s">
        <v>83</v>
      </c>
      <c r="E13" s="8" t="s">
        <v>84</v>
      </c>
      <c r="F13" s="8" t="s">
        <v>563</v>
      </c>
      <c r="G13" s="8"/>
      <c r="H13" s="8"/>
      <c r="I13" s="8"/>
      <c r="J13" s="8">
        <v>14</v>
      </c>
      <c r="K13" s="8">
        <v>6314</v>
      </c>
      <c r="L13" s="8" t="s">
        <v>69</v>
      </c>
      <c r="M13" s="8">
        <v>140922</v>
      </c>
      <c r="N13" s="97">
        <v>6145</v>
      </c>
      <c r="O13" s="98">
        <v>650000</v>
      </c>
      <c r="P13" s="8" t="s">
        <v>562</v>
      </c>
      <c r="Q13" s="4" t="s">
        <v>561</v>
      </c>
    </row>
    <row r="14" spans="1:17" s="4" customFormat="1" ht="11.25" x14ac:dyDescent="0.2">
      <c r="A14" s="124"/>
      <c r="B14" s="5"/>
      <c r="C14" s="5"/>
      <c r="D14" s="5"/>
      <c r="E14" s="5"/>
      <c r="F14" s="5"/>
      <c r="G14" s="5"/>
      <c r="H14" s="5"/>
      <c r="I14" s="5"/>
      <c r="J14" s="5"/>
      <c r="K14" s="5"/>
      <c r="L14" s="5"/>
      <c r="M14" s="28"/>
      <c r="N14" s="44"/>
      <c r="O14" s="5"/>
    </row>
    <row r="15" spans="1:17" s="4" customFormat="1" ht="11.25" x14ac:dyDescent="0.2">
      <c r="A15" s="128" t="s">
        <v>184</v>
      </c>
      <c r="B15" s="129"/>
      <c r="C15" s="129"/>
      <c r="D15" s="129"/>
      <c r="E15" s="129"/>
      <c r="F15" s="129"/>
      <c r="G15" s="129"/>
      <c r="H15" s="129"/>
      <c r="I15" s="129"/>
      <c r="J15" s="129"/>
      <c r="K15" s="129"/>
      <c r="L15" s="129"/>
      <c r="M15" s="129"/>
      <c r="N15" s="129"/>
      <c r="O15" s="129"/>
      <c r="P15" s="130"/>
      <c r="Q15" s="5"/>
    </row>
    <row r="16" spans="1:17" s="4" customFormat="1" ht="11.25" x14ac:dyDescent="0.2">
      <c r="A16" s="8" t="s">
        <v>123</v>
      </c>
      <c r="B16" s="8">
        <v>4321</v>
      </c>
      <c r="C16" s="8" t="s">
        <v>469</v>
      </c>
      <c r="D16" s="8" t="s">
        <v>330</v>
      </c>
      <c r="E16" s="8" t="s">
        <v>50</v>
      </c>
      <c r="F16" s="8" t="s">
        <v>470</v>
      </c>
      <c r="G16" s="8" t="s">
        <v>128</v>
      </c>
      <c r="H16" s="8" t="s">
        <v>471</v>
      </c>
      <c r="I16" s="15"/>
      <c r="J16" s="8">
        <v>14</v>
      </c>
      <c r="K16" s="8">
        <v>6003</v>
      </c>
      <c r="L16" s="8" t="s">
        <v>49</v>
      </c>
      <c r="M16" s="8">
        <v>140909</v>
      </c>
      <c r="N16" s="97">
        <v>5965</v>
      </c>
      <c r="O16" s="98">
        <v>80000</v>
      </c>
      <c r="P16" s="8" t="s">
        <v>575</v>
      </c>
      <c r="Q16" s="5"/>
    </row>
    <row r="17" spans="1:17" s="4" customFormat="1" ht="11.25" x14ac:dyDescent="0.2">
      <c r="A17" s="8" t="s">
        <v>123</v>
      </c>
      <c r="B17" s="8">
        <v>504</v>
      </c>
      <c r="C17" s="8" t="s">
        <v>122</v>
      </c>
      <c r="D17" s="8"/>
      <c r="E17" s="8" t="s">
        <v>50</v>
      </c>
      <c r="F17" s="8" t="s">
        <v>139</v>
      </c>
      <c r="G17" s="8" t="s">
        <v>125</v>
      </c>
      <c r="H17" s="8" t="s">
        <v>574</v>
      </c>
      <c r="I17" s="15"/>
      <c r="J17" s="8">
        <v>14</v>
      </c>
      <c r="K17" s="8">
        <v>6526</v>
      </c>
      <c r="L17" s="8" t="s">
        <v>69</v>
      </c>
      <c r="M17" s="8">
        <v>140930</v>
      </c>
      <c r="N17" s="97">
        <v>7282</v>
      </c>
      <c r="O17" s="98">
        <v>150000</v>
      </c>
      <c r="P17" s="8" t="s">
        <v>573</v>
      </c>
      <c r="Q17" s="5"/>
    </row>
    <row r="18" spans="1:17" s="4" customFormat="1" ht="11.25" x14ac:dyDescent="0.2">
      <c r="A18" s="8" t="s">
        <v>123</v>
      </c>
      <c r="B18" s="8">
        <v>5501</v>
      </c>
      <c r="C18" s="8" t="s">
        <v>572</v>
      </c>
      <c r="D18" s="8" t="s">
        <v>66</v>
      </c>
      <c r="E18" s="8" t="s">
        <v>50</v>
      </c>
      <c r="F18" s="8" t="s">
        <v>76</v>
      </c>
      <c r="G18" s="8">
        <v>140</v>
      </c>
      <c r="H18" s="8" t="s">
        <v>571</v>
      </c>
      <c r="I18" s="15"/>
      <c r="J18" s="8">
        <v>14</v>
      </c>
      <c r="K18" s="8">
        <v>6291</v>
      </c>
      <c r="L18" s="8" t="s">
        <v>49</v>
      </c>
      <c r="M18" s="8">
        <v>140919</v>
      </c>
      <c r="N18" s="97">
        <v>56000</v>
      </c>
      <c r="O18" s="98">
        <v>15412</v>
      </c>
      <c r="P18" s="8" t="s">
        <v>354</v>
      </c>
      <c r="Q18" s="5"/>
    </row>
    <row r="19" spans="1:17" s="4" customFormat="1" ht="11.25" x14ac:dyDescent="0.2">
      <c r="A19" s="8" t="s">
        <v>123</v>
      </c>
      <c r="B19" s="8">
        <v>4300</v>
      </c>
      <c r="C19" s="8" t="s">
        <v>489</v>
      </c>
      <c r="D19" s="8" t="s">
        <v>61</v>
      </c>
      <c r="E19" s="8" t="s">
        <v>84</v>
      </c>
      <c r="F19" s="8" t="s">
        <v>490</v>
      </c>
      <c r="G19" s="8" t="s">
        <v>128</v>
      </c>
      <c r="H19" s="8"/>
      <c r="I19" s="15"/>
      <c r="J19" s="8">
        <v>14</v>
      </c>
      <c r="K19" s="8">
        <v>5847</v>
      </c>
      <c r="L19" s="8" t="s">
        <v>49</v>
      </c>
      <c r="M19" s="8">
        <v>140903</v>
      </c>
      <c r="N19" s="97">
        <v>6080</v>
      </c>
      <c r="O19" s="98">
        <v>75000</v>
      </c>
      <c r="P19" s="8" t="s">
        <v>570</v>
      </c>
      <c r="Q19" s="5"/>
    </row>
    <row r="20" spans="1:17" s="4" customFormat="1" ht="11.25" x14ac:dyDescent="0.2">
      <c r="A20" s="8" t="s">
        <v>123</v>
      </c>
      <c r="B20" s="8">
        <v>2345</v>
      </c>
      <c r="C20" s="8" t="s">
        <v>82</v>
      </c>
      <c r="D20" s="8" t="s">
        <v>83</v>
      </c>
      <c r="E20" s="8" t="s">
        <v>84</v>
      </c>
      <c r="F20" s="8" t="s">
        <v>365</v>
      </c>
      <c r="G20" s="8"/>
      <c r="H20" s="8"/>
      <c r="I20" s="15"/>
      <c r="J20" s="8">
        <v>14</v>
      </c>
      <c r="K20" s="8">
        <v>6219</v>
      </c>
      <c r="L20" s="8" t="s">
        <v>49</v>
      </c>
      <c r="M20" s="8">
        <v>140917</v>
      </c>
      <c r="N20" s="97">
        <v>1190</v>
      </c>
      <c r="O20" s="98">
        <v>15000</v>
      </c>
      <c r="P20" s="8" t="s">
        <v>569</v>
      </c>
      <c r="Q20" s="5"/>
    </row>
    <row r="21" spans="1:17" s="4" customFormat="1" ht="11.25" x14ac:dyDescent="0.2">
      <c r="A21" s="8" t="s">
        <v>123</v>
      </c>
      <c r="B21" s="8">
        <v>1908</v>
      </c>
      <c r="C21" s="8" t="s">
        <v>203</v>
      </c>
      <c r="D21" s="8" t="s">
        <v>59</v>
      </c>
      <c r="E21" s="8" t="s">
        <v>84</v>
      </c>
      <c r="F21" s="8"/>
      <c r="G21" s="8"/>
      <c r="H21" s="8"/>
      <c r="I21" s="15"/>
      <c r="J21" s="8">
        <v>14</v>
      </c>
      <c r="K21" s="8">
        <v>6149</v>
      </c>
      <c r="L21" s="8" t="s">
        <v>49</v>
      </c>
      <c r="M21" s="8">
        <v>140916</v>
      </c>
      <c r="N21" s="97">
        <v>1428</v>
      </c>
      <c r="O21" s="98">
        <v>140672</v>
      </c>
      <c r="P21" s="8" t="s">
        <v>124</v>
      </c>
      <c r="Q21" s="5"/>
    </row>
    <row r="22" spans="1:17" s="4" customFormat="1" ht="11.25" x14ac:dyDescent="0.2">
      <c r="A22" s="8" t="s">
        <v>123</v>
      </c>
      <c r="B22" s="8">
        <v>1050</v>
      </c>
      <c r="C22" s="8" t="s">
        <v>242</v>
      </c>
      <c r="D22" s="8" t="s">
        <v>75</v>
      </c>
      <c r="E22" s="8" t="s">
        <v>50</v>
      </c>
      <c r="F22" s="8" t="s">
        <v>206</v>
      </c>
      <c r="G22" s="8">
        <v>85</v>
      </c>
      <c r="H22" s="8">
        <v>1</v>
      </c>
      <c r="I22" s="15"/>
      <c r="J22" s="8">
        <v>14</v>
      </c>
      <c r="K22" s="8">
        <v>5833</v>
      </c>
      <c r="L22" s="8" t="s">
        <v>49</v>
      </c>
      <c r="M22" s="8">
        <v>140902</v>
      </c>
      <c r="N22" s="97">
        <v>50</v>
      </c>
      <c r="O22" s="98">
        <v>0</v>
      </c>
      <c r="P22" s="8" t="s">
        <v>568</v>
      </c>
      <c r="Q22" s="5"/>
    </row>
    <row r="23" spans="1:17" s="4" customFormat="1" ht="11.25" x14ac:dyDescent="0.2">
      <c r="A23" s="5"/>
      <c r="B23" s="5"/>
      <c r="C23" s="5"/>
      <c r="D23" s="5"/>
      <c r="E23" s="5"/>
      <c r="F23" s="5"/>
      <c r="G23" s="5"/>
      <c r="H23" s="5"/>
      <c r="I23" s="5"/>
      <c r="J23" s="5"/>
      <c r="K23" s="5"/>
      <c r="L23" s="5"/>
      <c r="M23" s="5"/>
      <c r="N23" s="28"/>
      <c r="O23" s="44"/>
      <c r="P23" s="5"/>
      <c r="Q23" s="5"/>
    </row>
    <row r="24" spans="1:17" s="16" customFormat="1" ht="11.25" x14ac:dyDescent="0.2">
      <c r="A24" s="5"/>
      <c r="B24" s="5"/>
      <c r="C24" s="5"/>
      <c r="D24" s="5"/>
      <c r="E24" s="5"/>
      <c r="F24" s="5"/>
      <c r="G24" s="5"/>
      <c r="H24" s="5"/>
      <c r="I24" s="5"/>
      <c r="J24" s="5"/>
      <c r="K24" s="5"/>
      <c r="L24" s="5"/>
      <c r="M24" s="5"/>
      <c r="N24" s="28"/>
      <c r="O24" s="44"/>
      <c r="P24" s="5"/>
      <c r="Q24" s="5"/>
    </row>
    <row r="25" spans="1:17" s="4" customFormat="1" ht="11.25" x14ac:dyDescent="0.2">
      <c r="A25" s="131" t="s">
        <v>187</v>
      </c>
      <c r="B25" s="101"/>
      <c r="C25" s="101"/>
      <c r="D25" s="101"/>
      <c r="E25" s="101"/>
      <c r="F25" s="101"/>
      <c r="G25" s="101"/>
      <c r="H25" s="101"/>
      <c r="I25" s="101"/>
      <c r="J25" s="101"/>
      <c r="K25" s="101"/>
      <c r="L25" s="101"/>
      <c r="M25" s="101"/>
      <c r="N25" s="102"/>
      <c r="O25" s="103"/>
      <c r="P25" s="104"/>
      <c r="Q25" s="5"/>
    </row>
    <row r="26" spans="1:17" s="4" customFormat="1" ht="11.25" x14ac:dyDescent="0.2">
      <c r="A26" s="8" t="s">
        <v>129</v>
      </c>
      <c r="B26" s="8">
        <v>5101</v>
      </c>
      <c r="C26" s="8" t="s">
        <v>577</v>
      </c>
      <c r="D26" s="8" t="s">
        <v>83</v>
      </c>
      <c r="E26" s="8" t="s">
        <v>50</v>
      </c>
      <c r="F26" s="8" t="s">
        <v>576</v>
      </c>
      <c r="G26" s="8"/>
      <c r="H26" s="8"/>
      <c r="I26" s="15"/>
      <c r="J26" s="8">
        <v>14</v>
      </c>
      <c r="K26" s="8">
        <v>5841</v>
      </c>
      <c r="L26" s="8" t="s">
        <v>69</v>
      </c>
      <c r="M26" s="8">
        <v>140903</v>
      </c>
      <c r="N26" s="97">
        <v>600</v>
      </c>
      <c r="O26" s="98">
        <v>10000</v>
      </c>
      <c r="P26" s="8" t="s">
        <v>121</v>
      </c>
    </row>
    <row r="27" spans="1:17" s="4" customFormat="1" ht="11.25" x14ac:dyDescent="0.2">
      <c r="A27" s="1"/>
      <c r="B27" s="1"/>
      <c r="C27" s="1"/>
      <c r="D27" s="1"/>
      <c r="E27" s="1"/>
      <c r="F27" s="1"/>
      <c r="G27" s="1"/>
      <c r="H27" s="1"/>
      <c r="I27" s="1"/>
      <c r="J27" s="1"/>
      <c r="K27" s="1"/>
      <c r="L27" s="1"/>
      <c r="M27" s="1"/>
      <c r="N27" s="3"/>
      <c r="O27" s="18"/>
      <c r="P27" s="1"/>
      <c r="Q27" s="5"/>
    </row>
    <row r="28" spans="1:17" s="4" customFormat="1" ht="11.25" x14ac:dyDescent="0.2">
      <c r="A28" s="1"/>
      <c r="B28" s="1"/>
      <c r="C28" s="1"/>
      <c r="D28" s="1"/>
      <c r="E28" s="1"/>
      <c r="F28" s="1"/>
      <c r="G28" s="1"/>
      <c r="H28" s="1"/>
      <c r="I28" s="1"/>
      <c r="J28" s="1"/>
      <c r="K28" s="1"/>
      <c r="L28" s="1"/>
      <c r="M28" s="1"/>
      <c r="N28" s="3"/>
      <c r="O28" s="18"/>
      <c r="P28" s="1"/>
      <c r="Q28" s="5"/>
    </row>
    <row r="29" spans="1:17" s="4" customFormat="1" ht="11.25" x14ac:dyDescent="0.2">
      <c r="A29" s="1"/>
      <c r="B29" s="1"/>
      <c r="C29" s="1"/>
      <c r="D29" s="1"/>
      <c r="E29" s="1"/>
      <c r="F29" s="1"/>
      <c r="G29" s="1"/>
      <c r="H29" s="1"/>
      <c r="I29" s="1"/>
      <c r="J29" s="1"/>
      <c r="K29" s="1"/>
      <c r="L29" s="1"/>
      <c r="M29" s="1"/>
      <c r="N29" s="3"/>
      <c r="O29" s="18"/>
      <c r="P29" s="1"/>
      <c r="Q29" s="5"/>
    </row>
    <row r="30" spans="1:17" s="4" customFormat="1" ht="11.25" x14ac:dyDescent="0.2">
      <c r="A30" s="1"/>
      <c r="B30" s="1"/>
      <c r="C30" s="1"/>
      <c r="D30" s="1"/>
      <c r="E30" s="1"/>
      <c r="F30" s="1"/>
      <c r="G30" s="1"/>
      <c r="H30" s="1"/>
      <c r="I30" s="1"/>
      <c r="J30" s="1"/>
      <c r="K30" s="1"/>
      <c r="L30" s="1"/>
      <c r="M30" s="1"/>
      <c r="N30" s="3"/>
      <c r="O30" s="18"/>
      <c r="P30" s="1"/>
      <c r="Q30" s="5"/>
    </row>
    <row r="31" spans="1:17" s="4" customFormat="1" ht="11.25" x14ac:dyDescent="0.2">
      <c r="A31" s="1"/>
      <c r="B31" s="1"/>
      <c r="C31" s="1"/>
      <c r="D31" s="1"/>
      <c r="E31" s="1"/>
      <c r="F31" s="1"/>
      <c r="G31" s="1"/>
      <c r="H31" s="1"/>
      <c r="I31" s="1"/>
      <c r="J31" s="1"/>
      <c r="K31" s="1"/>
      <c r="L31" s="1"/>
      <c r="M31" s="1"/>
      <c r="N31" s="3"/>
      <c r="O31" s="18"/>
      <c r="P31" s="1"/>
      <c r="Q31" s="5"/>
    </row>
    <row r="32" spans="1:17" s="4" customFormat="1" ht="11.25" x14ac:dyDescent="0.2">
      <c r="A32" s="1"/>
      <c r="B32" s="1"/>
      <c r="C32" s="1"/>
      <c r="D32" s="1"/>
      <c r="E32" s="1"/>
      <c r="F32" s="1"/>
      <c r="G32" s="1"/>
      <c r="H32" s="1"/>
      <c r="I32" s="1"/>
      <c r="J32" s="1"/>
      <c r="K32" s="1"/>
      <c r="L32" s="1"/>
      <c r="M32" s="1"/>
      <c r="N32" s="3"/>
      <c r="O32" s="18"/>
      <c r="P32" s="1"/>
      <c r="Q32" s="5"/>
    </row>
    <row r="33" spans="1:17" s="4" customFormat="1" ht="11.25" x14ac:dyDescent="0.2">
      <c r="A33" s="1"/>
      <c r="B33" s="1"/>
      <c r="C33" s="1"/>
      <c r="D33" s="1"/>
      <c r="E33" s="1"/>
      <c r="F33" s="1"/>
      <c r="G33" s="1"/>
      <c r="H33" s="1"/>
      <c r="I33" s="1"/>
      <c r="J33" s="1"/>
      <c r="K33" s="1"/>
      <c r="L33" s="1"/>
      <c r="M33" s="1"/>
      <c r="N33" s="3"/>
      <c r="O33" s="18"/>
      <c r="P33" s="1"/>
      <c r="Q33" s="5"/>
    </row>
    <row r="34" spans="1:17" s="4" customFormat="1" ht="11.25" x14ac:dyDescent="0.2">
      <c r="A34" s="1"/>
      <c r="B34" s="1"/>
      <c r="C34" s="1"/>
      <c r="D34" s="1"/>
      <c r="E34" s="1"/>
      <c r="F34" s="1"/>
      <c r="G34" s="1"/>
      <c r="H34" s="1"/>
      <c r="I34" s="1"/>
      <c r="J34" s="1"/>
      <c r="K34" s="1"/>
      <c r="L34" s="1"/>
      <c r="M34" s="1"/>
      <c r="N34" s="3"/>
      <c r="O34" s="18"/>
      <c r="P34" s="1"/>
      <c r="Q34" s="5"/>
    </row>
    <row r="35" spans="1:17" s="4" customFormat="1" ht="11.25" x14ac:dyDescent="0.2">
      <c r="A35" s="1"/>
      <c r="B35" s="1"/>
      <c r="C35" s="1"/>
      <c r="D35" s="1"/>
      <c r="E35" s="1"/>
      <c r="F35" s="1"/>
      <c r="G35" s="1"/>
      <c r="H35" s="1"/>
      <c r="I35" s="1"/>
      <c r="J35" s="1"/>
      <c r="K35" s="1"/>
      <c r="L35" s="1"/>
      <c r="M35" s="1"/>
      <c r="N35" s="3"/>
      <c r="O35" s="18"/>
      <c r="P35" s="1"/>
      <c r="Q35" s="5"/>
    </row>
    <row r="36" spans="1:17" s="4" customFormat="1" ht="11.25" x14ac:dyDescent="0.2">
      <c r="A36" s="1"/>
      <c r="B36" s="1"/>
      <c r="C36" s="1"/>
      <c r="D36" s="1"/>
      <c r="E36" s="1"/>
      <c r="F36" s="1"/>
      <c r="G36" s="1"/>
      <c r="H36" s="1"/>
      <c r="I36" s="1"/>
      <c r="J36" s="1"/>
      <c r="K36" s="1"/>
      <c r="L36" s="1"/>
      <c r="M36" s="1"/>
      <c r="N36" s="3"/>
      <c r="O36" s="18"/>
      <c r="P36" s="1"/>
      <c r="Q36" s="5"/>
    </row>
    <row r="37" spans="1:17" s="4" customFormat="1" ht="11.25" x14ac:dyDescent="0.2">
      <c r="A37" s="1"/>
      <c r="B37" s="1"/>
      <c r="C37" s="1"/>
      <c r="D37" s="1"/>
      <c r="E37" s="1"/>
      <c r="F37" s="1"/>
      <c r="G37" s="1"/>
      <c r="H37" s="1"/>
      <c r="I37" s="1"/>
      <c r="J37" s="1"/>
      <c r="K37" s="1"/>
      <c r="L37" s="1"/>
      <c r="M37" s="1"/>
      <c r="N37" s="3"/>
      <c r="O37" s="18"/>
      <c r="P37" s="1"/>
      <c r="Q37" s="5"/>
    </row>
    <row r="38" spans="1:17" s="4" customFormat="1" ht="11.25" x14ac:dyDescent="0.2">
      <c r="A38" s="1"/>
      <c r="B38" s="1"/>
      <c r="C38" s="1"/>
      <c r="D38" s="1"/>
      <c r="E38" s="1"/>
      <c r="F38" s="1"/>
      <c r="G38" s="1"/>
      <c r="H38" s="1"/>
      <c r="I38" s="1"/>
      <c r="J38" s="1"/>
      <c r="K38" s="1"/>
      <c r="L38" s="1"/>
      <c r="M38" s="1"/>
      <c r="N38" s="3"/>
      <c r="O38" s="18"/>
      <c r="P38" s="1"/>
      <c r="Q38" s="5"/>
    </row>
    <row r="39" spans="1:17" s="4" customFormat="1" ht="11.25" x14ac:dyDescent="0.2">
      <c r="A39" s="1"/>
      <c r="B39" s="1"/>
      <c r="C39" s="1"/>
      <c r="D39" s="1"/>
      <c r="E39" s="1"/>
      <c r="F39" s="1"/>
      <c r="G39" s="1"/>
      <c r="H39" s="1"/>
      <c r="I39" s="1"/>
      <c r="J39" s="1"/>
      <c r="K39" s="1"/>
      <c r="L39" s="1"/>
      <c r="M39" s="1"/>
      <c r="N39" s="3"/>
      <c r="O39" s="18"/>
      <c r="P39" s="1"/>
      <c r="Q39" s="5"/>
    </row>
  </sheetData>
  <sheetProtection selectLockedCells="1" selectUnlockedCells="1"/>
  <mergeCells count="2">
    <mergeCell ref="A8:P8"/>
    <mergeCell ref="A15:P15"/>
  </mergeCells>
  <phoneticPr fontId="1" type="noConversion"/>
  <pageMargins left="0.25" right="0.25" top="0.5" bottom="0.5" header="0.5" footer="0.5"/>
  <pageSetup paperSize="5" scale="86" fitToHeight="0" orientation="landscape" r:id="rId1"/>
  <headerFooter alignWithMargins="0"/>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zoomScale="125" zoomScaleNormal="125" zoomScalePageLayoutView="125" workbookViewId="0">
      <selection activeCell="A8" sqref="A8"/>
    </sheetView>
  </sheetViews>
  <sheetFormatPr defaultColWidth="8.85546875" defaultRowHeight="12.75" x14ac:dyDescent="0.2"/>
  <cols>
    <col min="1" max="1" width="11.85546875" style="57" customWidth="1"/>
    <col min="2" max="5" width="8.85546875" style="57"/>
    <col min="6" max="6" width="10.42578125" style="57" customWidth="1"/>
    <col min="7" max="7" width="8.85546875" style="57"/>
    <col min="8" max="8" width="11.140625" style="57" customWidth="1"/>
    <col min="9" max="11" width="8.85546875" style="57"/>
    <col min="12" max="12" width="11.42578125" style="57" customWidth="1"/>
    <col min="13" max="13" width="8.140625" style="57" customWidth="1"/>
    <col min="14" max="15" width="8.85546875" style="69"/>
  </cols>
  <sheetData>
    <row r="1" spans="1:15" s="4" customFormat="1" ht="11.25" x14ac:dyDescent="0.2">
      <c r="A1" s="80"/>
      <c r="B1" s="80"/>
      <c r="C1" s="80"/>
      <c r="D1" s="80"/>
      <c r="E1" s="80"/>
      <c r="F1" s="80"/>
      <c r="G1" s="80"/>
      <c r="H1" s="80"/>
      <c r="I1" s="80"/>
      <c r="J1" s="80"/>
      <c r="K1" s="80"/>
      <c r="L1" s="80"/>
      <c r="M1" s="80"/>
      <c r="N1" s="69"/>
      <c r="O1" s="69"/>
    </row>
    <row r="2" spans="1:15" s="4" customFormat="1" ht="11.25" x14ac:dyDescent="0.2">
      <c r="A2" s="57"/>
      <c r="B2" s="57"/>
      <c r="C2" s="57"/>
      <c r="D2" s="57"/>
      <c r="E2" s="57"/>
      <c r="F2" s="57"/>
      <c r="G2" s="57"/>
      <c r="H2" s="57"/>
      <c r="I2" s="57"/>
      <c r="J2" s="57"/>
      <c r="K2" s="55" t="s">
        <v>30</v>
      </c>
      <c r="L2" s="54" t="s">
        <v>30</v>
      </c>
      <c r="M2" s="57"/>
      <c r="N2" s="69"/>
      <c r="O2" s="69"/>
    </row>
    <row r="3" spans="1:15" s="4" customFormat="1" ht="11.25" x14ac:dyDescent="0.2">
      <c r="A3" s="55" t="s">
        <v>30</v>
      </c>
      <c r="B3" s="57" t="s">
        <v>30</v>
      </c>
      <c r="C3" s="57" t="s">
        <v>30</v>
      </c>
      <c r="D3" s="57"/>
      <c r="E3" s="57"/>
      <c r="F3" s="57"/>
      <c r="G3" s="57"/>
      <c r="H3" s="57"/>
      <c r="I3" s="57"/>
      <c r="J3" s="57"/>
      <c r="K3" s="57"/>
      <c r="L3" s="57" t="s">
        <v>30</v>
      </c>
      <c r="M3" s="57"/>
      <c r="N3" s="69"/>
      <c r="O3" s="69"/>
    </row>
    <row r="4" spans="1:15" x14ac:dyDescent="0.2">
      <c r="D4" s="56" t="s">
        <v>29</v>
      </c>
    </row>
    <row r="5" spans="1:15" x14ac:dyDescent="0.2">
      <c r="D5" s="2" t="s">
        <v>310</v>
      </c>
    </row>
    <row r="7" spans="1:15" ht="33.75" x14ac:dyDescent="0.2">
      <c r="A7" s="60" t="s">
        <v>10</v>
      </c>
      <c r="B7" s="107" t="s">
        <v>0</v>
      </c>
      <c r="C7" s="108"/>
      <c r="D7" s="108"/>
      <c r="E7" s="109"/>
      <c r="F7" s="107" t="s">
        <v>35</v>
      </c>
      <c r="G7" s="108"/>
      <c r="H7" s="109"/>
      <c r="I7" s="110" t="s">
        <v>36</v>
      </c>
      <c r="J7" s="111"/>
      <c r="K7" s="70" t="s">
        <v>8</v>
      </c>
      <c r="L7" s="70" t="s">
        <v>9</v>
      </c>
      <c r="M7" s="60" t="s">
        <v>4</v>
      </c>
      <c r="N7" s="52" t="s">
        <v>5</v>
      </c>
      <c r="O7" s="60" t="s">
        <v>28</v>
      </c>
    </row>
    <row r="8" spans="1:15" ht="22.5" x14ac:dyDescent="0.2">
      <c r="A8" s="62"/>
      <c r="B8" s="63" t="s">
        <v>11</v>
      </c>
      <c r="C8" s="63" t="s">
        <v>12</v>
      </c>
      <c r="D8" s="71" t="s">
        <v>31</v>
      </c>
      <c r="E8" s="71" t="s">
        <v>37</v>
      </c>
      <c r="F8" s="64" t="s">
        <v>13</v>
      </c>
      <c r="G8" s="63" t="s">
        <v>14</v>
      </c>
      <c r="H8" s="63" t="s">
        <v>15</v>
      </c>
      <c r="I8" s="63" t="s">
        <v>6</v>
      </c>
      <c r="J8" s="63" t="s">
        <v>16</v>
      </c>
      <c r="K8" s="72"/>
      <c r="L8" s="72"/>
      <c r="M8" s="66"/>
      <c r="N8" s="72"/>
      <c r="O8" s="72"/>
    </row>
    <row r="9" spans="1:15" x14ac:dyDescent="0.2">
      <c r="A9" s="73"/>
      <c r="B9" s="74"/>
      <c r="C9" s="74"/>
      <c r="D9" s="75"/>
      <c r="E9" s="74"/>
      <c r="F9" s="74"/>
      <c r="G9" s="74"/>
      <c r="H9" s="74"/>
      <c r="I9" s="74"/>
      <c r="J9" s="74"/>
      <c r="K9" s="76"/>
      <c r="L9" s="76"/>
      <c r="M9" s="77"/>
      <c r="N9" s="78"/>
      <c r="O9" s="79"/>
    </row>
    <row r="11" spans="1:15" ht="13.5" thickBot="1" x14ac:dyDescent="0.25"/>
    <row r="12" spans="1:15" ht="13.5" thickBot="1" x14ac:dyDescent="0.25">
      <c r="D12" s="81" t="s">
        <v>38</v>
      </c>
      <c r="E12" s="82" t="s">
        <v>39</v>
      </c>
      <c r="F12" s="82" t="s">
        <v>311</v>
      </c>
      <c r="G12" s="83">
        <v>2014</v>
      </c>
    </row>
  </sheetData>
  <mergeCells count="3">
    <mergeCell ref="B7:E7"/>
    <mergeCell ref="F7:H7"/>
    <mergeCell ref="I7:J7"/>
  </mergeCells>
  <phoneticPr fontId="1" type="noConversion"/>
  <pageMargins left="0.5" right="0.5" top="0.5" bottom="0.5" header="0.5" footer="0.5"/>
  <pageSetup scale="90" fitToHeight="0" orientation="landscape" r:id="rId1"/>
  <headerFooter alignWithMargins="0"/>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498"/>
  <sheetViews>
    <sheetView zoomScaleNormal="100" zoomScalePageLayoutView="125" workbookViewId="0">
      <selection activeCell="A5" sqref="A5"/>
    </sheetView>
  </sheetViews>
  <sheetFormatPr defaultColWidth="8.85546875" defaultRowHeight="12.75" x14ac:dyDescent="0.2"/>
  <cols>
    <col min="1" max="1" width="13.85546875" style="1" customWidth="1"/>
    <col min="2" max="2" width="8.28515625" style="1" customWidth="1"/>
    <col min="3" max="3" width="21.425781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s="4" customFormat="1" ht="11.25" x14ac:dyDescent="0.2">
      <c r="A1" s="1"/>
      <c r="B1" s="1"/>
      <c r="C1" s="1"/>
      <c r="D1" s="1"/>
      <c r="E1" s="6" t="s">
        <v>29</v>
      </c>
      <c r="F1" s="1"/>
      <c r="G1" s="1"/>
      <c r="H1" s="1"/>
      <c r="I1" s="1"/>
      <c r="J1" s="16"/>
    </row>
    <row r="2" spans="1:744" s="4" customFormat="1" ht="11.25" x14ac:dyDescent="0.2">
      <c r="A2" s="1"/>
      <c r="B2" s="1"/>
      <c r="C2" s="1"/>
      <c r="D2" s="2"/>
      <c r="E2" s="6" t="s">
        <v>312</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4" t="s">
        <v>30</v>
      </c>
    </row>
    <row r="6" spans="1:744" s="15" customFormat="1" ht="11.25" x14ac:dyDescent="0.2">
      <c r="A6" s="10"/>
      <c r="B6" s="10"/>
      <c r="C6" s="10"/>
      <c r="D6" s="10"/>
      <c r="E6" s="10"/>
      <c r="F6" s="10"/>
      <c r="G6" s="10"/>
      <c r="H6" s="10"/>
      <c r="I6" s="10"/>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96" t="s">
        <v>33</v>
      </c>
      <c r="B7" s="49"/>
      <c r="C7" s="49"/>
      <c r="D7" s="49"/>
      <c r="E7" s="49"/>
      <c r="F7" s="49"/>
      <c r="G7" s="49"/>
      <c r="H7" s="49"/>
      <c r="I7" s="49"/>
      <c r="J7" s="22"/>
    </row>
    <row r="8" spans="1:744" s="4" customFormat="1" ht="11.25" x14ac:dyDescent="0.2">
      <c r="A8" s="8" t="s">
        <v>188</v>
      </c>
      <c r="B8" s="8">
        <v>1709</v>
      </c>
      <c r="C8" s="8" t="s">
        <v>393</v>
      </c>
      <c r="D8" s="8"/>
      <c r="E8" s="8"/>
      <c r="F8" s="8"/>
      <c r="G8" s="8">
        <v>14</v>
      </c>
      <c r="H8" s="8">
        <v>6401</v>
      </c>
      <c r="I8" s="8">
        <v>140924</v>
      </c>
      <c r="J8" s="16"/>
    </row>
    <row r="9" spans="1:744" s="4" customFormat="1" ht="11.25" x14ac:dyDescent="0.2">
      <c r="A9" s="8" t="s">
        <v>188</v>
      </c>
      <c r="B9" s="8">
        <v>1709</v>
      </c>
      <c r="C9" s="8" t="s">
        <v>393</v>
      </c>
      <c r="D9" s="8"/>
      <c r="E9" s="8"/>
      <c r="F9" s="8"/>
      <c r="G9" s="8">
        <v>14</v>
      </c>
      <c r="H9" s="8">
        <v>6403</v>
      </c>
      <c r="I9" s="8">
        <v>140924</v>
      </c>
      <c r="J9" s="16"/>
    </row>
    <row r="10" spans="1:744" s="4" customFormat="1" ht="11.25" x14ac:dyDescent="0.2">
      <c r="A10" s="8" t="s">
        <v>188</v>
      </c>
      <c r="B10" s="8">
        <v>1709</v>
      </c>
      <c r="C10" s="8" t="s">
        <v>393</v>
      </c>
      <c r="D10" s="8"/>
      <c r="E10" s="8"/>
      <c r="F10" s="8"/>
      <c r="G10" s="8">
        <v>14</v>
      </c>
      <c r="H10" s="8">
        <v>6404</v>
      </c>
      <c r="I10" s="8">
        <v>140924</v>
      </c>
      <c r="J10" s="16"/>
    </row>
    <row r="11" spans="1:744" s="4" customFormat="1" ht="11.25" x14ac:dyDescent="0.2">
      <c r="A11" s="8" t="s">
        <v>188</v>
      </c>
      <c r="B11" s="8">
        <v>1709</v>
      </c>
      <c r="C11" s="8" t="s">
        <v>393</v>
      </c>
      <c r="D11" s="8"/>
      <c r="E11" s="8"/>
      <c r="F11" s="8"/>
      <c r="G11" s="8">
        <v>14</v>
      </c>
      <c r="H11" s="8">
        <v>6405</v>
      </c>
      <c r="I11" s="8">
        <v>140924</v>
      </c>
      <c r="J11" s="16"/>
    </row>
    <row r="12" spans="1:744" s="4" customFormat="1" ht="11.25" x14ac:dyDescent="0.2">
      <c r="A12" s="8" t="s">
        <v>188</v>
      </c>
      <c r="B12" s="8">
        <v>4267</v>
      </c>
      <c r="C12" s="8" t="s">
        <v>394</v>
      </c>
      <c r="D12" s="8"/>
      <c r="E12" s="8"/>
      <c r="F12" s="8"/>
      <c r="G12" s="8">
        <v>14</v>
      </c>
      <c r="H12" s="8">
        <v>6343</v>
      </c>
      <c r="I12" s="8">
        <v>140923</v>
      </c>
      <c r="J12" s="16"/>
    </row>
    <row r="13" spans="1:744" s="4" customFormat="1" ht="11.25" x14ac:dyDescent="0.2">
      <c r="A13" s="8" t="s">
        <v>188</v>
      </c>
      <c r="B13" s="8">
        <v>3234</v>
      </c>
      <c r="C13" s="8" t="s">
        <v>395</v>
      </c>
      <c r="D13" s="8" t="s">
        <v>78</v>
      </c>
      <c r="E13" s="8">
        <v>100</v>
      </c>
      <c r="F13" s="8">
        <v>41</v>
      </c>
      <c r="G13" s="8">
        <v>14</v>
      </c>
      <c r="H13" s="8">
        <v>6293</v>
      </c>
      <c r="I13" s="8">
        <v>140919</v>
      </c>
      <c r="J13" s="16"/>
    </row>
    <row r="14" spans="1:744" s="4" customFormat="1" ht="11.25" x14ac:dyDescent="0.2">
      <c r="A14" s="8" t="s">
        <v>188</v>
      </c>
      <c r="B14" s="8">
        <v>500</v>
      </c>
      <c r="C14" s="8" t="s">
        <v>189</v>
      </c>
      <c r="D14" s="8" t="s">
        <v>190</v>
      </c>
      <c r="E14" s="8" t="s">
        <v>396</v>
      </c>
      <c r="F14" s="8" t="s">
        <v>192</v>
      </c>
      <c r="G14" s="8">
        <v>14</v>
      </c>
      <c r="H14" s="8">
        <v>6258</v>
      </c>
      <c r="I14" s="8">
        <v>140918</v>
      </c>
      <c r="J14" s="16"/>
    </row>
    <row r="15" spans="1:744" s="4" customFormat="1" ht="11.25" x14ac:dyDescent="0.2">
      <c r="A15" s="8" t="s">
        <v>188</v>
      </c>
      <c r="B15" s="8">
        <v>1355</v>
      </c>
      <c r="C15" s="8" t="s">
        <v>193</v>
      </c>
      <c r="D15" s="8" t="s">
        <v>118</v>
      </c>
      <c r="E15" s="8" t="s">
        <v>194</v>
      </c>
      <c r="F15" s="8" t="s">
        <v>195</v>
      </c>
      <c r="G15" s="8">
        <v>14</v>
      </c>
      <c r="H15" s="8">
        <v>5886</v>
      </c>
      <c r="I15" s="8">
        <v>140904</v>
      </c>
      <c r="J15" s="16"/>
    </row>
    <row r="16" spans="1:744" s="4" customFormat="1" ht="11.25" x14ac:dyDescent="0.2">
      <c r="A16" s="8" t="s">
        <v>188</v>
      </c>
      <c r="B16" s="8">
        <v>229</v>
      </c>
      <c r="C16" s="8" t="s">
        <v>122</v>
      </c>
      <c r="D16" s="8" t="s">
        <v>397</v>
      </c>
      <c r="E16" s="8"/>
      <c r="F16" s="8"/>
      <c r="G16" s="8">
        <v>14</v>
      </c>
      <c r="H16" s="8">
        <v>6001</v>
      </c>
      <c r="I16" s="8">
        <v>140909</v>
      </c>
      <c r="J16" s="16"/>
    </row>
    <row r="17" spans="1:10" s="4" customFormat="1" ht="11.25" x14ac:dyDescent="0.2">
      <c r="A17" s="8" t="s">
        <v>188</v>
      </c>
      <c r="B17" s="8">
        <v>333</v>
      </c>
      <c r="C17" s="8" t="s">
        <v>122</v>
      </c>
      <c r="D17" s="8" t="s">
        <v>398</v>
      </c>
      <c r="E17" s="8" t="s">
        <v>197</v>
      </c>
      <c r="F17" s="8">
        <v>1</v>
      </c>
      <c r="G17" s="8">
        <v>14</v>
      </c>
      <c r="H17" s="8">
        <v>6295</v>
      </c>
      <c r="I17" s="8">
        <v>140919</v>
      </c>
      <c r="J17" s="16"/>
    </row>
    <row r="18" spans="1:10" s="4" customFormat="1" ht="11.25" x14ac:dyDescent="0.2">
      <c r="A18" s="8" t="s">
        <v>188</v>
      </c>
      <c r="B18" s="8">
        <v>333</v>
      </c>
      <c r="C18" s="8" t="s">
        <v>122</v>
      </c>
      <c r="D18" s="8" t="s">
        <v>398</v>
      </c>
      <c r="E18" s="8" t="s">
        <v>197</v>
      </c>
      <c r="F18" s="8">
        <v>1</v>
      </c>
      <c r="G18" s="8">
        <v>14</v>
      </c>
      <c r="H18" s="8">
        <v>6296</v>
      </c>
      <c r="I18" s="8">
        <v>140919</v>
      </c>
      <c r="J18" s="16"/>
    </row>
    <row r="19" spans="1:10" s="4" customFormat="1" ht="11.25" x14ac:dyDescent="0.2">
      <c r="A19" s="8" t="s">
        <v>188</v>
      </c>
      <c r="B19" s="8">
        <v>1000</v>
      </c>
      <c r="C19" s="8" t="s">
        <v>122</v>
      </c>
      <c r="D19" s="8" t="s">
        <v>118</v>
      </c>
      <c r="E19" s="8" t="s">
        <v>185</v>
      </c>
      <c r="F19" s="8" t="s">
        <v>186</v>
      </c>
      <c r="G19" s="8">
        <v>14</v>
      </c>
      <c r="H19" s="8">
        <v>6131</v>
      </c>
      <c r="I19" s="8">
        <v>140915</v>
      </c>
      <c r="J19" s="16"/>
    </row>
    <row r="20" spans="1:10" s="4" customFormat="1" ht="11.25" x14ac:dyDescent="0.2">
      <c r="A20" s="8" t="s">
        <v>188</v>
      </c>
      <c r="B20" s="8">
        <v>1001</v>
      </c>
      <c r="C20" s="8" t="s">
        <v>122</v>
      </c>
      <c r="D20" s="8" t="s">
        <v>87</v>
      </c>
      <c r="E20" s="8"/>
      <c r="F20" s="8"/>
      <c r="G20" s="8">
        <v>14</v>
      </c>
      <c r="H20" s="8">
        <v>5904</v>
      </c>
      <c r="I20" s="8">
        <v>140905</v>
      </c>
      <c r="J20" s="16"/>
    </row>
    <row r="21" spans="1:10" s="4" customFormat="1" ht="11.25" x14ac:dyDescent="0.2">
      <c r="A21" s="8" t="s">
        <v>188</v>
      </c>
      <c r="B21" s="8">
        <v>1115</v>
      </c>
      <c r="C21" s="8" t="s">
        <v>122</v>
      </c>
      <c r="D21" s="8" t="s">
        <v>399</v>
      </c>
      <c r="E21" s="8"/>
      <c r="F21" s="8"/>
      <c r="G21" s="8">
        <v>14</v>
      </c>
      <c r="H21" s="8">
        <v>5987</v>
      </c>
      <c r="I21" s="8">
        <v>140909</v>
      </c>
      <c r="J21" s="16"/>
    </row>
    <row r="22" spans="1:10" s="4" customFormat="1" ht="11.25" x14ac:dyDescent="0.2">
      <c r="A22" s="8" t="s">
        <v>188</v>
      </c>
      <c r="B22" s="8">
        <v>1549</v>
      </c>
      <c r="C22" s="8" t="s">
        <v>359</v>
      </c>
      <c r="D22" s="8"/>
      <c r="E22" s="8"/>
      <c r="F22" s="8"/>
      <c r="G22" s="8">
        <v>14</v>
      </c>
      <c r="H22" s="8">
        <v>5906</v>
      </c>
      <c r="I22" s="8">
        <v>140905</v>
      </c>
      <c r="J22" s="16"/>
    </row>
    <row r="23" spans="1:10" s="4" customFormat="1" ht="11.25" x14ac:dyDescent="0.2">
      <c r="A23" s="8" t="s">
        <v>188</v>
      </c>
      <c r="B23" s="8">
        <v>1900</v>
      </c>
      <c r="C23" s="8" t="s">
        <v>203</v>
      </c>
      <c r="D23" s="8" t="s">
        <v>267</v>
      </c>
      <c r="E23" s="8"/>
      <c r="F23" s="8">
        <v>2</v>
      </c>
      <c r="G23" s="8">
        <v>14</v>
      </c>
      <c r="H23" s="8">
        <v>6171</v>
      </c>
      <c r="I23" s="8">
        <v>140916</v>
      </c>
      <c r="J23" s="16"/>
    </row>
    <row r="24" spans="1:10" s="4" customFormat="1" ht="11.25" x14ac:dyDescent="0.2">
      <c r="A24" s="8" t="s">
        <v>188</v>
      </c>
      <c r="B24" s="8">
        <v>1900</v>
      </c>
      <c r="C24" s="8" t="s">
        <v>203</v>
      </c>
      <c r="D24" s="8" t="s">
        <v>267</v>
      </c>
      <c r="E24" s="8"/>
      <c r="F24" s="8">
        <v>2</v>
      </c>
      <c r="G24" s="8">
        <v>14</v>
      </c>
      <c r="H24" s="8">
        <v>6227</v>
      </c>
      <c r="I24" s="8">
        <v>140917</v>
      </c>
      <c r="J24" s="16"/>
    </row>
    <row r="25" spans="1:10" s="4" customFormat="1" ht="11.25" x14ac:dyDescent="0.2">
      <c r="A25" s="8" t="s">
        <v>188</v>
      </c>
      <c r="B25" s="8">
        <v>1900</v>
      </c>
      <c r="C25" s="8" t="s">
        <v>203</v>
      </c>
      <c r="D25" s="8" t="s">
        <v>267</v>
      </c>
      <c r="E25" s="8"/>
      <c r="F25" s="8">
        <v>2</v>
      </c>
      <c r="G25" s="8">
        <v>14</v>
      </c>
      <c r="H25" s="8">
        <v>6471</v>
      </c>
      <c r="I25" s="8">
        <v>140929</v>
      </c>
      <c r="J25" s="16"/>
    </row>
    <row r="26" spans="1:10" s="4" customFormat="1" ht="11.25" x14ac:dyDescent="0.2">
      <c r="A26" s="8" t="s">
        <v>188</v>
      </c>
      <c r="B26" s="8">
        <v>1904</v>
      </c>
      <c r="C26" s="8" t="s">
        <v>203</v>
      </c>
      <c r="D26" s="8" t="s">
        <v>267</v>
      </c>
      <c r="E26" s="8"/>
      <c r="F26" s="8" t="s">
        <v>268</v>
      </c>
      <c r="G26" s="8">
        <v>14</v>
      </c>
      <c r="H26" s="8">
        <v>5843</v>
      </c>
      <c r="I26" s="8">
        <v>140903</v>
      </c>
      <c r="J26" s="16"/>
    </row>
    <row r="27" spans="1:10" s="4" customFormat="1" ht="11.25" x14ac:dyDescent="0.2">
      <c r="A27" s="8" t="s">
        <v>188</v>
      </c>
      <c r="B27" s="8">
        <v>1904</v>
      </c>
      <c r="C27" s="8" t="s">
        <v>203</v>
      </c>
      <c r="D27" s="8" t="s">
        <v>267</v>
      </c>
      <c r="E27" s="8"/>
      <c r="F27" s="8" t="s">
        <v>268</v>
      </c>
      <c r="G27" s="8">
        <v>14</v>
      </c>
      <c r="H27" s="8">
        <v>5911</v>
      </c>
      <c r="I27" s="8">
        <v>140905</v>
      </c>
      <c r="J27" s="16"/>
    </row>
    <row r="28" spans="1:10" s="4" customFormat="1" ht="11.25" x14ac:dyDescent="0.2">
      <c r="A28" s="8" t="s">
        <v>188</v>
      </c>
      <c r="B28" s="8">
        <v>1904</v>
      </c>
      <c r="C28" s="8" t="s">
        <v>203</v>
      </c>
      <c r="D28" s="8" t="s">
        <v>267</v>
      </c>
      <c r="E28" s="8"/>
      <c r="F28" s="8" t="s">
        <v>268</v>
      </c>
      <c r="G28" s="8">
        <v>14</v>
      </c>
      <c r="H28" s="8">
        <v>6454</v>
      </c>
      <c r="I28" s="8">
        <v>140925</v>
      </c>
      <c r="J28" s="16"/>
    </row>
    <row r="29" spans="1:10" s="4" customFormat="1" ht="11.25" x14ac:dyDescent="0.2">
      <c r="A29" s="8" t="s">
        <v>188</v>
      </c>
      <c r="B29" s="8">
        <v>1908</v>
      </c>
      <c r="C29" s="8" t="s">
        <v>203</v>
      </c>
      <c r="D29" s="8" t="s">
        <v>267</v>
      </c>
      <c r="E29" s="8"/>
      <c r="F29" s="8" t="s">
        <v>218</v>
      </c>
      <c r="G29" s="8">
        <v>14</v>
      </c>
      <c r="H29" s="8">
        <v>6453</v>
      </c>
      <c r="I29" s="8">
        <v>140925</v>
      </c>
      <c r="J29" s="16"/>
    </row>
    <row r="30" spans="1:10" s="4" customFormat="1" ht="11.25" x14ac:dyDescent="0.2">
      <c r="A30" s="8" t="s">
        <v>188</v>
      </c>
      <c r="B30" s="8">
        <v>2441</v>
      </c>
      <c r="C30" s="8" t="s">
        <v>269</v>
      </c>
      <c r="D30" s="8" t="s">
        <v>202</v>
      </c>
      <c r="E30" s="8"/>
      <c r="F30" s="8"/>
      <c r="G30" s="8">
        <v>14</v>
      </c>
      <c r="H30" s="8">
        <v>6279</v>
      </c>
      <c r="I30" s="8">
        <v>140919</v>
      </c>
      <c r="J30" s="16"/>
    </row>
    <row r="31" spans="1:10" s="4" customFormat="1" ht="11.25" x14ac:dyDescent="0.2">
      <c r="A31" s="8" t="s">
        <v>188</v>
      </c>
      <c r="B31" s="8">
        <v>6080</v>
      </c>
      <c r="C31" s="8" t="s">
        <v>126</v>
      </c>
      <c r="D31" s="8" t="s">
        <v>127</v>
      </c>
      <c r="E31" s="8" t="s">
        <v>128</v>
      </c>
      <c r="F31" s="8">
        <v>7</v>
      </c>
      <c r="G31" s="8">
        <v>14</v>
      </c>
      <c r="H31" s="8">
        <v>5873</v>
      </c>
      <c r="I31" s="8">
        <v>140904</v>
      </c>
      <c r="J31" s="16"/>
    </row>
    <row r="32" spans="1:10" s="4" customFormat="1" ht="11.25" x14ac:dyDescent="0.2">
      <c r="A32" s="8" t="s">
        <v>188</v>
      </c>
      <c r="B32" s="8">
        <v>6090</v>
      </c>
      <c r="C32" s="8" t="s">
        <v>126</v>
      </c>
      <c r="D32" s="8" t="s">
        <v>127</v>
      </c>
      <c r="E32" s="8" t="s">
        <v>128</v>
      </c>
      <c r="F32" s="8">
        <v>8</v>
      </c>
      <c r="G32" s="8">
        <v>14</v>
      </c>
      <c r="H32" s="8">
        <v>6245</v>
      </c>
      <c r="I32" s="8">
        <v>140917</v>
      </c>
      <c r="J32" s="16"/>
    </row>
    <row r="33" spans="1:10" s="4" customFormat="1" ht="11.25" x14ac:dyDescent="0.2">
      <c r="A33" s="8" t="s">
        <v>188</v>
      </c>
      <c r="B33" s="8">
        <v>901</v>
      </c>
      <c r="C33" s="8" t="s">
        <v>400</v>
      </c>
      <c r="D33" s="8" t="s">
        <v>401</v>
      </c>
      <c r="E33" s="8"/>
      <c r="F33" s="8">
        <v>1</v>
      </c>
      <c r="G33" s="8">
        <v>14</v>
      </c>
      <c r="H33" s="8">
        <v>6002</v>
      </c>
      <c r="I33" s="8">
        <v>140909</v>
      </c>
      <c r="J33" s="16"/>
    </row>
    <row r="34" spans="1:10" s="4" customFormat="1" ht="11.25" x14ac:dyDescent="0.2">
      <c r="A34" s="8" t="s">
        <v>204</v>
      </c>
      <c r="B34" s="8">
        <v>3405</v>
      </c>
      <c r="C34" s="8" t="s">
        <v>402</v>
      </c>
      <c r="D34" s="8" t="s">
        <v>87</v>
      </c>
      <c r="E34" s="8" t="s">
        <v>403</v>
      </c>
      <c r="F34" s="8" t="s">
        <v>404</v>
      </c>
      <c r="G34" s="8">
        <v>14</v>
      </c>
      <c r="H34" s="8">
        <v>6262</v>
      </c>
      <c r="I34" s="8">
        <v>140918</v>
      </c>
      <c r="J34" s="16"/>
    </row>
    <row r="35" spans="1:10" s="4" customFormat="1" ht="11.25" x14ac:dyDescent="0.2">
      <c r="A35" s="8" t="s">
        <v>204</v>
      </c>
      <c r="B35" s="8">
        <v>809</v>
      </c>
      <c r="C35" s="8" t="s">
        <v>313</v>
      </c>
      <c r="D35" s="8" t="s">
        <v>107</v>
      </c>
      <c r="E35" s="8">
        <v>1</v>
      </c>
      <c r="F35" s="8">
        <v>40</v>
      </c>
      <c r="G35" s="8">
        <v>14</v>
      </c>
      <c r="H35" s="8">
        <v>6024</v>
      </c>
      <c r="I35" s="8">
        <v>140910</v>
      </c>
      <c r="J35" s="16"/>
    </row>
    <row r="36" spans="1:10" s="4" customFormat="1" ht="11.25" x14ac:dyDescent="0.2">
      <c r="A36" s="8" t="s">
        <v>204</v>
      </c>
      <c r="B36" s="8">
        <v>573</v>
      </c>
      <c r="C36" s="8" t="s">
        <v>405</v>
      </c>
      <c r="D36" s="8" t="s">
        <v>94</v>
      </c>
      <c r="E36" s="8">
        <v>1</v>
      </c>
      <c r="F36" s="8">
        <v>22</v>
      </c>
      <c r="G36" s="8">
        <v>14</v>
      </c>
      <c r="H36" s="8">
        <v>5975</v>
      </c>
      <c r="I36" s="8">
        <v>140909</v>
      </c>
      <c r="J36" s="16"/>
    </row>
    <row r="37" spans="1:10" s="4" customFormat="1" ht="11.25" x14ac:dyDescent="0.2">
      <c r="A37" s="8" t="s">
        <v>204</v>
      </c>
      <c r="B37" s="8">
        <v>590</v>
      </c>
      <c r="C37" s="8" t="s">
        <v>405</v>
      </c>
      <c r="D37" s="8" t="s">
        <v>94</v>
      </c>
      <c r="E37" s="8">
        <v>25</v>
      </c>
      <c r="F37" s="8">
        <v>4</v>
      </c>
      <c r="G37" s="8">
        <v>14</v>
      </c>
      <c r="H37" s="8">
        <v>6373</v>
      </c>
      <c r="I37" s="8">
        <v>140923</v>
      </c>
      <c r="J37" s="16"/>
    </row>
    <row r="38" spans="1:10" s="4" customFormat="1" ht="11.25" x14ac:dyDescent="0.2">
      <c r="A38" s="8" t="s">
        <v>204</v>
      </c>
      <c r="B38" s="8">
        <v>2810</v>
      </c>
      <c r="C38" s="8" t="s">
        <v>207</v>
      </c>
      <c r="D38" s="8" t="s">
        <v>208</v>
      </c>
      <c r="E38" s="8">
        <v>5</v>
      </c>
      <c r="F38" s="8">
        <v>19</v>
      </c>
      <c r="G38" s="8">
        <v>14</v>
      </c>
      <c r="H38" s="8">
        <v>6477</v>
      </c>
      <c r="I38" s="8">
        <v>140929</v>
      </c>
      <c r="J38" s="16"/>
    </row>
    <row r="39" spans="1:10" s="4" customFormat="1" ht="11.25" x14ac:dyDescent="0.2">
      <c r="A39" s="8" t="s">
        <v>204</v>
      </c>
      <c r="B39" s="8">
        <v>2810</v>
      </c>
      <c r="C39" s="8" t="s">
        <v>207</v>
      </c>
      <c r="D39" s="8" t="s">
        <v>208</v>
      </c>
      <c r="E39" s="8">
        <v>5</v>
      </c>
      <c r="F39" s="8">
        <v>19</v>
      </c>
      <c r="G39" s="8">
        <v>14</v>
      </c>
      <c r="H39" s="8">
        <v>6489</v>
      </c>
      <c r="I39" s="8">
        <v>140929</v>
      </c>
      <c r="J39" s="16"/>
    </row>
    <row r="40" spans="1:10" s="4" customFormat="1" ht="11.25" x14ac:dyDescent="0.2">
      <c r="A40" s="8" t="s">
        <v>204</v>
      </c>
      <c r="B40" s="8">
        <v>2822</v>
      </c>
      <c r="C40" s="8" t="s">
        <v>207</v>
      </c>
      <c r="D40" s="8" t="s">
        <v>208</v>
      </c>
      <c r="E40" s="8">
        <v>5</v>
      </c>
      <c r="F40" s="8" t="s">
        <v>406</v>
      </c>
      <c r="G40" s="8">
        <v>14</v>
      </c>
      <c r="H40" s="8">
        <v>6099</v>
      </c>
      <c r="I40" s="8">
        <v>140912</v>
      </c>
      <c r="J40" s="16"/>
    </row>
    <row r="41" spans="1:10" s="4" customFormat="1" ht="11.25" x14ac:dyDescent="0.2">
      <c r="A41" s="8" t="s">
        <v>204</v>
      </c>
      <c r="B41" s="8">
        <v>2822</v>
      </c>
      <c r="C41" s="8" t="s">
        <v>207</v>
      </c>
      <c r="D41" s="8" t="s">
        <v>208</v>
      </c>
      <c r="E41" s="8">
        <v>5</v>
      </c>
      <c r="F41" s="8" t="s">
        <v>406</v>
      </c>
      <c r="G41" s="8">
        <v>14</v>
      </c>
      <c r="H41" s="8">
        <v>6153</v>
      </c>
      <c r="I41" s="8">
        <v>140916</v>
      </c>
      <c r="J41" s="16"/>
    </row>
    <row r="42" spans="1:10" s="4" customFormat="1" ht="11.25" x14ac:dyDescent="0.2">
      <c r="A42" s="8" t="s">
        <v>204</v>
      </c>
      <c r="B42" s="8">
        <v>2826</v>
      </c>
      <c r="C42" s="8" t="s">
        <v>207</v>
      </c>
      <c r="D42" s="8" t="s">
        <v>208</v>
      </c>
      <c r="E42" s="8">
        <v>5</v>
      </c>
      <c r="F42" s="8" t="s">
        <v>407</v>
      </c>
      <c r="G42" s="8">
        <v>14</v>
      </c>
      <c r="H42" s="8">
        <v>5820</v>
      </c>
      <c r="I42" s="8">
        <v>140902</v>
      </c>
      <c r="J42" s="16"/>
    </row>
    <row r="43" spans="1:10" s="4" customFormat="1" ht="11.25" x14ac:dyDescent="0.2">
      <c r="A43" s="8" t="s">
        <v>204</v>
      </c>
      <c r="B43" s="8">
        <v>2826</v>
      </c>
      <c r="C43" s="8" t="s">
        <v>207</v>
      </c>
      <c r="D43" s="8" t="s">
        <v>208</v>
      </c>
      <c r="E43" s="8">
        <v>5</v>
      </c>
      <c r="F43" s="8" t="s">
        <v>407</v>
      </c>
      <c r="G43" s="8">
        <v>14</v>
      </c>
      <c r="H43" s="8">
        <v>6154</v>
      </c>
      <c r="I43" s="8">
        <v>140916</v>
      </c>
      <c r="J43" s="16"/>
    </row>
    <row r="44" spans="1:10" s="4" customFormat="1" ht="11.25" x14ac:dyDescent="0.2">
      <c r="A44" s="8" t="s">
        <v>204</v>
      </c>
      <c r="B44" s="8">
        <v>2829</v>
      </c>
      <c r="C44" s="8" t="s">
        <v>207</v>
      </c>
      <c r="D44" s="8" t="s">
        <v>208</v>
      </c>
      <c r="E44" s="8">
        <v>6</v>
      </c>
      <c r="F44" s="8" t="s">
        <v>408</v>
      </c>
      <c r="G44" s="8">
        <v>14</v>
      </c>
      <c r="H44" s="8">
        <v>6280</v>
      </c>
      <c r="I44" s="8">
        <v>140919</v>
      </c>
      <c r="J44" s="16"/>
    </row>
    <row r="45" spans="1:10" s="4" customFormat="1" ht="11.25" x14ac:dyDescent="0.2">
      <c r="A45" s="8" t="s">
        <v>204</v>
      </c>
      <c r="B45" s="8">
        <v>2829</v>
      </c>
      <c r="C45" s="8" t="s">
        <v>207</v>
      </c>
      <c r="D45" s="8" t="s">
        <v>208</v>
      </c>
      <c r="E45" s="8">
        <v>6</v>
      </c>
      <c r="F45" s="8" t="s">
        <v>408</v>
      </c>
      <c r="G45" s="8">
        <v>14</v>
      </c>
      <c r="H45" s="8">
        <v>6486</v>
      </c>
      <c r="I45" s="8">
        <v>140929</v>
      </c>
      <c r="J45" s="16"/>
    </row>
    <row r="46" spans="1:10" s="4" customFormat="1" ht="11.25" x14ac:dyDescent="0.2">
      <c r="A46" s="8" t="s">
        <v>204</v>
      </c>
      <c r="B46" s="8">
        <v>2830</v>
      </c>
      <c r="C46" s="8" t="s">
        <v>207</v>
      </c>
      <c r="D46" s="8" t="s">
        <v>208</v>
      </c>
      <c r="E46" s="8">
        <v>5</v>
      </c>
      <c r="F46" s="8" t="s">
        <v>409</v>
      </c>
      <c r="G46" s="8">
        <v>14</v>
      </c>
      <c r="H46" s="8">
        <v>5818</v>
      </c>
      <c r="I46" s="8">
        <v>140902</v>
      </c>
      <c r="J46" s="16"/>
    </row>
    <row r="47" spans="1:10" s="4" customFormat="1" ht="11.25" x14ac:dyDescent="0.2">
      <c r="A47" s="8" t="s">
        <v>204</v>
      </c>
      <c r="B47" s="8">
        <v>2830</v>
      </c>
      <c r="C47" s="8" t="s">
        <v>207</v>
      </c>
      <c r="D47" s="8" t="s">
        <v>208</v>
      </c>
      <c r="E47" s="8">
        <v>5</v>
      </c>
      <c r="F47" s="8" t="s">
        <v>409</v>
      </c>
      <c r="G47" s="8">
        <v>14</v>
      </c>
      <c r="H47" s="8">
        <v>5862</v>
      </c>
      <c r="I47" s="8">
        <v>140904</v>
      </c>
      <c r="J47" s="16"/>
    </row>
    <row r="48" spans="1:10" s="4" customFormat="1" ht="11.25" x14ac:dyDescent="0.2">
      <c r="A48" s="8" t="s">
        <v>204</v>
      </c>
      <c r="B48" s="8">
        <v>2833</v>
      </c>
      <c r="C48" s="8" t="s">
        <v>207</v>
      </c>
      <c r="D48" s="8" t="s">
        <v>208</v>
      </c>
      <c r="E48" s="8">
        <v>6</v>
      </c>
      <c r="F48" s="8">
        <v>12</v>
      </c>
      <c r="G48" s="8">
        <v>14</v>
      </c>
      <c r="H48" s="8">
        <v>6366</v>
      </c>
      <c r="I48" s="8">
        <v>140923</v>
      </c>
      <c r="J48" s="16"/>
    </row>
    <row r="49" spans="1:10" s="4" customFormat="1" ht="11.25" x14ac:dyDescent="0.2">
      <c r="A49" s="8" t="s">
        <v>204</v>
      </c>
      <c r="B49" s="8">
        <v>2833</v>
      </c>
      <c r="C49" s="8" t="s">
        <v>207</v>
      </c>
      <c r="D49" s="8" t="s">
        <v>208</v>
      </c>
      <c r="E49" s="8">
        <v>6</v>
      </c>
      <c r="F49" s="8">
        <v>12</v>
      </c>
      <c r="G49" s="8">
        <v>14</v>
      </c>
      <c r="H49" s="8">
        <v>6488</v>
      </c>
      <c r="I49" s="8">
        <v>140929</v>
      </c>
      <c r="J49" s="16"/>
    </row>
    <row r="50" spans="1:10" s="4" customFormat="1" ht="11.25" x14ac:dyDescent="0.2">
      <c r="A50" s="8" t="s">
        <v>204</v>
      </c>
      <c r="B50" s="8">
        <v>4506</v>
      </c>
      <c r="C50" s="8" t="s">
        <v>410</v>
      </c>
      <c r="D50" s="8" t="s">
        <v>411</v>
      </c>
      <c r="E50" s="8">
        <v>2</v>
      </c>
      <c r="F50" s="8">
        <v>32</v>
      </c>
      <c r="G50" s="8">
        <v>14</v>
      </c>
      <c r="H50" s="8">
        <v>6084</v>
      </c>
      <c r="I50" s="8">
        <v>140912</v>
      </c>
      <c r="J50" s="16"/>
    </row>
    <row r="51" spans="1:10" s="4" customFormat="1" ht="11.25" x14ac:dyDescent="0.2">
      <c r="A51" s="8" t="s">
        <v>204</v>
      </c>
      <c r="B51" s="8">
        <v>6403</v>
      </c>
      <c r="C51" s="8" t="s">
        <v>209</v>
      </c>
      <c r="D51" s="8" t="s">
        <v>51</v>
      </c>
      <c r="E51" s="8">
        <v>7</v>
      </c>
      <c r="F51" s="8">
        <v>21</v>
      </c>
      <c r="G51" s="8">
        <v>14</v>
      </c>
      <c r="H51" s="8">
        <v>6242</v>
      </c>
      <c r="I51" s="8">
        <v>140917</v>
      </c>
      <c r="J51" s="16"/>
    </row>
    <row r="52" spans="1:10" s="4" customFormat="1" ht="11.25" x14ac:dyDescent="0.2">
      <c r="A52" s="8" t="s">
        <v>204</v>
      </c>
      <c r="B52" s="8">
        <v>6403</v>
      </c>
      <c r="C52" s="8" t="s">
        <v>209</v>
      </c>
      <c r="D52" s="8" t="s">
        <v>51</v>
      </c>
      <c r="E52" s="8">
        <v>7</v>
      </c>
      <c r="F52" s="8">
        <v>21</v>
      </c>
      <c r="G52" s="8">
        <v>14</v>
      </c>
      <c r="H52" s="8">
        <v>6369</v>
      </c>
      <c r="I52" s="8">
        <v>140923</v>
      </c>
      <c r="J52" s="16"/>
    </row>
    <row r="53" spans="1:10" s="4" customFormat="1" ht="11.25" x14ac:dyDescent="0.2">
      <c r="A53" s="8" t="s">
        <v>204</v>
      </c>
      <c r="B53" s="8">
        <v>1752</v>
      </c>
      <c r="C53" s="8" t="s">
        <v>252</v>
      </c>
      <c r="D53" s="8" t="s">
        <v>253</v>
      </c>
      <c r="E53" s="8">
        <v>14</v>
      </c>
      <c r="F53" s="8" t="s">
        <v>254</v>
      </c>
      <c r="G53" s="8">
        <v>14</v>
      </c>
      <c r="H53" s="8">
        <v>6282</v>
      </c>
      <c r="I53" s="8">
        <v>140919</v>
      </c>
      <c r="J53" s="16"/>
    </row>
    <row r="54" spans="1:10" s="4" customFormat="1" ht="11.25" x14ac:dyDescent="0.2">
      <c r="A54" s="8" t="s">
        <v>204</v>
      </c>
      <c r="B54" s="8">
        <v>520</v>
      </c>
      <c r="C54" s="8" t="s">
        <v>272</v>
      </c>
      <c r="D54" s="8" t="s">
        <v>94</v>
      </c>
      <c r="E54" s="8">
        <v>22</v>
      </c>
      <c r="F54" s="8">
        <v>2</v>
      </c>
      <c r="G54" s="8">
        <v>14</v>
      </c>
      <c r="H54" s="8">
        <v>5977</v>
      </c>
      <c r="I54" s="8">
        <v>140909</v>
      </c>
      <c r="J54" s="16"/>
    </row>
    <row r="55" spans="1:10" s="4" customFormat="1" ht="11.25" x14ac:dyDescent="0.2">
      <c r="A55" s="8" t="s">
        <v>204</v>
      </c>
      <c r="B55" s="8">
        <v>2912</v>
      </c>
      <c r="C55" s="8" t="s">
        <v>412</v>
      </c>
      <c r="D55" s="8" t="s">
        <v>301</v>
      </c>
      <c r="E55" s="8">
        <v>5</v>
      </c>
      <c r="F55" s="8">
        <v>26</v>
      </c>
      <c r="G55" s="8">
        <v>14</v>
      </c>
      <c r="H55" s="8">
        <v>6082</v>
      </c>
      <c r="I55" s="8">
        <v>140912</v>
      </c>
      <c r="J55" s="16"/>
    </row>
    <row r="56" spans="1:10" s="4" customFormat="1" ht="11.25" x14ac:dyDescent="0.2">
      <c r="A56" s="8" t="s">
        <v>204</v>
      </c>
      <c r="B56" s="8">
        <v>2735</v>
      </c>
      <c r="C56" s="8" t="s">
        <v>413</v>
      </c>
      <c r="D56" s="8" t="s">
        <v>208</v>
      </c>
      <c r="E56" s="8">
        <v>5</v>
      </c>
      <c r="F56" s="8">
        <v>40</v>
      </c>
      <c r="G56" s="8">
        <v>14</v>
      </c>
      <c r="H56" s="8">
        <v>6100</v>
      </c>
      <c r="I56" s="8">
        <v>140912</v>
      </c>
      <c r="J56" s="16"/>
    </row>
    <row r="57" spans="1:10" s="4" customFormat="1" ht="11.25" x14ac:dyDescent="0.2">
      <c r="A57" s="8" t="s">
        <v>204</v>
      </c>
      <c r="B57" s="8">
        <v>161</v>
      </c>
      <c r="C57" s="8" t="s">
        <v>414</v>
      </c>
      <c r="D57" s="8" t="s">
        <v>415</v>
      </c>
      <c r="E57" s="8" t="s">
        <v>255</v>
      </c>
      <c r="F57" s="8"/>
      <c r="G57" s="8">
        <v>14</v>
      </c>
      <c r="H57" s="8">
        <v>6110</v>
      </c>
      <c r="I57" s="8">
        <v>140912</v>
      </c>
      <c r="J57" s="16"/>
    </row>
    <row r="58" spans="1:10" s="4" customFormat="1" ht="11.25" x14ac:dyDescent="0.2">
      <c r="A58" s="8" t="s">
        <v>204</v>
      </c>
      <c r="B58" s="8">
        <v>1509</v>
      </c>
      <c r="C58" s="8" t="s">
        <v>156</v>
      </c>
      <c r="D58" s="8" t="s">
        <v>142</v>
      </c>
      <c r="E58" s="8">
        <v>10</v>
      </c>
      <c r="F58" s="8">
        <v>6</v>
      </c>
      <c r="G58" s="8">
        <v>14</v>
      </c>
      <c r="H58" s="8">
        <v>6525</v>
      </c>
      <c r="I58" s="8">
        <v>140930</v>
      </c>
      <c r="J58" s="16"/>
    </row>
    <row r="59" spans="1:10" s="4" customFormat="1" ht="11.25" x14ac:dyDescent="0.2">
      <c r="A59" s="8" t="s">
        <v>204</v>
      </c>
      <c r="B59" s="8">
        <v>295</v>
      </c>
      <c r="C59" s="8" t="s">
        <v>416</v>
      </c>
      <c r="D59" s="8" t="s">
        <v>417</v>
      </c>
      <c r="E59" s="8">
        <v>172</v>
      </c>
      <c r="F59" s="8">
        <v>18</v>
      </c>
      <c r="G59" s="8">
        <v>14</v>
      </c>
      <c r="H59" s="8">
        <v>6423</v>
      </c>
      <c r="I59" s="8">
        <v>140924</v>
      </c>
      <c r="J59" s="16"/>
    </row>
    <row r="60" spans="1:10" s="4" customFormat="1" ht="11.25" x14ac:dyDescent="0.2">
      <c r="A60" s="8" t="s">
        <v>204</v>
      </c>
      <c r="B60" s="8">
        <v>3916</v>
      </c>
      <c r="C60" s="8" t="s">
        <v>418</v>
      </c>
      <c r="D60" s="8" t="s">
        <v>411</v>
      </c>
      <c r="E60" s="8">
        <v>1</v>
      </c>
      <c r="F60" s="8">
        <v>10</v>
      </c>
      <c r="G60" s="8">
        <v>14</v>
      </c>
      <c r="H60" s="8">
        <v>5978</v>
      </c>
      <c r="I60" s="8">
        <v>140909</v>
      </c>
      <c r="J60" s="16"/>
    </row>
    <row r="61" spans="1:10" s="4" customFormat="1" ht="11.25" x14ac:dyDescent="0.2">
      <c r="A61" s="8" t="s">
        <v>204</v>
      </c>
      <c r="B61" s="8">
        <v>1977</v>
      </c>
      <c r="C61" s="8" t="s">
        <v>105</v>
      </c>
      <c r="D61" s="8" t="s">
        <v>81</v>
      </c>
      <c r="E61" s="8">
        <v>1</v>
      </c>
      <c r="F61" s="8">
        <v>36</v>
      </c>
      <c r="G61" s="8">
        <v>14</v>
      </c>
      <c r="H61" s="8">
        <v>6188</v>
      </c>
      <c r="I61" s="8">
        <v>140917</v>
      </c>
      <c r="J61" s="16"/>
    </row>
    <row r="62" spans="1:10" s="4" customFormat="1" ht="11.25" x14ac:dyDescent="0.2">
      <c r="A62" s="8" t="s">
        <v>204</v>
      </c>
      <c r="B62" s="8">
        <v>3100</v>
      </c>
      <c r="C62" s="8" t="s">
        <v>419</v>
      </c>
      <c r="D62" s="8" t="s">
        <v>420</v>
      </c>
      <c r="E62" s="8"/>
      <c r="F62" s="8">
        <v>133</v>
      </c>
      <c r="G62" s="8">
        <v>14</v>
      </c>
      <c r="H62" s="8">
        <v>6394</v>
      </c>
      <c r="I62" s="8">
        <v>140924</v>
      </c>
      <c r="J62" s="16"/>
    </row>
    <row r="63" spans="1:10" s="4" customFormat="1" ht="11.25" x14ac:dyDescent="0.2">
      <c r="A63" s="8" t="s">
        <v>204</v>
      </c>
      <c r="B63" s="8">
        <v>905</v>
      </c>
      <c r="C63" s="8" t="s">
        <v>211</v>
      </c>
      <c r="D63" s="8" t="s">
        <v>212</v>
      </c>
      <c r="E63" s="8" t="s">
        <v>191</v>
      </c>
      <c r="F63" s="8">
        <v>7</v>
      </c>
      <c r="G63" s="8">
        <v>14</v>
      </c>
      <c r="H63" s="8">
        <v>5819</v>
      </c>
      <c r="I63" s="8">
        <v>140902</v>
      </c>
      <c r="J63" s="16"/>
    </row>
    <row r="64" spans="1:10" s="4" customFormat="1" ht="11.25" x14ac:dyDescent="0.2">
      <c r="A64" s="8" t="s">
        <v>204</v>
      </c>
      <c r="B64" s="8">
        <v>905</v>
      </c>
      <c r="C64" s="8" t="s">
        <v>211</v>
      </c>
      <c r="D64" s="8" t="s">
        <v>212</v>
      </c>
      <c r="E64" s="8" t="s">
        <v>191</v>
      </c>
      <c r="F64" s="8">
        <v>7</v>
      </c>
      <c r="G64" s="8">
        <v>14</v>
      </c>
      <c r="H64" s="8">
        <v>5950</v>
      </c>
      <c r="I64" s="8">
        <v>140908</v>
      </c>
      <c r="J64" s="16"/>
    </row>
    <row r="65" spans="1:10" s="4" customFormat="1" ht="11.25" x14ac:dyDescent="0.2">
      <c r="A65" s="8" t="s">
        <v>204</v>
      </c>
      <c r="B65" s="8">
        <v>91</v>
      </c>
      <c r="C65" s="8" t="s">
        <v>421</v>
      </c>
      <c r="D65" s="8" t="s">
        <v>217</v>
      </c>
      <c r="E65" s="8">
        <v>8</v>
      </c>
      <c r="F65" s="8">
        <v>27</v>
      </c>
      <c r="G65" s="8">
        <v>14</v>
      </c>
      <c r="H65" s="8">
        <v>6061</v>
      </c>
      <c r="I65" s="8">
        <v>140911</v>
      </c>
      <c r="J65" s="16"/>
    </row>
    <row r="66" spans="1:10" s="4" customFormat="1" ht="11.25" x14ac:dyDescent="0.2">
      <c r="A66" s="8" t="s">
        <v>204</v>
      </c>
      <c r="B66" s="8">
        <v>107</v>
      </c>
      <c r="C66" s="8" t="s">
        <v>421</v>
      </c>
      <c r="D66" s="8" t="s">
        <v>217</v>
      </c>
      <c r="E66" s="8">
        <v>8</v>
      </c>
      <c r="F66" s="8">
        <v>21</v>
      </c>
      <c r="G66" s="8">
        <v>14</v>
      </c>
      <c r="H66" s="8">
        <v>6072</v>
      </c>
      <c r="I66" s="8">
        <v>140911</v>
      </c>
      <c r="J66" s="16"/>
    </row>
    <row r="67" spans="1:10" s="4" customFormat="1" ht="11.25" x14ac:dyDescent="0.2">
      <c r="A67" s="8" t="s">
        <v>204</v>
      </c>
      <c r="B67" s="8">
        <v>4812</v>
      </c>
      <c r="C67" s="8" t="s">
        <v>422</v>
      </c>
      <c r="D67" s="8" t="s">
        <v>76</v>
      </c>
      <c r="E67" s="8">
        <v>52</v>
      </c>
      <c r="F67" s="8">
        <v>13</v>
      </c>
      <c r="G67" s="8">
        <v>14</v>
      </c>
      <c r="H67" s="8">
        <v>6260</v>
      </c>
      <c r="I67" s="8">
        <v>140918</v>
      </c>
      <c r="J67" s="16"/>
    </row>
    <row r="68" spans="1:10" s="4" customFormat="1" ht="11.25" x14ac:dyDescent="0.2">
      <c r="A68" s="8" t="s">
        <v>204</v>
      </c>
      <c r="B68" s="8">
        <v>2147</v>
      </c>
      <c r="C68" s="8" t="s">
        <v>171</v>
      </c>
      <c r="D68" s="8" t="s">
        <v>152</v>
      </c>
      <c r="E68" s="8">
        <v>12</v>
      </c>
      <c r="F68" s="8">
        <v>9</v>
      </c>
      <c r="G68" s="8">
        <v>14</v>
      </c>
      <c r="H68" s="8">
        <v>6121</v>
      </c>
      <c r="I68" s="8">
        <v>140915</v>
      </c>
      <c r="J68" s="16"/>
    </row>
    <row r="69" spans="1:10" s="4" customFormat="1" ht="11.25" x14ac:dyDescent="0.2">
      <c r="A69" s="8" t="s">
        <v>204</v>
      </c>
      <c r="B69" s="8">
        <v>3737</v>
      </c>
      <c r="C69" s="8" t="s">
        <v>423</v>
      </c>
      <c r="D69" s="8" t="s">
        <v>424</v>
      </c>
      <c r="E69" s="8">
        <v>7</v>
      </c>
      <c r="F69" s="8">
        <v>10</v>
      </c>
      <c r="G69" s="8">
        <v>14</v>
      </c>
      <c r="H69" s="8">
        <v>6048</v>
      </c>
      <c r="I69" s="8">
        <v>140910</v>
      </c>
      <c r="J69" s="16"/>
    </row>
    <row r="70" spans="1:10" s="4" customFormat="1" ht="11.25" x14ac:dyDescent="0.2">
      <c r="A70" s="8" t="s">
        <v>204</v>
      </c>
      <c r="B70" s="8">
        <v>3867</v>
      </c>
      <c r="C70" s="8" t="s">
        <v>423</v>
      </c>
      <c r="D70" s="8" t="s">
        <v>424</v>
      </c>
      <c r="E70" s="8">
        <v>3</v>
      </c>
      <c r="F70" s="8">
        <v>1</v>
      </c>
      <c r="G70" s="8">
        <v>14</v>
      </c>
      <c r="H70" s="8">
        <v>6419</v>
      </c>
      <c r="I70" s="8">
        <v>140924</v>
      </c>
      <c r="J70" s="16"/>
    </row>
    <row r="71" spans="1:10" s="4" customFormat="1" ht="11.25" x14ac:dyDescent="0.2">
      <c r="A71" s="8" t="s">
        <v>204</v>
      </c>
      <c r="B71" s="8">
        <v>1638</v>
      </c>
      <c r="C71" s="8" t="s">
        <v>425</v>
      </c>
      <c r="D71" s="8" t="s">
        <v>144</v>
      </c>
      <c r="E71" s="8">
        <v>1</v>
      </c>
      <c r="F71" s="8">
        <v>106</v>
      </c>
      <c r="G71" s="8">
        <v>14</v>
      </c>
      <c r="H71" s="8">
        <v>6459</v>
      </c>
      <c r="I71" s="8">
        <v>140926</v>
      </c>
      <c r="J71" s="16"/>
    </row>
    <row r="72" spans="1:10" s="4" customFormat="1" ht="11.25" x14ac:dyDescent="0.2">
      <c r="A72" s="8" t="s">
        <v>204</v>
      </c>
      <c r="B72" s="8">
        <v>608</v>
      </c>
      <c r="C72" s="8" t="s">
        <v>426</v>
      </c>
      <c r="D72" s="8" t="s">
        <v>427</v>
      </c>
      <c r="E72" s="8"/>
      <c r="F72" s="8">
        <v>8</v>
      </c>
      <c r="G72" s="8">
        <v>14</v>
      </c>
      <c r="H72" s="8">
        <v>6069</v>
      </c>
      <c r="I72" s="8">
        <v>140911</v>
      </c>
      <c r="J72" s="16"/>
    </row>
    <row r="73" spans="1:10" s="4" customFormat="1" ht="11.25" x14ac:dyDescent="0.2">
      <c r="A73" s="8" t="s">
        <v>204</v>
      </c>
      <c r="B73" s="8">
        <v>4710</v>
      </c>
      <c r="C73" s="8" t="s">
        <v>428</v>
      </c>
      <c r="D73" s="8" t="s">
        <v>98</v>
      </c>
      <c r="E73" s="8">
        <v>10</v>
      </c>
      <c r="F73" s="8">
        <v>44</v>
      </c>
      <c r="G73" s="8">
        <v>14</v>
      </c>
      <c r="H73" s="8">
        <v>5974</v>
      </c>
      <c r="I73" s="8">
        <v>140909</v>
      </c>
      <c r="J73" s="16"/>
    </row>
    <row r="74" spans="1:10" s="4" customFormat="1" ht="11.25" x14ac:dyDescent="0.2">
      <c r="A74" s="8" t="s">
        <v>204</v>
      </c>
      <c r="B74" s="8">
        <v>133</v>
      </c>
      <c r="C74" s="8" t="s">
        <v>213</v>
      </c>
      <c r="D74" s="8" t="s">
        <v>214</v>
      </c>
      <c r="E74" s="8">
        <v>2</v>
      </c>
      <c r="F74" s="8">
        <v>33</v>
      </c>
      <c r="G74" s="8">
        <v>14</v>
      </c>
      <c r="H74" s="8">
        <v>5883</v>
      </c>
      <c r="I74" s="8">
        <v>140904</v>
      </c>
      <c r="J74" s="16"/>
    </row>
    <row r="75" spans="1:10" s="4" customFormat="1" ht="11.25" x14ac:dyDescent="0.2">
      <c r="A75" s="8" t="s">
        <v>204</v>
      </c>
      <c r="B75" s="8">
        <v>1017</v>
      </c>
      <c r="C75" s="8" t="s">
        <v>429</v>
      </c>
      <c r="D75" s="8" t="s">
        <v>214</v>
      </c>
      <c r="E75" s="8">
        <v>6</v>
      </c>
      <c r="F75" s="8">
        <v>125</v>
      </c>
      <c r="G75" s="8">
        <v>14</v>
      </c>
      <c r="H75" s="8">
        <v>6135</v>
      </c>
      <c r="I75" s="8">
        <v>140916</v>
      </c>
      <c r="J75" s="16"/>
    </row>
    <row r="76" spans="1:10" s="4" customFormat="1" ht="11.25" x14ac:dyDescent="0.2">
      <c r="A76" s="8" t="s">
        <v>204</v>
      </c>
      <c r="B76" s="8">
        <v>4902</v>
      </c>
      <c r="C76" s="8" t="s">
        <v>430</v>
      </c>
      <c r="D76" s="8" t="s">
        <v>98</v>
      </c>
      <c r="E76" s="8">
        <v>13</v>
      </c>
      <c r="F76" s="8">
        <v>23</v>
      </c>
      <c r="G76" s="8">
        <v>14</v>
      </c>
      <c r="H76" s="8">
        <v>5976</v>
      </c>
      <c r="I76" s="8">
        <v>140909</v>
      </c>
      <c r="J76" s="16"/>
    </row>
    <row r="77" spans="1:10" s="4" customFormat="1" ht="11.25" x14ac:dyDescent="0.2">
      <c r="A77" s="8" t="s">
        <v>204</v>
      </c>
      <c r="B77" s="8">
        <v>6304</v>
      </c>
      <c r="C77" s="8" t="s">
        <v>431</v>
      </c>
      <c r="D77" s="8" t="s">
        <v>432</v>
      </c>
      <c r="E77" s="8" t="s">
        <v>433</v>
      </c>
      <c r="F77" s="8">
        <v>2</v>
      </c>
      <c r="G77" s="8">
        <v>14</v>
      </c>
      <c r="H77" s="8">
        <v>5901</v>
      </c>
      <c r="I77" s="8">
        <v>140905</v>
      </c>
      <c r="J77" s="16"/>
    </row>
    <row r="78" spans="1:10" s="4" customFormat="1" ht="11.25" x14ac:dyDescent="0.2">
      <c r="A78" s="8" t="s">
        <v>204</v>
      </c>
      <c r="B78" s="8">
        <v>7077</v>
      </c>
      <c r="C78" s="8" t="s">
        <v>434</v>
      </c>
      <c r="D78" s="8" t="s">
        <v>229</v>
      </c>
      <c r="E78" s="8">
        <v>2</v>
      </c>
      <c r="F78" s="8">
        <v>29</v>
      </c>
      <c r="G78" s="8">
        <v>14</v>
      </c>
      <c r="H78" s="8">
        <v>6271</v>
      </c>
      <c r="I78" s="8">
        <v>140918</v>
      </c>
      <c r="J78" s="16"/>
    </row>
    <row r="79" spans="1:10" s="4" customFormat="1" ht="11.25" x14ac:dyDescent="0.2">
      <c r="A79" s="8" t="s">
        <v>204</v>
      </c>
      <c r="B79" s="8">
        <v>100</v>
      </c>
      <c r="C79" s="8" t="s">
        <v>435</v>
      </c>
      <c r="D79" s="8" t="s">
        <v>90</v>
      </c>
      <c r="E79" s="8">
        <v>29</v>
      </c>
      <c r="F79" s="8">
        <v>9</v>
      </c>
      <c r="G79" s="8">
        <v>14</v>
      </c>
      <c r="H79" s="8">
        <v>5894</v>
      </c>
      <c r="I79" s="8">
        <v>140904</v>
      </c>
      <c r="J79" s="16"/>
    </row>
    <row r="80" spans="1:10" s="4" customFormat="1" ht="11.25" x14ac:dyDescent="0.2">
      <c r="A80" s="8" t="s">
        <v>204</v>
      </c>
      <c r="B80" s="8">
        <v>1108</v>
      </c>
      <c r="C80" s="8" t="s">
        <v>219</v>
      </c>
      <c r="D80" s="8" t="s">
        <v>220</v>
      </c>
      <c r="E80" s="8">
        <v>2</v>
      </c>
      <c r="F80" s="8">
        <v>15</v>
      </c>
      <c r="G80" s="8">
        <v>14</v>
      </c>
      <c r="H80" s="8">
        <v>5869</v>
      </c>
      <c r="I80" s="8">
        <v>140904</v>
      </c>
      <c r="J80" s="16"/>
    </row>
    <row r="81" spans="1:10" s="4" customFormat="1" ht="11.25" x14ac:dyDescent="0.2">
      <c r="A81" s="8" t="s">
        <v>204</v>
      </c>
      <c r="B81" s="8">
        <v>59</v>
      </c>
      <c r="C81" s="8" t="s">
        <v>282</v>
      </c>
      <c r="D81" s="8" t="s">
        <v>214</v>
      </c>
      <c r="E81" s="8">
        <v>3</v>
      </c>
      <c r="F81" s="8">
        <v>91</v>
      </c>
      <c r="G81" s="8">
        <v>14</v>
      </c>
      <c r="H81" s="8">
        <v>6407</v>
      </c>
      <c r="I81" s="8">
        <v>140924</v>
      </c>
      <c r="J81" s="16"/>
    </row>
    <row r="82" spans="1:10" s="4" customFormat="1" ht="11.25" x14ac:dyDescent="0.2">
      <c r="A82" s="8" t="s">
        <v>204</v>
      </c>
      <c r="B82" s="8">
        <v>3113</v>
      </c>
      <c r="C82" s="8" t="s">
        <v>54</v>
      </c>
      <c r="D82" s="8" t="s">
        <v>56</v>
      </c>
      <c r="E82" s="8">
        <v>1</v>
      </c>
      <c r="F82" s="8">
        <v>34</v>
      </c>
      <c r="G82" s="8">
        <v>14</v>
      </c>
      <c r="H82" s="8">
        <v>5889</v>
      </c>
      <c r="I82" s="8">
        <v>140904</v>
      </c>
      <c r="J82" s="16"/>
    </row>
    <row r="83" spans="1:10" s="4" customFormat="1" ht="11.25" x14ac:dyDescent="0.2">
      <c r="A83" s="8" t="s">
        <v>204</v>
      </c>
      <c r="B83" s="8">
        <v>3132</v>
      </c>
      <c r="C83" s="8" t="s">
        <v>54</v>
      </c>
      <c r="D83" s="8" t="s">
        <v>56</v>
      </c>
      <c r="E83" s="8">
        <v>2</v>
      </c>
      <c r="F83" s="8">
        <v>2</v>
      </c>
      <c r="G83" s="8">
        <v>14</v>
      </c>
      <c r="H83" s="8">
        <v>6456</v>
      </c>
      <c r="I83" s="8">
        <v>140926</v>
      </c>
      <c r="J83" s="16"/>
    </row>
    <row r="84" spans="1:10" s="4" customFormat="1" ht="11.25" x14ac:dyDescent="0.2">
      <c r="A84" s="8" t="s">
        <v>204</v>
      </c>
      <c r="B84" s="8">
        <v>540</v>
      </c>
      <c r="C84" s="8" t="s">
        <v>436</v>
      </c>
      <c r="D84" s="8" t="s">
        <v>437</v>
      </c>
      <c r="E84" s="8">
        <v>4</v>
      </c>
      <c r="F84" s="8">
        <v>3</v>
      </c>
      <c r="G84" s="8">
        <v>14</v>
      </c>
      <c r="H84" s="8">
        <v>6052</v>
      </c>
      <c r="I84" s="8">
        <v>140910</v>
      </c>
      <c r="J84" s="16"/>
    </row>
    <row r="85" spans="1:10" s="4" customFormat="1" ht="11.25" x14ac:dyDescent="0.2">
      <c r="A85" s="8" t="s">
        <v>204</v>
      </c>
      <c r="B85" s="8">
        <v>3806</v>
      </c>
      <c r="C85" s="8" t="s">
        <v>58</v>
      </c>
      <c r="D85" s="8" t="s">
        <v>60</v>
      </c>
      <c r="E85" s="8">
        <v>3</v>
      </c>
      <c r="F85" s="8">
        <v>2</v>
      </c>
      <c r="G85" s="8">
        <v>14</v>
      </c>
      <c r="H85" s="8">
        <v>6437</v>
      </c>
      <c r="I85" s="8">
        <v>140924</v>
      </c>
      <c r="J85" s="16"/>
    </row>
    <row r="86" spans="1:10" s="4" customFormat="1" ht="11.25" x14ac:dyDescent="0.2">
      <c r="A86" s="8" t="s">
        <v>204</v>
      </c>
      <c r="B86" s="8">
        <v>3807</v>
      </c>
      <c r="C86" s="8" t="s">
        <v>58</v>
      </c>
      <c r="D86" s="8" t="s">
        <v>60</v>
      </c>
      <c r="E86" s="8">
        <v>2</v>
      </c>
      <c r="F86" s="8">
        <v>2</v>
      </c>
      <c r="G86" s="8">
        <v>14</v>
      </c>
      <c r="H86" s="8">
        <v>5967</v>
      </c>
      <c r="I86" s="8">
        <v>140908</v>
      </c>
      <c r="J86" s="16"/>
    </row>
    <row r="87" spans="1:10" s="4" customFormat="1" ht="11.25" x14ac:dyDescent="0.2">
      <c r="A87" s="8" t="s">
        <v>204</v>
      </c>
      <c r="B87" s="8">
        <v>3810</v>
      </c>
      <c r="C87" s="8" t="s">
        <v>58</v>
      </c>
      <c r="D87" s="8" t="s">
        <v>60</v>
      </c>
      <c r="E87" s="8">
        <v>3</v>
      </c>
      <c r="F87" s="8">
        <v>3</v>
      </c>
      <c r="G87" s="8">
        <v>14</v>
      </c>
      <c r="H87" s="8">
        <v>6333</v>
      </c>
      <c r="I87" s="8">
        <v>140922</v>
      </c>
      <c r="J87" s="16"/>
    </row>
    <row r="88" spans="1:10" s="4" customFormat="1" ht="11.25" x14ac:dyDescent="0.2">
      <c r="A88" s="8" t="s">
        <v>204</v>
      </c>
      <c r="B88" s="8">
        <v>1516</v>
      </c>
      <c r="C88" s="8" t="s">
        <v>373</v>
      </c>
      <c r="D88" s="8" t="s">
        <v>374</v>
      </c>
      <c r="E88" s="8">
        <v>4</v>
      </c>
      <c r="F88" s="8">
        <v>1</v>
      </c>
      <c r="G88" s="8">
        <v>14</v>
      </c>
      <c r="H88" s="8">
        <v>5954</v>
      </c>
      <c r="I88" s="8">
        <v>140908</v>
      </c>
      <c r="J88" s="16"/>
    </row>
    <row r="89" spans="1:10" s="4" customFormat="1" ht="11.25" x14ac:dyDescent="0.2">
      <c r="A89" s="8" t="s">
        <v>204</v>
      </c>
      <c r="B89" s="8">
        <v>1061</v>
      </c>
      <c r="C89" s="8" t="s">
        <v>193</v>
      </c>
      <c r="D89" s="8"/>
      <c r="E89" s="8"/>
      <c r="F89" s="8"/>
      <c r="G89" s="8">
        <v>14</v>
      </c>
      <c r="H89" s="8">
        <v>6396</v>
      </c>
      <c r="I89" s="8">
        <v>140924</v>
      </c>
      <c r="J89" s="16"/>
    </row>
    <row r="90" spans="1:10" s="4" customFormat="1" ht="11.25" x14ac:dyDescent="0.2">
      <c r="A90" s="8" t="s">
        <v>204</v>
      </c>
      <c r="B90" s="8">
        <v>1061</v>
      </c>
      <c r="C90" s="8" t="s">
        <v>193</v>
      </c>
      <c r="D90" s="8"/>
      <c r="E90" s="8"/>
      <c r="F90" s="8"/>
      <c r="G90" s="8">
        <v>14</v>
      </c>
      <c r="H90" s="8">
        <v>6397</v>
      </c>
      <c r="I90" s="8">
        <v>140924</v>
      </c>
      <c r="J90" s="16"/>
    </row>
    <row r="91" spans="1:10" s="4" customFormat="1" ht="11.25" x14ac:dyDescent="0.2">
      <c r="A91" s="8" t="s">
        <v>204</v>
      </c>
      <c r="B91" s="8">
        <v>1061</v>
      </c>
      <c r="C91" s="8" t="s">
        <v>193</v>
      </c>
      <c r="D91" s="8"/>
      <c r="E91" s="8"/>
      <c r="F91" s="8"/>
      <c r="G91" s="8">
        <v>14</v>
      </c>
      <c r="H91" s="8">
        <v>6398</v>
      </c>
      <c r="I91" s="8">
        <v>140924</v>
      </c>
      <c r="J91" s="16"/>
    </row>
    <row r="92" spans="1:10" s="4" customFormat="1" ht="11.25" x14ac:dyDescent="0.2">
      <c r="A92" s="8" t="s">
        <v>204</v>
      </c>
      <c r="B92" s="8">
        <v>1061</v>
      </c>
      <c r="C92" s="8" t="s">
        <v>193</v>
      </c>
      <c r="D92" s="8"/>
      <c r="E92" s="8"/>
      <c r="F92" s="8"/>
      <c r="G92" s="8">
        <v>14</v>
      </c>
      <c r="H92" s="8">
        <v>6399</v>
      </c>
      <c r="I92" s="8">
        <v>140924</v>
      </c>
      <c r="J92" s="16"/>
    </row>
    <row r="93" spans="1:10" s="4" customFormat="1" ht="11.25" x14ac:dyDescent="0.2">
      <c r="A93" s="8" t="s">
        <v>204</v>
      </c>
      <c r="B93" s="8">
        <v>5721</v>
      </c>
      <c r="C93" s="8" t="s">
        <v>438</v>
      </c>
      <c r="D93" s="8" t="s">
        <v>76</v>
      </c>
      <c r="E93" s="8">
        <v>78</v>
      </c>
      <c r="F93" s="8">
        <v>26</v>
      </c>
      <c r="G93" s="8">
        <v>14</v>
      </c>
      <c r="H93" s="8">
        <v>6315</v>
      </c>
      <c r="I93" s="8">
        <v>140922</v>
      </c>
      <c r="J93" s="16"/>
    </row>
    <row r="94" spans="1:10" s="4" customFormat="1" ht="11.25" x14ac:dyDescent="0.2">
      <c r="A94" s="8" t="s">
        <v>204</v>
      </c>
      <c r="B94" s="8">
        <v>1275</v>
      </c>
      <c r="C94" s="8" t="s">
        <v>224</v>
      </c>
      <c r="D94" s="8" t="s">
        <v>225</v>
      </c>
      <c r="E94" s="8">
        <v>1</v>
      </c>
      <c r="F94" s="8">
        <v>10</v>
      </c>
      <c r="G94" s="8">
        <v>14</v>
      </c>
      <c r="H94" s="8">
        <v>6408</v>
      </c>
      <c r="I94" s="8">
        <v>140924</v>
      </c>
      <c r="J94" s="16"/>
    </row>
    <row r="95" spans="1:10" s="4" customFormat="1" ht="11.25" x14ac:dyDescent="0.2">
      <c r="A95" s="8" t="s">
        <v>204</v>
      </c>
      <c r="B95" s="8">
        <v>1323</v>
      </c>
      <c r="C95" s="8" t="s">
        <v>224</v>
      </c>
      <c r="D95" s="8" t="s">
        <v>225</v>
      </c>
      <c r="E95" s="8">
        <v>1</v>
      </c>
      <c r="F95" s="8">
        <v>22</v>
      </c>
      <c r="G95" s="8">
        <v>14</v>
      </c>
      <c r="H95" s="8">
        <v>6516</v>
      </c>
      <c r="I95" s="8">
        <v>140930</v>
      </c>
      <c r="J95" s="16"/>
    </row>
    <row r="96" spans="1:10" s="4" customFormat="1" ht="11.25" x14ac:dyDescent="0.2">
      <c r="A96" s="8" t="s">
        <v>204</v>
      </c>
      <c r="B96" s="8">
        <v>1913</v>
      </c>
      <c r="C96" s="8" t="s">
        <v>140</v>
      </c>
      <c r="D96" s="8" t="s">
        <v>76</v>
      </c>
      <c r="E96" s="8">
        <v>123</v>
      </c>
      <c r="F96" s="8">
        <v>5</v>
      </c>
      <c r="G96" s="8">
        <v>14</v>
      </c>
      <c r="H96" s="8">
        <v>6288</v>
      </c>
      <c r="I96" s="8">
        <v>140919</v>
      </c>
      <c r="J96" s="16"/>
    </row>
    <row r="97" spans="1:10" s="4" customFormat="1" ht="11.25" x14ac:dyDescent="0.2">
      <c r="A97" s="8" t="s">
        <v>204</v>
      </c>
      <c r="B97" s="8">
        <v>4113</v>
      </c>
      <c r="C97" s="8" t="s">
        <v>177</v>
      </c>
      <c r="D97" s="8" t="s">
        <v>291</v>
      </c>
      <c r="E97" s="8">
        <v>6</v>
      </c>
      <c r="F97" s="8">
        <v>29</v>
      </c>
      <c r="G97" s="8">
        <v>14</v>
      </c>
      <c r="H97" s="8">
        <v>6104</v>
      </c>
      <c r="I97" s="8">
        <v>140912</v>
      </c>
      <c r="J97" s="16"/>
    </row>
    <row r="98" spans="1:10" s="4" customFormat="1" ht="11.25" x14ac:dyDescent="0.2">
      <c r="A98" s="8" t="s">
        <v>204</v>
      </c>
      <c r="B98" s="8">
        <v>6561</v>
      </c>
      <c r="C98" s="8" t="s">
        <v>287</v>
      </c>
      <c r="D98" s="8" t="s">
        <v>51</v>
      </c>
      <c r="E98" s="8">
        <v>1</v>
      </c>
      <c r="F98" s="8">
        <v>28</v>
      </c>
      <c r="G98" s="8">
        <v>14</v>
      </c>
      <c r="H98" s="8">
        <v>6076</v>
      </c>
      <c r="I98" s="8">
        <v>140911</v>
      </c>
      <c r="J98" s="16"/>
    </row>
    <row r="99" spans="1:10" s="4" customFormat="1" ht="11.25" x14ac:dyDescent="0.2">
      <c r="A99" s="8" t="s">
        <v>204</v>
      </c>
      <c r="B99" s="8">
        <v>6561</v>
      </c>
      <c r="C99" s="8" t="s">
        <v>287</v>
      </c>
      <c r="D99" s="8" t="s">
        <v>51</v>
      </c>
      <c r="E99" s="8">
        <v>1</v>
      </c>
      <c r="F99" s="8">
        <v>28</v>
      </c>
      <c r="G99" s="8">
        <v>14</v>
      </c>
      <c r="H99" s="8">
        <v>6320</v>
      </c>
      <c r="I99" s="8">
        <v>140922</v>
      </c>
      <c r="J99" s="16"/>
    </row>
    <row r="100" spans="1:10" s="4" customFormat="1" ht="11.25" x14ac:dyDescent="0.2">
      <c r="A100" s="8" t="s">
        <v>204</v>
      </c>
      <c r="B100" s="8">
        <v>5006</v>
      </c>
      <c r="C100" s="8" t="s">
        <v>439</v>
      </c>
      <c r="D100" s="8" t="s">
        <v>344</v>
      </c>
      <c r="E100" s="8">
        <v>4</v>
      </c>
      <c r="F100" s="8">
        <v>26</v>
      </c>
      <c r="G100" s="8">
        <v>14</v>
      </c>
      <c r="H100" s="8">
        <v>5918</v>
      </c>
      <c r="I100" s="8">
        <v>140905</v>
      </c>
      <c r="J100" s="16"/>
    </row>
    <row r="101" spans="1:10" s="4" customFormat="1" ht="11.25" x14ac:dyDescent="0.2">
      <c r="A101" s="8" t="s">
        <v>204</v>
      </c>
      <c r="B101" s="8">
        <v>7309</v>
      </c>
      <c r="C101" s="8" t="s">
        <v>245</v>
      </c>
      <c r="D101" s="8" t="s">
        <v>246</v>
      </c>
      <c r="E101" s="8">
        <v>2</v>
      </c>
      <c r="F101" s="8">
        <v>2</v>
      </c>
      <c r="G101" s="8">
        <v>14</v>
      </c>
      <c r="H101" s="8">
        <v>6249</v>
      </c>
      <c r="I101" s="8">
        <v>140917</v>
      </c>
      <c r="J101" s="16"/>
    </row>
    <row r="102" spans="1:10" s="4" customFormat="1" ht="11.25" x14ac:dyDescent="0.2">
      <c r="A102" s="8" t="s">
        <v>204</v>
      </c>
      <c r="B102" s="8">
        <v>7341</v>
      </c>
      <c r="C102" s="8" t="s">
        <v>245</v>
      </c>
      <c r="D102" s="8" t="s">
        <v>246</v>
      </c>
      <c r="E102" s="8">
        <v>2</v>
      </c>
      <c r="F102" s="8">
        <v>7</v>
      </c>
      <c r="G102" s="8">
        <v>14</v>
      </c>
      <c r="H102" s="8">
        <v>6463</v>
      </c>
      <c r="I102" s="8">
        <v>140926</v>
      </c>
      <c r="J102" s="16"/>
    </row>
    <row r="103" spans="1:10" s="4" customFormat="1" ht="11.25" x14ac:dyDescent="0.2">
      <c r="A103" s="8" t="s">
        <v>204</v>
      </c>
      <c r="B103" s="8">
        <v>1131</v>
      </c>
      <c r="C103" s="8" t="s">
        <v>440</v>
      </c>
      <c r="D103" s="8" t="s">
        <v>441</v>
      </c>
      <c r="E103" s="8">
        <v>2</v>
      </c>
      <c r="F103" s="8">
        <v>15</v>
      </c>
      <c r="G103" s="8">
        <v>14</v>
      </c>
      <c r="H103" s="8">
        <v>5852</v>
      </c>
      <c r="I103" s="8">
        <v>140904</v>
      </c>
      <c r="J103" s="16"/>
    </row>
    <row r="104" spans="1:10" s="4" customFormat="1" ht="11.25" x14ac:dyDescent="0.2">
      <c r="A104" s="8" t="s">
        <v>204</v>
      </c>
      <c r="B104" s="8">
        <v>3106</v>
      </c>
      <c r="C104" s="8" t="s">
        <v>176</v>
      </c>
      <c r="D104" s="8" t="s">
        <v>78</v>
      </c>
      <c r="E104" s="8">
        <v>107</v>
      </c>
      <c r="F104" s="8">
        <v>79</v>
      </c>
      <c r="G104" s="8">
        <v>14</v>
      </c>
      <c r="H104" s="8">
        <v>6430</v>
      </c>
      <c r="I104" s="8">
        <v>140924</v>
      </c>
      <c r="J104" s="16"/>
    </row>
    <row r="105" spans="1:10" s="4" customFormat="1" ht="11.25" x14ac:dyDescent="0.2">
      <c r="A105" s="8" t="s">
        <v>204</v>
      </c>
      <c r="B105" s="8">
        <v>506</v>
      </c>
      <c r="C105" s="8" t="s">
        <v>258</v>
      </c>
      <c r="D105" s="8" t="s">
        <v>62</v>
      </c>
      <c r="E105" s="8">
        <v>3</v>
      </c>
      <c r="F105" s="8">
        <v>25</v>
      </c>
      <c r="G105" s="8">
        <v>14</v>
      </c>
      <c r="H105" s="8">
        <v>6355</v>
      </c>
      <c r="I105" s="8">
        <v>140923</v>
      </c>
      <c r="J105" s="16"/>
    </row>
    <row r="106" spans="1:10" s="4" customFormat="1" ht="11.25" x14ac:dyDescent="0.2">
      <c r="A106" s="8" t="s">
        <v>204</v>
      </c>
      <c r="B106" s="8">
        <v>530</v>
      </c>
      <c r="C106" s="8" t="s">
        <v>258</v>
      </c>
      <c r="D106" s="8" t="s">
        <v>62</v>
      </c>
      <c r="E106" s="8">
        <v>3</v>
      </c>
      <c r="F106" s="8">
        <v>19</v>
      </c>
      <c r="G106" s="8">
        <v>14</v>
      </c>
      <c r="H106" s="8">
        <v>5888</v>
      </c>
      <c r="I106" s="8">
        <v>140904</v>
      </c>
      <c r="J106" s="16"/>
    </row>
    <row r="107" spans="1:10" s="4" customFormat="1" ht="11.25" x14ac:dyDescent="0.2">
      <c r="A107" s="8" t="s">
        <v>204</v>
      </c>
      <c r="B107" s="8">
        <v>745</v>
      </c>
      <c r="C107" s="8" t="s">
        <v>258</v>
      </c>
      <c r="D107" s="8" t="s">
        <v>60</v>
      </c>
      <c r="E107" s="8">
        <v>1</v>
      </c>
      <c r="F107" s="8">
        <v>16</v>
      </c>
      <c r="G107" s="8">
        <v>14</v>
      </c>
      <c r="H107" s="8">
        <v>5884</v>
      </c>
      <c r="I107" s="8">
        <v>140904</v>
      </c>
      <c r="J107" s="16"/>
    </row>
    <row r="108" spans="1:10" s="4" customFormat="1" ht="11.25" x14ac:dyDescent="0.2">
      <c r="A108" s="8" t="s">
        <v>204</v>
      </c>
      <c r="B108" s="8">
        <v>4555</v>
      </c>
      <c r="C108" s="8" t="s">
        <v>111</v>
      </c>
      <c r="D108" s="8" t="s">
        <v>323</v>
      </c>
      <c r="E108" s="8">
        <v>3</v>
      </c>
      <c r="F108" s="8">
        <v>14</v>
      </c>
      <c r="G108" s="8">
        <v>14</v>
      </c>
      <c r="H108" s="8">
        <v>6522</v>
      </c>
      <c r="I108" s="8">
        <v>140930</v>
      </c>
      <c r="J108" s="16"/>
    </row>
    <row r="109" spans="1:10" s="4" customFormat="1" ht="11.25" x14ac:dyDescent="0.2">
      <c r="A109" s="8" t="s">
        <v>204</v>
      </c>
      <c r="B109" s="8">
        <v>407</v>
      </c>
      <c r="C109" s="8" t="s">
        <v>442</v>
      </c>
      <c r="D109" s="8" t="s">
        <v>443</v>
      </c>
      <c r="E109" s="8">
        <v>2</v>
      </c>
      <c r="F109" s="8">
        <v>10</v>
      </c>
      <c r="G109" s="8">
        <v>14</v>
      </c>
      <c r="H109" s="8">
        <v>6346</v>
      </c>
      <c r="I109" s="8">
        <v>140923</v>
      </c>
      <c r="J109" s="16"/>
    </row>
    <row r="110" spans="1:10" s="4" customFormat="1" ht="11.25" x14ac:dyDescent="0.2">
      <c r="A110" s="8" t="s">
        <v>204</v>
      </c>
      <c r="B110" s="8">
        <v>3812</v>
      </c>
      <c r="C110" s="8" t="s">
        <v>159</v>
      </c>
      <c r="D110" s="8" t="s">
        <v>62</v>
      </c>
      <c r="E110" s="8">
        <v>3</v>
      </c>
      <c r="F110" s="8">
        <v>11</v>
      </c>
      <c r="G110" s="8">
        <v>14</v>
      </c>
      <c r="H110" s="8">
        <v>6019</v>
      </c>
      <c r="I110" s="8">
        <v>140909</v>
      </c>
      <c r="J110" s="16"/>
    </row>
    <row r="111" spans="1:10" s="4" customFormat="1" ht="11.25" x14ac:dyDescent="0.2">
      <c r="A111" s="8" t="s">
        <v>204</v>
      </c>
      <c r="B111" s="8">
        <v>3821</v>
      </c>
      <c r="C111" s="8" t="s">
        <v>159</v>
      </c>
      <c r="D111" s="8" t="s">
        <v>62</v>
      </c>
      <c r="E111" s="8">
        <v>4</v>
      </c>
      <c r="F111" s="8">
        <v>5</v>
      </c>
      <c r="G111" s="8">
        <v>14</v>
      </c>
      <c r="H111" s="8">
        <v>6436</v>
      </c>
      <c r="I111" s="8">
        <v>140924</v>
      </c>
      <c r="J111" s="16"/>
    </row>
    <row r="112" spans="1:10" s="4" customFormat="1" ht="11.25" x14ac:dyDescent="0.2">
      <c r="A112" s="8" t="s">
        <v>204</v>
      </c>
      <c r="B112" s="8">
        <v>3828</v>
      </c>
      <c r="C112" s="8" t="s">
        <v>159</v>
      </c>
      <c r="D112" s="8" t="s">
        <v>62</v>
      </c>
      <c r="E112" s="8">
        <v>3</v>
      </c>
      <c r="F112" s="8">
        <v>7</v>
      </c>
      <c r="G112" s="8">
        <v>14</v>
      </c>
      <c r="H112" s="8">
        <v>6484</v>
      </c>
      <c r="I112" s="8">
        <v>140929</v>
      </c>
      <c r="J112" s="16"/>
    </row>
    <row r="113" spans="1:10" s="4" customFormat="1" ht="11.25" x14ac:dyDescent="0.2">
      <c r="A113" s="8" t="s">
        <v>204</v>
      </c>
      <c r="B113" s="8">
        <v>98</v>
      </c>
      <c r="C113" s="8" t="s">
        <v>444</v>
      </c>
      <c r="D113" s="8" t="s">
        <v>94</v>
      </c>
      <c r="E113" s="8">
        <v>16</v>
      </c>
      <c r="F113" s="8">
        <v>6</v>
      </c>
      <c r="G113" s="8">
        <v>14</v>
      </c>
      <c r="H113" s="8">
        <v>6451</v>
      </c>
      <c r="I113" s="8">
        <v>140925</v>
      </c>
      <c r="J113" s="16"/>
    </row>
    <row r="114" spans="1:10" s="4" customFormat="1" ht="11.25" x14ac:dyDescent="0.2">
      <c r="A114" s="8" t="s">
        <v>204</v>
      </c>
      <c r="B114" s="8">
        <v>2208</v>
      </c>
      <c r="C114" s="8" t="s">
        <v>445</v>
      </c>
      <c r="D114" s="8" t="s">
        <v>374</v>
      </c>
      <c r="E114" s="8">
        <v>1</v>
      </c>
      <c r="F114" s="8">
        <v>38</v>
      </c>
      <c r="G114" s="8">
        <v>14</v>
      </c>
      <c r="H114" s="8">
        <v>6175</v>
      </c>
      <c r="I114" s="8">
        <v>140916</v>
      </c>
      <c r="J114" s="16"/>
    </row>
    <row r="115" spans="1:10" s="4" customFormat="1" ht="11.25" x14ac:dyDescent="0.2">
      <c r="A115" s="8" t="s">
        <v>204</v>
      </c>
      <c r="B115" s="8">
        <v>301</v>
      </c>
      <c r="C115" s="8" t="s">
        <v>446</v>
      </c>
      <c r="D115" s="8" t="s">
        <v>260</v>
      </c>
      <c r="E115" s="8">
        <v>21</v>
      </c>
      <c r="F115" s="8">
        <v>20</v>
      </c>
      <c r="G115" s="8">
        <v>14</v>
      </c>
      <c r="H115" s="8">
        <v>6231</v>
      </c>
      <c r="I115" s="8">
        <v>140917</v>
      </c>
      <c r="J115" s="16"/>
    </row>
    <row r="116" spans="1:10" s="4" customFormat="1" ht="11.25" x14ac:dyDescent="0.2">
      <c r="A116" s="8" t="s">
        <v>204</v>
      </c>
      <c r="B116" s="8">
        <v>6027</v>
      </c>
      <c r="C116" s="8" t="s">
        <v>247</v>
      </c>
      <c r="D116" s="8" t="s">
        <v>248</v>
      </c>
      <c r="E116" s="8">
        <v>2</v>
      </c>
      <c r="F116" s="8">
        <v>10</v>
      </c>
      <c r="G116" s="8">
        <v>14</v>
      </c>
      <c r="H116" s="8">
        <v>6473</v>
      </c>
      <c r="I116" s="8">
        <v>140929</v>
      </c>
      <c r="J116" s="16"/>
    </row>
    <row r="117" spans="1:10" s="4" customFormat="1" ht="11.25" x14ac:dyDescent="0.2">
      <c r="A117" s="8" t="s">
        <v>204</v>
      </c>
      <c r="B117" s="8">
        <v>6080</v>
      </c>
      <c r="C117" s="8" t="s">
        <v>247</v>
      </c>
      <c r="D117" s="8" t="s">
        <v>248</v>
      </c>
      <c r="E117" s="8">
        <v>1</v>
      </c>
      <c r="F117" s="8">
        <v>28</v>
      </c>
      <c r="G117" s="8">
        <v>14</v>
      </c>
      <c r="H117" s="8">
        <v>6150</v>
      </c>
      <c r="I117" s="8">
        <v>140916</v>
      </c>
      <c r="J117" s="16"/>
    </row>
    <row r="118" spans="1:10" s="4" customFormat="1" ht="11.25" x14ac:dyDescent="0.2">
      <c r="A118" s="8" t="s">
        <v>204</v>
      </c>
      <c r="B118" s="8">
        <v>614</v>
      </c>
      <c r="C118" s="8" t="s">
        <v>149</v>
      </c>
      <c r="D118" s="8" t="s">
        <v>150</v>
      </c>
      <c r="E118" s="8">
        <v>1</v>
      </c>
      <c r="F118" s="8">
        <v>4</v>
      </c>
      <c r="G118" s="8">
        <v>14</v>
      </c>
      <c r="H118" s="8">
        <v>6115</v>
      </c>
      <c r="I118" s="8">
        <v>140915</v>
      </c>
      <c r="J118" s="16"/>
    </row>
    <row r="119" spans="1:10" s="4" customFormat="1" ht="11.25" x14ac:dyDescent="0.2">
      <c r="A119" s="8" t="s">
        <v>204</v>
      </c>
      <c r="B119" s="8">
        <v>1960</v>
      </c>
      <c r="C119" s="8" t="s">
        <v>447</v>
      </c>
      <c r="D119" s="8" t="s">
        <v>275</v>
      </c>
      <c r="E119" s="8">
        <v>1</v>
      </c>
      <c r="F119" s="8">
        <v>4</v>
      </c>
      <c r="G119" s="8">
        <v>14</v>
      </c>
      <c r="H119" s="8">
        <v>6156</v>
      </c>
      <c r="I119" s="8">
        <v>140916</v>
      </c>
      <c r="J119" s="16"/>
    </row>
    <row r="120" spans="1:10" s="4" customFormat="1" ht="11.25" x14ac:dyDescent="0.2">
      <c r="A120" s="8" t="s">
        <v>204</v>
      </c>
      <c r="B120" s="8">
        <v>5908</v>
      </c>
      <c r="C120" s="8" t="s">
        <v>379</v>
      </c>
      <c r="D120" s="8" t="s">
        <v>76</v>
      </c>
      <c r="E120" s="8">
        <v>166</v>
      </c>
      <c r="F120" s="8">
        <v>13</v>
      </c>
      <c r="G120" s="8">
        <v>14</v>
      </c>
      <c r="H120" s="8">
        <v>6162</v>
      </c>
      <c r="I120" s="8">
        <v>140916</v>
      </c>
      <c r="J120" s="16"/>
    </row>
    <row r="121" spans="1:10" s="4" customFormat="1" ht="11.25" x14ac:dyDescent="0.2">
      <c r="A121" s="8" t="s">
        <v>204</v>
      </c>
      <c r="B121" s="8">
        <v>6335</v>
      </c>
      <c r="C121" s="8" t="s">
        <v>358</v>
      </c>
      <c r="D121" s="8" t="s">
        <v>104</v>
      </c>
      <c r="E121" s="8">
        <v>2</v>
      </c>
      <c r="F121" s="8">
        <v>6</v>
      </c>
      <c r="G121" s="8">
        <v>14</v>
      </c>
      <c r="H121" s="8">
        <v>6349</v>
      </c>
      <c r="I121" s="8">
        <v>140923</v>
      </c>
      <c r="J121" s="16"/>
    </row>
    <row r="122" spans="1:10" s="4" customFormat="1" ht="11.25" x14ac:dyDescent="0.2">
      <c r="A122" s="8" t="s">
        <v>204</v>
      </c>
      <c r="B122" s="8">
        <v>806</v>
      </c>
      <c r="C122" s="8" t="s">
        <v>173</v>
      </c>
      <c r="D122" s="8" t="s">
        <v>98</v>
      </c>
      <c r="E122" s="8">
        <v>7</v>
      </c>
      <c r="F122" s="8">
        <v>3</v>
      </c>
      <c r="G122" s="8">
        <v>14</v>
      </c>
      <c r="H122" s="8">
        <v>6059</v>
      </c>
      <c r="I122" s="8">
        <v>140911</v>
      </c>
      <c r="J122" s="16"/>
    </row>
    <row r="123" spans="1:10" s="4" customFormat="1" ht="11.25" x14ac:dyDescent="0.2">
      <c r="A123" s="8" t="s">
        <v>204</v>
      </c>
      <c r="B123" s="8">
        <v>305</v>
      </c>
      <c r="C123" s="8" t="s">
        <v>448</v>
      </c>
      <c r="D123" s="8" t="s">
        <v>98</v>
      </c>
      <c r="E123" s="8">
        <v>18</v>
      </c>
      <c r="F123" s="8">
        <v>22</v>
      </c>
      <c r="G123" s="8">
        <v>14</v>
      </c>
      <c r="H123" s="8">
        <v>6460</v>
      </c>
      <c r="I123" s="8">
        <v>140926</v>
      </c>
      <c r="J123" s="16"/>
    </row>
    <row r="124" spans="1:10" s="4" customFormat="1" ht="11.25" x14ac:dyDescent="0.2">
      <c r="A124" s="8" t="s">
        <v>204</v>
      </c>
      <c r="B124" s="8">
        <v>541</v>
      </c>
      <c r="C124" s="8" t="s">
        <v>449</v>
      </c>
      <c r="D124" s="8" t="s">
        <v>342</v>
      </c>
      <c r="E124" s="8">
        <v>2</v>
      </c>
      <c r="F124" s="8">
        <v>12</v>
      </c>
      <c r="G124" s="8">
        <v>14</v>
      </c>
      <c r="H124" s="8">
        <v>6117</v>
      </c>
      <c r="I124" s="8">
        <v>140915</v>
      </c>
      <c r="J124" s="16"/>
    </row>
    <row r="125" spans="1:10" s="4" customFormat="1" ht="11.25" x14ac:dyDescent="0.2">
      <c r="A125" s="8" t="s">
        <v>204</v>
      </c>
      <c r="B125" s="8">
        <v>633</v>
      </c>
      <c r="C125" s="8" t="s">
        <v>449</v>
      </c>
      <c r="D125" s="8" t="s">
        <v>179</v>
      </c>
      <c r="E125" s="8">
        <v>6</v>
      </c>
      <c r="F125" s="8">
        <v>7</v>
      </c>
      <c r="G125" s="8">
        <v>14</v>
      </c>
      <c r="H125" s="8">
        <v>6273</v>
      </c>
      <c r="I125" s="8">
        <v>140918</v>
      </c>
      <c r="J125" s="16"/>
    </row>
    <row r="126" spans="1:10" s="4" customFormat="1" ht="11.25" x14ac:dyDescent="0.2">
      <c r="A126" s="8" t="s">
        <v>204</v>
      </c>
      <c r="B126" s="8">
        <v>1301</v>
      </c>
      <c r="C126" s="8" t="s">
        <v>276</v>
      </c>
      <c r="D126" s="8" t="s">
        <v>262</v>
      </c>
      <c r="E126" s="8">
        <v>8</v>
      </c>
      <c r="F126" s="8">
        <v>1</v>
      </c>
      <c r="G126" s="8">
        <v>14</v>
      </c>
      <c r="H126" s="8">
        <v>5876</v>
      </c>
      <c r="I126" s="8">
        <v>140904</v>
      </c>
      <c r="J126" s="16"/>
    </row>
    <row r="127" spans="1:10" s="4" customFormat="1" ht="11.25" x14ac:dyDescent="0.2">
      <c r="A127" s="8" t="s">
        <v>204</v>
      </c>
      <c r="B127" s="8">
        <v>1312</v>
      </c>
      <c r="C127" s="8" t="s">
        <v>276</v>
      </c>
      <c r="D127" s="8" t="s">
        <v>262</v>
      </c>
      <c r="E127" s="8">
        <v>4</v>
      </c>
      <c r="F127" s="8">
        <v>30</v>
      </c>
      <c r="G127" s="8">
        <v>14</v>
      </c>
      <c r="H127" s="8">
        <v>6356</v>
      </c>
      <c r="I127" s="8">
        <v>140923</v>
      </c>
      <c r="J127" s="16"/>
    </row>
    <row r="128" spans="1:10" s="4" customFormat="1" ht="11.25" x14ac:dyDescent="0.2">
      <c r="A128" s="8" t="s">
        <v>204</v>
      </c>
      <c r="B128" s="8">
        <v>1340</v>
      </c>
      <c r="C128" s="8" t="s">
        <v>276</v>
      </c>
      <c r="D128" s="8" t="s">
        <v>262</v>
      </c>
      <c r="E128" s="8">
        <v>4</v>
      </c>
      <c r="F128" s="8">
        <v>36</v>
      </c>
      <c r="G128" s="8">
        <v>14</v>
      </c>
      <c r="H128" s="8">
        <v>5952</v>
      </c>
      <c r="I128" s="8">
        <v>140908</v>
      </c>
      <c r="J128" s="16"/>
    </row>
    <row r="129" spans="1:10" s="4" customFormat="1" ht="11.25" x14ac:dyDescent="0.2">
      <c r="A129" s="8" t="s">
        <v>204</v>
      </c>
      <c r="B129" s="8">
        <v>1381</v>
      </c>
      <c r="C129" s="8" t="s">
        <v>276</v>
      </c>
      <c r="D129" s="8" t="s">
        <v>262</v>
      </c>
      <c r="E129" s="8">
        <v>6</v>
      </c>
      <c r="F129" s="8">
        <v>4</v>
      </c>
      <c r="G129" s="8">
        <v>14</v>
      </c>
      <c r="H129" s="8">
        <v>5966</v>
      </c>
      <c r="I129" s="8">
        <v>140908</v>
      </c>
      <c r="J129" s="16"/>
    </row>
    <row r="130" spans="1:10" s="4" customFormat="1" ht="11.25" x14ac:dyDescent="0.2">
      <c r="A130" s="8" t="s">
        <v>204</v>
      </c>
      <c r="B130" s="8">
        <v>1685</v>
      </c>
      <c r="C130" s="8" t="s">
        <v>450</v>
      </c>
      <c r="D130" s="8" t="s">
        <v>451</v>
      </c>
      <c r="E130" s="8">
        <v>14</v>
      </c>
      <c r="F130" s="8">
        <v>38</v>
      </c>
      <c r="G130" s="8">
        <v>14</v>
      </c>
      <c r="H130" s="8">
        <v>6482</v>
      </c>
      <c r="I130" s="8">
        <v>140929</v>
      </c>
      <c r="J130" s="16"/>
    </row>
    <row r="131" spans="1:10" s="4" customFormat="1" ht="11.25" x14ac:dyDescent="0.2">
      <c r="A131" s="8" t="s">
        <v>204</v>
      </c>
      <c r="B131" s="8">
        <v>1728</v>
      </c>
      <c r="C131" s="8" t="s">
        <v>450</v>
      </c>
      <c r="D131" s="8" t="s">
        <v>81</v>
      </c>
      <c r="E131" s="8">
        <v>15</v>
      </c>
      <c r="F131" s="8">
        <v>8</v>
      </c>
      <c r="G131" s="8">
        <v>14</v>
      </c>
      <c r="H131" s="8">
        <v>5973</v>
      </c>
      <c r="I131" s="8">
        <v>140908</v>
      </c>
      <c r="J131" s="16"/>
    </row>
    <row r="132" spans="1:10" s="4" customFormat="1" ht="11.25" x14ac:dyDescent="0.2">
      <c r="A132" s="8" t="s">
        <v>204</v>
      </c>
      <c r="B132" s="8">
        <v>685</v>
      </c>
      <c r="C132" s="8" t="s">
        <v>452</v>
      </c>
      <c r="D132" s="8" t="s">
        <v>232</v>
      </c>
      <c r="E132" s="8">
        <v>3</v>
      </c>
      <c r="F132" s="8">
        <v>4</v>
      </c>
      <c r="G132" s="8">
        <v>14</v>
      </c>
      <c r="H132" s="8">
        <v>6257</v>
      </c>
      <c r="I132" s="8">
        <v>140918</v>
      </c>
      <c r="J132" s="16"/>
    </row>
    <row r="133" spans="1:10" s="4" customFormat="1" ht="11.25" x14ac:dyDescent="0.2">
      <c r="A133" s="8" t="s">
        <v>204</v>
      </c>
      <c r="B133" s="8">
        <v>7109</v>
      </c>
      <c r="C133" s="8" t="s">
        <v>133</v>
      </c>
      <c r="D133" s="8" t="s">
        <v>134</v>
      </c>
      <c r="E133" s="8">
        <v>5</v>
      </c>
      <c r="F133" s="8" t="s">
        <v>268</v>
      </c>
      <c r="G133" s="8">
        <v>14</v>
      </c>
      <c r="H133" s="8">
        <v>5821</v>
      </c>
      <c r="I133" s="8">
        <v>140902</v>
      </c>
      <c r="J133" s="16"/>
    </row>
    <row r="134" spans="1:10" s="4" customFormat="1" ht="11.25" x14ac:dyDescent="0.2">
      <c r="A134" s="8" t="s">
        <v>204</v>
      </c>
      <c r="B134" s="8">
        <v>7124</v>
      </c>
      <c r="C134" s="8" t="s">
        <v>133</v>
      </c>
      <c r="D134" s="8" t="s">
        <v>134</v>
      </c>
      <c r="E134" s="8">
        <v>4</v>
      </c>
      <c r="F134" s="8">
        <v>38</v>
      </c>
      <c r="G134" s="8">
        <v>14</v>
      </c>
      <c r="H134" s="8">
        <v>5822</v>
      </c>
      <c r="I134" s="8">
        <v>140902</v>
      </c>
      <c r="J134" s="16"/>
    </row>
    <row r="135" spans="1:10" s="4" customFormat="1" ht="11.25" x14ac:dyDescent="0.2">
      <c r="A135" s="8" t="s">
        <v>204</v>
      </c>
      <c r="B135" s="8">
        <v>763</v>
      </c>
      <c r="C135" s="8" t="s">
        <v>361</v>
      </c>
      <c r="D135" s="8" t="s">
        <v>257</v>
      </c>
      <c r="E135" s="8">
        <v>5</v>
      </c>
      <c r="F135" s="8">
        <v>14</v>
      </c>
      <c r="G135" s="8">
        <v>14</v>
      </c>
      <c r="H135" s="8">
        <v>6384</v>
      </c>
      <c r="I135" s="8">
        <v>140923</v>
      </c>
      <c r="J135" s="16"/>
    </row>
    <row r="136" spans="1:10" s="4" customFormat="1" ht="11.25" x14ac:dyDescent="0.2">
      <c r="A136" s="8" t="s">
        <v>204</v>
      </c>
      <c r="B136" s="8">
        <v>1304</v>
      </c>
      <c r="C136" s="8" t="s">
        <v>453</v>
      </c>
      <c r="D136" s="8" t="s">
        <v>454</v>
      </c>
      <c r="E136" s="8">
        <v>4</v>
      </c>
      <c r="F136" s="8">
        <v>10</v>
      </c>
      <c r="G136" s="8">
        <v>14</v>
      </c>
      <c r="H136" s="8">
        <v>6313</v>
      </c>
      <c r="I136" s="8">
        <v>140922</v>
      </c>
      <c r="J136" s="16"/>
    </row>
    <row r="137" spans="1:10" s="4" customFormat="1" ht="11.25" x14ac:dyDescent="0.2">
      <c r="A137" s="8" t="s">
        <v>204</v>
      </c>
      <c r="B137" s="8">
        <v>660</v>
      </c>
      <c r="C137" s="8" t="s">
        <v>364</v>
      </c>
      <c r="D137" s="8" t="s">
        <v>365</v>
      </c>
      <c r="E137" s="8">
        <v>3</v>
      </c>
      <c r="F137" s="8">
        <v>5</v>
      </c>
      <c r="G137" s="8">
        <v>14</v>
      </c>
      <c r="H137" s="8">
        <v>6025</v>
      </c>
      <c r="I137" s="8">
        <v>140910</v>
      </c>
      <c r="J137" s="16"/>
    </row>
    <row r="138" spans="1:10" s="4" customFormat="1" ht="11.25" x14ac:dyDescent="0.2">
      <c r="A138" s="8" t="s">
        <v>204</v>
      </c>
      <c r="B138" s="8">
        <v>532</v>
      </c>
      <c r="C138" s="8" t="s">
        <v>230</v>
      </c>
      <c r="D138" s="8" t="s">
        <v>260</v>
      </c>
      <c r="E138" s="8">
        <v>17</v>
      </c>
      <c r="F138" s="8">
        <v>13</v>
      </c>
      <c r="G138" s="8">
        <v>14</v>
      </c>
      <c r="H138" s="8">
        <v>6083</v>
      </c>
      <c r="I138" s="8">
        <v>140912</v>
      </c>
      <c r="J138" s="16"/>
    </row>
    <row r="139" spans="1:10" s="4" customFormat="1" ht="11.25" x14ac:dyDescent="0.2">
      <c r="A139" s="8" t="s">
        <v>204</v>
      </c>
      <c r="B139" s="8">
        <v>3213</v>
      </c>
      <c r="C139" s="8" t="s">
        <v>231</v>
      </c>
      <c r="D139" s="8" t="s">
        <v>232</v>
      </c>
      <c r="E139" s="8">
        <v>11</v>
      </c>
      <c r="F139" s="8">
        <v>13</v>
      </c>
      <c r="G139" s="8">
        <v>14</v>
      </c>
      <c r="H139" s="8">
        <v>6342</v>
      </c>
      <c r="I139" s="8">
        <v>140923</v>
      </c>
      <c r="J139" s="16"/>
    </row>
    <row r="140" spans="1:10" s="4" customFormat="1" ht="11.25" x14ac:dyDescent="0.2">
      <c r="A140" s="8" t="s">
        <v>204</v>
      </c>
      <c r="B140" s="8">
        <v>601</v>
      </c>
      <c r="C140" s="8" t="s">
        <v>455</v>
      </c>
      <c r="D140" s="8" t="s">
        <v>260</v>
      </c>
      <c r="E140" s="8">
        <v>11</v>
      </c>
      <c r="F140" s="8">
        <v>13</v>
      </c>
      <c r="G140" s="8">
        <v>14</v>
      </c>
      <c r="H140" s="8">
        <v>6352</v>
      </c>
      <c r="I140" s="8">
        <v>140923</v>
      </c>
      <c r="J140" s="16"/>
    </row>
    <row r="141" spans="1:10" s="4" customFormat="1" ht="11.25" x14ac:dyDescent="0.2">
      <c r="A141" s="8" t="s">
        <v>204</v>
      </c>
      <c r="B141" s="8">
        <v>3604</v>
      </c>
      <c r="C141" s="8" t="s">
        <v>325</v>
      </c>
      <c r="D141" s="8" t="s">
        <v>337</v>
      </c>
      <c r="E141" s="8">
        <v>2</v>
      </c>
      <c r="F141" s="8">
        <v>10</v>
      </c>
      <c r="G141" s="8">
        <v>14</v>
      </c>
      <c r="H141" s="8">
        <v>6350</v>
      </c>
      <c r="I141" s="8">
        <v>140923</v>
      </c>
      <c r="J141" s="16"/>
    </row>
    <row r="142" spans="1:10" s="4" customFormat="1" ht="11.25" x14ac:dyDescent="0.2">
      <c r="A142" s="8" t="s">
        <v>204</v>
      </c>
      <c r="B142" s="8">
        <v>1379</v>
      </c>
      <c r="C142" s="8" t="s">
        <v>298</v>
      </c>
      <c r="D142" s="8" t="s">
        <v>262</v>
      </c>
      <c r="E142" s="8">
        <v>5</v>
      </c>
      <c r="F142" s="8">
        <v>5</v>
      </c>
      <c r="G142" s="8">
        <v>14</v>
      </c>
      <c r="H142" s="8">
        <v>5939</v>
      </c>
      <c r="I142" s="8">
        <v>140908</v>
      </c>
      <c r="J142" s="16"/>
    </row>
    <row r="143" spans="1:10" s="4" customFormat="1" ht="11.25" x14ac:dyDescent="0.2">
      <c r="A143" s="8" t="s">
        <v>204</v>
      </c>
      <c r="B143" s="8">
        <v>1432</v>
      </c>
      <c r="C143" s="8" t="s">
        <v>298</v>
      </c>
      <c r="D143" s="8" t="s">
        <v>262</v>
      </c>
      <c r="E143" s="8">
        <v>3</v>
      </c>
      <c r="F143" s="8">
        <v>9</v>
      </c>
      <c r="G143" s="8">
        <v>14</v>
      </c>
      <c r="H143" s="8">
        <v>5940</v>
      </c>
      <c r="I143" s="8">
        <v>140908</v>
      </c>
      <c r="J143" s="16"/>
    </row>
    <row r="144" spans="1:10" s="4" customFormat="1" ht="11.25" x14ac:dyDescent="0.2">
      <c r="A144" s="8" t="s">
        <v>204</v>
      </c>
      <c r="B144" s="8">
        <v>901</v>
      </c>
      <c r="C144" s="8" t="s">
        <v>299</v>
      </c>
      <c r="D144" s="8" t="s">
        <v>300</v>
      </c>
      <c r="E144" s="8">
        <v>3</v>
      </c>
      <c r="F144" s="8">
        <v>20</v>
      </c>
      <c r="G144" s="8">
        <v>14</v>
      </c>
      <c r="H144" s="8">
        <v>6306</v>
      </c>
      <c r="I144" s="8">
        <v>140922</v>
      </c>
      <c r="J144" s="16"/>
    </row>
    <row r="145" spans="1:10" s="4" customFormat="1" ht="11.25" x14ac:dyDescent="0.2">
      <c r="A145" s="8" t="s">
        <v>204</v>
      </c>
      <c r="B145" s="8">
        <v>600</v>
      </c>
      <c r="C145" s="8" t="s">
        <v>71</v>
      </c>
      <c r="D145" s="8" t="s">
        <v>72</v>
      </c>
      <c r="E145" s="8">
        <v>3</v>
      </c>
      <c r="F145" s="8">
        <v>16</v>
      </c>
      <c r="G145" s="8">
        <v>14</v>
      </c>
      <c r="H145" s="8">
        <v>6134</v>
      </c>
      <c r="I145" s="8">
        <v>140916</v>
      </c>
      <c r="J145" s="16"/>
    </row>
    <row r="146" spans="1:10" s="4" customFormat="1" ht="11.25" x14ac:dyDescent="0.2">
      <c r="A146" s="8" t="s">
        <v>204</v>
      </c>
      <c r="B146" s="8">
        <v>600</v>
      </c>
      <c r="C146" s="8" t="s">
        <v>71</v>
      </c>
      <c r="D146" s="8" t="s">
        <v>72</v>
      </c>
      <c r="E146" s="8">
        <v>3</v>
      </c>
      <c r="F146" s="8">
        <v>16</v>
      </c>
      <c r="G146" s="8">
        <v>14</v>
      </c>
      <c r="H146" s="8">
        <v>6321</v>
      </c>
      <c r="I146" s="8">
        <v>140922</v>
      </c>
      <c r="J146" s="16"/>
    </row>
    <row r="147" spans="1:10" s="4" customFormat="1" ht="11.25" x14ac:dyDescent="0.2">
      <c r="A147" s="8" t="s">
        <v>204</v>
      </c>
      <c r="B147" s="8">
        <v>712</v>
      </c>
      <c r="C147" s="8" t="s">
        <v>71</v>
      </c>
      <c r="D147" s="8" t="s">
        <v>72</v>
      </c>
      <c r="E147" s="8">
        <v>2</v>
      </c>
      <c r="F147" s="8">
        <v>1</v>
      </c>
      <c r="G147" s="8">
        <v>14</v>
      </c>
      <c r="H147" s="8">
        <v>5870</v>
      </c>
      <c r="I147" s="8">
        <v>140904</v>
      </c>
      <c r="J147" s="16"/>
    </row>
    <row r="148" spans="1:10" s="4" customFormat="1" ht="11.25" x14ac:dyDescent="0.2">
      <c r="A148" s="8" t="s">
        <v>204</v>
      </c>
      <c r="B148" s="8">
        <v>2861</v>
      </c>
      <c r="C148" s="8" t="s">
        <v>456</v>
      </c>
      <c r="D148" s="8" t="s">
        <v>257</v>
      </c>
      <c r="E148" s="8">
        <v>1</v>
      </c>
      <c r="F148" s="8">
        <v>9</v>
      </c>
      <c r="G148" s="8">
        <v>14</v>
      </c>
      <c r="H148" s="8">
        <v>6060</v>
      </c>
      <c r="I148" s="8">
        <v>140911</v>
      </c>
      <c r="J148" s="16"/>
    </row>
    <row r="149" spans="1:10" s="4" customFormat="1" ht="11.25" x14ac:dyDescent="0.2">
      <c r="A149" s="8" t="s">
        <v>204</v>
      </c>
      <c r="B149" s="8">
        <v>1613</v>
      </c>
      <c r="C149" s="8" t="s">
        <v>457</v>
      </c>
      <c r="D149" s="8" t="s">
        <v>131</v>
      </c>
      <c r="E149" s="8">
        <v>6</v>
      </c>
      <c r="F149" s="8">
        <v>7</v>
      </c>
      <c r="G149" s="8">
        <v>14</v>
      </c>
      <c r="H149" s="8">
        <v>6458</v>
      </c>
      <c r="I149" s="8">
        <v>140926</v>
      </c>
      <c r="J149" s="16"/>
    </row>
    <row r="150" spans="1:10" s="4" customFormat="1" ht="11.25" x14ac:dyDescent="0.2">
      <c r="A150" s="8" t="s">
        <v>204</v>
      </c>
      <c r="B150" s="8">
        <v>610</v>
      </c>
      <c r="C150" s="8" t="s">
        <v>458</v>
      </c>
      <c r="D150" s="8" t="s">
        <v>98</v>
      </c>
      <c r="E150" s="8">
        <v>11</v>
      </c>
      <c r="F150" s="8" t="s">
        <v>243</v>
      </c>
      <c r="G150" s="8">
        <v>14</v>
      </c>
      <c r="H150" s="8">
        <v>5936</v>
      </c>
      <c r="I150" s="8">
        <v>140908</v>
      </c>
      <c r="J150" s="16"/>
    </row>
    <row r="151" spans="1:10" s="4" customFormat="1" ht="11.25" x14ac:dyDescent="0.2">
      <c r="A151" s="8" t="s">
        <v>204</v>
      </c>
      <c r="B151" s="8">
        <v>1607</v>
      </c>
      <c r="C151" s="8" t="s">
        <v>141</v>
      </c>
      <c r="D151" s="8" t="s">
        <v>142</v>
      </c>
      <c r="E151" s="8">
        <v>1</v>
      </c>
      <c r="F151" s="8">
        <v>34</v>
      </c>
      <c r="G151" s="8">
        <v>14</v>
      </c>
      <c r="H151" s="8">
        <v>5861</v>
      </c>
      <c r="I151" s="8">
        <v>140904</v>
      </c>
      <c r="J151" s="16"/>
    </row>
    <row r="152" spans="1:10" s="4" customFormat="1" ht="11.25" x14ac:dyDescent="0.2">
      <c r="A152" s="8" t="s">
        <v>204</v>
      </c>
      <c r="B152" s="8">
        <v>1810</v>
      </c>
      <c r="C152" s="8" t="s">
        <v>141</v>
      </c>
      <c r="D152" s="8" t="s">
        <v>142</v>
      </c>
      <c r="E152" s="8">
        <v>4</v>
      </c>
      <c r="F152" s="8">
        <v>1</v>
      </c>
      <c r="G152" s="8">
        <v>14</v>
      </c>
      <c r="H152" s="8">
        <v>6487</v>
      </c>
      <c r="I152" s="8">
        <v>140929</v>
      </c>
      <c r="J152" s="16"/>
    </row>
    <row r="153" spans="1:10" s="4" customFormat="1" ht="11.25" x14ac:dyDescent="0.2">
      <c r="A153" s="8" t="s">
        <v>204</v>
      </c>
      <c r="B153" s="8">
        <v>1810</v>
      </c>
      <c r="C153" s="8" t="s">
        <v>141</v>
      </c>
      <c r="D153" s="8" t="s">
        <v>142</v>
      </c>
      <c r="E153" s="8">
        <v>4</v>
      </c>
      <c r="F153" s="8">
        <v>1</v>
      </c>
      <c r="G153" s="8">
        <v>14</v>
      </c>
      <c r="H153" s="8">
        <v>6519</v>
      </c>
      <c r="I153" s="8">
        <v>140930</v>
      </c>
      <c r="J153" s="16"/>
    </row>
    <row r="154" spans="1:10" s="4" customFormat="1" ht="11.25" x14ac:dyDescent="0.2">
      <c r="A154" s="8" t="s">
        <v>204</v>
      </c>
      <c r="B154" s="8">
        <v>2149</v>
      </c>
      <c r="C154" s="8" t="s">
        <v>141</v>
      </c>
      <c r="D154" s="8" t="s">
        <v>152</v>
      </c>
      <c r="E154" s="8">
        <v>11</v>
      </c>
      <c r="F154" s="8">
        <v>9</v>
      </c>
      <c r="G154" s="8">
        <v>14</v>
      </c>
      <c r="H154" s="8">
        <v>5938</v>
      </c>
      <c r="I154" s="8">
        <v>140908</v>
      </c>
      <c r="J154" s="16"/>
    </row>
    <row r="155" spans="1:10" s="4" customFormat="1" ht="11.25" x14ac:dyDescent="0.2">
      <c r="A155" s="8" t="s">
        <v>204</v>
      </c>
      <c r="B155" s="8">
        <v>2775</v>
      </c>
      <c r="C155" s="8" t="s">
        <v>459</v>
      </c>
      <c r="D155" s="8" t="s">
        <v>290</v>
      </c>
      <c r="E155" s="8" t="s">
        <v>460</v>
      </c>
      <c r="F155" s="8">
        <v>13</v>
      </c>
      <c r="G155" s="8">
        <v>14</v>
      </c>
      <c r="H155" s="8">
        <v>6434</v>
      </c>
      <c r="I155" s="8">
        <v>140924</v>
      </c>
      <c r="J155" s="16"/>
    </row>
    <row r="156" spans="1:10" s="4" customFormat="1" ht="11.25" x14ac:dyDescent="0.2">
      <c r="A156" s="8" t="s">
        <v>204</v>
      </c>
      <c r="B156" s="8">
        <v>2218</v>
      </c>
      <c r="C156" s="8" t="s">
        <v>259</v>
      </c>
      <c r="D156" s="8" t="s">
        <v>302</v>
      </c>
      <c r="E156" s="8">
        <v>16</v>
      </c>
      <c r="F156" s="8">
        <v>10</v>
      </c>
      <c r="G156" s="8">
        <v>14</v>
      </c>
      <c r="H156" s="8">
        <v>6042</v>
      </c>
      <c r="I156" s="8">
        <v>140910</v>
      </c>
      <c r="J156" s="16"/>
    </row>
    <row r="157" spans="1:10" s="4" customFormat="1" ht="11.25" x14ac:dyDescent="0.2">
      <c r="A157" s="8" t="s">
        <v>204</v>
      </c>
      <c r="B157" s="8">
        <v>5027</v>
      </c>
      <c r="C157" s="8" t="s">
        <v>380</v>
      </c>
      <c r="D157" s="8" t="s">
        <v>381</v>
      </c>
      <c r="E157" s="8">
        <v>6</v>
      </c>
      <c r="F157" s="8">
        <v>20</v>
      </c>
      <c r="G157" s="8">
        <v>14</v>
      </c>
      <c r="H157" s="8">
        <v>6007</v>
      </c>
      <c r="I157" s="8">
        <v>140909</v>
      </c>
      <c r="J157" s="16"/>
    </row>
    <row r="158" spans="1:10" s="4" customFormat="1" ht="11.25" x14ac:dyDescent="0.2">
      <c r="A158" s="8" t="s">
        <v>204</v>
      </c>
      <c r="B158" s="8">
        <v>5031</v>
      </c>
      <c r="C158" s="8" t="s">
        <v>380</v>
      </c>
      <c r="D158" s="8" t="s">
        <v>381</v>
      </c>
      <c r="E158" s="8">
        <v>6</v>
      </c>
      <c r="F158" s="8">
        <v>19</v>
      </c>
      <c r="G158" s="8">
        <v>14</v>
      </c>
      <c r="H158" s="8">
        <v>6165</v>
      </c>
      <c r="I158" s="8">
        <v>140916</v>
      </c>
      <c r="J158" s="16"/>
    </row>
    <row r="159" spans="1:10" s="4" customFormat="1" ht="11.25" x14ac:dyDescent="0.2">
      <c r="A159" s="8" t="s">
        <v>204</v>
      </c>
      <c r="B159" s="8">
        <v>7119</v>
      </c>
      <c r="C159" s="8" t="s">
        <v>137</v>
      </c>
      <c r="D159" s="8" t="s">
        <v>138</v>
      </c>
      <c r="E159" s="8">
        <v>4</v>
      </c>
      <c r="F159" s="8">
        <v>5</v>
      </c>
      <c r="G159" s="8">
        <v>14</v>
      </c>
      <c r="H159" s="8">
        <v>6155</v>
      </c>
      <c r="I159" s="8">
        <v>140916</v>
      </c>
      <c r="J159" s="16"/>
    </row>
    <row r="160" spans="1:10" s="4" customFormat="1" ht="11.25" x14ac:dyDescent="0.2">
      <c r="A160" s="8" t="s">
        <v>204</v>
      </c>
      <c r="B160" s="8">
        <v>7119</v>
      </c>
      <c r="C160" s="8" t="s">
        <v>137</v>
      </c>
      <c r="D160" s="8" t="s">
        <v>138</v>
      </c>
      <c r="E160" s="8">
        <v>4</v>
      </c>
      <c r="F160" s="8">
        <v>5</v>
      </c>
      <c r="G160" s="8">
        <v>14</v>
      </c>
      <c r="H160" s="8">
        <v>6383</v>
      </c>
      <c r="I160" s="8">
        <v>140923</v>
      </c>
      <c r="J160" s="16"/>
    </row>
    <row r="161" spans="1:10" s="4" customFormat="1" ht="11.25" x14ac:dyDescent="0.2">
      <c r="A161" s="8" t="s">
        <v>204</v>
      </c>
      <c r="B161" s="8">
        <v>7135</v>
      </c>
      <c r="C161" s="8" t="s">
        <v>137</v>
      </c>
      <c r="D161" s="8" t="s">
        <v>138</v>
      </c>
      <c r="E161" s="8">
        <v>4</v>
      </c>
      <c r="F161" s="8">
        <v>9</v>
      </c>
      <c r="G161" s="8">
        <v>14</v>
      </c>
      <c r="H161" s="8">
        <v>6090</v>
      </c>
      <c r="I161" s="8">
        <v>140912</v>
      </c>
      <c r="J161" s="16"/>
    </row>
    <row r="162" spans="1:10" s="4" customFormat="1" ht="11.25" x14ac:dyDescent="0.2">
      <c r="A162" s="8" t="s">
        <v>204</v>
      </c>
      <c r="B162" s="8">
        <v>7135</v>
      </c>
      <c r="C162" s="8" t="s">
        <v>137</v>
      </c>
      <c r="D162" s="8" t="s">
        <v>138</v>
      </c>
      <c r="E162" s="8">
        <v>4</v>
      </c>
      <c r="F162" s="8">
        <v>9</v>
      </c>
      <c r="G162" s="8">
        <v>14</v>
      </c>
      <c r="H162" s="8">
        <v>6098</v>
      </c>
      <c r="I162" s="8">
        <v>140912</v>
      </c>
      <c r="J162" s="16"/>
    </row>
    <row r="163" spans="1:10" s="4" customFormat="1" ht="11.25" x14ac:dyDescent="0.2">
      <c r="A163" s="8" t="s">
        <v>204</v>
      </c>
      <c r="B163" s="8">
        <v>7147</v>
      </c>
      <c r="C163" s="8" t="s">
        <v>137</v>
      </c>
      <c r="D163" s="8" t="s">
        <v>138</v>
      </c>
      <c r="E163" s="8">
        <v>4</v>
      </c>
      <c r="F163" s="8">
        <v>12</v>
      </c>
      <c r="G163" s="8">
        <v>14</v>
      </c>
      <c r="H163" s="8">
        <v>6101</v>
      </c>
      <c r="I163" s="8">
        <v>140912</v>
      </c>
      <c r="J163" s="16"/>
    </row>
    <row r="164" spans="1:10" s="4" customFormat="1" ht="11.25" x14ac:dyDescent="0.2">
      <c r="A164" s="8" t="s">
        <v>204</v>
      </c>
      <c r="B164" s="8">
        <v>7147</v>
      </c>
      <c r="C164" s="8" t="s">
        <v>137</v>
      </c>
      <c r="D164" s="8" t="s">
        <v>138</v>
      </c>
      <c r="E164" s="8">
        <v>4</v>
      </c>
      <c r="F164" s="8">
        <v>12</v>
      </c>
      <c r="G164" s="8">
        <v>14</v>
      </c>
      <c r="H164" s="8">
        <v>6129</v>
      </c>
      <c r="I164" s="8">
        <v>140915</v>
      </c>
      <c r="J164" s="16"/>
    </row>
    <row r="165" spans="1:10" s="4" customFormat="1" ht="11.25" x14ac:dyDescent="0.2">
      <c r="A165" s="8" t="s">
        <v>204</v>
      </c>
      <c r="B165" s="8">
        <v>2001</v>
      </c>
      <c r="C165" s="8" t="s">
        <v>461</v>
      </c>
      <c r="D165" s="8" t="s">
        <v>87</v>
      </c>
      <c r="E165" s="8">
        <v>19</v>
      </c>
      <c r="F165" s="8">
        <v>106</v>
      </c>
      <c r="G165" s="8">
        <v>14</v>
      </c>
      <c r="H165" s="8">
        <v>6457</v>
      </c>
      <c r="I165" s="8">
        <v>140926</v>
      </c>
      <c r="J165" s="16"/>
    </row>
    <row r="166" spans="1:10" s="4" customFormat="1" ht="11.25" x14ac:dyDescent="0.2">
      <c r="A166" s="8" t="s">
        <v>204</v>
      </c>
      <c r="B166" s="8">
        <v>1100</v>
      </c>
      <c r="C166" s="8" t="s">
        <v>238</v>
      </c>
      <c r="D166" s="8" t="s">
        <v>85</v>
      </c>
      <c r="E166" s="8">
        <v>9</v>
      </c>
      <c r="F166" s="8">
        <v>12</v>
      </c>
      <c r="G166" s="8">
        <v>14</v>
      </c>
      <c r="H166" s="8">
        <v>6439</v>
      </c>
      <c r="I166" s="8">
        <v>140925</v>
      </c>
      <c r="J166" s="16"/>
    </row>
    <row r="167" spans="1:10" s="4" customFormat="1" ht="11.25" x14ac:dyDescent="0.2">
      <c r="A167" s="8" t="s">
        <v>204</v>
      </c>
      <c r="B167" s="8">
        <v>541</v>
      </c>
      <c r="C167" s="8" t="s">
        <v>130</v>
      </c>
      <c r="D167" s="8" t="s">
        <v>68</v>
      </c>
      <c r="E167" s="8">
        <v>76</v>
      </c>
      <c r="F167" s="8">
        <v>30</v>
      </c>
      <c r="G167" s="8">
        <v>14</v>
      </c>
      <c r="H167" s="8">
        <v>5813</v>
      </c>
      <c r="I167" s="8">
        <v>140902</v>
      </c>
      <c r="J167" s="16"/>
    </row>
    <row r="168" spans="1:10" s="4" customFormat="1" ht="11.25" x14ac:dyDescent="0.2">
      <c r="A168" s="8" t="s">
        <v>204</v>
      </c>
      <c r="B168" s="8">
        <v>1404</v>
      </c>
      <c r="C168" s="8" t="s">
        <v>240</v>
      </c>
      <c r="D168" s="8" t="s">
        <v>85</v>
      </c>
      <c r="E168" s="8">
        <v>24</v>
      </c>
      <c r="F168" s="8">
        <v>27</v>
      </c>
      <c r="G168" s="8">
        <v>14</v>
      </c>
      <c r="H168" s="8">
        <v>6255</v>
      </c>
      <c r="I168" s="8">
        <v>140918</v>
      </c>
      <c r="J168" s="16"/>
    </row>
    <row r="169" spans="1:10" s="4" customFormat="1" ht="11.25" x14ac:dyDescent="0.2">
      <c r="A169" s="8" t="s">
        <v>204</v>
      </c>
      <c r="B169" s="8">
        <v>3117</v>
      </c>
      <c r="C169" s="8" t="s">
        <v>240</v>
      </c>
      <c r="D169" s="8" t="s">
        <v>87</v>
      </c>
      <c r="E169" s="8">
        <v>19</v>
      </c>
      <c r="F169" s="8">
        <v>88</v>
      </c>
      <c r="G169" s="8">
        <v>14</v>
      </c>
      <c r="H169" s="8">
        <v>6353</v>
      </c>
      <c r="I169" s="8">
        <v>140923</v>
      </c>
      <c r="J169" s="16"/>
    </row>
    <row r="170" spans="1:10" s="4" customFormat="1" ht="11.25" x14ac:dyDescent="0.2">
      <c r="A170" s="8" t="s">
        <v>204</v>
      </c>
      <c r="B170" s="8">
        <v>3321</v>
      </c>
      <c r="C170" s="8" t="s">
        <v>240</v>
      </c>
      <c r="D170" s="8" t="s">
        <v>87</v>
      </c>
      <c r="E170" s="8">
        <v>19</v>
      </c>
      <c r="F170" s="8">
        <v>72</v>
      </c>
      <c r="G170" s="8">
        <v>14</v>
      </c>
      <c r="H170" s="8">
        <v>6351</v>
      </c>
      <c r="I170" s="8">
        <v>140923</v>
      </c>
      <c r="J170" s="16"/>
    </row>
    <row r="171" spans="1:10" s="4" customFormat="1" ht="11.25" x14ac:dyDescent="0.2">
      <c r="A171" s="8" t="s">
        <v>204</v>
      </c>
      <c r="B171" s="8">
        <v>1633</v>
      </c>
      <c r="C171" s="8" t="s">
        <v>241</v>
      </c>
      <c r="D171" s="8" t="s">
        <v>85</v>
      </c>
      <c r="E171" s="8">
        <v>79</v>
      </c>
      <c r="F171" s="8">
        <v>17</v>
      </c>
      <c r="G171" s="8">
        <v>14</v>
      </c>
      <c r="H171" s="8">
        <v>5934</v>
      </c>
      <c r="I171" s="8">
        <v>140908</v>
      </c>
      <c r="J171" s="16"/>
    </row>
    <row r="172" spans="1:10" s="4" customFormat="1" ht="11.25" x14ac:dyDescent="0.2">
      <c r="A172" s="8" t="s">
        <v>204</v>
      </c>
      <c r="B172" s="8">
        <v>1011</v>
      </c>
      <c r="C172" s="8" t="s">
        <v>114</v>
      </c>
      <c r="D172" s="8" t="s">
        <v>87</v>
      </c>
      <c r="E172" s="8">
        <v>89</v>
      </c>
      <c r="F172" s="8">
        <v>11</v>
      </c>
      <c r="G172" s="8">
        <v>14</v>
      </c>
      <c r="H172" s="8">
        <v>5984</v>
      </c>
      <c r="I172" s="8">
        <v>140909</v>
      </c>
      <c r="J172" s="16"/>
    </row>
    <row r="173" spans="1:10" s="4" customFormat="1" ht="11.25" x14ac:dyDescent="0.2">
      <c r="A173" s="8" t="s">
        <v>204</v>
      </c>
      <c r="B173" s="8">
        <v>4713</v>
      </c>
      <c r="C173" s="8" t="s">
        <v>114</v>
      </c>
      <c r="D173" s="8" t="s">
        <v>76</v>
      </c>
      <c r="E173" s="8">
        <v>8</v>
      </c>
      <c r="F173" s="8">
        <v>14</v>
      </c>
      <c r="G173" s="8">
        <v>14</v>
      </c>
      <c r="H173" s="8">
        <v>5836</v>
      </c>
      <c r="I173" s="8">
        <v>140903</v>
      </c>
      <c r="J173" s="16"/>
    </row>
    <row r="174" spans="1:10" s="4" customFormat="1" ht="11.25" x14ac:dyDescent="0.2">
      <c r="A174" s="8" t="s">
        <v>204</v>
      </c>
      <c r="B174" s="8">
        <v>1609</v>
      </c>
      <c r="C174" s="8" t="s">
        <v>462</v>
      </c>
      <c r="D174" s="8" t="s">
        <v>87</v>
      </c>
      <c r="E174" s="8">
        <v>17</v>
      </c>
      <c r="F174" s="8">
        <v>60</v>
      </c>
      <c r="G174" s="8">
        <v>14</v>
      </c>
      <c r="H174" s="8">
        <v>6358</v>
      </c>
      <c r="I174" s="8">
        <v>140923</v>
      </c>
      <c r="J174" s="16"/>
    </row>
    <row r="175" spans="1:10" s="4" customFormat="1" ht="11.25" x14ac:dyDescent="0.2">
      <c r="A175" s="8" t="s">
        <v>204</v>
      </c>
      <c r="B175" s="8">
        <v>1608</v>
      </c>
      <c r="C175" s="8" t="s">
        <v>242</v>
      </c>
      <c r="D175" s="8" t="s">
        <v>87</v>
      </c>
      <c r="E175" s="8">
        <v>14</v>
      </c>
      <c r="F175" s="8">
        <v>19</v>
      </c>
      <c r="G175" s="8">
        <v>14</v>
      </c>
      <c r="H175" s="8">
        <v>5941</v>
      </c>
      <c r="I175" s="8">
        <v>140908</v>
      </c>
      <c r="J175" s="16"/>
    </row>
    <row r="176" spans="1:10" s="4" customFormat="1" ht="11.25" x14ac:dyDescent="0.2">
      <c r="A176" s="8" t="s">
        <v>204</v>
      </c>
      <c r="B176" s="8">
        <v>3504</v>
      </c>
      <c r="C176" s="8" t="s">
        <v>463</v>
      </c>
      <c r="D176" s="8" t="s">
        <v>87</v>
      </c>
      <c r="E176" s="8" t="s">
        <v>464</v>
      </c>
      <c r="F176" s="8">
        <v>11</v>
      </c>
      <c r="G176" s="8">
        <v>14</v>
      </c>
      <c r="H176" s="8">
        <v>6354</v>
      </c>
      <c r="I176" s="8">
        <v>140923</v>
      </c>
      <c r="J176" s="16"/>
    </row>
    <row r="177" spans="1:10" s="4" customFormat="1" ht="11.25" x14ac:dyDescent="0.2">
      <c r="A177" s="8" t="s">
        <v>204</v>
      </c>
      <c r="B177" s="8">
        <v>1805</v>
      </c>
      <c r="C177" s="8" t="s">
        <v>400</v>
      </c>
      <c r="D177" s="8" t="s">
        <v>87</v>
      </c>
      <c r="E177" s="8">
        <v>12</v>
      </c>
      <c r="F177" s="8">
        <v>73</v>
      </c>
      <c r="G177" s="8">
        <v>14</v>
      </c>
      <c r="H177" s="8">
        <v>6357</v>
      </c>
      <c r="I177" s="8">
        <v>140923</v>
      </c>
      <c r="J177" s="16"/>
    </row>
    <row r="178" spans="1:10" s="4" customFormat="1" ht="11.25" x14ac:dyDescent="0.2">
      <c r="A178" s="8" t="s">
        <v>204</v>
      </c>
      <c r="B178" s="8">
        <v>360</v>
      </c>
      <c r="C178" s="8" t="s">
        <v>304</v>
      </c>
      <c r="D178" s="8" t="s">
        <v>135</v>
      </c>
      <c r="E178" s="8">
        <v>1</v>
      </c>
      <c r="F178" s="8">
        <v>44</v>
      </c>
      <c r="G178" s="8">
        <v>14</v>
      </c>
      <c r="H178" s="8">
        <v>6214</v>
      </c>
      <c r="I178" s="8">
        <v>140917</v>
      </c>
      <c r="J178" s="16"/>
    </row>
    <row r="179" spans="1:10" s="4" customFormat="1" ht="11.25" x14ac:dyDescent="0.2">
      <c r="A179" s="8" t="s">
        <v>244</v>
      </c>
      <c r="B179" s="8">
        <v>1622</v>
      </c>
      <c r="C179" s="8" t="s">
        <v>156</v>
      </c>
      <c r="D179" s="8" t="s">
        <v>142</v>
      </c>
      <c r="E179" s="8">
        <v>13</v>
      </c>
      <c r="F179" s="8">
        <v>4</v>
      </c>
      <c r="G179" s="8">
        <v>14</v>
      </c>
      <c r="H179" s="8">
        <v>5827</v>
      </c>
      <c r="I179" s="8">
        <v>140902</v>
      </c>
      <c r="J179" s="16"/>
    </row>
    <row r="180" spans="1:10" s="4" customFormat="1" ht="11.25" x14ac:dyDescent="0.2">
      <c r="A180" s="8" t="s">
        <v>244</v>
      </c>
      <c r="B180" s="8">
        <v>146</v>
      </c>
      <c r="C180" s="8" t="s">
        <v>388</v>
      </c>
      <c r="D180" s="8" t="s">
        <v>56</v>
      </c>
      <c r="E180" s="8">
        <v>3</v>
      </c>
      <c r="F180" s="8">
        <v>2</v>
      </c>
      <c r="G180" s="8">
        <v>14</v>
      </c>
      <c r="H180" s="8">
        <v>6496</v>
      </c>
      <c r="I180" s="8">
        <v>140929</v>
      </c>
      <c r="J180" s="16"/>
    </row>
    <row r="181" spans="1:10" s="4" customFormat="1" ht="11.25" x14ac:dyDescent="0.2">
      <c r="A181" s="8" t="s">
        <v>244</v>
      </c>
      <c r="B181" s="8">
        <v>3306</v>
      </c>
      <c r="C181" s="8" t="s">
        <v>164</v>
      </c>
      <c r="D181" s="8" t="s">
        <v>78</v>
      </c>
      <c r="E181" s="8">
        <v>102</v>
      </c>
      <c r="F181" s="8">
        <v>28</v>
      </c>
      <c r="G181" s="8">
        <v>14</v>
      </c>
      <c r="H181" s="8">
        <v>6015</v>
      </c>
      <c r="I181" s="8">
        <v>140909</v>
      </c>
      <c r="J181" s="16"/>
    </row>
    <row r="182" spans="1:10" s="4" customFormat="1" ht="11.25" x14ac:dyDescent="0.2">
      <c r="A182" s="8" t="s">
        <v>244</v>
      </c>
      <c r="B182" s="8">
        <v>3428</v>
      </c>
      <c r="C182" s="8" t="s">
        <v>165</v>
      </c>
      <c r="D182" s="8" t="s">
        <v>78</v>
      </c>
      <c r="E182" s="8">
        <v>101</v>
      </c>
      <c r="F182" s="8">
        <v>45</v>
      </c>
      <c r="G182" s="8">
        <v>14</v>
      </c>
      <c r="H182" s="8">
        <v>6186</v>
      </c>
      <c r="I182" s="8">
        <v>140917</v>
      </c>
      <c r="J182" s="16"/>
    </row>
    <row r="183" spans="1:10" s="4" customFormat="1" ht="11.25" x14ac:dyDescent="0.2">
      <c r="A183" s="8" t="s">
        <v>244</v>
      </c>
      <c r="B183" s="8">
        <v>2929</v>
      </c>
      <c r="C183" s="8" t="s">
        <v>280</v>
      </c>
      <c r="D183" s="8" t="s">
        <v>72</v>
      </c>
      <c r="E183" s="8">
        <v>3</v>
      </c>
      <c r="F183" s="8">
        <v>8</v>
      </c>
      <c r="G183" s="8">
        <v>14</v>
      </c>
      <c r="H183" s="8">
        <v>6416</v>
      </c>
      <c r="I183" s="8">
        <v>140924</v>
      </c>
      <c r="J183" s="16"/>
    </row>
    <row r="184" spans="1:10" s="4" customFormat="1" ht="11.25" x14ac:dyDescent="0.2">
      <c r="A184" s="8" t="s">
        <v>244</v>
      </c>
      <c r="B184" s="8">
        <v>500</v>
      </c>
      <c r="C184" s="8" t="s">
        <v>281</v>
      </c>
      <c r="D184" s="8" t="s">
        <v>212</v>
      </c>
      <c r="E184" s="8" t="s">
        <v>128</v>
      </c>
      <c r="F184" s="8">
        <v>17</v>
      </c>
      <c r="G184" s="8">
        <v>14</v>
      </c>
      <c r="H184" s="8">
        <v>6097</v>
      </c>
      <c r="I184" s="8">
        <v>140912</v>
      </c>
      <c r="J184" s="16"/>
    </row>
    <row r="185" spans="1:10" s="4" customFormat="1" ht="11.25" x14ac:dyDescent="0.2">
      <c r="A185" s="8" t="s">
        <v>244</v>
      </c>
      <c r="B185" s="8">
        <v>47</v>
      </c>
      <c r="C185" s="8" t="s">
        <v>282</v>
      </c>
      <c r="D185" s="8" t="s">
        <v>214</v>
      </c>
      <c r="E185" s="8">
        <v>3</v>
      </c>
      <c r="F185" s="8">
        <v>88</v>
      </c>
      <c r="G185" s="8">
        <v>14</v>
      </c>
      <c r="H185" s="8">
        <v>5969</v>
      </c>
      <c r="I185" s="8">
        <v>140908</v>
      </c>
      <c r="J185" s="16"/>
    </row>
    <row r="186" spans="1:10" s="4" customFormat="1" ht="11.25" x14ac:dyDescent="0.2">
      <c r="A186" s="8" t="s">
        <v>244</v>
      </c>
      <c r="B186" s="8">
        <v>47</v>
      </c>
      <c r="C186" s="8" t="s">
        <v>282</v>
      </c>
      <c r="D186" s="8" t="s">
        <v>214</v>
      </c>
      <c r="E186" s="8">
        <v>3</v>
      </c>
      <c r="F186" s="8">
        <v>88</v>
      </c>
      <c r="G186" s="8">
        <v>14</v>
      </c>
      <c r="H186" s="8">
        <v>6298</v>
      </c>
      <c r="I186" s="8">
        <v>140919</v>
      </c>
      <c r="J186" s="16"/>
    </row>
    <row r="187" spans="1:10" s="4" customFormat="1" ht="11.25" x14ac:dyDescent="0.2">
      <c r="A187" s="8" t="s">
        <v>244</v>
      </c>
      <c r="B187" s="8">
        <v>55</v>
      </c>
      <c r="C187" s="8" t="s">
        <v>282</v>
      </c>
      <c r="D187" s="8" t="s">
        <v>214</v>
      </c>
      <c r="E187" s="8">
        <v>3</v>
      </c>
      <c r="F187" s="8">
        <v>90</v>
      </c>
      <c r="G187" s="8">
        <v>14</v>
      </c>
      <c r="H187" s="8">
        <v>5970</v>
      </c>
      <c r="I187" s="8">
        <v>140908</v>
      </c>
      <c r="J187" s="16"/>
    </row>
    <row r="188" spans="1:10" s="4" customFormat="1" ht="11.25" x14ac:dyDescent="0.2">
      <c r="A188" s="8" t="s">
        <v>244</v>
      </c>
      <c r="B188" s="8">
        <v>6557</v>
      </c>
      <c r="C188" s="8" t="s">
        <v>287</v>
      </c>
      <c r="D188" s="8" t="s">
        <v>51</v>
      </c>
      <c r="E188" s="8">
        <v>1</v>
      </c>
      <c r="F188" s="8">
        <v>27</v>
      </c>
      <c r="G188" s="8">
        <v>14</v>
      </c>
      <c r="H188" s="8">
        <v>6328</v>
      </c>
      <c r="I188" s="8">
        <v>140922</v>
      </c>
      <c r="J188" s="16"/>
    </row>
    <row r="189" spans="1:10" s="4" customFormat="1" ht="11.25" x14ac:dyDescent="0.2">
      <c r="A189" s="8" t="s">
        <v>244</v>
      </c>
      <c r="B189" s="8">
        <v>7109</v>
      </c>
      <c r="C189" s="8" t="s">
        <v>465</v>
      </c>
      <c r="D189" s="8" t="s">
        <v>466</v>
      </c>
      <c r="E189" s="8">
        <v>3</v>
      </c>
      <c r="F189" s="8">
        <v>27</v>
      </c>
      <c r="G189" s="8">
        <v>14</v>
      </c>
      <c r="H189" s="8">
        <v>6264</v>
      </c>
      <c r="I189" s="8">
        <v>140918</v>
      </c>
      <c r="J189" s="16"/>
    </row>
    <row r="190" spans="1:10" s="4" customFormat="1" ht="11.25" x14ac:dyDescent="0.2">
      <c r="A190" s="8" t="s">
        <v>244</v>
      </c>
      <c r="B190" s="8">
        <v>7129</v>
      </c>
      <c r="C190" s="8" t="s">
        <v>465</v>
      </c>
      <c r="D190" s="8" t="s">
        <v>466</v>
      </c>
      <c r="E190" s="8">
        <v>3</v>
      </c>
      <c r="F190" s="8">
        <v>32</v>
      </c>
      <c r="G190" s="8">
        <v>14</v>
      </c>
      <c r="H190" s="8">
        <v>6382</v>
      </c>
      <c r="I190" s="8">
        <v>140923</v>
      </c>
      <c r="J190" s="16"/>
    </row>
    <row r="191" spans="1:10" s="4" customFormat="1" ht="11.25" x14ac:dyDescent="0.2">
      <c r="A191" s="8" t="s">
        <v>244</v>
      </c>
      <c r="B191" s="8">
        <v>7133</v>
      </c>
      <c r="C191" s="8" t="s">
        <v>465</v>
      </c>
      <c r="D191" s="8" t="s">
        <v>466</v>
      </c>
      <c r="E191" s="8">
        <v>3</v>
      </c>
      <c r="F191" s="8">
        <v>33</v>
      </c>
      <c r="G191" s="8">
        <v>14</v>
      </c>
      <c r="H191" s="8">
        <v>6263</v>
      </c>
      <c r="I191" s="8">
        <v>140918</v>
      </c>
      <c r="J191" s="16"/>
    </row>
    <row r="192" spans="1:10" s="4" customFormat="1" ht="11.25" x14ac:dyDescent="0.2">
      <c r="A192" s="8" t="s">
        <v>244</v>
      </c>
      <c r="B192" s="8">
        <v>6524</v>
      </c>
      <c r="C192" s="8" t="s">
        <v>158</v>
      </c>
      <c r="D192" s="8" t="s">
        <v>51</v>
      </c>
      <c r="E192" s="8">
        <v>8</v>
      </c>
      <c r="F192" s="8">
        <v>25</v>
      </c>
      <c r="G192" s="8">
        <v>14</v>
      </c>
      <c r="H192" s="8">
        <v>6329</v>
      </c>
      <c r="I192" s="8">
        <v>140922</v>
      </c>
      <c r="J192" s="16"/>
    </row>
    <row r="193" spans="1:10" s="4" customFormat="1" ht="11.25" x14ac:dyDescent="0.2">
      <c r="A193" s="8" t="s">
        <v>244</v>
      </c>
      <c r="B193" s="8">
        <v>3304</v>
      </c>
      <c r="C193" s="8" t="s">
        <v>392</v>
      </c>
      <c r="D193" s="8" t="s">
        <v>78</v>
      </c>
      <c r="E193" s="8">
        <v>102</v>
      </c>
      <c r="F193" s="8">
        <v>37</v>
      </c>
      <c r="G193" s="8">
        <v>14</v>
      </c>
      <c r="H193" s="8">
        <v>6185</v>
      </c>
      <c r="I193" s="8">
        <v>140917</v>
      </c>
      <c r="J193" s="16"/>
    </row>
    <row r="194" spans="1:10" s="4" customFormat="1" ht="11.25" x14ac:dyDescent="0.2">
      <c r="A194" s="8" t="s">
        <v>244</v>
      </c>
      <c r="B194" s="8">
        <v>3833</v>
      </c>
      <c r="C194" s="8" t="s">
        <v>159</v>
      </c>
      <c r="D194" s="8" t="s">
        <v>62</v>
      </c>
      <c r="E194" s="8">
        <v>4</v>
      </c>
      <c r="F194" s="8">
        <v>8</v>
      </c>
      <c r="G194" s="8">
        <v>14</v>
      </c>
      <c r="H194" s="8">
        <v>6499</v>
      </c>
      <c r="I194" s="8">
        <v>140929</v>
      </c>
      <c r="J194" s="16"/>
    </row>
    <row r="195" spans="1:10" s="4" customFormat="1" ht="11.25" x14ac:dyDescent="0.2">
      <c r="A195" s="8" t="s">
        <v>244</v>
      </c>
      <c r="B195" s="8">
        <v>2801</v>
      </c>
      <c r="C195" s="8" t="s">
        <v>227</v>
      </c>
      <c r="D195" s="8" t="s">
        <v>228</v>
      </c>
      <c r="E195" s="8">
        <v>2</v>
      </c>
      <c r="F195" s="8">
        <v>1</v>
      </c>
      <c r="G195" s="8">
        <v>14</v>
      </c>
      <c r="H195" s="8">
        <v>6361</v>
      </c>
      <c r="I195" s="8">
        <v>140923</v>
      </c>
      <c r="J195" s="16"/>
    </row>
    <row r="196" spans="1:10" s="4" customFormat="1" ht="11.25" x14ac:dyDescent="0.2">
      <c r="A196" s="8" t="s">
        <v>244</v>
      </c>
      <c r="B196" s="8">
        <v>6064</v>
      </c>
      <c r="C196" s="8" t="s">
        <v>247</v>
      </c>
      <c r="D196" s="8" t="s">
        <v>248</v>
      </c>
      <c r="E196" s="8">
        <v>1</v>
      </c>
      <c r="F196" s="8">
        <v>24</v>
      </c>
      <c r="G196" s="8">
        <v>14</v>
      </c>
      <c r="H196" s="8">
        <v>6360</v>
      </c>
      <c r="I196" s="8">
        <v>140923</v>
      </c>
      <c r="J196" s="16"/>
    </row>
    <row r="197" spans="1:10" s="4" customFormat="1" ht="11.25" x14ac:dyDescent="0.2">
      <c r="A197" s="8" t="s">
        <v>244</v>
      </c>
      <c r="B197" s="8">
        <v>6119</v>
      </c>
      <c r="C197" s="8" t="s">
        <v>162</v>
      </c>
      <c r="D197" s="8" t="s">
        <v>163</v>
      </c>
      <c r="E197" s="8" t="s">
        <v>128</v>
      </c>
      <c r="F197" s="8">
        <v>38</v>
      </c>
      <c r="G197" s="8">
        <v>14</v>
      </c>
      <c r="H197" s="8">
        <v>5972</v>
      </c>
      <c r="I197" s="8">
        <v>140908</v>
      </c>
      <c r="J197" s="16"/>
    </row>
    <row r="198" spans="1:10" s="4" customFormat="1" ht="11.25" x14ac:dyDescent="0.2">
      <c r="A198" s="8" t="s">
        <v>244</v>
      </c>
      <c r="B198" s="8">
        <v>2831</v>
      </c>
      <c r="C198" s="8" t="s">
        <v>157</v>
      </c>
      <c r="D198" s="8" t="s">
        <v>142</v>
      </c>
      <c r="E198" s="8">
        <v>5</v>
      </c>
      <c r="F198" s="8">
        <v>15</v>
      </c>
      <c r="G198" s="8">
        <v>14</v>
      </c>
      <c r="H198" s="8">
        <v>5826</v>
      </c>
      <c r="I198" s="8">
        <v>140902</v>
      </c>
      <c r="J198" s="16"/>
    </row>
    <row r="199" spans="1:10" s="4" customFormat="1" ht="11.25" x14ac:dyDescent="0.2">
      <c r="A199" s="8" t="s">
        <v>244</v>
      </c>
      <c r="B199" s="8">
        <v>7305</v>
      </c>
      <c r="C199" s="8" t="s">
        <v>133</v>
      </c>
      <c r="D199" s="8" t="s">
        <v>134</v>
      </c>
      <c r="E199" s="8">
        <v>5</v>
      </c>
      <c r="F199" s="8">
        <v>21</v>
      </c>
      <c r="G199" s="8">
        <v>14</v>
      </c>
      <c r="H199" s="8">
        <v>6381</v>
      </c>
      <c r="I199" s="8">
        <v>140923</v>
      </c>
      <c r="J199" s="16"/>
    </row>
    <row r="200" spans="1:10" s="4" customFormat="1" ht="11.25" x14ac:dyDescent="0.2">
      <c r="A200" s="8" t="s">
        <v>244</v>
      </c>
      <c r="B200" s="8">
        <v>7309</v>
      </c>
      <c r="C200" s="8" t="s">
        <v>133</v>
      </c>
      <c r="D200" s="8" t="s">
        <v>134</v>
      </c>
      <c r="E200" s="8">
        <v>5</v>
      </c>
      <c r="F200" s="8">
        <v>22</v>
      </c>
      <c r="G200" s="8">
        <v>14</v>
      </c>
      <c r="H200" s="8">
        <v>6380</v>
      </c>
      <c r="I200" s="8">
        <v>140923</v>
      </c>
      <c r="J200" s="16"/>
    </row>
    <row r="201" spans="1:10" s="4" customFormat="1" ht="11.25" x14ac:dyDescent="0.2">
      <c r="A201" s="8" t="s">
        <v>244</v>
      </c>
      <c r="B201" s="8">
        <v>617</v>
      </c>
      <c r="C201" s="8" t="s">
        <v>71</v>
      </c>
      <c r="D201" s="8" t="s">
        <v>72</v>
      </c>
      <c r="E201" s="8">
        <v>3</v>
      </c>
      <c r="F201" s="8">
        <v>20</v>
      </c>
      <c r="G201" s="8">
        <v>14</v>
      </c>
      <c r="H201" s="8">
        <v>6092</v>
      </c>
      <c r="I201" s="8">
        <v>140912</v>
      </c>
      <c r="J201" s="16"/>
    </row>
    <row r="202" spans="1:10" s="4" customFormat="1" ht="11.25" x14ac:dyDescent="0.2">
      <c r="A202" s="8" t="s">
        <v>244</v>
      </c>
      <c r="B202" s="8">
        <v>19</v>
      </c>
      <c r="C202" s="8" t="s">
        <v>161</v>
      </c>
      <c r="D202" s="8" t="s">
        <v>153</v>
      </c>
      <c r="E202" s="8">
        <v>4</v>
      </c>
      <c r="F202" s="8">
        <v>12</v>
      </c>
      <c r="G202" s="8">
        <v>14</v>
      </c>
      <c r="H202" s="8">
        <v>6332</v>
      </c>
      <c r="I202" s="8">
        <v>140922</v>
      </c>
      <c r="J202" s="16"/>
    </row>
    <row r="203" spans="1:10" s="4" customFormat="1" ht="11.25" x14ac:dyDescent="0.2">
      <c r="A203" s="8" t="s">
        <v>244</v>
      </c>
      <c r="B203" s="8">
        <v>31</v>
      </c>
      <c r="C203" s="8" t="s">
        <v>161</v>
      </c>
      <c r="D203" s="8" t="s">
        <v>153</v>
      </c>
      <c r="E203" s="8">
        <v>4</v>
      </c>
      <c r="F203" s="8">
        <v>15</v>
      </c>
      <c r="G203" s="8">
        <v>14</v>
      </c>
      <c r="H203" s="8">
        <v>6107</v>
      </c>
      <c r="I203" s="8">
        <v>140912</v>
      </c>
      <c r="J203" s="16"/>
    </row>
    <row r="204" spans="1:10" s="4" customFormat="1" ht="11.25" x14ac:dyDescent="0.2">
      <c r="A204" s="8" t="s">
        <v>244</v>
      </c>
      <c r="B204" s="8">
        <v>39</v>
      </c>
      <c r="C204" s="8" t="s">
        <v>161</v>
      </c>
      <c r="D204" s="8" t="s">
        <v>153</v>
      </c>
      <c r="E204" s="8">
        <v>4</v>
      </c>
      <c r="F204" s="8">
        <v>17</v>
      </c>
      <c r="G204" s="8">
        <v>14</v>
      </c>
      <c r="H204" s="8">
        <v>5831</v>
      </c>
      <c r="I204" s="8">
        <v>140902</v>
      </c>
      <c r="J204" s="16"/>
    </row>
    <row r="205" spans="1:10" s="4" customFormat="1" ht="11.25" x14ac:dyDescent="0.2">
      <c r="A205" s="8" t="s">
        <v>244</v>
      </c>
      <c r="B205" s="8">
        <v>1115</v>
      </c>
      <c r="C205" s="8" t="s">
        <v>114</v>
      </c>
      <c r="D205" s="8" t="s">
        <v>87</v>
      </c>
      <c r="E205" s="8">
        <v>89</v>
      </c>
      <c r="F205" s="8" t="s">
        <v>170</v>
      </c>
      <c r="G205" s="8">
        <v>14</v>
      </c>
      <c r="H205" s="8">
        <v>5828</v>
      </c>
      <c r="I205" s="8">
        <v>140902</v>
      </c>
      <c r="J205" s="16"/>
    </row>
    <row r="206" spans="1:10" s="4" customFormat="1" ht="11.25" x14ac:dyDescent="0.2">
      <c r="A206" s="8" t="s">
        <v>244</v>
      </c>
      <c r="B206" s="8">
        <v>816</v>
      </c>
      <c r="C206" s="8" t="s">
        <v>89</v>
      </c>
      <c r="D206" s="8" t="s">
        <v>90</v>
      </c>
      <c r="E206" s="8">
        <v>7</v>
      </c>
      <c r="F206" s="8">
        <v>32</v>
      </c>
      <c r="G206" s="8">
        <v>14</v>
      </c>
      <c r="H206" s="8">
        <v>6218</v>
      </c>
      <c r="I206" s="8">
        <v>140917</v>
      </c>
      <c r="J206" s="16"/>
    </row>
    <row r="207" spans="1:10" s="4" customFormat="1" ht="22.5" x14ac:dyDescent="0.2">
      <c r="A207" s="100" t="s">
        <v>555</v>
      </c>
      <c r="B207" s="122">
        <f>206-7</f>
        <v>199</v>
      </c>
      <c r="C207" s="121"/>
      <c r="D207" s="121"/>
      <c r="E207" s="121"/>
      <c r="F207" s="121"/>
      <c r="G207" s="121"/>
      <c r="H207" s="121"/>
      <c r="I207" s="121"/>
      <c r="J207" s="16"/>
    </row>
    <row r="208" spans="1:10" s="4" customFormat="1" ht="11.25" x14ac:dyDescent="0.2">
      <c r="A208" s="123" t="s">
        <v>249</v>
      </c>
      <c r="B208" s="121"/>
      <c r="C208" s="121"/>
      <c r="D208" s="121"/>
      <c r="E208" s="121"/>
      <c r="F208" s="121"/>
      <c r="G208" s="121"/>
      <c r="H208" s="121"/>
      <c r="I208" s="121"/>
      <c r="J208" s="16"/>
    </row>
    <row r="209" spans="1:10" s="4" customFormat="1" ht="11.25" x14ac:dyDescent="0.2">
      <c r="A209" s="8" t="s">
        <v>250</v>
      </c>
      <c r="B209" s="8">
        <v>4504</v>
      </c>
      <c r="C209" s="8" t="s">
        <v>467</v>
      </c>
      <c r="D209" s="8" t="s">
        <v>93</v>
      </c>
      <c r="E209" s="8"/>
      <c r="F209" s="8"/>
      <c r="G209" s="8">
        <v>14</v>
      </c>
      <c r="H209" s="8">
        <v>6309</v>
      </c>
      <c r="I209" s="8">
        <v>140922</v>
      </c>
      <c r="J209" s="16"/>
    </row>
    <row r="210" spans="1:10" s="4" customFormat="1" ht="11.25" x14ac:dyDescent="0.2">
      <c r="A210" s="8" t="s">
        <v>250</v>
      </c>
      <c r="B210" s="8">
        <v>1580</v>
      </c>
      <c r="C210" s="8" t="s">
        <v>468</v>
      </c>
      <c r="D210" s="8" t="s">
        <v>118</v>
      </c>
      <c r="E210" s="8" t="s">
        <v>396</v>
      </c>
      <c r="F210" s="8" t="s">
        <v>433</v>
      </c>
      <c r="G210" s="8">
        <v>14</v>
      </c>
      <c r="H210" s="8">
        <v>6027</v>
      </c>
      <c r="I210" s="8">
        <v>140910</v>
      </c>
      <c r="J210" s="16"/>
    </row>
    <row r="211" spans="1:10" s="4" customFormat="1" ht="11.25" x14ac:dyDescent="0.2">
      <c r="A211" s="8" t="s">
        <v>250</v>
      </c>
      <c r="B211" s="8">
        <v>1580</v>
      </c>
      <c r="C211" s="8" t="s">
        <v>468</v>
      </c>
      <c r="D211" s="8" t="s">
        <v>118</v>
      </c>
      <c r="E211" s="8" t="s">
        <v>396</v>
      </c>
      <c r="F211" s="8" t="s">
        <v>433</v>
      </c>
      <c r="G211" s="8">
        <v>14</v>
      </c>
      <c r="H211" s="8">
        <v>6116</v>
      </c>
      <c r="I211" s="8">
        <v>140915</v>
      </c>
      <c r="J211" s="16"/>
    </row>
    <row r="212" spans="1:10" s="4" customFormat="1" ht="11.25" x14ac:dyDescent="0.2">
      <c r="A212" s="8" t="s">
        <v>250</v>
      </c>
      <c r="B212" s="8">
        <v>4321</v>
      </c>
      <c r="C212" s="8" t="s">
        <v>469</v>
      </c>
      <c r="D212" s="8" t="s">
        <v>470</v>
      </c>
      <c r="E212" s="8" t="s">
        <v>128</v>
      </c>
      <c r="F212" s="8" t="s">
        <v>471</v>
      </c>
      <c r="G212" s="8">
        <v>14</v>
      </c>
      <c r="H212" s="8">
        <v>6472</v>
      </c>
      <c r="I212" s="8">
        <v>140929</v>
      </c>
      <c r="J212" s="16"/>
    </row>
    <row r="213" spans="1:10" s="4" customFormat="1" ht="11.25" x14ac:dyDescent="0.2">
      <c r="A213" s="8" t="s">
        <v>250</v>
      </c>
      <c r="B213" s="8">
        <v>1001</v>
      </c>
      <c r="C213" s="8" t="s">
        <v>122</v>
      </c>
      <c r="D213" s="8" t="s">
        <v>87</v>
      </c>
      <c r="E213" s="8"/>
      <c r="F213" s="8"/>
      <c r="G213" s="8">
        <v>14</v>
      </c>
      <c r="H213" s="8">
        <v>5926</v>
      </c>
      <c r="I213" s="8">
        <v>140905</v>
      </c>
      <c r="J213" s="16"/>
    </row>
    <row r="214" spans="1:10" s="4" customFormat="1" ht="11.25" x14ac:dyDescent="0.2">
      <c r="A214" s="8" t="s">
        <v>250</v>
      </c>
      <c r="B214" s="8">
        <v>1115</v>
      </c>
      <c r="C214" s="8" t="s">
        <v>122</v>
      </c>
      <c r="D214" s="8" t="s">
        <v>399</v>
      </c>
      <c r="E214" s="8"/>
      <c r="F214" s="8"/>
      <c r="G214" s="8">
        <v>14</v>
      </c>
      <c r="H214" s="8">
        <v>6026</v>
      </c>
      <c r="I214" s="8">
        <v>140910</v>
      </c>
      <c r="J214" s="16"/>
    </row>
    <row r="215" spans="1:10" s="4" customFormat="1" ht="11.25" x14ac:dyDescent="0.2">
      <c r="A215" s="8" t="s">
        <v>250</v>
      </c>
      <c r="B215" s="8">
        <v>2400</v>
      </c>
      <c r="C215" s="8" t="s">
        <v>200</v>
      </c>
      <c r="D215" s="8" t="s">
        <v>202</v>
      </c>
      <c r="E215" s="8"/>
      <c r="F215" s="8"/>
      <c r="G215" s="8">
        <v>14</v>
      </c>
      <c r="H215" s="8">
        <v>5885</v>
      </c>
      <c r="I215" s="8">
        <v>140904</v>
      </c>
      <c r="J215" s="16"/>
    </row>
    <row r="216" spans="1:10" s="4" customFormat="1" ht="11.25" x14ac:dyDescent="0.2">
      <c r="A216" s="8" t="s">
        <v>250</v>
      </c>
      <c r="B216" s="8">
        <v>1904</v>
      </c>
      <c r="C216" s="8" t="s">
        <v>203</v>
      </c>
      <c r="D216" s="8" t="s">
        <v>267</v>
      </c>
      <c r="E216" s="8"/>
      <c r="F216" s="8" t="s">
        <v>268</v>
      </c>
      <c r="G216" s="8">
        <v>14</v>
      </c>
      <c r="H216" s="8">
        <v>6449</v>
      </c>
      <c r="I216" s="8">
        <v>140925</v>
      </c>
      <c r="J216" s="16"/>
    </row>
    <row r="217" spans="1:10" s="4" customFormat="1" ht="11.25" x14ac:dyDescent="0.2">
      <c r="A217" s="8" t="s">
        <v>250</v>
      </c>
      <c r="B217" s="8">
        <v>2801</v>
      </c>
      <c r="C217" s="8" t="s">
        <v>269</v>
      </c>
      <c r="D217" s="8" t="s">
        <v>202</v>
      </c>
      <c r="E217" s="8"/>
      <c r="F217" s="8"/>
      <c r="G217" s="8">
        <v>14</v>
      </c>
      <c r="H217" s="8">
        <v>5871</v>
      </c>
      <c r="I217" s="8">
        <v>140904</v>
      </c>
      <c r="J217" s="16"/>
    </row>
    <row r="218" spans="1:10" s="4" customFormat="1" ht="11.25" x14ac:dyDescent="0.2">
      <c r="A218" s="8" t="s">
        <v>251</v>
      </c>
      <c r="B218" s="8">
        <v>2709</v>
      </c>
      <c r="C218" s="8" t="s">
        <v>205</v>
      </c>
      <c r="D218" s="8" t="s">
        <v>206</v>
      </c>
      <c r="E218" s="8">
        <v>143</v>
      </c>
      <c r="F218" s="8">
        <v>50</v>
      </c>
      <c r="G218" s="8">
        <v>14</v>
      </c>
      <c r="H218" s="8">
        <v>5887</v>
      </c>
      <c r="I218" s="8">
        <v>140904</v>
      </c>
      <c r="J218" s="16"/>
    </row>
    <row r="219" spans="1:10" s="4" customFormat="1" ht="11.25" x14ac:dyDescent="0.2">
      <c r="A219" s="8" t="s">
        <v>251</v>
      </c>
      <c r="B219" s="8">
        <v>1510</v>
      </c>
      <c r="C219" s="8" t="s">
        <v>382</v>
      </c>
      <c r="D219" s="8" t="s">
        <v>142</v>
      </c>
      <c r="E219" s="8">
        <v>10</v>
      </c>
      <c r="F219" s="8">
        <v>1</v>
      </c>
      <c r="G219" s="8">
        <v>14</v>
      </c>
      <c r="H219" s="8">
        <v>6410</v>
      </c>
      <c r="I219" s="8">
        <v>140924</v>
      </c>
      <c r="J219" s="16"/>
    </row>
    <row r="220" spans="1:10" s="4" customFormat="1" ht="11.25" x14ac:dyDescent="0.2">
      <c r="A220" s="8" t="s">
        <v>251</v>
      </c>
      <c r="B220" s="8">
        <v>512</v>
      </c>
      <c r="C220" s="8" t="s">
        <v>143</v>
      </c>
      <c r="D220" s="8" t="s">
        <v>90</v>
      </c>
      <c r="E220" s="8">
        <v>34</v>
      </c>
      <c r="F220" s="8">
        <v>34</v>
      </c>
      <c r="G220" s="8">
        <v>14</v>
      </c>
      <c r="H220" s="8">
        <v>6455</v>
      </c>
      <c r="I220" s="8">
        <v>140926</v>
      </c>
      <c r="J220" s="16"/>
    </row>
    <row r="221" spans="1:10" s="4" customFormat="1" ht="11.25" x14ac:dyDescent="0.2">
      <c r="A221" s="8" t="s">
        <v>251</v>
      </c>
      <c r="B221" s="8">
        <v>1781</v>
      </c>
      <c r="C221" s="8" t="s">
        <v>472</v>
      </c>
      <c r="D221" s="8" t="s">
        <v>81</v>
      </c>
      <c r="E221" s="8">
        <v>21</v>
      </c>
      <c r="F221" s="8">
        <v>21</v>
      </c>
      <c r="G221" s="8">
        <v>14</v>
      </c>
      <c r="H221" s="8">
        <v>6461</v>
      </c>
      <c r="I221" s="8">
        <v>140926</v>
      </c>
      <c r="J221" s="16"/>
    </row>
    <row r="222" spans="1:10" s="4" customFormat="1" ht="11.25" x14ac:dyDescent="0.2">
      <c r="A222" s="8" t="s">
        <v>251</v>
      </c>
      <c r="B222" s="8">
        <v>108</v>
      </c>
      <c r="C222" s="8" t="s">
        <v>473</v>
      </c>
      <c r="D222" s="8" t="s">
        <v>217</v>
      </c>
      <c r="E222" s="8">
        <v>5</v>
      </c>
      <c r="F222" s="8">
        <v>17</v>
      </c>
      <c r="G222" s="8">
        <v>14</v>
      </c>
      <c r="H222" s="8">
        <v>6348</v>
      </c>
      <c r="I222" s="8">
        <v>140923</v>
      </c>
      <c r="J222" s="16"/>
    </row>
    <row r="223" spans="1:10" s="4" customFormat="1" ht="11.25" x14ac:dyDescent="0.2">
      <c r="A223" s="8" t="s">
        <v>251</v>
      </c>
      <c r="B223" s="8">
        <v>108</v>
      </c>
      <c r="C223" s="8" t="s">
        <v>473</v>
      </c>
      <c r="D223" s="8" t="s">
        <v>217</v>
      </c>
      <c r="E223" s="8">
        <v>5</v>
      </c>
      <c r="F223" s="8">
        <v>17</v>
      </c>
      <c r="G223" s="8">
        <v>14</v>
      </c>
      <c r="H223" s="8">
        <v>6362</v>
      </c>
      <c r="I223" s="8">
        <v>140923</v>
      </c>
      <c r="J223" s="16"/>
    </row>
    <row r="224" spans="1:10" s="4" customFormat="1" ht="11.25" x14ac:dyDescent="0.2">
      <c r="A224" s="8" t="s">
        <v>251</v>
      </c>
      <c r="B224" s="8">
        <v>6403</v>
      </c>
      <c r="C224" s="8" t="s">
        <v>209</v>
      </c>
      <c r="D224" s="8" t="s">
        <v>51</v>
      </c>
      <c r="E224" s="8">
        <v>7</v>
      </c>
      <c r="F224" s="8">
        <v>21</v>
      </c>
      <c r="G224" s="8">
        <v>14</v>
      </c>
      <c r="H224" s="8">
        <v>6240</v>
      </c>
      <c r="I224" s="8">
        <v>140917</v>
      </c>
      <c r="J224" s="16"/>
    </row>
    <row r="225" spans="1:10" s="4" customFormat="1" ht="11.25" x14ac:dyDescent="0.2">
      <c r="A225" s="8" t="s">
        <v>251</v>
      </c>
      <c r="B225" s="8">
        <v>6221</v>
      </c>
      <c r="C225" s="8" t="s">
        <v>474</v>
      </c>
      <c r="D225" s="8" t="s">
        <v>104</v>
      </c>
      <c r="E225" s="8">
        <v>18</v>
      </c>
      <c r="F225" s="8">
        <v>12</v>
      </c>
      <c r="G225" s="8">
        <v>14</v>
      </c>
      <c r="H225" s="8">
        <v>6091</v>
      </c>
      <c r="I225" s="8">
        <v>140912</v>
      </c>
      <c r="J225" s="16"/>
    </row>
    <row r="226" spans="1:10" s="4" customFormat="1" ht="11.25" x14ac:dyDescent="0.2">
      <c r="A226" s="8" t="s">
        <v>251</v>
      </c>
      <c r="B226" s="8">
        <v>936</v>
      </c>
      <c r="C226" s="8" t="s">
        <v>475</v>
      </c>
      <c r="D226" s="8" t="s">
        <v>284</v>
      </c>
      <c r="E226" s="8">
        <v>2</v>
      </c>
      <c r="F226" s="8">
        <v>43</v>
      </c>
      <c r="G226" s="8">
        <v>14</v>
      </c>
      <c r="H226" s="8">
        <v>6086</v>
      </c>
      <c r="I226" s="8">
        <v>140912</v>
      </c>
      <c r="J226" s="16"/>
    </row>
    <row r="227" spans="1:10" s="4" customFormat="1" ht="11.25" x14ac:dyDescent="0.2">
      <c r="A227" s="8" t="s">
        <v>251</v>
      </c>
      <c r="B227" s="8">
        <v>4301</v>
      </c>
      <c r="C227" s="8" t="s">
        <v>476</v>
      </c>
      <c r="D227" s="8" t="s">
        <v>135</v>
      </c>
      <c r="E227" s="8">
        <v>9</v>
      </c>
      <c r="F227" s="8">
        <v>46</v>
      </c>
      <c r="G227" s="8">
        <v>14</v>
      </c>
      <c r="H227" s="8">
        <v>6247</v>
      </c>
      <c r="I227" s="8">
        <v>140917</v>
      </c>
      <c r="J227" s="16"/>
    </row>
    <row r="228" spans="1:10" s="4" customFormat="1" ht="11.25" x14ac:dyDescent="0.2">
      <c r="A228" s="8" t="s">
        <v>251</v>
      </c>
      <c r="B228" s="8">
        <v>608</v>
      </c>
      <c r="C228" s="8" t="s">
        <v>426</v>
      </c>
      <c r="D228" s="8" t="s">
        <v>427</v>
      </c>
      <c r="E228" s="8"/>
      <c r="F228" s="8">
        <v>8</v>
      </c>
      <c r="G228" s="8">
        <v>14</v>
      </c>
      <c r="H228" s="8">
        <v>6068</v>
      </c>
      <c r="I228" s="8">
        <v>140911</v>
      </c>
      <c r="J228" s="16"/>
    </row>
    <row r="229" spans="1:10" s="4" customFormat="1" ht="11.25" x14ac:dyDescent="0.2">
      <c r="A229" s="8" t="s">
        <v>251</v>
      </c>
      <c r="B229" s="8">
        <v>133</v>
      </c>
      <c r="C229" s="8" t="s">
        <v>213</v>
      </c>
      <c r="D229" s="8" t="s">
        <v>214</v>
      </c>
      <c r="E229" s="8">
        <v>2</v>
      </c>
      <c r="F229" s="8">
        <v>33</v>
      </c>
      <c r="G229" s="8">
        <v>14</v>
      </c>
      <c r="H229" s="8">
        <v>5839</v>
      </c>
      <c r="I229" s="8">
        <v>140903</v>
      </c>
      <c r="J229" s="16"/>
    </row>
    <row r="230" spans="1:10" s="4" customFormat="1" ht="11.25" x14ac:dyDescent="0.2">
      <c r="A230" s="8" t="s">
        <v>251</v>
      </c>
      <c r="B230" s="8">
        <v>1830</v>
      </c>
      <c r="C230" s="8" t="s">
        <v>477</v>
      </c>
      <c r="D230" s="8" t="s">
        <v>417</v>
      </c>
      <c r="E230" s="8">
        <v>179</v>
      </c>
      <c r="F230" s="8">
        <v>2</v>
      </c>
      <c r="G230" s="8">
        <v>14</v>
      </c>
      <c r="H230" s="8">
        <v>5875</v>
      </c>
      <c r="I230" s="8">
        <v>140904</v>
      </c>
      <c r="J230" s="16"/>
    </row>
    <row r="231" spans="1:10" s="4" customFormat="1" ht="11.25" x14ac:dyDescent="0.2">
      <c r="A231" s="8" t="s">
        <v>251</v>
      </c>
      <c r="B231" s="8">
        <v>1658</v>
      </c>
      <c r="C231" s="8" t="s">
        <v>478</v>
      </c>
      <c r="D231" s="8" t="s">
        <v>479</v>
      </c>
      <c r="E231" s="8">
        <v>5</v>
      </c>
      <c r="F231" s="8">
        <v>4</v>
      </c>
      <c r="G231" s="8">
        <v>14</v>
      </c>
      <c r="H231" s="8">
        <v>6252</v>
      </c>
      <c r="I231" s="8">
        <v>140918</v>
      </c>
      <c r="J231" s="16"/>
    </row>
    <row r="232" spans="1:10" s="4" customFormat="1" ht="11.25" x14ac:dyDescent="0.2">
      <c r="A232" s="8" t="s">
        <v>251</v>
      </c>
      <c r="B232" s="8">
        <v>1620</v>
      </c>
      <c r="C232" s="8" t="s">
        <v>349</v>
      </c>
      <c r="D232" s="8" t="s">
        <v>350</v>
      </c>
      <c r="E232" s="8">
        <v>3</v>
      </c>
      <c r="F232" s="8">
        <v>6</v>
      </c>
      <c r="G232" s="8">
        <v>14</v>
      </c>
      <c r="H232" s="8">
        <v>6013</v>
      </c>
      <c r="I232" s="8">
        <v>140909</v>
      </c>
      <c r="J232" s="16"/>
    </row>
    <row r="233" spans="1:10" s="4" customFormat="1" ht="11.25" x14ac:dyDescent="0.2">
      <c r="A233" s="8" t="s">
        <v>251</v>
      </c>
      <c r="B233" s="8">
        <v>1104</v>
      </c>
      <c r="C233" s="8" t="s">
        <v>219</v>
      </c>
      <c r="D233" s="8" t="s">
        <v>220</v>
      </c>
      <c r="E233" s="8">
        <v>2</v>
      </c>
      <c r="F233" s="8">
        <v>14</v>
      </c>
      <c r="G233" s="8">
        <v>14</v>
      </c>
      <c r="H233" s="8">
        <v>6528</v>
      </c>
      <c r="I233" s="8">
        <v>140930</v>
      </c>
      <c r="J233" s="16"/>
    </row>
    <row r="234" spans="1:10" s="4" customFormat="1" ht="11.25" x14ac:dyDescent="0.2">
      <c r="A234" s="8" t="s">
        <v>251</v>
      </c>
      <c r="B234" s="8">
        <v>39</v>
      </c>
      <c r="C234" s="8" t="s">
        <v>282</v>
      </c>
      <c r="D234" s="8" t="s">
        <v>214</v>
      </c>
      <c r="E234" s="8">
        <v>3</v>
      </c>
      <c r="F234" s="8">
        <v>86</v>
      </c>
      <c r="G234" s="8">
        <v>14</v>
      </c>
      <c r="H234" s="8">
        <v>6514</v>
      </c>
      <c r="I234" s="8">
        <v>140930</v>
      </c>
      <c r="J234" s="16"/>
    </row>
    <row r="235" spans="1:10" s="4" customFormat="1" ht="11.25" x14ac:dyDescent="0.2">
      <c r="A235" s="8" t="s">
        <v>251</v>
      </c>
      <c r="B235" s="8">
        <v>43</v>
      </c>
      <c r="C235" s="8" t="s">
        <v>282</v>
      </c>
      <c r="D235" s="8" t="s">
        <v>214</v>
      </c>
      <c r="E235" s="8">
        <v>3</v>
      </c>
      <c r="F235" s="8">
        <v>87</v>
      </c>
      <c r="G235" s="8">
        <v>14</v>
      </c>
      <c r="H235" s="8">
        <v>6515</v>
      </c>
      <c r="I235" s="8">
        <v>140930</v>
      </c>
      <c r="J235" s="16"/>
    </row>
    <row r="236" spans="1:10" s="4" customFormat="1" ht="11.25" x14ac:dyDescent="0.2">
      <c r="A236" s="8" t="s">
        <v>251</v>
      </c>
      <c r="B236" s="8">
        <v>59</v>
      </c>
      <c r="C236" s="8" t="s">
        <v>282</v>
      </c>
      <c r="D236" s="8" t="s">
        <v>214</v>
      </c>
      <c r="E236" s="8">
        <v>3</v>
      </c>
      <c r="F236" s="8">
        <v>91</v>
      </c>
      <c r="G236" s="8">
        <v>14</v>
      </c>
      <c r="H236" s="8">
        <v>6340</v>
      </c>
      <c r="I236" s="8">
        <v>140923</v>
      </c>
      <c r="J236" s="16"/>
    </row>
    <row r="237" spans="1:10" s="4" customFormat="1" ht="11.25" x14ac:dyDescent="0.2">
      <c r="A237" s="8" t="s">
        <v>251</v>
      </c>
      <c r="B237" s="8">
        <v>3132</v>
      </c>
      <c r="C237" s="8" t="s">
        <v>54</v>
      </c>
      <c r="D237" s="8" t="s">
        <v>56</v>
      </c>
      <c r="E237" s="8">
        <v>2</v>
      </c>
      <c r="F237" s="8">
        <v>2</v>
      </c>
      <c r="G237" s="8">
        <v>14</v>
      </c>
      <c r="H237" s="8">
        <v>6267</v>
      </c>
      <c r="I237" s="8">
        <v>140918</v>
      </c>
      <c r="J237" s="16"/>
    </row>
    <row r="238" spans="1:10" s="4" customFormat="1" ht="11.25" x14ac:dyDescent="0.2">
      <c r="A238" s="8" t="s">
        <v>251</v>
      </c>
      <c r="B238" s="8">
        <v>3132</v>
      </c>
      <c r="C238" s="8" t="s">
        <v>54</v>
      </c>
      <c r="D238" s="8" t="s">
        <v>56</v>
      </c>
      <c r="E238" s="8">
        <v>2</v>
      </c>
      <c r="F238" s="8">
        <v>2</v>
      </c>
      <c r="G238" s="8">
        <v>14</v>
      </c>
      <c r="H238" s="8">
        <v>6318</v>
      </c>
      <c r="I238" s="8">
        <v>140922</v>
      </c>
      <c r="J238" s="16"/>
    </row>
    <row r="239" spans="1:10" s="4" customFormat="1" ht="11.25" x14ac:dyDescent="0.2">
      <c r="A239" s="8" t="s">
        <v>251</v>
      </c>
      <c r="B239" s="8">
        <v>540</v>
      </c>
      <c r="C239" s="8" t="s">
        <v>436</v>
      </c>
      <c r="D239" s="8" t="s">
        <v>437</v>
      </c>
      <c r="E239" s="8">
        <v>4</v>
      </c>
      <c r="F239" s="8">
        <v>3</v>
      </c>
      <c r="G239" s="8">
        <v>14</v>
      </c>
      <c r="H239" s="8">
        <v>5902</v>
      </c>
      <c r="I239" s="8">
        <v>140905</v>
      </c>
      <c r="J239" s="16"/>
    </row>
    <row r="240" spans="1:10" s="4" customFormat="1" ht="11.25" x14ac:dyDescent="0.2">
      <c r="A240" s="8" t="s">
        <v>251</v>
      </c>
      <c r="B240" s="8">
        <v>3806</v>
      </c>
      <c r="C240" s="8" t="s">
        <v>58</v>
      </c>
      <c r="D240" s="8" t="s">
        <v>60</v>
      </c>
      <c r="E240" s="8">
        <v>3</v>
      </c>
      <c r="F240" s="8">
        <v>2</v>
      </c>
      <c r="G240" s="8">
        <v>14</v>
      </c>
      <c r="H240" s="8">
        <v>6266</v>
      </c>
      <c r="I240" s="8">
        <v>140918</v>
      </c>
      <c r="J240" s="16"/>
    </row>
    <row r="241" spans="1:10" s="4" customFormat="1" ht="11.25" x14ac:dyDescent="0.2">
      <c r="A241" s="8" t="s">
        <v>251</v>
      </c>
      <c r="B241" s="8">
        <v>3806</v>
      </c>
      <c r="C241" s="8" t="s">
        <v>58</v>
      </c>
      <c r="D241" s="8" t="s">
        <v>60</v>
      </c>
      <c r="E241" s="8">
        <v>3</v>
      </c>
      <c r="F241" s="8">
        <v>2</v>
      </c>
      <c r="G241" s="8">
        <v>14</v>
      </c>
      <c r="H241" s="8">
        <v>6319</v>
      </c>
      <c r="I241" s="8">
        <v>140922</v>
      </c>
      <c r="J241" s="16"/>
    </row>
    <row r="242" spans="1:10" s="4" customFormat="1" ht="11.25" x14ac:dyDescent="0.2">
      <c r="A242" s="8" t="s">
        <v>251</v>
      </c>
      <c r="B242" s="8">
        <v>3807</v>
      </c>
      <c r="C242" s="8" t="s">
        <v>58</v>
      </c>
      <c r="D242" s="8" t="s">
        <v>60</v>
      </c>
      <c r="E242" s="8">
        <v>2</v>
      </c>
      <c r="F242" s="8">
        <v>2</v>
      </c>
      <c r="G242" s="8">
        <v>14</v>
      </c>
      <c r="H242" s="8">
        <v>5903</v>
      </c>
      <c r="I242" s="8">
        <v>140905</v>
      </c>
      <c r="J242" s="16"/>
    </row>
    <row r="243" spans="1:10" s="4" customFormat="1" ht="11.25" x14ac:dyDescent="0.2">
      <c r="A243" s="8" t="s">
        <v>251</v>
      </c>
      <c r="B243" s="8">
        <v>3810</v>
      </c>
      <c r="C243" s="8" t="s">
        <v>58</v>
      </c>
      <c r="D243" s="8" t="s">
        <v>60</v>
      </c>
      <c r="E243" s="8">
        <v>3</v>
      </c>
      <c r="F243" s="8">
        <v>3</v>
      </c>
      <c r="G243" s="8">
        <v>14</v>
      </c>
      <c r="H243" s="8">
        <v>6269</v>
      </c>
      <c r="I243" s="8">
        <v>140918</v>
      </c>
      <c r="J243" s="16"/>
    </row>
    <row r="244" spans="1:10" s="4" customFormat="1" ht="11.25" x14ac:dyDescent="0.2">
      <c r="A244" s="8" t="s">
        <v>251</v>
      </c>
      <c r="B244" s="8">
        <v>7565</v>
      </c>
      <c r="C244" s="8" t="s">
        <v>480</v>
      </c>
      <c r="D244" s="8" t="s">
        <v>99</v>
      </c>
      <c r="E244" s="8">
        <v>9</v>
      </c>
      <c r="F244" s="8">
        <v>10</v>
      </c>
      <c r="G244" s="8">
        <v>14</v>
      </c>
      <c r="H244" s="8">
        <v>6431</v>
      </c>
      <c r="I244" s="8">
        <v>140924</v>
      </c>
      <c r="J244" s="16"/>
    </row>
    <row r="245" spans="1:10" s="4" customFormat="1" ht="11.25" x14ac:dyDescent="0.2">
      <c r="A245" s="8" t="s">
        <v>251</v>
      </c>
      <c r="B245" s="8">
        <v>709</v>
      </c>
      <c r="C245" s="8" t="s">
        <v>140</v>
      </c>
      <c r="D245" s="8" t="s">
        <v>76</v>
      </c>
      <c r="E245" s="8">
        <v>150</v>
      </c>
      <c r="F245" s="8">
        <v>3</v>
      </c>
      <c r="G245" s="8">
        <v>14</v>
      </c>
      <c r="H245" s="8">
        <v>6029</v>
      </c>
      <c r="I245" s="8">
        <v>140910</v>
      </c>
      <c r="J245" s="16"/>
    </row>
    <row r="246" spans="1:10" s="4" customFormat="1" ht="11.25" x14ac:dyDescent="0.2">
      <c r="A246" s="8" t="s">
        <v>251</v>
      </c>
      <c r="B246" s="8">
        <v>6561</v>
      </c>
      <c r="C246" s="8" t="s">
        <v>287</v>
      </c>
      <c r="D246" s="8" t="s">
        <v>51</v>
      </c>
      <c r="E246" s="8">
        <v>1</v>
      </c>
      <c r="F246" s="8">
        <v>28</v>
      </c>
      <c r="G246" s="8">
        <v>14</v>
      </c>
      <c r="H246" s="8">
        <v>6239</v>
      </c>
      <c r="I246" s="8">
        <v>140917</v>
      </c>
      <c r="J246" s="16"/>
    </row>
    <row r="247" spans="1:10" s="4" customFormat="1" ht="11.25" x14ac:dyDescent="0.2">
      <c r="A247" s="8" t="s">
        <v>251</v>
      </c>
      <c r="B247" s="8">
        <v>7200</v>
      </c>
      <c r="C247" s="8" t="s">
        <v>80</v>
      </c>
      <c r="D247" s="8" t="s">
        <v>78</v>
      </c>
      <c r="E247" s="8">
        <v>117</v>
      </c>
      <c r="F247" s="8">
        <v>18</v>
      </c>
      <c r="G247" s="8">
        <v>14</v>
      </c>
      <c r="H247" s="8">
        <v>6470</v>
      </c>
      <c r="I247" s="8">
        <v>140929</v>
      </c>
      <c r="J247" s="16"/>
    </row>
    <row r="248" spans="1:10" s="4" customFormat="1" ht="11.25" x14ac:dyDescent="0.2">
      <c r="A248" s="8" t="s">
        <v>251</v>
      </c>
      <c r="B248" s="8">
        <v>5006</v>
      </c>
      <c r="C248" s="8" t="s">
        <v>439</v>
      </c>
      <c r="D248" s="8" t="s">
        <v>344</v>
      </c>
      <c r="E248" s="8">
        <v>4</v>
      </c>
      <c r="F248" s="8">
        <v>26</v>
      </c>
      <c r="G248" s="8">
        <v>14</v>
      </c>
      <c r="H248" s="8">
        <v>6169</v>
      </c>
      <c r="I248" s="8">
        <v>140916</v>
      </c>
      <c r="J248" s="16"/>
    </row>
    <row r="249" spans="1:10" s="4" customFormat="1" ht="11.25" x14ac:dyDescent="0.2">
      <c r="A249" s="8" t="s">
        <v>251</v>
      </c>
      <c r="B249" s="8">
        <v>7309</v>
      </c>
      <c r="C249" s="8" t="s">
        <v>245</v>
      </c>
      <c r="D249" s="8" t="s">
        <v>246</v>
      </c>
      <c r="E249" s="8">
        <v>2</v>
      </c>
      <c r="F249" s="8">
        <v>2</v>
      </c>
      <c r="G249" s="8">
        <v>14</v>
      </c>
      <c r="H249" s="8">
        <v>5893</v>
      </c>
      <c r="I249" s="8">
        <v>140904</v>
      </c>
      <c r="J249" s="16"/>
    </row>
    <row r="250" spans="1:10" s="4" customFormat="1" ht="11.25" x14ac:dyDescent="0.2">
      <c r="A250" s="8" t="s">
        <v>251</v>
      </c>
      <c r="B250" s="8">
        <v>7309</v>
      </c>
      <c r="C250" s="8" t="s">
        <v>245</v>
      </c>
      <c r="D250" s="8" t="s">
        <v>246</v>
      </c>
      <c r="E250" s="8">
        <v>2</v>
      </c>
      <c r="F250" s="8">
        <v>2</v>
      </c>
      <c r="G250" s="8">
        <v>14</v>
      </c>
      <c r="H250" s="8">
        <v>6073</v>
      </c>
      <c r="I250" s="8">
        <v>140911</v>
      </c>
      <c r="J250" s="16"/>
    </row>
    <row r="251" spans="1:10" s="4" customFormat="1" ht="11.25" x14ac:dyDescent="0.2">
      <c r="A251" s="8" t="s">
        <v>251</v>
      </c>
      <c r="B251" s="8">
        <v>407</v>
      </c>
      <c r="C251" s="8" t="s">
        <v>442</v>
      </c>
      <c r="D251" s="8" t="s">
        <v>443</v>
      </c>
      <c r="E251" s="8">
        <v>2</v>
      </c>
      <c r="F251" s="8">
        <v>10</v>
      </c>
      <c r="G251" s="8">
        <v>14</v>
      </c>
      <c r="H251" s="8">
        <v>6347</v>
      </c>
      <c r="I251" s="8">
        <v>140923</v>
      </c>
      <c r="J251" s="16"/>
    </row>
    <row r="252" spans="1:10" s="4" customFormat="1" ht="11.25" x14ac:dyDescent="0.2">
      <c r="A252" s="8" t="s">
        <v>251</v>
      </c>
      <c r="B252" s="8">
        <v>3812</v>
      </c>
      <c r="C252" s="8" t="s">
        <v>159</v>
      </c>
      <c r="D252" s="8" t="s">
        <v>62</v>
      </c>
      <c r="E252" s="8">
        <v>3</v>
      </c>
      <c r="F252" s="8">
        <v>11</v>
      </c>
      <c r="G252" s="8">
        <v>14</v>
      </c>
      <c r="H252" s="8">
        <v>5933</v>
      </c>
      <c r="I252" s="8">
        <v>140908</v>
      </c>
      <c r="J252" s="16"/>
    </row>
    <row r="253" spans="1:10" s="4" customFormat="1" ht="11.25" x14ac:dyDescent="0.2">
      <c r="A253" s="8" t="s">
        <v>251</v>
      </c>
      <c r="B253" s="8">
        <v>3821</v>
      </c>
      <c r="C253" s="8" t="s">
        <v>159</v>
      </c>
      <c r="D253" s="8" t="s">
        <v>62</v>
      </c>
      <c r="E253" s="8">
        <v>4</v>
      </c>
      <c r="F253" s="8">
        <v>5</v>
      </c>
      <c r="G253" s="8">
        <v>14</v>
      </c>
      <c r="H253" s="8">
        <v>6305</v>
      </c>
      <c r="I253" s="8">
        <v>140922</v>
      </c>
      <c r="J253" s="16"/>
    </row>
    <row r="254" spans="1:10" s="4" customFormat="1" ht="11.25" x14ac:dyDescent="0.2">
      <c r="A254" s="8" t="s">
        <v>251</v>
      </c>
      <c r="B254" s="8">
        <v>3821</v>
      </c>
      <c r="C254" s="8" t="s">
        <v>159</v>
      </c>
      <c r="D254" s="8" t="s">
        <v>62</v>
      </c>
      <c r="E254" s="8">
        <v>4</v>
      </c>
      <c r="F254" s="8">
        <v>5</v>
      </c>
      <c r="G254" s="8">
        <v>14</v>
      </c>
      <c r="H254" s="8">
        <v>6312</v>
      </c>
      <c r="I254" s="8">
        <v>140922</v>
      </c>
      <c r="J254" s="16"/>
    </row>
    <row r="255" spans="1:10" s="4" customFormat="1" ht="11.25" x14ac:dyDescent="0.2">
      <c r="A255" s="8" t="s">
        <v>251</v>
      </c>
      <c r="B255" s="8">
        <v>3828</v>
      </c>
      <c r="C255" s="8" t="s">
        <v>159</v>
      </c>
      <c r="D255" s="8" t="s">
        <v>62</v>
      </c>
      <c r="E255" s="8">
        <v>3</v>
      </c>
      <c r="F255" s="8">
        <v>7</v>
      </c>
      <c r="G255" s="8">
        <v>14</v>
      </c>
      <c r="H255" s="8">
        <v>6510</v>
      </c>
      <c r="I255" s="8">
        <v>140930</v>
      </c>
      <c r="J255" s="16"/>
    </row>
    <row r="256" spans="1:10" s="4" customFormat="1" ht="11.25" x14ac:dyDescent="0.2">
      <c r="A256" s="8" t="s">
        <v>251</v>
      </c>
      <c r="B256" s="8">
        <v>273</v>
      </c>
      <c r="C256" s="8" t="s">
        <v>481</v>
      </c>
      <c r="D256" s="8" t="s">
        <v>135</v>
      </c>
      <c r="E256" s="8" t="s">
        <v>482</v>
      </c>
      <c r="F256" s="8">
        <v>14</v>
      </c>
      <c r="G256" s="8">
        <v>14</v>
      </c>
      <c r="H256" s="8">
        <v>6044</v>
      </c>
      <c r="I256" s="8">
        <v>140910</v>
      </c>
      <c r="J256" s="16"/>
    </row>
    <row r="257" spans="1:10" s="4" customFormat="1" ht="11.25" x14ac:dyDescent="0.2">
      <c r="A257" s="8" t="s">
        <v>251</v>
      </c>
      <c r="B257" s="8">
        <v>380</v>
      </c>
      <c r="C257" s="8" t="s">
        <v>355</v>
      </c>
      <c r="D257" s="8" t="s">
        <v>356</v>
      </c>
      <c r="E257" s="8">
        <v>3</v>
      </c>
      <c r="F257" s="8">
        <v>12</v>
      </c>
      <c r="G257" s="8">
        <v>14</v>
      </c>
      <c r="H257" s="8">
        <v>6057</v>
      </c>
      <c r="I257" s="8">
        <v>140911</v>
      </c>
      <c r="J257" s="16"/>
    </row>
    <row r="258" spans="1:10" s="4" customFormat="1" ht="11.25" x14ac:dyDescent="0.2">
      <c r="A258" s="8" t="s">
        <v>251</v>
      </c>
      <c r="B258" s="8">
        <v>301</v>
      </c>
      <c r="C258" s="8" t="s">
        <v>446</v>
      </c>
      <c r="D258" s="8" t="s">
        <v>260</v>
      </c>
      <c r="E258" s="8">
        <v>21</v>
      </c>
      <c r="F258" s="8">
        <v>20</v>
      </c>
      <c r="G258" s="8">
        <v>14</v>
      </c>
      <c r="H258" s="8">
        <v>6232</v>
      </c>
      <c r="I258" s="8">
        <v>140917</v>
      </c>
      <c r="J258" s="16"/>
    </row>
    <row r="259" spans="1:10" s="4" customFormat="1" ht="11.25" x14ac:dyDescent="0.2">
      <c r="A259" s="8" t="s">
        <v>251</v>
      </c>
      <c r="B259" s="8">
        <v>6080</v>
      </c>
      <c r="C259" s="8" t="s">
        <v>247</v>
      </c>
      <c r="D259" s="8" t="s">
        <v>248</v>
      </c>
      <c r="E259" s="8">
        <v>1</v>
      </c>
      <c r="F259" s="8">
        <v>28</v>
      </c>
      <c r="G259" s="8">
        <v>14</v>
      </c>
      <c r="H259" s="8">
        <v>6050</v>
      </c>
      <c r="I259" s="8">
        <v>140910</v>
      </c>
      <c r="J259" s="16"/>
    </row>
    <row r="260" spans="1:10" s="4" customFormat="1" ht="11.25" x14ac:dyDescent="0.2">
      <c r="A260" s="8" t="s">
        <v>251</v>
      </c>
      <c r="B260" s="8">
        <v>1301</v>
      </c>
      <c r="C260" s="8" t="s">
        <v>483</v>
      </c>
      <c r="D260" s="8" t="s">
        <v>484</v>
      </c>
      <c r="E260" s="8">
        <v>11</v>
      </c>
      <c r="F260" s="8">
        <v>10</v>
      </c>
      <c r="G260" s="8">
        <v>14</v>
      </c>
      <c r="H260" s="8">
        <v>6480</v>
      </c>
      <c r="I260" s="8">
        <v>140929</v>
      </c>
      <c r="J260" s="16"/>
    </row>
    <row r="261" spans="1:10" s="4" customFormat="1" ht="11.25" x14ac:dyDescent="0.2">
      <c r="A261" s="8" t="s">
        <v>251</v>
      </c>
      <c r="B261" s="8">
        <v>6119</v>
      </c>
      <c r="C261" s="8" t="s">
        <v>162</v>
      </c>
      <c r="D261" s="8" t="s">
        <v>163</v>
      </c>
      <c r="E261" s="8" t="s">
        <v>128</v>
      </c>
      <c r="F261" s="8">
        <v>38</v>
      </c>
      <c r="G261" s="8">
        <v>14</v>
      </c>
      <c r="H261" s="8">
        <v>5900</v>
      </c>
      <c r="I261" s="8">
        <v>140905</v>
      </c>
      <c r="J261" s="16"/>
    </row>
    <row r="262" spans="1:10" s="4" customFormat="1" ht="11.25" x14ac:dyDescent="0.2">
      <c r="A262" s="8" t="s">
        <v>251</v>
      </c>
      <c r="B262" s="8">
        <v>2625</v>
      </c>
      <c r="C262" s="8" t="s">
        <v>485</v>
      </c>
      <c r="D262" s="8" t="s">
        <v>257</v>
      </c>
      <c r="E262" s="8">
        <v>15</v>
      </c>
      <c r="F262" s="8">
        <v>6</v>
      </c>
      <c r="G262" s="8">
        <v>14</v>
      </c>
      <c r="H262" s="8">
        <v>5890</v>
      </c>
      <c r="I262" s="8">
        <v>140904</v>
      </c>
      <c r="J262" s="16"/>
    </row>
    <row r="263" spans="1:10" s="4" customFormat="1" ht="11.25" x14ac:dyDescent="0.2">
      <c r="A263" s="8" t="s">
        <v>251</v>
      </c>
      <c r="B263" s="8">
        <v>541</v>
      </c>
      <c r="C263" s="8" t="s">
        <v>449</v>
      </c>
      <c r="D263" s="8" t="s">
        <v>342</v>
      </c>
      <c r="E263" s="8">
        <v>2</v>
      </c>
      <c r="F263" s="8">
        <v>12</v>
      </c>
      <c r="G263" s="8">
        <v>14</v>
      </c>
      <c r="H263" s="8">
        <v>6259</v>
      </c>
      <c r="I263" s="8">
        <v>140918</v>
      </c>
      <c r="J263" s="16"/>
    </row>
    <row r="264" spans="1:10" s="4" customFormat="1" ht="11.25" x14ac:dyDescent="0.2">
      <c r="A264" s="8" t="s">
        <v>251</v>
      </c>
      <c r="B264" s="8">
        <v>1728</v>
      </c>
      <c r="C264" s="8" t="s">
        <v>450</v>
      </c>
      <c r="D264" s="8" t="s">
        <v>81</v>
      </c>
      <c r="E264" s="8">
        <v>15</v>
      </c>
      <c r="F264" s="8">
        <v>8</v>
      </c>
      <c r="G264" s="8">
        <v>14</v>
      </c>
      <c r="H264" s="8">
        <v>6094</v>
      </c>
      <c r="I264" s="8">
        <v>140912</v>
      </c>
      <c r="J264" s="16"/>
    </row>
    <row r="265" spans="1:10" s="4" customFormat="1" ht="11.25" x14ac:dyDescent="0.2">
      <c r="A265" s="8" t="s">
        <v>251</v>
      </c>
      <c r="B265" s="8">
        <v>768</v>
      </c>
      <c r="C265" s="8" t="s">
        <v>364</v>
      </c>
      <c r="D265" s="8" t="s">
        <v>365</v>
      </c>
      <c r="E265" s="8">
        <v>4</v>
      </c>
      <c r="F265" s="8">
        <v>2</v>
      </c>
      <c r="G265" s="8">
        <v>14</v>
      </c>
      <c r="H265" s="8">
        <v>6111</v>
      </c>
      <c r="I265" s="8">
        <v>140912</v>
      </c>
      <c r="J265" s="16"/>
    </row>
    <row r="266" spans="1:10" s="4" customFormat="1" ht="11.25" x14ac:dyDescent="0.2">
      <c r="A266" s="8" t="s">
        <v>251</v>
      </c>
      <c r="B266" s="8">
        <v>813</v>
      </c>
      <c r="C266" s="8" t="s">
        <v>364</v>
      </c>
      <c r="D266" s="8" t="s">
        <v>365</v>
      </c>
      <c r="E266" s="8">
        <v>5</v>
      </c>
      <c r="F266" s="8">
        <v>6</v>
      </c>
      <c r="G266" s="8">
        <v>14</v>
      </c>
      <c r="H266" s="8">
        <v>6151</v>
      </c>
      <c r="I266" s="8">
        <v>140916</v>
      </c>
      <c r="J266" s="16"/>
    </row>
    <row r="267" spans="1:10" s="4" customFormat="1" ht="11.25" x14ac:dyDescent="0.2">
      <c r="A267" s="8" t="s">
        <v>251</v>
      </c>
      <c r="B267" s="8">
        <v>813</v>
      </c>
      <c r="C267" s="8" t="s">
        <v>364</v>
      </c>
      <c r="D267" s="8" t="s">
        <v>365</v>
      </c>
      <c r="E267" s="8">
        <v>5</v>
      </c>
      <c r="F267" s="8">
        <v>6</v>
      </c>
      <c r="G267" s="8">
        <v>14</v>
      </c>
      <c r="H267" s="8">
        <v>6243</v>
      </c>
      <c r="I267" s="8">
        <v>140917</v>
      </c>
      <c r="J267" s="16"/>
    </row>
    <row r="268" spans="1:10" s="4" customFormat="1" ht="11.25" x14ac:dyDescent="0.2">
      <c r="A268" s="8" t="s">
        <v>251</v>
      </c>
      <c r="B268" s="8">
        <v>3213</v>
      </c>
      <c r="C268" s="8" t="s">
        <v>231</v>
      </c>
      <c r="D268" s="8" t="s">
        <v>232</v>
      </c>
      <c r="E268" s="8">
        <v>11</v>
      </c>
      <c r="F268" s="8">
        <v>13</v>
      </c>
      <c r="G268" s="8">
        <v>14</v>
      </c>
      <c r="H268" s="8">
        <v>6041</v>
      </c>
      <c r="I268" s="8">
        <v>140910</v>
      </c>
      <c r="J268" s="16"/>
    </row>
    <row r="269" spans="1:10" s="4" customFormat="1" ht="11.25" x14ac:dyDescent="0.2">
      <c r="A269" s="8" t="s">
        <v>251</v>
      </c>
      <c r="B269" s="8">
        <v>307</v>
      </c>
      <c r="C269" s="8" t="s">
        <v>336</v>
      </c>
      <c r="D269" s="8" t="s">
        <v>337</v>
      </c>
      <c r="E269" s="8">
        <v>2</v>
      </c>
      <c r="F269" s="8">
        <v>18</v>
      </c>
      <c r="G269" s="8">
        <v>14</v>
      </c>
      <c r="H269" s="8">
        <v>6164</v>
      </c>
      <c r="I269" s="8">
        <v>140916</v>
      </c>
      <c r="J269" s="16"/>
    </row>
    <row r="270" spans="1:10" s="4" customFormat="1" ht="11.25" x14ac:dyDescent="0.2">
      <c r="A270" s="8" t="s">
        <v>251</v>
      </c>
      <c r="B270" s="8">
        <v>600</v>
      </c>
      <c r="C270" s="8" t="s">
        <v>71</v>
      </c>
      <c r="D270" s="8" t="s">
        <v>72</v>
      </c>
      <c r="E270" s="8">
        <v>3</v>
      </c>
      <c r="F270" s="8">
        <v>16</v>
      </c>
      <c r="G270" s="8">
        <v>14</v>
      </c>
      <c r="H270" s="8">
        <v>5844</v>
      </c>
      <c r="I270" s="8">
        <v>140903</v>
      </c>
      <c r="J270" s="16"/>
    </row>
    <row r="271" spans="1:10" s="4" customFormat="1" ht="11.25" x14ac:dyDescent="0.2">
      <c r="A271" s="8" t="s">
        <v>251</v>
      </c>
      <c r="B271" s="8">
        <v>600</v>
      </c>
      <c r="C271" s="8" t="s">
        <v>71</v>
      </c>
      <c r="D271" s="8" t="s">
        <v>72</v>
      </c>
      <c r="E271" s="8">
        <v>3</v>
      </c>
      <c r="F271" s="8">
        <v>16</v>
      </c>
      <c r="G271" s="8">
        <v>14</v>
      </c>
      <c r="H271" s="8">
        <v>6103</v>
      </c>
      <c r="I271" s="8">
        <v>140912</v>
      </c>
      <c r="J271" s="16"/>
    </row>
    <row r="272" spans="1:10" s="4" customFormat="1" ht="11.25" x14ac:dyDescent="0.2">
      <c r="A272" s="8" t="s">
        <v>251</v>
      </c>
      <c r="B272" s="8">
        <v>1810</v>
      </c>
      <c r="C272" s="8" t="s">
        <v>141</v>
      </c>
      <c r="D272" s="8" t="s">
        <v>142</v>
      </c>
      <c r="E272" s="8">
        <v>4</v>
      </c>
      <c r="F272" s="8">
        <v>1</v>
      </c>
      <c r="G272" s="8">
        <v>14</v>
      </c>
      <c r="H272" s="8">
        <v>6138</v>
      </c>
      <c r="I272" s="8">
        <v>140916</v>
      </c>
      <c r="J272" s="16"/>
    </row>
    <row r="273" spans="1:10" s="4" customFormat="1" ht="11.25" x14ac:dyDescent="0.2">
      <c r="A273" s="8" t="s">
        <v>251</v>
      </c>
      <c r="B273" s="8">
        <v>2775</v>
      </c>
      <c r="C273" s="8" t="s">
        <v>459</v>
      </c>
      <c r="D273" s="8" t="s">
        <v>290</v>
      </c>
      <c r="E273" s="8" t="s">
        <v>460</v>
      </c>
      <c r="F273" s="8">
        <v>13</v>
      </c>
      <c r="G273" s="8">
        <v>14</v>
      </c>
      <c r="H273" s="8">
        <v>6435</v>
      </c>
      <c r="I273" s="8">
        <v>140924</v>
      </c>
      <c r="J273" s="16"/>
    </row>
    <row r="274" spans="1:10" s="4" customFormat="1" ht="11.25" x14ac:dyDescent="0.2">
      <c r="A274" s="8" t="s">
        <v>251</v>
      </c>
      <c r="B274" s="8">
        <v>6755</v>
      </c>
      <c r="C274" s="8" t="s">
        <v>331</v>
      </c>
      <c r="D274" s="8" t="s">
        <v>81</v>
      </c>
      <c r="E274" s="8">
        <v>14</v>
      </c>
      <c r="F274" s="8">
        <v>2</v>
      </c>
      <c r="G274" s="8">
        <v>14</v>
      </c>
      <c r="H274" s="8">
        <v>6338</v>
      </c>
      <c r="I274" s="8">
        <v>140923</v>
      </c>
      <c r="J274" s="16"/>
    </row>
    <row r="275" spans="1:10" s="4" customFormat="1" ht="11.25" x14ac:dyDescent="0.2">
      <c r="A275" s="8" t="s">
        <v>251</v>
      </c>
      <c r="B275" s="8">
        <v>1404</v>
      </c>
      <c r="C275" s="8" t="s">
        <v>240</v>
      </c>
      <c r="D275" s="8" t="s">
        <v>85</v>
      </c>
      <c r="E275" s="8">
        <v>24</v>
      </c>
      <c r="F275" s="8">
        <v>27</v>
      </c>
      <c r="G275" s="8">
        <v>14</v>
      </c>
      <c r="H275" s="8">
        <v>6303</v>
      </c>
      <c r="I275" s="8">
        <v>140922</v>
      </c>
      <c r="J275" s="16"/>
    </row>
    <row r="276" spans="1:10" s="4" customFormat="1" ht="11.25" x14ac:dyDescent="0.2">
      <c r="A276" s="8" t="s">
        <v>251</v>
      </c>
      <c r="B276" s="8">
        <v>1115</v>
      </c>
      <c r="C276" s="8" t="s">
        <v>114</v>
      </c>
      <c r="D276" s="8" t="s">
        <v>87</v>
      </c>
      <c r="E276" s="8">
        <v>89</v>
      </c>
      <c r="F276" s="8" t="s">
        <v>170</v>
      </c>
      <c r="G276" s="8">
        <v>14</v>
      </c>
      <c r="H276" s="8">
        <v>6497</v>
      </c>
      <c r="I276" s="8">
        <v>140929</v>
      </c>
      <c r="J276" s="16"/>
    </row>
    <row r="277" spans="1:10" s="4" customFormat="1" ht="11.25" x14ac:dyDescent="0.2">
      <c r="A277" s="8" t="s">
        <v>251</v>
      </c>
      <c r="B277" s="8">
        <v>1700</v>
      </c>
      <c r="C277" s="8" t="s">
        <v>463</v>
      </c>
      <c r="D277" s="8" t="s">
        <v>87</v>
      </c>
      <c r="E277" s="8">
        <v>13</v>
      </c>
      <c r="F277" s="8">
        <v>14</v>
      </c>
      <c r="G277" s="8">
        <v>14</v>
      </c>
      <c r="H277" s="8">
        <v>6034</v>
      </c>
      <c r="I277" s="8">
        <v>140910</v>
      </c>
      <c r="J277" s="16"/>
    </row>
    <row r="278" spans="1:10" s="4" customFormat="1" ht="11.25" x14ac:dyDescent="0.2">
      <c r="A278" s="8" t="s">
        <v>251</v>
      </c>
      <c r="B278" s="8">
        <v>1820</v>
      </c>
      <c r="C278" s="8" t="s">
        <v>463</v>
      </c>
      <c r="D278" s="8" t="s">
        <v>87</v>
      </c>
      <c r="E278" s="8">
        <v>13</v>
      </c>
      <c r="F278" s="8">
        <v>2</v>
      </c>
      <c r="G278" s="8">
        <v>14</v>
      </c>
      <c r="H278" s="8">
        <v>6022</v>
      </c>
      <c r="I278" s="8">
        <v>140910</v>
      </c>
      <c r="J278" s="16"/>
    </row>
    <row r="279" spans="1:10" s="4" customFormat="1" ht="11.25" x14ac:dyDescent="0.2">
      <c r="A279" s="8" t="s">
        <v>251</v>
      </c>
      <c r="B279" s="8">
        <v>1508</v>
      </c>
      <c r="C279" s="8" t="s">
        <v>303</v>
      </c>
      <c r="D279" s="8" t="s">
        <v>87</v>
      </c>
      <c r="E279" s="8">
        <v>27</v>
      </c>
      <c r="F279" s="8">
        <v>8</v>
      </c>
      <c r="G279" s="8">
        <v>14</v>
      </c>
      <c r="H279" s="8">
        <v>6036</v>
      </c>
      <c r="I279" s="8">
        <v>140910</v>
      </c>
      <c r="J279" s="16"/>
    </row>
    <row r="280" spans="1:10" s="4" customFormat="1" ht="22.5" x14ac:dyDescent="0.2">
      <c r="A280" s="100" t="s">
        <v>263</v>
      </c>
      <c r="B280" s="8">
        <f>279-208</f>
        <v>71</v>
      </c>
      <c r="C280" s="121"/>
      <c r="D280" s="121"/>
      <c r="E280" s="121"/>
      <c r="F280" s="121"/>
      <c r="G280" s="121"/>
      <c r="H280" s="121"/>
      <c r="I280" s="121"/>
      <c r="J280" s="16"/>
    </row>
    <row r="281" spans="1:10" s="4" customFormat="1" ht="11.25" x14ac:dyDescent="0.2">
      <c r="A281" s="123" t="s">
        <v>264</v>
      </c>
      <c r="B281" s="121"/>
      <c r="C281" s="121"/>
      <c r="D281" s="121"/>
      <c r="E281" s="121"/>
      <c r="F281" s="121"/>
      <c r="G281" s="121"/>
      <c r="H281" s="121"/>
      <c r="I281" s="121"/>
      <c r="J281" s="16"/>
    </row>
    <row r="282" spans="1:10" s="4" customFormat="1" ht="11.25" x14ac:dyDescent="0.2">
      <c r="A282" s="8" t="s">
        <v>265</v>
      </c>
      <c r="B282" s="8">
        <v>4504</v>
      </c>
      <c r="C282" s="8" t="s">
        <v>467</v>
      </c>
      <c r="D282" s="8" t="s">
        <v>93</v>
      </c>
      <c r="E282" s="8"/>
      <c r="F282" s="8"/>
      <c r="G282" s="8">
        <v>14</v>
      </c>
      <c r="H282" s="8">
        <v>6311</v>
      </c>
      <c r="I282" s="8">
        <v>140922</v>
      </c>
      <c r="J282" s="16"/>
    </row>
    <row r="283" spans="1:10" s="4" customFormat="1" ht="11.25" x14ac:dyDescent="0.2">
      <c r="A283" s="8" t="s">
        <v>265</v>
      </c>
      <c r="B283" s="8">
        <v>4500</v>
      </c>
      <c r="C283" s="8" t="s">
        <v>486</v>
      </c>
      <c r="D283" s="8" t="s">
        <v>93</v>
      </c>
      <c r="E283" s="8"/>
      <c r="F283" s="8"/>
      <c r="G283" s="8">
        <v>14</v>
      </c>
      <c r="H283" s="8">
        <v>6030</v>
      </c>
      <c r="I283" s="8">
        <v>140910</v>
      </c>
      <c r="J283" s="16"/>
    </row>
    <row r="284" spans="1:10" s="4" customFormat="1" ht="11.25" x14ac:dyDescent="0.2">
      <c r="A284" s="8" t="s">
        <v>265</v>
      </c>
      <c r="B284" s="8">
        <v>4500</v>
      </c>
      <c r="C284" s="8" t="s">
        <v>486</v>
      </c>
      <c r="D284" s="8" t="s">
        <v>93</v>
      </c>
      <c r="E284" s="8"/>
      <c r="F284" s="8"/>
      <c r="G284" s="8">
        <v>14</v>
      </c>
      <c r="H284" s="8">
        <v>6031</v>
      </c>
      <c r="I284" s="8">
        <v>140910</v>
      </c>
      <c r="J284" s="16"/>
    </row>
    <row r="285" spans="1:10" s="4" customFormat="1" ht="11.25" x14ac:dyDescent="0.2">
      <c r="A285" s="8" t="s">
        <v>265</v>
      </c>
      <c r="B285" s="8">
        <v>4131</v>
      </c>
      <c r="C285" s="8" t="s">
        <v>487</v>
      </c>
      <c r="D285" s="8" t="s">
        <v>118</v>
      </c>
      <c r="E285" s="8" t="s">
        <v>488</v>
      </c>
      <c r="F285" s="8">
        <v>8</v>
      </c>
      <c r="G285" s="8">
        <v>14</v>
      </c>
      <c r="H285" s="8">
        <v>5924</v>
      </c>
      <c r="I285" s="8">
        <v>140905</v>
      </c>
      <c r="J285" s="16"/>
    </row>
    <row r="286" spans="1:10" s="4" customFormat="1" ht="11.25" x14ac:dyDescent="0.2">
      <c r="A286" s="8" t="s">
        <v>265</v>
      </c>
      <c r="B286" s="8">
        <v>4131</v>
      </c>
      <c r="C286" s="8" t="s">
        <v>487</v>
      </c>
      <c r="D286" s="8" t="s">
        <v>118</v>
      </c>
      <c r="E286" s="8" t="s">
        <v>488</v>
      </c>
      <c r="F286" s="8">
        <v>8</v>
      </c>
      <c r="G286" s="8">
        <v>14</v>
      </c>
      <c r="H286" s="8">
        <v>5925</v>
      </c>
      <c r="I286" s="8">
        <v>140905</v>
      </c>
      <c r="J286" s="16"/>
    </row>
    <row r="287" spans="1:10" s="4" customFormat="1" ht="11.25" x14ac:dyDescent="0.2">
      <c r="A287" s="8" t="s">
        <v>265</v>
      </c>
      <c r="B287" s="8">
        <v>823</v>
      </c>
      <c r="C287" s="8" t="s">
        <v>273</v>
      </c>
      <c r="D287" s="8" t="s">
        <v>274</v>
      </c>
      <c r="E287" s="8"/>
      <c r="F287" s="8">
        <v>15</v>
      </c>
      <c r="G287" s="8">
        <v>14</v>
      </c>
      <c r="H287" s="8">
        <v>5928</v>
      </c>
      <c r="I287" s="8">
        <v>140908</v>
      </c>
      <c r="J287" s="16"/>
    </row>
    <row r="288" spans="1:10" s="4" customFormat="1" ht="11.25" x14ac:dyDescent="0.2">
      <c r="A288" s="8" t="s">
        <v>265</v>
      </c>
      <c r="B288" s="8">
        <v>823</v>
      </c>
      <c r="C288" s="8" t="s">
        <v>273</v>
      </c>
      <c r="D288" s="8" t="s">
        <v>274</v>
      </c>
      <c r="E288" s="8"/>
      <c r="F288" s="8">
        <v>15</v>
      </c>
      <c r="G288" s="8">
        <v>14</v>
      </c>
      <c r="H288" s="8">
        <v>5929</v>
      </c>
      <c r="I288" s="8">
        <v>140908</v>
      </c>
      <c r="J288" s="16"/>
    </row>
    <row r="289" spans="1:10" s="4" customFormat="1" ht="11.25" x14ac:dyDescent="0.2">
      <c r="A289" s="8" t="s">
        <v>265</v>
      </c>
      <c r="B289" s="8">
        <v>823</v>
      </c>
      <c r="C289" s="8" t="s">
        <v>273</v>
      </c>
      <c r="D289" s="8" t="s">
        <v>274</v>
      </c>
      <c r="E289" s="8"/>
      <c r="F289" s="8">
        <v>15</v>
      </c>
      <c r="G289" s="8">
        <v>14</v>
      </c>
      <c r="H289" s="8">
        <v>5930</v>
      </c>
      <c r="I289" s="8">
        <v>140908</v>
      </c>
      <c r="J289" s="16"/>
    </row>
    <row r="290" spans="1:10" s="4" customFormat="1" ht="11.25" x14ac:dyDescent="0.2">
      <c r="A290" s="8" t="s">
        <v>265</v>
      </c>
      <c r="B290" s="8">
        <v>823</v>
      </c>
      <c r="C290" s="8" t="s">
        <v>273</v>
      </c>
      <c r="D290" s="8" t="s">
        <v>274</v>
      </c>
      <c r="E290" s="8"/>
      <c r="F290" s="8">
        <v>15</v>
      </c>
      <c r="G290" s="8">
        <v>14</v>
      </c>
      <c r="H290" s="8">
        <v>5931</v>
      </c>
      <c r="I290" s="8">
        <v>140908</v>
      </c>
      <c r="J290" s="16"/>
    </row>
    <row r="291" spans="1:10" s="4" customFormat="1" ht="11.25" x14ac:dyDescent="0.2">
      <c r="A291" s="8" t="s">
        <v>265</v>
      </c>
      <c r="B291" s="8">
        <v>4321</v>
      </c>
      <c r="C291" s="8" t="s">
        <v>469</v>
      </c>
      <c r="D291" s="8" t="s">
        <v>470</v>
      </c>
      <c r="E291" s="8" t="s">
        <v>128</v>
      </c>
      <c r="F291" s="8" t="s">
        <v>471</v>
      </c>
      <c r="G291" s="8">
        <v>14</v>
      </c>
      <c r="H291" s="8">
        <v>6513</v>
      </c>
      <c r="I291" s="8">
        <v>140930</v>
      </c>
      <c r="J291" s="16"/>
    </row>
    <row r="292" spans="1:10" s="4" customFormat="1" ht="11.25" x14ac:dyDescent="0.2">
      <c r="A292" s="8" t="s">
        <v>265</v>
      </c>
      <c r="B292" s="8">
        <v>1001</v>
      </c>
      <c r="C292" s="8" t="s">
        <v>122</v>
      </c>
      <c r="D292" s="8" t="s">
        <v>87</v>
      </c>
      <c r="E292" s="8"/>
      <c r="F292" s="8"/>
      <c r="G292" s="8">
        <v>14</v>
      </c>
      <c r="H292" s="8">
        <v>6004</v>
      </c>
      <c r="I292" s="8">
        <v>140909</v>
      </c>
      <c r="J292" s="16"/>
    </row>
    <row r="293" spans="1:10" s="4" customFormat="1" ht="11.25" x14ac:dyDescent="0.2">
      <c r="A293" s="8" t="s">
        <v>265</v>
      </c>
      <c r="B293" s="8">
        <v>3441</v>
      </c>
      <c r="C293" s="8" t="s">
        <v>266</v>
      </c>
      <c r="D293" s="8" t="s">
        <v>206</v>
      </c>
      <c r="E293" s="8">
        <v>85</v>
      </c>
      <c r="F293" s="8" t="s">
        <v>404</v>
      </c>
      <c r="G293" s="8">
        <v>14</v>
      </c>
      <c r="H293" s="8">
        <v>6199</v>
      </c>
      <c r="I293" s="8">
        <v>140917</v>
      </c>
      <c r="J293" s="16"/>
    </row>
    <row r="294" spans="1:10" s="4" customFormat="1" ht="11.25" x14ac:dyDescent="0.2">
      <c r="A294" s="8" t="s">
        <v>265</v>
      </c>
      <c r="B294" s="8">
        <v>4300</v>
      </c>
      <c r="C294" s="8" t="s">
        <v>489</v>
      </c>
      <c r="D294" s="8" t="s">
        <v>490</v>
      </c>
      <c r="E294" s="8" t="s">
        <v>128</v>
      </c>
      <c r="F294" s="8"/>
      <c r="G294" s="8">
        <v>14</v>
      </c>
      <c r="H294" s="8">
        <v>6509</v>
      </c>
      <c r="I294" s="8">
        <v>140930</v>
      </c>
      <c r="J294" s="16"/>
    </row>
    <row r="295" spans="1:10" s="4" customFormat="1" ht="11.25" x14ac:dyDescent="0.2">
      <c r="A295" s="8" t="s">
        <v>265</v>
      </c>
      <c r="B295" s="8">
        <v>4100</v>
      </c>
      <c r="C295" s="8" t="s">
        <v>82</v>
      </c>
      <c r="D295" s="8"/>
      <c r="E295" s="8"/>
      <c r="F295" s="8"/>
      <c r="G295" s="8">
        <v>14</v>
      </c>
      <c r="H295" s="8">
        <v>6078</v>
      </c>
      <c r="I295" s="8">
        <v>140912</v>
      </c>
      <c r="J295" s="16"/>
    </row>
    <row r="296" spans="1:10" s="4" customFormat="1" ht="11.25" x14ac:dyDescent="0.2">
      <c r="A296" s="8" t="s">
        <v>265</v>
      </c>
      <c r="B296" s="8">
        <v>2400</v>
      </c>
      <c r="C296" s="8" t="s">
        <v>200</v>
      </c>
      <c r="D296" s="8" t="s">
        <v>202</v>
      </c>
      <c r="E296" s="8"/>
      <c r="F296" s="8"/>
      <c r="G296" s="8">
        <v>14</v>
      </c>
      <c r="H296" s="8">
        <v>5810</v>
      </c>
      <c r="I296" s="8">
        <v>140902</v>
      </c>
      <c r="J296" s="16"/>
    </row>
    <row r="297" spans="1:10" s="4" customFormat="1" ht="11.25" x14ac:dyDescent="0.2">
      <c r="A297" s="8" t="s">
        <v>270</v>
      </c>
      <c r="B297" s="8">
        <v>1510</v>
      </c>
      <c r="C297" s="8" t="s">
        <v>382</v>
      </c>
      <c r="D297" s="8" t="s">
        <v>142</v>
      </c>
      <c r="E297" s="8">
        <v>10</v>
      </c>
      <c r="F297" s="8">
        <v>1</v>
      </c>
      <c r="G297" s="8">
        <v>14</v>
      </c>
      <c r="H297" s="8">
        <v>6409</v>
      </c>
      <c r="I297" s="8">
        <v>140924</v>
      </c>
      <c r="J297" s="16"/>
    </row>
    <row r="298" spans="1:10" s="4" customFormat="1" ht="11.25" x14ac:dyDescent="0.2">
      <c r="A298" s="8" t="s">
        <v>270</v>
      </c>
      <c r="B298" s="8">
        <v>7081</v>
      </c>
      <c r="C298" s="8" t="s">
        <v>491</v>
      </c>
      <c r="D298" s="8" t="s">
        <v>271</v>
      </c>
      <c r="E298" s="8">
        <v>6</v>
      </c>
      <c r="F298" s="8">
        <v>8</v>
      </c>
      <c r="G298" s="8">
        <v>14</v>
      </c>
      <c r="H298" s="8">
        <v>6367</v>
      </c>
      <c r="I298" s="8">
        <v>140923</v>
      </c>
      <c r="J298" s="16"/>
    </row>
    <row r="299" spans="1:10" s="4" customFormat="1" ht="11.25" x14ac:dyDescent="0.2">
      <c r="A299" s="8" t="s">
        <v>270</v>
      </c>
      <c r="B299" s="8">
        <v>522</v>
      </c>
      <c r="C299" s="8" t="s">
        <v>492</v>
      </c>
      <c r="D299" s="8" t="s">
        <v>493</v>
      </c>
      <c r="E299" s="8" t="s">
        <v>494</v>
      </c>
      <c r="F299" s="8">
        <v>522</v>
      </c>
      <c r="G299" s="8">
        <v>14</v>
      </c>
      <c r="H299" s="8">
        <v>6143</v>
      </c>
      <c r="I299" s="8">
        <v>140916</v>
      </c>
      <c r="J299" s="16"/>
    </row>
    <row r="300" spans="1:10" s="4" customFormat="1" ht="11.25" x14ac:dyDescent="0.2">
      <c r="A300" s="8" t="s">
        <v>270</v>
      </c>
      <c r="B300" s="8">
        <v>3107</v>
      </c>
      <c r="C300" s="8" t="s">
        <v>402</v>
      </c>
      <c r="D300" s="8" t="s">
        <v>87</v>
      </c>
      <c r="E300" s="8">
        <v>36</v>
      </c>
      <c r="F300" s="8">
        <v>53</v>
      </c>
      <c r="G300" s="8">
        <v>14</v>
      </c>
      <c r="H300" s="8">
        <v>5932</v>
      </c>
      <c r="I300" s="8">
        <v>140908</v>
      </c>
      <c r="J300" s="16"/>
    </row>
    <row r="301" spans="1:10" s="4" customFormat="1" ht="11.25" x14ac:dyDescent="0.2">
      <c r="A301" s="8" t="s">
        <v>270</v>
      </c>
      <c r="B301" s="8">
        <v>532</v>
      </c>
      <c r="C301" s="8" t="s">
        <v>495</v>
      </c>
      <c r="D301" s="8" t="s">
        <v>496</v>
      </c>
      <c r="E301" s="8">
        <v>1</v>
      </c>
      <c r="F301" s="8">
        <v>15</v>
      </c>
      <c r="G301" s="8">
        <v>14</v>
      </c>
      <c r="H301" s="8">
        <v>6301</v>
      </c>
      <c r="I301" s="8">
        <v>140919</v>
      </c>
      <c r="J301" s="16"/>
    </row>
    <row r="302" spans="1:10" s="4" customFormat="1" ht="11.25" x14ac:dyDescent="0.2">
      <c r="A302" s="8" t="s">
        <v>270</v>
      </c>
      <c r="B302" s="8">
        <v>546</v>
      </c>
      <c r="C302" s="8" t="s">
        <v>495</v>
      </c>
      <c r="D302" s="8" t="s">
        <v>496</v>
      </c>
      <c r="E302" s="8">
        <v>1</v>
      </c>
      <c r="F302" s="8">
        <v>22</v>
      </c>
      <c r="G302" s="8">
        <v>14</v>
      </c>
      <c r="H302" s="8">
        <v>6127</v>
      </c>
      <c r="I302" s="8">
        <v>140915</v>
      </c>
      <c r="J302" s="16"/>
    </row>
    <row r="303" spans="1:10" s="4" customFormat="1" ht="11.25" x14ac:dyDescent="0.2">
      <c r="A303" s="8" t="s">
        <v>270</v>
      </c>
      <c r="B303" s="8">
        <v>3066</v>
      </c>
      <c r="C303" s="8" t="s">
        <v>497</v>
      </c>
      <c r="D303" s="8" t="s">
        <v>498</v>
      </c>
      <c r="E303" s="8">
        <v>7</v>
      </c>
      <c r="F303" s="8">
        <v>28</v>
      </c>
      <c r="G303" s="8">
        <v>14</v>
      </c>
      <c r="H303" s="8">
        <v>6284</v>
      </c>
      <c r="I303" s="8">
        <v>140919</v>
      </c>
      <c r="J303" s="16"/>
    </row>
    <row r="304" spans="1:10" s="4" customFormat="1" ht="11.25" x14ac:dyDescent="0.2">
      <c r="A304" s="8" t="s">
        <v>270</v>
      </c>
      <c r="B304" s="8">
        <v>2162</v>
      </c>
      <c r="C304" s="8" t="s">
        <v>499</v>
      </c>
      <c r="D304" s="8" t="s">
        <v>131</v>
      </c>
      <c r="E304" s="8">
        <v>1</v>
      </c>
      <c r="F304" s="8">
        <v>31</v>
      </c>
      <c r="G304" s="8">
        <v>14</v>
      </c>
      <c r="H304" s="8">
        <v>6300</v>
      </c>
      <c r="I304" s="8">
        <v>140919</v>
      </c>
      <c r="J304" s="16"/>
    </row>
    <row r="305" spans="1:10" s="4" customFormat="1" ht="11.25" x14ac:dyDescent="0.2">
      <c r="A305" s="8" t="s">
        <v>270</v>
      </c>
      <c r="B305" s="8">
        <v>1808</v>
      </c>
      <c r="C305" s="8" t="s">
        <v>95</v>
      </c>
      <c r="D305" s="8" t="s">
        <v>96</v>
      </c>
      <c r="E305" s="8"/>
      <c r="F305" s="8">
        <v>33</v>
      </c>
      <c r="G305" s="8">
        <v>14</v>
      </c>
      <c r="H305" s="8">
        <v>6168</v>
      </c>
      <c r="I305" s="8">
        <v>140916</v>
      </c>
      <c r="J305" s="16"/>
    </row>
    <row r="306" spans="1:10" s="4" customFormat="1" ht="11.25" x14ac:dyDescent="0.2">
      <c r="A306" s="8" t="s">
        <v>270</v>
      </c>
      <c r="B306" s="8">
        <v>714</v>
      </c>
      <c r="C306" s="8" t="s">
        <v>500</v>
      </c>
      <c r="D306" s="8" t="s">
        <v>257</v>
      </c>
      <c r="E306" s="8">
        <v>9</v>
      </c>
      <c r="F306" s="8">
        <v>7</v>
      </c>
      <c r="G306" s="8">
        <v>14</v>
      </c>
      <c r="H306" s="8">
        <v>5892</v>
      </c>
      <c r="I306" s="8">
        <v>140904</v>
      </c>
      <c r="J306" s="16"/>
    </row>
    <row r="307" spans="1:10" s="4" customFormat="1" ht="11.25" x14ac:dyDescent="0.2">
      <c r="A307" s="8" t="s">
        <v>270</v>
      </c>
      <c r="B307" s="8">
        <v>1622</v>
      </c>
      <c r="C307" s="8" t="s">
        <v>156</v>
      </c>
      <c r="D307" s="8" t="s">
        <v>142</v>
      </c>
      <c r="E307" s="8">
        <v>13</v>
      </c>
      <c r="F307" s="8">
        <v>4</v>
      </c>
      <c r="G307" s="8">
        <v>14</v>
      </c>
      <c r="H307" s="8">
        <v>6142</v>
      </c>
      <c r="I307" s="8">
        <v>140916</v>
      </c>
      <c r="J307" s="16"/>
    </row>
    <row r="308" spans="1:10" s="4" customFormat="1" ht="11.25" x14ac:dyDescent="0.2">
      <c r="A308" s="8" t="s">
        <v>270</v>
      </c>
      <c r="B308" s="8">
        <v>485</v>
      </c>
      <c r="C308" s="8" t="s">
        <v>501</v>
      </c>
      <c r="D308" s="8" t="s">
        <v>496</v>
      </c>
      <c r="E308" s="8">
        <v>5</v>
      </c>
      <c r="F308" s="8">
        <v>18</v>
      </c>
      <c r="G308" s="8">
        <v>14</v>
      </c>
      <c r="H308" s="8">
        <v>6524</v>
      </c>
      <c r="I308" s="8">
        <v>140930</v>
      </c>
      <c r="J308" s="16"/>
    </row>
    <row r="309" spans="1:10" s="4" customFormat="1" ht="11.25" x14ac:dyDescent="0.2">
      <c r="A309" s="8" t="s">
        <v>270</v>
      </c>
      <c r="B309" s="8">
        <v>1924</v>
      </c>
      <c r="C309" s="8" t="s">
        <v>105</v>
      </c>
      <c r="D309" s="8" t="s">
        <v>81</v>
      </c>
      <c r="E309" s="8">
        <v>2</v>
      </c>
      <c r="F309" s="8">
        <v>3</v>
      </c>
      <c r="G309" s="8">
        <v>14</v>
      </c>
      <c r="H309" s="8">
        <v>6008</v>
      </c>
      <c r="I309" s="8">
        <v>140909</v>
      </c>
      <c r="J309" s="16"/>
    </row>
    <row r="310" spans="1:10" s="4" customFormat="1" ht="11.25" x14ac:dyDescent="0.2">
      <c r="A310" s="8" t="s">
        <v>270</v>
      </c>
      <c r="B310" s="8">
        <v>1977</v>
      </c>
      <c r="C310" s="8" t="s">
        <v>105</v>
      </c>
      <c r="D310" s="8" t="s">
        <v>81</v>
      </c>
      <c r="E310" s="8">
        <v>1</v>
      </c>
      <c r="F310" s="8">
        <v>36</v>
      </c>
      <c r="G310" s="8">
        <v>14</v>
      </c>
      <c r="H310" s="8">
        <v>6216</v>
      </c>
      <c r="I310" s="8">
        <v>140917</v>
      </c>
      <c r="J310" s="16"/>
    </row>
    <row r="311" spans="1:10" s="4" customFormat="1" ht="11.25" x14ac:dyDescent="0.2">
      <c r="A311" s="8" t="s">
        <v>270</v>
      </c>
      <c r="B311" s="8">
        <v>1985</v>
      </c>
      <c r="C311" s="8" t="s">
        <v>105</v>
      </c>
      <c r="D311" s="8" t="s">
        <v>81</v>
      </c>
      <c r="E311" s="8">
        <v>1</v>
      </c>
      <c r="F311" s="8">
        <v>38</v>
      </c>
      <c r="G311" s="8">
        <v>14</v>
      </c>
      <c r="H311" s="8">
        <v>5982</v>
      </c>
      <c r="I311" s="8">
        <v>140909</v>
      </c>
      <c r="J311" s="16"/>
    </row>
    <row r="312" spans="1:10" s="4" customFormat="1" ht="11.25" x14ac:dyDescent="0.2">
      <c r="A312" s="8" t="s">
        <v>270</v>
      </c>
      <c r="B312" s="8">
        <v>3606</v>
      </c>
      <c r="C312" s="8" t="s">
        <v>181</v>
      </c>
      <c r="D312" s="8" t="s">
        <v>182</v>
      </c>
      <c r="E312" s="8">
        <v>2</v>
      </c>
      <c r="F312" s="8">
        <v>6</v>
      </c>
      <c r="G312" s="8">
        <v>14</v>
      </c>
      <c r="H312" s="8">
        <v>5858</v>
      </c>
      <c r="I312" s="8">
        <v>140904</v>
      </c>
      <c r="J312" s="16"/>
    </row>
    <row r="313" spans="1:10" s="4" customFormat="1" ht="11.25" x14ac:dyDescent="0.2">
      <c r="A313" s="8" t="s">
        <v>270</v>
      </c>
      <c r="B313" s="8">
        <v>1600</v>
      </c>
      <c r="C313" s="8" t="s">
        <v>502</v>
      </c>
      <c r="D313" s="8" t="s">
        <v>503</v>
      </c>
      <c r="E313" s="8">
        <v>1</v>
      </c>
      <c r="F313" s="8">
        <v>47</v>
      </c>
      <c r="G313" s="8">
        <v>14</v>
      </c>
      <c r="H313" s="8">
        <v>5988</v>
      </c>
      <c r="I313" s="8">
        <v>140909</v>
      </c>
      <c r="J313" s="16"/>
    </row>
    <row r="314" spans="1:10" s="4" customFormat="1" ht="11.25" x14ac:dyDescent="0.2">
      <c r="A314" s="8" t="s">
        <v>270</v>
      </c>
      <c r="B314" s="8">
        <v>811</v>
      </c>
      <c r="C314" s="8" t="s">
        <v>273</v>
      </c>
      <c r="D314" s="8" t="s">
        <v>274</v>
      </c>
      <c r="E314" s="8"/>
      <c r="F314" s="8">
        <v>7</v>
      </c>
      <c r="G314" s="8">
        <v>14</v>
      </c>
      <c r="H314" s="8">
        <v>5898</v>
      </c>
      <c r="I314" s="8">
        <v>140905</v>
      </c>
      <c r="J314" s="16"/>
    </row>
    <row r="315" spans="1:10" s="4" customFormat="1" ht="11.25" x14ac:dyDescent="0.2">
      <c r="A315" s="8" t="s">
        <v>270</v>
      </c>
      <c r="B315" s="8">
        <v>900</v>
      </c>
      <c r="C315" s="8" t="s">
        <v>273</v>
      </c>
      <c r="D315" s="8" t="s">
        <v>236</v>
      </c>
      <c r="E315" s="8" t="s">
        <v>433</v>
      </c>
      <c r="F315" s="8"/>
      <c r="G315" s="8">
        <v>14</v>
      </c>
      <c r="H315" s="8">
        <v>6075</v>
      </c>
      <c r="I315" s="8">
        <v>140911</v>
      </c>
      <c r="J315" s="16"/>
    </row>
    <row r="316" spans="1:10" s="4" customFormat="1" ht="11.25" x14ac:dyDescent="0.2">
      <c r="A316" s="8" t="s">
        <v>270</v>
      </c>
      <c r="B316" s="8">
        <v>920</v>
      </c>
      <c r="C316" s="8" t="s">
        <v>211</v>
      </c>
      <c r="D316" s="8" t="s">
        <v>212</v>
      </c>
      <c r="E316" s="8" t="s">
        <v>191</v>
      </c>
      <c r="F316" s="8">
        <v>14</v>
      </c>
      <c r="G316" s="8">
        <v>14</v>
      </c>
      <c r="H316" s="8">
        <v>6422</v>
      </c>
      <c r="I316" s="8">
        <v>140924</v>
      </c>
      <c r="J316" s="16"/>
    </row>
    <row r="317" spans="1:10" s="4" customFormat="1" ht="11.25" x14ac:dyDescent="0.2">
      <c r="A317" s="8" t="s">
        <v>270</v>
      </c>
      <c r="B317" s="8">
        <v>3737</v>
      </c>
      <c r="C317" s="8" t="s">
        <v>423</v>
      </c>
      <c r="D317" s="8" t="s">
        <v>424</v>
      </c>
      <c r="E317" s="8">
        <v>7</v>
      </c>
      <c r="F317" s="8">
        <v>10</v>
      </c>
      <c r="G317" s="8">
        <v>14</v>
      </c>
      <c r="H317" s="8">
        <v>6010</v>
      </c>
      <c r="I317" s="8">
        <v>140909</v>
      </c>
      <c r="J317" s="16"/>
    </row>
    <row r="318" spans="1:10" s="4" customFormat="1" ht="11.25" x14ac:dyDescent="0.2">
      <c r="A318" s="8" t="s">
        <v>270</v>
      </c>
      <c r="B318" s="8">
        <v>3867</v>
      </c>
      <c r="C318" s="8" t="s">
        <v>423</v>
      </c>
      <c r="D318" s="8" t="s">
        <v>424</v>
      </c>
      <c r="E318" s="8">
        <v>3</v>
      </c>
      <c r="F318" s="8">
        <v>1</v>
      </c>
      <c r="G318" s="8">
        <v>14</v>
      </c>
      <c r="H318" s="8">
        <v>6493</v>
      </c>
      <c r="I318" s="8">
        <v>140929</v>
      </c>
      <c r="J318" s="16"/>
    </row>
    <row r="319" spans="1:10" s="4" customFormat="1" ht="11.25" x14ac:dyDescent="0.2">
      <c r="A319" s="8" t="s">
        <v>270</v>
      </c>
      <c r="B319" s="8">
        <v>2586</v>
      </c>
      <c r="C319" s="8" t="s">
        <v>277</v>
      </c>
      <c r="D319" s="8" t="s">
        <v>210</v>
      </c>
      <c r="E319" s="8">
        <v>5</v>
      </c>
      <c r="F319" s="8">
        <v>23</v>
      </c>
      <c r="G319" s="8">
        <v>14</v>
      </c>
      <c r="H319" s="8">
        <v>6433</v>
      </c>
      <c r="I319" s="8">
        <v>140924</v>
      </c>
      <c r="J319" s="16"/>
    </row>
    <row r="320" spans="1:10" s="4" customFormat="1" ht="11.25" x14ac:dyDescent="0.2">
      <c r="A320" s="8" t="s">
        <v>270</v>
      </c>
      <c r="B320" s="8">
        <v>579</v>
      </c>
      <c r="C320" s="8" t="s">
        <v>426</v>
      </c>
      <c r="D320" s="8" t="s">
        <v>504</v>
      </c>
      <c r="E320" s="8"/>
      <c r="F320" s="8" t="s">
        <v>505</v>
      </c>
      <c r="G320" s="8">
        <v>14</v>
      </c>
      <c r="H320" s="8">
        <v>6120</v>
      </c>
      <c r="I320" s="8">
        <v>140915</v>
      </c>
      <c r="J320" s="16"/>
    </row>
    <row r="321" spans="1:10" s="4" customFormat="1" ht="11.25" x14ac:dyDescent="0.2">
      <c r="A321" s="8" t="s">
        <v>270</v>
      </c>
      <c r="B321" s="8">
        <v>608</v>
      </c>
      <c r="C321" s="8" t="s">
        <v>426</v>
      </c>
      <c r="D321" s="8" t="s">
        <v>427</v>
      </c>
      <c r="E321" s="8"/>
      <c r="F321" s="8">
        <v>8</v>
      </c>
      <c r="G321" s="8">
        <v>14</v>
      </c>
      <c r="H321" s="8">
        <v>6070</v>
      </c>
      <c r="I321" s="8">
        <v>140911</v>
      </c>
      <c r="J321" s="16"/>
    </row>
    <row r="322" spans="1:10" s="4" customFormat="1" ht="11.25" x14ac:dyDescent="0.2">
      <c r="A322" s="8" t="s">
        <v>270</v>
      </c>
      <c r="B322" s="8">
        <v>141</v>
      </c>
      <c r="C322" s="8" t="s">
        <v>213</v>
      </c>
      <c r="D322" s="8" t="s">
        <v>214</v>
      </c>
      <c r="E322" s="8">
        <v>2</v>
      </c>
      <c r="F322" s="8">
        <v>35</v>
      </c>
      <c r="G322" s="8">
        <v>14</v>
      </c>
      <c r="H322" s="8">
        <v>5865</v>
      </c>
      <c r="I322" s="8">
        <v>140904</v>
      </c>
      <c r="J322" s="16"/>
    </row>
    <row r="323" spans="1:10" s="4" customFormat="1" ht="11.25" x14ac:dyDescent="0.2">
      <c r="A323" s="8" t="s">
        <v>270</v>
      </c>
      <c r="B323" s="8">
        <v>145</v>
      </c>
      <c r="C323" s="8" t="s">
        <v>213</v>
      </c>
      <c r="D323" s="8" t="s">
        <v>214</v>
      </c>
      <c r="E323" s="8">
        <v>2</v>
      </c>
      <c r="F323" s="8">
        <v>36</v>
      </c>
      <c r="G323" s="8">
        <v>14</v>
      </c>
      <c r="H323" s="8">
        <v>5864</v>
      </c>
      <c r="I323" s="8">
        <v>140904</v>
      </c>
      <c r="J323" s="16"/>
    </row>
    <row r="324" spans="1:10" s="4" customFormat="1" ht="11.25" x14ac:dyDescent="0.2">
      <c r="A324" s="8" t="s">
        <v>270</v>
      </c>
      <c r="B324" s="8">
        <v>7101</v>
      </c>
      <c r="C324" s="8" t="s">
        <v>506</v>
      </c>
      <c r="D324" s="8" t="s">
        <v>134</v>
      </c>
      <c r="E324" s="8">
        <v>3</v>
      </c>
      <c r="F324" s="8">
        <v>1</v>
      </c>
      <c r="G324" s="8">
        <v>14</v>
      </c>
      <c r="H324" s="8">
        <v>6388</v>
      </c>
      <c r="I324" s="8">
        <v>140923</v>
      </c>
      <c r="J324" s="16"/>
    </row>
    <row r="325" spans="1:10" s="4" customFormat="1" ht="11.25" x14ac:dyDescent="0.2">
      <c r="A325" s="8" t="s">
        <v>270</v>
      </c>
      <c r="B325" s="8">
        <v>4242</v>
      </c>
      <c r="C325" s="8" t="s">
        <v>507</v>
      </c>
      <c r="D325" s="8" t="s">
        <v>508</v>
      </c>
      <c r="E325" s="8">
        <v>2</v>
      </c>
      <c r="F325" s="8">
        <v>4</v>
      </c>
      <c r="G325" s="8">
        <v>14</v>
      </c>
      <c r="H325" s="8">
        <v>6326</v>
      </c>
      <c r="I325" s="8">
        <v>140922</v>
      </c>
      <c r="J325" s="16"/>
    </row>
    <row r="326" spans="1:10" s="4" customFormat="1" ht="11.25" x14ac:dyDescent="0.2">
      <c r="A326" s="8" t="s">
        <v>270</v>
      </c>
      <c r="B326" s="8">
        <v>6608</v>
      </c>
      <c r="C326" s="8" t="s">
        <v>146</v>
      </c>
      <c r="D326" s="8" t="s">
        <v>147</v>
      </c>
      <c r="E326" s="8">
        <v>2</v>
      </c>
      <c r="F326" s="8">
        <v>14</v>
      </c>
      <c r="G326" s="8">
        <v>14</v>
      </c>
      <c r="H326" s="8">
        <v>5842</v>
      </c>
      <c r="I326" s="8">
        <v>140903</v>
      </c>
      <c r="J326" s="16"/>
    </row>
    <row r="327" spans="1:10" s="4" customFormat="1" ht="11.25" x14ac:dyDescent="0.2">
      <c r="A327" s="8" t="s">
        <v>270</v>
      </c>
      <c r="B327" s="8">
        <v>3011</v>
      </c>
      <c r="C327" s="8" t="s">
        <v>509</v>
      </c>
      <c r="D327" s="8" t="s">
        <v>510</v>
      </c>
      <c r="E327" s="8">
        <v>4</v>
      </c>
      <c r="F327" s="8">
        <v>13</v>
      </c>
      <c r="G327" s="8">
        <v>14</v>
      </c>
      <c r="H327" s="8">
        <v>6506</v>
      </c>
      <c r="I327" s="8">
        <v>140929</v>
      </c>
      <c r="J327" s="16"/>
    </row>
    <row r="328" spans="1:10" s="4" customFormat="1" ht="11.25" x14ac:dyDescent="0.2">
      <c r="A328" s="8" t="s">
        <v>270</v>
      </c>
      <c r="B328" s="8">
        <v>1300</v>
      </c>
      <c r="C328" s="8" t="s">
        <v>215</v>
      </c>
      <c r="D328" s="8" t="s">
        <v>87</v>
      </c>
      <c r="E328" s="8" t="s">
        <v>288</v>
      </c>
      <c r="F328" s="8" t="s">
        <v>289</v>
      </c>
      <c r="G328" s="8">
        <v>14</v>
      </c>
      <c r="H328" s="8">
        <v>5872</v>
      </c>
      <c r="I328" s="8">
        <v>140904</v>
      </c>
      <c r="J328" s="16"/>
    </row>
    <row r="329" spans="1:10" s="4" customFormat="1" ht="11.25" x14ac:dyDescent="0.2">
      <c r="A329" s="8" t="s">
        <v>270</v>
      </c>
      <c r="B329" s="8">
        <v>732</v>
      </c>
      <c r="C329" s="8" t="s">
        <v>511</v>
      </c>
      <c r="D329" s="8" t="s">
        <v>512</v>
      </c>
      <c r="E329" s="8">
        <v>2</v>
      </c>
      <c r="F329" s="8">
        <v>2</v>
      </c>
      <c r="G329" s="8">
        <v>14</v>
      </c>
      <c r="H329" s="8">
        <v>6464</v>
      </c>
      <c r="I329" s="8">
        <v>140926</v>
      </c>
      <c r="J329" s="16"/>
    </row>
    <row r="330" spans="1:10" s="4" customFormat="1" ht="11.25" x14ac:dyDescent="0.2">
      <c r="A330" s="8" t="s">
        <v>270</v>
      </c>
      <c r="B330" s="8">
        <v>7120</v>
      </c>
      <c r="C330" s="8" t="s">
        <v>513</v>
      </c>
      <c r="D330" s="8" t="s">
        <v>514</v>
      </c>
      <c r="E330" s="8">
        <v>4</v>
      </c>
      <c r="F330" s="8">
        <v>10</v>
      </c>
      <c r="G330" s="8">
        <v>14</v>
      </c>
      <c r="H330" s="8">
        <v>5811</v>
      </c>
      <c r="I330" s="8">
        <v>140902</v>
      </c>
      <c r="J330" s="16"/>
    </row>
    <row r="331" spans="1:10" s="4" customFormat="1" ht="11.25" x14ac:dyDescent="0.2">
      <c r="A331" s="8" t="s">
        <v>270</v>
      </c>
      <c r="B331" s="8">
        <v>6304</v>
      </c>
      <c r="C331" s="8" t="s">
        <v>431</v>
      </c>
      <c r="D331" s="8" t="s">
        <v>432</v>
      </c>
      <c r="E331" s="8" t="s">
        <v>433</v>
      </c>
      <c r="F331" s="8">
        <v>2</v>
      </c>
      <c r="G331" s="8">
        <v>14</v>
      </c>
      <c r="H331" s="8">
        <v>5913</v>
      </c>
      <c r="I331" s="8">
        <v>140905</v>
      </c>
      <c r="J331" s="16"/>
    </row>
    <row r="332" spans="1:10" s="4" customFormat="1" ht="11.25" x14ac:dyDescent="0.2">
      <c r="A332" s="8" t="s">
        <v>270</v>
      </c>
      <c r="B332" s="8">
        <v>1620</v>
      </c>
      <c r="C332" s="8" t="s">
        <v>349</v>
      </c>
      <c r="D332" s="8" t="s">
        <v>350</v>
      </c>
      <c r="E332" s="8">
        <v>3</v>
      </c>
      <c r="F332" s="8">
        <v>6</v>
      </c>
      <c r="G332" s="8">
        <v>14</v>
      </c>
      <c r="H332" s="8">
        <v>6012</v>
      </c>
      <c r="I332" s="8">
        <v>140909</v>
      </c>
      <c r="J332" s="16"/>
    </row>
    <row r="333" spans="1:10" s="4" customFormat="1" ht="11.25" x14ac:dyDescent="0.2">
      <c r="A333" s="8" t="s">
        <v>270</v>
      </c>
      <c r="B333" s="8">
        <v>7077</v>
      </c>
      <c r="C333" s="8" t="s">
        <v>434</v>
      </c>
      <c r="D333" s="8" t="s">
        <v>229</v>
      </c>
      <c r="E333" s="8">
        <v>2</v>
      </c>
      <c r="F333" s="8">
        <v>29</v>
      </c>
      <c r="G333" s="8">
        <v>14</v>
      </c>
      <c r="H333" s="8">
        <v>6316</v>
      </c>
      <c r="I333" s="8">
        <v>140922</v>
      </c>
      <c r="J333" s="16"/>
    </row>
    <row r="334" spans="1:10" s="4" customFormat="1" ht="11.25" x14ac:dyDescent="0.2">
      <c r="A334" s="8" t="s">
        <v>270</v>
      </c>
      <c r="B334" s="8">
        <v>1104</v>
      </c>
      <c r="C334" s="8" t="s">
        <v>219</v>
      </c>
      <c r="D334" s="8" t="s">
        <v>220</v>
      </c>
      <c r="E334" s="8">
        <v>2</v>
      </c>
      <c r="F334" s="8">
        <v>14</v>
      </c>
      <c r="G334" s="8">
        <v>14</v>
      </c>
      <c r="H334" s="8">
        <v>6527</v>
      </c>
      <c r="I334" s="8">
        <v>140930</v>
      </c>
      <c r="J334" s="16"/>
    </row>
    <row r="335" spans="1:10" s="4" customFormat="1" ht="11.25" x14ac:dyDescent="0.2">
      <c r="A335" s="8" t="s">
        <v>270</v>
      </c>
      <c r="B335" s="8">
        <v>1109</v>
      </c>
      <c r="C335" s="8" t="s">
        <v>219</v>
      </c>
      <c r="D335" s="8" t="s">
        <v>220</v>
      </c>
      <c r="E335" s="8">
        <v>1</v>
      </c>
      <c r="F335" s="8">
        <v>10</v>
      </c>
      <c r="G335" s="8">
        <v>14</v>
      </c>
      <c r="H335" s="8">
        <v>5958</v>
      </c>
      <c r="I335" s="8">
        <v>140908</v>
      </c>
      <c r="J335" s="16"/>
    </row>
    <row r="336" spans="1:10" s="4" customFormat="1" ht="11.25" x14ac:dyDescent="0.2">
      <c r="A336" s="8" t="s">
        <v>270</v>
      </c>
      <c r="B336" s="8">
        <v>1115</v>
      </c>
      <c r="C336" s="8" t="s">
        <v>219</v>
      </c>
      <c r="D336" s="8" t="s">
        <v>220</v>
      </c>
      <c r="E336" s="8">
        <v>1</v>
      </c>
      <c r="F336" s="8">
        <v>12</v>
      </c>
      <c r="G336" s="8">
        <v>14</v>
      </c>
      <c r="H336" s="8">
        <v>6421</v>
      </c>
      <c r="I336" s="8">
        <v>140924</v>
      </c>
      <c r="J336" s="16"/>
    </row>
    <row r="337" spans="1:10" s="4" customFormat="1" ht="11.25" x14ac:dyDescent="0.2">
      <c r="A337" s="8" t="s">
        <v>270</v>
      </c>
      <c r="B337" s="8">
        <v>1116</v>
      </c>
      <c r="C337" s="8" t="s">
        <v>219</v>
      </c>
      <c r="D337" s="8" t="s">
        <v>220</v>
      </c>
      <c r="E337" s="8">
        <v>2</v>
      </c>
      <c r="F337" s="8">
        <v>17</v>
      </c>
      <c r="G337" s="8">
        <v>14</v>
      </c>
      <c r="H337" s="8">
        <v>5960</v>
      </c>
      <c r="I337" s="8">
        <v>140908</v>
      </c>
      <c r="J337" s="16"/>
    </row>
    <row r="338" spans="1:10" s="4" customFormat="1" ht="11.25" x14ac:dyDescent="0.2">
      <c r="A338" s="8" t="s">
        <v>270</v>
      </c>
      <c r="B338" s="8">
        <v>1753</v>
      </c>
      <c r="C338" s="8" t="s">
        <v>221</v>
      </c>
      <c r="D338" s="8" t="s">
        <v>222</v>
      </c>
      <c r="E338" s="8">
        <v>4</v>
      </c>
      <c r="F338" s="8">
        <v>2</v>
      </c>
      <c r="G338" s="8">
        <v>14</v>
      </c>
      <c r="H338" s="8">
        <v>6308</v>
      </c>
      <c r="I338" s="8">
        <v>140922</v>
      </c>
      <c r="J338" s="16"/>
    </row>
    <row r="339" spans="1:10" s="4" customFormat="1" ht="11.25" x14ac:dyDescent="0.2">
      <c r="A339" s="8" t="s">
        <v>270</v>
      </c>
      <c r="B339" s="8">
        <v>3428</v>
      </c>
      <c r="C339" s="8" t="s">
        <v>165</v>
      </c>
      <c r="D339" s="8" t="s">
        <v>78</v>
      </c>
      <c r="E339" s="8">
        <v>101</v>
      </c>
      <c r="F339" s="8">
        <v>45</v>
      </c>
      <c r="G339" s="8">
        <v>14</v>
      </c>
      <c r="H339" s="8">
        <v>6372</v>
      </c>
      <c r="I339" s="8">
        <v>140923</v>
      </c>
      <c r="J339" s="16"/>
    </row>
    <row r="340" spans="1:10" s="4" customFormat="1" ht="11.25" x14ac:dyDescent="0.2">
      <c r="A340" s="8" t="s">
        <v>270</v>
      </c>
      <c r="B340" s="8">
        <v>2929</v>
      </c>
      <c r="C340" s="8" t="s">
        <v>280</v>
      </c>
      <c r="D340" s="8" t="s">
        <v>72</v>
      </c>
      <c r="E340" s="8">
        <v>3</v>
      </c>
      <c r="F340" s="8">
        <v>8</v>
      </c>
      <c r="G340" s="8">
        <v>14</v>
      </c>
      <c r="H340" s="8">
        <v>6428</v>
      </c>
      <c r="I340" s="8">
        <v>140924</v>
      </c>
      <c r="J340" s="16"/>
    </row>
    <row r="341" spans="1:10" s="4" customFormat="1" ht="11.25" x14ac:dyDescent="0.2">
      <c r="A341" s="8" t="s">
        <v>270</v>
      </c>
      <c r="B341" s="8">
        <v>3077</v>
      </c>
      <c r="C341" s="8" t="s">
        <v>515</v>
      </c>
      <c r="D341" s="8" t="s">
        <v>516</v>
      </c>
      <c r="E341" s="8">
        <v>1</v>
      </c>
      <c r="F341" s="8">
        <v>19</v>
      </c>
      <c r="G341" s="8">
        <v>14</v>
      </c>
      <c r="H341" s="8">
        <v>6325</v>
      </c>
      <c r="I341" s="8">
        <v>140922</v>
      </c>
      <c r="J341" s="16"/>
    </row>
    <row r="342" spans="1:10" s="4" customFormat="1" ht="11.25" x14ac:dyDescent="0.2">
      <c r="A342" s="8" t="s">
        <v>270</v>
      </c>
      <c r="B342" s="8">
        <v>122</v>
      </c>
      <c r="C342" s="8" t="s">
        <v>281</v>
      </c>
      <c r="D342" s="8" t="s">
        <v>212</v>
      </c>
      <c r="E342" s="8" t="s">
        <v>125</v>
      </c>
      <c r="F342" s="8">
        <v>4</v>
      </c>
      <c r="G342" s="8">
        <v>14</v>
      </c>
      <c r="H342" s="8">
        <v>5955</v>
      </c>
      <c r="I342" s="8">
        <v>140908</v>
      </c>
      <c r="J342" s="16"/>
    </row>
    <row r="343" spans="1:10" s="4" customFormat="1" ht="11.25" x14ac:dyDescent="0.2">
      <c r="A343" s="8" t="s">
        <v>270</v>
      </c>
      <c r="B343" s="8">
        <v>138</v>
      </c>
      <c r="C343" s="8" t="s">
        <v>281</v>
      </c>
      <c r="D343" s="8" t="s">
        <v>212</v>
      </c>
      <c r="E343" s="8" t="s">
        <v>125</v>
      </c>
      <c r="F343" s="8">
        <v>8</v>
      </c>
      <c r="G343" s="8">
        <v>14</v>
      </c>
      <c r="H343" s="8">
        <v>6406</v>
      </c>
      <c r="I343" s="8">
        <v>140924</v>
      </c>
      <c r="J343" s="16"/>
    </row>
    <row r="344" spans="1:10" s="4" customFormat="1" ht="11.25" x14ac:dyDescent="0.2">
      <c r="A344" s="8" t="s">
        <v>270</v>
      </c>
      <c r="B344" s="8">
        <v>115</v>
      </c>
      <c r="C344" s="8" t="s">
        <v>517</v>
      </c>
      <c r="D344" s="8" t="s">
        <v>292</v>
      </c>
      <c r="E344" s="8">
        <v>3</v>
      </c>
      <c r="F344" s="8">
        <v>2</v>
      </c>
      <c r="G344" s="8">
        <v>14</v>
      </c>
      <c r="H344" s="8">
        <v>5948</v>
      </c>
      <c r="I344" s="8">
        <v>140908</v>
      </c>
      <c r="J344" s="16"/>
    </row>
    <row r="345" spans="1:10" s="4" customFormat="1" ht="11.25" x14ac:dyDescent="0.2">
      <c r="A345" s="8" t="s">
        <v>270</v>
      </c>
      <c r="B345" s="8">
        <v>123</v>
      </c>
      <c r="C345" s="8" t="s">
        <v>517</v>
      </c>
      <c r="D345" s="8" t="s">
        <v>292</v>
      </c>
      <c r="E345" s="8">
        <v>3</v>
      </c>
      <c r="F345" s="8">
        <v>1</v>
      </c>
      <c r="G345" s="8">
        <v>14</v>
      </c>
      <c r="H345" s="8">
        <v>5949</v>
      </c>
      <c r="I345" s="8">
        <v>140908</v>
      </c>
      <c r="J345" s="16"/>
    </row>
    <row r="346" spans="1:10" s="4" customFormat="1" ht="11.25" x14ac:dyDescent="0.2">
      <c r="A346" s="8" t="s">
        <v>270</v>
      </c>
      <c r="B346" s="8">
        <v>47</v>
      </c>
      <c r="C346" s="8" t="s">
        <v>282</v>
      </c>
      <c r="D346" s="8" t="s">
        <v>214</v>
      </c>
      <c r="E346" s="8">
        <v>3</v>
      </c>
      <c r="F346" s="8">
        <v>88</v>
      </c>
      <c r="G346" s="8">
        <v>14</v>
      </c>
      <c r="H346" s="8">
        <v>6270</v>
      </c>
      <c r="I346" s="8">
        <v>140918</v>
      </c>
      <c r="J346" s="16"/>
    </row>
    <row r="347" spans="1:10" s="4" customFormat="1" ht="11.25" x14ac:dyDescent="0.2">
      <c r="A347" s="8" t="s">
        <v>270</v>
      </c>
      <c r="B347" s="8">
        <v>51</v>
      </c>
      <c r="C347" s="8" t="s">
        <v>282</v>
      </c>
      <c r="D347" s="8" t="s">
        <v>214</v>
      </c>
      <c r="E347" s="8">
        <v>3</v>
      </c>
      <c r="F347" s="8">
        <v>89</v>
      </c>
      <c r="G347" s="8">
        <v>14</v>
      </c>
      <c r="H347" s="8">
        <v>5923</v>
      </c>
      <c r="I347" s="8">
        <v>140905</v>
      </c>
      <c r="J347" s="16"/>
    </row>
    <row r="348" spans="1:10" s="4" customFormat="1" ht="11.25" x14ac:dyDescent="0.2">
      <c r="A348" s="8" t="s">
        <v>270</v>
      </c>
      <c r="B348" s="8">
        <v>55</v>
      </c>
      <c r="C348" s="8" t="s">
        <v>282</v>
      </c>
      <c r="D348" s="8" t="s">
        <v>214</v>
      </c>
      <c r="E348" s="8">
        <v>3</v>
      </c>
      <c r="F348" s="8">
        <v>90</v>
      </c>
      <c r="G348" s="8">
        <v>14</v>
      </c>
      <c r="H348" s="8">
        <v>6014</v>
      </c>
      <c r="I348" s="8">
        <v>140909</v>
      </c>
      <c r="J348" s="16"/>
    </row>
    <row r="349" spans="1:10" s="4" customFormat="1" ht="11.25" x14ac:dyDescent="0.2">
      <c r="A349" s="8" t="s">
        <v>270</v>
      </c>
      <c r="B349" s="8">
        <v>1356</v>
      </c>
      <c r="C349" s="8" t="s">
        <v>518</v>
      </c>
      <c r="D349" s="8" t="s">
        <v>519</v>
      </c>
      <c r="E349" s="8">
        <v>2</v>
      </c>
      <c r="F349" s="8">
        <v>15</v>
      </c>
      <c r="G349" s="8">
        <v>14</v>
      </c>
      <c r="H349" s="8">
        <v>5971</v>
      </c>
      <c r="I349" s="8">
        <v>140908</v>
      </c>
      <c r="J349" s="16"/>
    </row>
    <row r="350" spans="1:10" s="4" customFormat="1" ht="11.25" x14ac:dyDescent="0.2">
      <c r="A350" s="8" t="s">
        <v>270</v>
      </c>
      <c r="B350" s="8">
        <v>360</v>
      </c>
      <c r="C350" s="8" t="s">
        <v>256</v>
      </c>
      <c r="D350" s="8" t="s">
        <v>257</v>
      </c>
      <c r="E350" s="8">
        <v>11</v>
      </c>
      <c r="F350" s="8">
        <v>10</v>
      </c>
      <c r="G350" s="8">
        <v>14</v>
      </c>
      <c r="H350" s="8">
        <v>6474</v>
      </c>
      <c r="I350" s="8">
        <v>140929</v>
      </c>
      <c r="J350" s="16"/>
    </row>
    <row r="351" spans="1:10" s="4" customFormat="1" ht="11.25" x14ac:dyDescent="0.2">
      <c r="A351" s="8" t="s">
        <v>270</v>
      </c>
      <c r="B351" s="8">
        <v>3117</v>
      </c>
      <c r="C351" s="8" t="s">
        <v>54</v>
      </c>
      <c r="D351" s="8" t="s">
        <v>56</v>
      </c>
      <c r="E351" s="8">
        <v>1</v>
      </c>
      <c r="F351" s="8">
        <v>33</v>
      </c>
      <c r="G351" s="8">
        <v>14</v>
      </c>
      <c r="H351" s="8">
        <v>6285</v>
      </c>
      <c r="I351" s="8">
        <v>140919</v>
      </c>
      <c r="J351" s="16"/>
    </row>
    <row r="352" spans="1:10" s="4" customFormat="1" ht="11.25" x14ac:dyDescent="0.2">
      <c r="A352" s="8" t="s">
        <v>270</v>
      </c>
      <c r="B352" s="8">
        <v>3345</v>
      </c>
      <c r="C352" s="8" t="s">
        <v>54</v>
      </c>
      <c r="D352" s="8" t="s">
        <v>520</v>
      </c>
      <c r="E352" s="8">
        <v>1</v>
      </c>
      <c r="F352" s="8">
        <v>2</v>
      </c>
      <c r="G352" s="8">
        <v>14</v>
      </c>
      <c r="H352" s="8">
        <v>6417</v>
      </c>
      <c r="I352" s="8">
        <v>140924</v>
      </c>
      <c r="J352" s="16"/>
    </row>
    <row r="353" spans="1:10" s="4" customFormat="1" ht="11.25" x14ac:dyDescent="0.2">
      <c r="A353" s="8" t="s">
        <v>270</v>
      </c>
      <c r="B353" s="8">
        <v>3349</v>
      </c>
      <c r="C353" s="8" t="s">
        <v>54</v>
      </c>
      <c r="D353" s="8" t="s">
        <v>520</v>
      </c>
      <c r="E353" s="8">
        <v>1</v>
      </c>
      <c r="F353" s="8">
        <v>1</v>
      </c>
      <c r="G353" s="8">
        <v>14</v>
      </c>
      <c r="H353" s="8">
        <v>6418</v>
      </c>
      <c r="I353" s="8">
        <v>140924</v>
      </c>
      <c r="J353" s="16"/>
    </row>
    <row r="354" spans="1:10" s="4" customFormat="1" ht="11.25" x14ac:dyDescent="0.2">
      <c r="A354" s="8" t="s">
        <v>270</v>
      </c>
      <c r="B354" s="8">
        <v>7417</v>
      </c>
      <c r="C354" s="8" t="s">
        <v>521</v>
      </c>
      <c r="D354" s="8" t="s">
        <v>99</v>
      </c>
      <c r="E354" s="8">
        <v>2</v>
      </c>
      <c r="F354" s="8">
        <v>13</v>
      </c>
      <c r="G354" s="8">
        <v>14</v>
      </c>
      <c r="H354" s="8">
        <v>6229</v>
      </c>
      <c r="I354" s="8">
        <v>140917</v>
      </c>
      <c r="J354" s="16"/>
    </row>
    <row r="355" spans="1:10" s="4" customFormat="1" ht="11.25" x14ac:dyDescent="0.2">
      <c r="A355" s="8" t="s">
        <v>270</v>
      </c>
      <c r="B355" s="8">
        <v>544</v>
      </c>
      <c r="C355" s="8" t="s">
        <v>436</v>
      </c>
      <c r="D355" s="8" t="s">
        <v>437</v>
      </c>
      <c r="E355" s="8">
        <v>4</v>
      </c>
      <c r="F355" s="8">
        <v>4</v>
      </c>
      <c r="G355" s="8">
        <v>14</v>
      </c>
      <c r="H355" s="8">
        <v>5947</v>
      </c>
      <c r="I355" s="8">
        <v>140908</v>
      </c>
      <c r="J355" s="16"/>
    </row>
    <row r="356" spans="1:10" s="4" customFormat="1" ht="11.25" x14ac:dyDescent="0.2">
      <c r="A356" s="8" t="s">
        <v>270</v>
      </c>
      <c r="B356" s="8">
        <v>3803</v>
      </c>
      <c r="C356" s="8" t="s">
        <v>58</v>
      </c>
      <c r="D356" s="8" t="s">
        <v>60</v>
      </c>
      <c r="E356" s="8">
        <v>2</v>
      </c>
      <c r="F356" s="8">
        <v>1</v>
      </c>
      <c r="G356" s="8">
        <v>14</v>
      </c>
      <c r="H356" s="8">
        <v>6391</v>
      </c>
      <c r="I356" s="8">
        <v>140923</v>
      </c>
      <c r="J356" s="16"/>
    </row>
    <row r="357" spans="1:10" s="4" customFormat="1" ht="11.25" x14ac:dyDescent="0.2">
      <c r="A357" s="8" t="s">
        <v>270</v>
      </c>
      <c r="B357" s="8">
        <v>32</v>
      </c>
      <c r="C357" s="8" t="s">
        <v>522</v>
      </c>
      <c r="D357" s="8" t="s">
        <v>153</v>
      </c>
      <c r="E357" s="8">
        <v>4</v>
      </c>
      <c r="F357" s="8">
        <v>4</v>
      </c>
      <c r="G357" s="8">
        <v>14</v>
      </c>
      <c r="H357" s="8">
        <v>5986</v>
      </c>
      <c r="I357" s="8">
        <v>140909</v>
      </c>
      <c r="J357" s="16"/>
    </row>
    <row r="358" spans="1:10" s="4" customFormat="1" ht="11.25" x14ac:dyDescent="0.2">
      <c r="A358" s="8" t="s">
        <v>270</v>
      </c>
      <c r="B358" s="8">
        <v>7325</v>
      </c>
      <c r="C358" s="8" t="s">
        <v>480</v>
      </c>
      <c r="D358" s="8" t="s">
        <v>291</v>
      </c>
      <c r="E358" s="8">
        <v>2</v>
      </c>
      <c r="F358" s="8">
        <v>7</v>
      </c>
      <c r="G358" s="8">
        <v>14</v>
      </c>
      <c r="H358" s="8">
        <v>6412</v>
      </c>
      <c r="I358" s="8">
        <v>140924</v>
      </c>
      <c r="J358" s="16"/>
    </row>
    <row r="359" spans="1:10" s="4" customFormat="1" ht="11.25" x14ac:dyDescent="0.2">
      <c r="A359" s="8" t="s">
        <v>270</v>
      </c>
      <c r="B359" s="8">
        <v>7565</v>
      </c>
      <c r="C359" s="8" t="s">
        <v>480</v>
      </c>
      <c r="D359" s="8" t="s">
        <v>99</v>
      </c>
      <c r="E359" s="8">
        <v>9</v>
      </c>
      <c r="F359" s="8">
        <v>10</v>
      </c>
      <c r="G359" s="8">
        <v>14</v>
      </c>
      <c r="H359" s="8">
        <v>6432</v>
      </c>
      <c r="I359" s="8">
        <v>140924</v>
      </c>
      <c r="J359" s="16"/>
    </row>
    <row r="360" spans="1:10" s="4" customFormat="1" ht="11.25" x14ac:dyDescent="0.2">
      <c r="A360" s="8" t="s">
        <v>270</v>
      </c>
      <c r="B360" s="8">
        <v>2444</v>
      </c>
      <c r="C360" s="8" t="s">
        <v>523</v>
      </c>
      <c r="D360" s="8" t="s">
        <v>210</v>
      </c>
      <c r="E360" s="8">
        <v>24</v>
      </c>
      <c r="F360" s="8">
        <v>1</v>
      </c>
      <c r="G360" s="8">
        <v>14</v>
      </c>
      <c r="H360" s="8">
        <v>6424</v>
      </c>
      <c r="I360" s="8">
        <v>140924</v>
      </c>
      <c r="J360" s="16"/>
    </row>
    <row r="361" spans="1:10" s="4" customFormat="1" ht="11.25" x14ac:dyDescent="0.2">
      <c r="A361" s="8" t="s">
        <v>270</v>
      </c>
      <c r="B361" s="8">
        <v>3429</v>
      </c>
      <c r="C361" s="8" t="s">
        <v>524</v>
      </c>
      <c r="D361" s="8" t="s">
        <v>525</v>
      </c>
      <c r="E361" s="8">
        <v>1</v>
      </c>
      <c r="F361" s="8">
        <v>17</v>
      </c>
      <c r="G361" s="8">
        <v>14</v>
      </c>
      <c r="H361" s="8">
        <v>6144</v>
      </c>
      <c r="I361" s="8">
        <v>140916</v>
      </c>
      <c r="J361" s="16"/>
    </row>
    <row r="362" spans="1:10" s="4" customFormat="1" ht="11.25" x14ac:dyDescent="0.2">
      <c r="A362" s="8" t="s">
        <v>270</v>
      </c>
      <c r="B362" s="8">
        <v>5841</v>
      </c>
      <c r="C362" s="8" t="s">
        <v>438</v>
      </c>
      <c r="D362" s="8" t="s">
        <v>76</v>
      </c>
      <c r="E362" s="8">
        <v>78</v>
      </c>
      <c r="F362" s="8">
        <v>17</v>
      </c>
      <c r="G362" s="8">
        <v>14</v>
      </c>
      <c r="H362" s="8">
        <v>6089</v>
      </c>
      <c r="I362" s="8">
        <v>140912</v>
      </c>
      <c r="J362" s="16"/>
    </row>
    <row r="363" spans="1:10" s="4" customFormat="1" ht="11.25" x14ac:dyDescent="0.2">
      <c r="A363" s="8" t="s">
        <v>270</v>
      </c>
      <c r="B363" s="8">
        <v>709</v>
      </c>
      <c r="C363" s="8" t="s">
        <v>140</v>
      </c>
      <c r="D363" s="8" t="s">
        <v>76</v>
      </c>
      <c r="E363" s="8">
        <v>150</v>
      </c>
      <c r="F363" s="8">
        <v>3</v>
      </c>
      <c r="G363" s="8">
        <v>14</v>
      </c>
      <c r="H363" s="8">
        <v>6028</v>
      </c>
      <c r="I363" s="8">
        <v>140910</v>
      </c>
      <c r="J363" s="16"/>
    </row>
    <row r="364" spans="1:10" s="4" customFormat="1" ht="11.25" x14ac:dyDescent="0.2">
      <c r="A364" s="8" t="s">
        <v>270</v>
      </c>
      <c r="B364" s="8">
        <v>7417</v>
      </c>
      <c r="C364" s="8" t="s">
        <v>177</v>
      </c>
      <c r="D364" s="8" t="s">
        <v>99</v>
      </c>
      <c r="E364" s="8">
        <v>6</v>
      </c>
      <c r="F364" s="8">
        <v>33</v>
      </c>
      <c r="G364" s="8">
        <v>14</v>
      </c>
      <c r="H364" s="8">
        <v>6096</v>
      </c>
      <c r="I364" s="8">
        <v>140912</v>
      </c>
      <c r="J364" s="16"/>
    </row>
    <row r="365" spans="1:10" s="4" customFormat="1" ht="11.25" x14ac:dyDescent="0.2">
      <c r="A365" s="8" t="s">
        <v>270</v>
      </c>
      <c r="B365" s="8">
        <v>6557</v>
      </c>
      <c r="C365" s="8" t="s">
        <v>287</v>
      </c>
      <c r="D365" s="8" t="s">
        <v>51</v>
      </c>
      <c r="E365" s="8">
        <v>1</v>
      </c>
      <c r="F365" s="8">
        <v>27</v>
      </c>
      <c r="G365" s="8">
        <v>14</v>
      </c>
      <c r="H365" s="8">
        <v>6429</v>
      </c>
      <c r="I365" s="8">
        <v>140924</v>
      </c>
      <c r="J365" s="16"/>
    </row>
    <row r="366" spans="1:10" s="4" customFormat="1" ht="11.25" x14ac:dyDescent="0.2">
      <c r="A366" s="8" t="s">
        <v>270</v>
      </c>
      <c r="B366" s="8">
        <v>6721</v>
      </c>
      <c r="C366" s="8" t="s">
        <v>80</v>
      </c>
      <c r="D366" s="8" t="s">
        <v>78</v>
      </c>
      <c r="E366" s="8">
        <v>104</v>
      </c>
      <c r="F366" s="8">
        <v>26</v>
      </c>
      <c r="G366" s="8">
        <v>14</v>
      </c>
      <c r="H366" s="8">
        <v>5915</v>
      </c>
      <c r="I366" s="8">
        <v>140905</v>
      </c>
      <c r="J366" s="16"/>
    </row>
    <row r="367" spans="1:10" s="4" customFormat="1" ht="11.25" x14ac:dyDescent="0.2">
      <c r="A367" s="8" t="s">
        <v>270</v>
      </c>
      <c r="B367" s="8">
        <v>6913</v>
      </c>
      <c r="C367" s="8" t="s">
        <v>80</v>
      </c>
      <c r="D367" s="8" t="s">
        <v>78</v>
      </c>
      <c r="E367" s="8">
        <v>118</v>
      </c>
      <c r="F367" s="8">
        <v>8</v>
      </c>
      <c r="G367" s="8">
        <v>14</v>
      </c>
      <c r="H367" s="8">
        <v>6411</v>
      </c>
      <c r="I367" s="8">
        <v>140924</v>
      </c>
      <c r="J367" s="16"/>
    </row>
    <row r="368" spans="1:10" s="4" customFormat="1" ht="11.25" x14ac:dyDescent="0.2">
      <c r="A368" s="8" t="s">
        <v>270</v>
      </c>
      <c r="B368" s="8">
        <v>7200</v>
      </c>
      <c r="C368" s="8" t="s">
        <v>80</v>
      </c>
      <c r="D368" s="8" t="s">
        <v>78</v>
      </c>
      <c r="E368" s="8">
        <v>117</v>
      </c>
      <c r="F368" s="8">
        <v>18</v>
      </c>
      <c r="G368" s="8">
        <v>14</v>
      </c>
      <c r="H368" s="8">
        <v>6469</v>
      </c>
      <c r="I368" s="8">
        <v>140929</v>
      </c>
      <c r="J368" s="16"/>
    </row>
    <row r="369" spans="1:10" s="4" customFormat="1" ht="11.25" x14ac:dyDescent="0.2">
      <c r="A369" s="8" t="s">
        <v>270</v>
      </c>
      <c r="B369" s="8">
        <v>7317</v>
      </c>
      <c r="C369" s="8" t="s">
        <v>245</v>
      </c>
      <c r="D369" s="8" t="s">
        <v>246</v>
      </c>
      <c r="E369" s="8">
        <v>2</v>
      </c>
      <c r="F369" s="8">
        <v>4</v>
      </c>
      <c r="G369" s="8">
        <v>14</v>
      </c>
      <c r="H369" s="8">
        <v>6448</v>
      </c>
      <c r="I369" s="8">
        <v>140925</v>
      </c>
      <c r="J369" s="16"/>
    </row>
    <row r="370" spans="1:10" s="4" customFormat="1" ht="11.25" x14ac:dyDescent="0.2">
      <c r="A370" s="8" t="s">
        <v>270</v>
      </c>
      <c r="B370" s="8">
        <v>7341</v>
      </c>
      <c r="C370" s="8" t="s">
        <v>245</v>
      </c>
      <c r="D370" s="8" t="s">
        <v>246</v>
      </c>
      <c r="E370" s="8">
        <v>2</v>
      </c>
      <c r="F370" s="8">
        <v>7</v>
      </c>
      <c r="G370" s="8">
        <v>14</v>
      </c>
      <c r="H370" s="8">
        <v>6225</v>
      </c>
      <c r="I370" s="8">
        <v>140917</v>
      </c>
      <c r="J370" s="16"/>
    </row>
    <row r="371" spans="1:10" s="4" customFormat="1" ht="11.25" x14ac:dyDescent="0.2">
      <c r="A371" s="8" t="s">
        <v>270</v>
      </c>
      <c r="B371" s="8">
        <v>4216</v>
      </c>
      <c r="C371" s="8" t="s">
        <v>172</v>
      </c>
      <c r="D371" s="8" t="s">
        <v>134</v>
      </c>
      <c r="E371" s="8">
        <v>5</v>
      </c>
      <c r="F371" s="8">
        <v>40</v>
      </c>
      <c r="G371" s="8">
        <v>14</v>
      </c>
      <c r="H371" s="8">
        <v>6317</v>
      </c>
      <c r="I371" s="8">
        <v>140922</v>
      </c>
      <c r="J371" s="16"/>
    </row>
    <row r="372" spans="1:10" s="4" customFormat="1" ht="11.25" x14ac:dyDescent="0.2">
      <c r="A372" s="8" t="s">
        <v>270</v>
      </c>
      <c r="B372" s="8">
        <v>5114</v>
      </c>
      <c r="C372" s="8" t="s">
        <v>168</v>
      </c>
      <c r="D372" s="8" t="s">
        <v>76</v>
      </c>
      <c r="E372" s="8">
        <v>59</v>
      </c>
      <c r="F372" s="8" t="s">
        <v>132</v>
      </c>
      <c r="G372" s="8">
        <v>14</v>
      </c>
      <c r="H372" s="8">
        <v>6124</v>
      </c>
      <c r="I372" s="8">
        <v>140915</v>
      </c>
      <c r="J372" s="16"/>
    </row>
    <row r="373" spans="1:10" s="4" customFormat="1" ht="11.25" x14ac:dyDescent="0.2">
      <c r="A373" s="8" t="s">
        <v>270</v>
      </c>
      <c r="B373" s="8">
        <v>7549</v>
      </c>
      <c r="C373" s="8" t="s">
        <v>526</v>
      </c>
      <c r="D373" s="8" t="s">
        <v>99</v>
      </c>
      <c r="E373" s="8">
        <v>8</v>
      </c>
      <c r="F373" s="8">
        <v>9</v>
      </c>
      <c r="G373" s="8">
        <v>14</v>
      </c>
      <c r="H373" s="8">
        <v>6520</v>
      </c>
      <c r="I373" s="8">
        <v>140930</v>
      </c>
      <c r="J373" s="16"/>
    </row>
    <row r="374" spans="1:10" s="4" customFormat="1" ht="11.25" x14ac:dyDescent="0.2">
      <c r="A374" s="8" t="s">
        <v>270</v>
      </c>
      <c r="B374" s="8">
        <v>613</v>
      </c>
      <c r="C374" s="8" t="s">
        <v>258</v>
      </c>
      <c r="D374" s="8" t="s">
        <v>62</v>
      </c>
      <c r="E374" s="8">
        <v>1</v>
      </c>
      <c r="F374" s="8">
        <v>10</v>
      </c>
      <c r="G374" s="8">
        <v>14</v>
      </c>
      <c r="H374" s="8">
        <v>6088</v>
      </c>
      <c r="I374" s="8">
        <v>140912</v>
      </c>
      <c r="J374" s="16"/>
    </row>
    <row r="375" spans="1:10" s="4" customFormat="1" ht="11.25" x14ac:dyDescent="0.2">
      <c r="A375" s="8" t="s">
        <v>270</v>
      </c>
      <c r="B375" s="8">
        <v>740</v>
      </c>
      <c r="C375" s="8" t="s">
        <v>258</v>
      </c>
      <c r="D375" s="8" t="s">
        <v>60</v>
      </c>
      <c r="E375" s="8">
        <v>2</v>
      </c>
      <c r="F375" s="8">
        <v>5</v>
      </c>
      <c r="G375" s="8">
        <v>14</v>
      </c>
      <c r="H375" s="8">
        <v>5995</v>
      </c>
      <c r="I375" s="8">
        <v>140909</v>
      </c>
      <c r="J375" s="16"/>
    </row>
    <row r="376" spans="1:10" s="4" customFormat="1" ht="11.25" x14ac:dyDescent="0.2">
      <c r="A376" s="8" t="s">
        <v>270</v>
      </c>
      <c r="B376" s="8">
        <v>813</v>
      </c>
      <c r="C376" s="8" t="s">
        <v>258</v>
      </c>
      <c r="D376" s="8" t="s">
        <v>62</v>
      </c>
      <c r="E376" s="8">
        <v>5</v>
      </c>
      <c r="F376" s="8">
        <v>3</v>
      </c>
      <c r="G376" s="8">
        <v>14</v>
      </c>
      <c r="H376" s="8">
        <v>5996</v>
      </c>
      <c r="I376" s="8">
        <v>140909</v>
      </c>
      <c r="J376" s="16"/>
    </row>
    <row r="377" spans="1:10" s="4" customFormat="1" ht="11.25" x14ac:dyDescent="0.2">
      <c r="A377" s="8" t="s">
        <v>270</v>
      </c>
      <c r="B377" s="8">
        <v>2695</v>
      </c>
      <c r="C377" s="8" t="s">
        <v>527</v>
      </c>
      <c r="D377" s="8" t="s">
        <v>290</v>
      </c>
      <c r="E377" s="8">
        <v>9</v>
      </c>
      <c r="F377" s="8">
        <v>29</v>
      </c>
      <c r="G377" s="8">
        <v>14</v>
      </c>
      <c r="H377" s="8">
        <v>5850</v>
      </c>
      <c r="I377" s="8">
        <v>140904</v>
      </c>
      <c r="J377" s="16"/>
    </row>
    <row r="378" spans="1:10" s="4" customFormat="1" ht="11.25" x14ac:dyDescent="0.2">
      <c r="A378" s="8" t="s">
        <v>270</v>
      </c>
      <c r="B378" s="8">
        <v>317</v>
      </c>
      <c r="C378" s="8" t="s">
        <v>528</v>
      </c>
      <c r="D378" s="8" t="s">
        <v>529</v>
      </c>
      <c r="E378" s="8"/>
      <c r="F378" s="8">
        <v>405</v>
      </c>
      <c r="G378" s="8">
        <v>14</v>
      </c>
      <c r="H378" s="8">
        <v>6337</v>
      </c>
      <c r="I378" s="8">
        <v>140923</v>
      </c>
      <c r="J378" s="16"/>
    </row>
    <row r="379" spans="1:10" s="4" customFormat="1" ht="11.25" x14ac:dyDescent="0.2">
      <c r="A379" s="8" t="s">
        <v>270</v>
      </c>
      <c r="B379" s="8">
        <v>508</v>
      </c>
      <c r="C379" s="8" t="s">
        <v>322</v>
      </c>
      <c r="D379" s="8" t="s">
        <v>297</v>
      </c>
      <c r="E379" s="8">
        <v>8</v>
      </c>
      <c r="F379" s="8">
        <v>3</v>
      </c>
      <c r="G379" s="8">
        <v>14</v>
      </c>
      <c r="H379" s="8">
        <v>6292</v>
      </c>
      <c r="I379" s="8">
        <v>140919</v>
      </c>
      <c r="J379" s="16"/>
    </row>
    <row r="380" spans="1:10" s="4" customFormat="1" ht="11.25" x14ac:dyDescent="0.2">
      <c r="A380" s="8" t="s">
        <v>270</v>
      </c>
      <c r="B380" s="8">
        <v>127</v>
      </c>
      <c r="C380" s="8" t="s">
        <v>178</v>
      </c>
      <c r="D380" s="8" t="s">
        <v>148</v>
      </c>
      <c r="E380" s="8">
        <v>6</v>
      </c>
      <c r="F380" s="8">
        <v>4</v>
      </c>
      <c r="G380" s="8">
        <v>14</v>
      </c>
      <c r="H380" s="8">
        <v>6508</v>
      </c>
      <c r="I380" s="8">
        <v>140930</v>
      </c>
      <c r="J380" s="16"/>
    </row>
    <row r="381" spans="1:10" s="4" customFormat="1" ht="11.25" x14ac:dyDescent="0.2">
      <c r="A381" s="8" t="s">
        <v>270</v>
      </c>
      <c r="B381" s="8">
        <v>1617</v>
      </c>
      <c r="C381" s="8" t="s">
        <v>530</v>
      </c>
      <c r="D381" s="8" t="s">
        <v>531</v>
      </c>
      <c r="E381" s="8" t="s">
        <v>268</v>
      </c>
      <c r="F381" s="8">
        <v>6</v>
      </c>
      <c r="G381" s="8">
        <v>14</v>
      </c>
      <c r="H381" s="8">
        <v>6109</v>
      </c>
      <c r="I381" s="8">
        <v>140912</v>
      </c>
      <c r="J381" s="16"/>
    </row>
    <row r="382" spans="1:10" s="4" customFormat="1" ht="11.25" x14ac:dyDescent="0.2">
      <c r="A382" s="8" t="s">
        <v>270</v>
      </c>
      <c r="B382" s="8">
        <v>698</v>
      </c>
      <c r="C382" s="8" t="s">
        <v>532</v>
      </c>
      <c r="D382" s="8" t="s">
        <v>94</v>
      </c>
      <c r="E382" s="8">
        <v>22</v>
      </c>
      <c r="F382" s="8">
        <v>22</v>
      </c>
      <c r="G382" s="8">
        <v>14</v>
      </c>
      <c r="H382" s="8">
        <v>6095</v>
      </c>
      <c r="I382" s="8">
        <v>140912</v>
      </c>
      <c r="J382" s="16"/>
    </row>
    <row r="383" spans="1:10" s="4" customFormat="1" ht="11.25" x14ac:dyDescent="0.2">
      <c r="A383" s="8" t="s">
        <v>270</v>
      </c>
      <c r="B383" s="8">
        <v>4555</v>
      </c>
      <c r="C383" s="8" t="s">
        <v>111</v>
      </c>
      <c r="D383" s="8" t="s">
        <v>323</v>
      </c>
      <c r="E383" s="8">
        <v>3</v>
      </c>
      <c r="F383" s="8">
        <v>14</v>
      </c>
      <c r="G383" s="8">
        <v>14</v>
      </c>
      <c r="H383" s="8">
        <v>6177</v>
      </c>
      <c r="I383" s="8">
        <v>140916</v>
      </c>
      <c r="J383" s="16"/>
    </row>
    <row r="384" spans="1:10" s="4" customFormat="1" ht="11.25" x14ac:dyDescent="0.2">
      <c r="A384" s="8" t="s">
        <v>270</v>
      </c>
      <c r="B384" s="8">
        <v>623</v>
      </c>
      <c r="C384" s="8" t="s">
        <v>533</v>
      </c>
      <c r="D384" s="8" t="s">
        <v>496</v>
      </c>
      <c r="E384" s="8">
        <v>5</v>
      </c>
      <c r="F384" s="8">
        <v>12</v>
      </c>
      <c r="G384" s="8">
        <v>14</v>
      </c>
      <c r="H384" s="8">
        <v>6147</v>
      </c>
      <c r="I384" s="8">
        <v>140916</v>
      </c>
      <c r="J384" s="16"/>
    </row>
    <row r="385" spans="1:10" s="4" customFormat="1" ht="11.25" x14ac:dyDescent="0.2">
      <c r="A385" s="8" t="s">
        <v>270</v>
      </c>
      <c r="B385" s="8">
        <v>3821</v>
      </c>
      <c r="C385" s="8" t="s">
        <v>159</v>
      </c>
      <c r="D385" s="8" t="s">
        <v>62</v>
      </c>
      <c r="E385" s="8">
        <v>4</v>
      </c>
      <c r="F385" s="8">
        <v>5</v>
      </c>
      <c r="G385" s="8">
        <v>14</v>
      </c>
      <c r="H385" s="8">
        <v>5882</v>
      </c>
      <c r="I385" s="8">
        <v>140904</v>
      </c>
      <c r="J385" s="16"/>
    </row>
    <row r="386" spans="1:10" s="4" customFormat="1" ht="11.25" x14ac:dyDescent="0.2">
      <c r="A386" s="8" t="s">
        <v>270</v>
      </c>
      <c r="B386" s="8">
        <v>3828</v>
      </c>
      <c r="C386" s="8" t="s">
        <v>159</v>
      </c>
      <c r="D386" s="8" t="s">
        <v>62</v>
      </c>
      <c r="E386" s="8">
        <v>3</v>
      </c>
      <c r="F386" s="8">
        <v>7</v>
      </c>
      <c r="G386" s="8">
        <v>14</v>
      </c>
      <c r="H386" s="8">
        <v>5854</v>
      </c>
      <c r="I386" s="8">
        <v>140904</v>
      </c>
      <c r="J386" s="16"/>
    </row>
    <row r="387" spans="1:10" s="4" customFormat="1" ht="11.25" x14ac:dyDescent="0.2">
      <c r="A387" s="8" t="s">
        <v>270</v>
      </c>
      <c r="B387" s="8">
        <v>380</v>
      </c>
      <c r="C387" s="8" t="s">
        <v>355</v>
      </c>
      <c r="D387" s="8" t="s">
        <v>356</v>
      </c>
      <c r="E387" s="8">
        <v>3</v>
      </c>
      <c r="F387" s="8">
        <v>12</v>
      </c>
      <c r="G387" s="8">
        <v>14</v>
      </c>
      <c r="H387" s="8">
        <v>6058</v>
      </c>
      <c r="I387" s="8">
        <v>140911</v>
      </c>
      <c r="J387" s="16"/>
    </row>
    <row r="388" spans="1:10" s="4" customFormat="1" ht="11.25" x14ac:dyDescent="0.2">
      <c r="A388" s="8" t="s">
        <v>270</v>
      </c>
      <c r="B388" s="8">
        <v>2208</v>
      </c>
      <c r="C388" s="8" t="s">
        <v>445</v>
      </c>
      <c r="D388" s="8" t="s">
        <v>374</v>
      </c>
      <c r="E388" s="8">
        <v>1</v>
      </c>
      <c r="F388" s="8">
        <v>38</v>
      </c>
      <c r="G388" s="8">
        <v>14</v>
      </c>
      <c r="H388" s="8">
        <v>6310</v>
      </c>
      <c r="I388" s="8">
        <v>140922</v>
      </c>
      <c r="J388" s="16"/>
    </row>
    <row r="389" spans="1:10" s="4" customFormat="1" ht="11.25" x14ac:dyDescent="0.2">
      <c r="A389" s="8" t="s">
        <v>270</v>
      </c>
      <c r="B389" s="8">
        <v>811</v>
      </c>
      <c r="C389" s="8" t="s">
        <v>293</v>
      </c>
      <c r="D389" s="8" t="s">
        <v>294</v>
      </c>
      <c r="E389" s="8">
        <v>2</v>
      </c>
      <c r="F389" s="8">
        <v>6</v>
      </c>
      <c r="G389" s="8">
        <v>14</v>
      </c>
      <c r="H389" s="8">
        <v>6371</v>
      </c>
      <c r="I389" s="8">
        <v>140923</v>
      </c>
      <c r="J389" s="16"/>
    </row>
    <row r="390" spans="1:10" s="4" customFormat="1" ht="11.25" x14ac:dyDescent="0.2">
      <c r="A390" s="8" t="s">
        <v>270</v>
      </c>
      <c r="B390" s="8">
        <v>815</v>
      </c>
      <c r="C390" s="8" t="s">
        <v>293</v>
      </c>
      <c r="D390" s="8" t="s">
        <v>294</v>
      </c>
      <c r="E390" s="8">
        <v>2</v>
      </c>
      <c r="F390" s="8">
        <v>5</v>
      </c>
      <c r="G390" s="8">
        <v>14</v>
      </c>
      <c r="H390" s="8">
        <v>6413</v>
      </c>
      <c r="I390" s="8">
        <v>140924</v>
      </c>
      <c r="J390" s="16"/>
    </row>
    <row r="391" spans="1:10" s="4" customFormat="1" ht="11.25" x14ac:dyDescent="0.2">
      <c r="A391" s="8" t="s">
        <v>270</v>
      </c>
      <c r="B391" s="8">
        <v>2905</v>
      </c>
      <c r="C391" s="8" t="s">
        <v>227</v>
      </c>
      <c r="D391" s="8" t="s">
        <v>228</v>
      </c>
      <c r="E391" s="8">
        <v>2</v>
      </c>
      <c r="F391" s="8">
        <v>11</v>
      </c>
      <c r="G391" s="8">
        <v>14</v>
      </c>
      <c r="H391" s="8">
        <v>5866</v>
      </c>
      <c r="I391" s="8">
        <v>140904</v>
      </c>
      <c r="J391" s="16"/>
    </row>
    <row r="392" spans="1:10" s="4" customFormat="1" ht="11.25" x14ac:dyDescent="0.2">
      <c r="A392" s="8" t="s">
        <v>270</v>
      </c>
      <c r="B392" s="8">
        <v>622</v>
      </c>
      <c r="C392" s="8" t="s">
        <v>149</v>
      </c>
      <c r="D392" s="8" t="s">
        <v>150</v>
      </c>
      <c r="E392" s="8">
        <v>1</v>
      </c>
      <c r="F392" s="8">
        <v>6</v>
      </c>
      <c r="G392" s="8">
        <v>14</v>
      </c>
      <c r="H392" s="8">
        <v>6275</v>
      </c>
      <c r="I392" s="8">
        <v>140918</v>
      </c>
      <c r="J392" s="16"/>
    </row>
    <row r="393" spans="1:10" s="4" customFormat="1" ht="11.25" x14ac:dyDescent="0.2">
      <c r="A393" s="8" t="s">
        <v>270</v>
      </c>
      <c r="B393" s="8">
        <v>742</v>
      </c>
      <c r="C393" s="8" t="s">
        <v>149</v>
      </c>
      <c r="D393" s="8" t="s">
        <v>150</v>
      </c>
      <c r="E393" s="8">
        <v>1</v>
      </c>
      <c r="F393" s="8">
        <v>27</v>
      </c>
      <c r="G393" s="8">
        <v>14</v>
      </c>
      <c r="H393" s="8">
        <v>6331</v>
      </c>
      <c r="I393" s="8">
        <v>140922</v>
      </c>
      <c r="J393" s="16"/>
    </row>
    <row r="394" spans="1:10" s="4" customFormat="1" ht="11.25" x14ac:dyDescent="0.2">
      <c r="A394" s="8" t="s">
        <v>270</v>
      </c>
      <c r="B394" s="8">
        <v>758</v>
      </c>
      <c r="C394" s="8" t="s">
        <v>149</v>
      </c>
      <c r="D394" s="8" t="s">
        <v>150</v>
      </c>
      <c r="E394" s="8">
        <v>1</v>
      </c>
      <c r="F394" s="8">
        <v>31</v>
      </c>
      <c r="G394" s="8">
        <v>14</v>
      </c>
      <c r="H394" s="8">
        <v>6276</v>
      </c>
      <c r="I394" s="8">
        <v>140918</v>
      </c>
      <c r="J394" s="16"/>
    </row>
    <row r="395" spans="1:10" s="4" customFormat="1" ht="11.25" x14ac:dyDescent="0.2">
      <c r="A395" s="8" t="s">
        <v>270</v>
      </c>
      <c r="B395" s="8">
        <v>1960</v>
      </c>
      <c r="C395" s="8" t="s">
        <v>447</v>
      </c>
      <c r="D395" s="8" t="s">
        <v>275</v>
      </c>
      <c r="E395" s="8">
        <v>1</v>
      </c>
      <c r="F395" s="8">
        <v>4</v>
      </c>
      <c r="G395" s="8">
        <v>14</v>
      </c>
      <c r="H395" s="8">
        <v>6215</v>
      </c>
      <c r="I395" s="8">
        <v>140917</v>
      </c>
      <c r="J395" s="16"/>
    </row>
    <row r="396" spans="1:10" s="4" customFormat="1" ht="11.25" x14ac:dyDescent="0.2">
      <c r="A396" s="8" t="s">
        <v>270</v>
      </c>
      <c r="B396" s="8">
        <v>6374</v>
      </c>
      <c r="C396" s="8" t="s">
        <v>358</v>
      </c>
      <c r="D396" s="8" t="s">
        <v>104</v>
      </c>
      <c r="E396" s="8">
        <v>1</v>
      </c>
      <c r="F396" s="8">
        <v>20</v>
      </c>
      <c r="G396" s="8">
        <v>14</v>
      </c>
      <c r="H396" s="8">
        <v>6452</v>
      </c>
      <c r="I396" s="8">
        <v>140925</v>
      </c>
      <c r="J396" s="16"/>
    </row>
    <row r="397" spans="1:10" s="4" customFormat="1" ht="11.25" x14ac:dyDescent="0.2">
      <c r="A397" s="8" t="s">
        <v>270</v>
      </c>
      <c r="B397" s="8">
        <v>4589</v>
      </c>
      <c r="C397" s="8" t="s">
        <v>198</v>
      </c>
      <c r="D397" s="8" t="s">
        <v>295</v>
      </c>
      <c r="E397" s="8">
        <v>1</v>
      </c>
      <c r="F397" s="8">
        <v>23</v>
      </c>
      <c r="G397" s="8">
        <v>14</v>
      </c>
      <c r="H397" s="8">
        <v>6466</v>
      </c>
      <c r="I397" s="8">
        <v>140926</v>
      </c>
      <c r="J397" s="16"/>
    </row>
    <row r="398" spans="1:10" s="4" customFormat="1" ht="11.25" x14ac:dyDescent="0.2">
      <c r="A398" s="8" t="s">
        <v>270</v>
      </c>
      <c r="B398" s="8">
        <v>6119</v>
      </c>
      <c r="C398" s="8" t="s">
        <v>162</v>
      </c>
      <c r="D398" s="8" t="s">
        <v>163</v>
      </c>
      <c r="E398" s="8" t="s">
        <v>128</v>
      </c>
      <c r="F398" s="8">
        <v>38</v>
      </c>
      <c r="G398" s="8">
        <v>14</v>
      </c>
      <c r="H398" s="8">
        <v>5899</v>
      </c>
      <c r="I398" s="8">
        <v>140905</v>
      </c>
      <c r="J398" s="16"/>
    </row>
    <row r="399" spans="1:10" s="4" customFormat="1" ht="11.25" x14ac:dyDescent="0.2">
      <c r="A399" s="8" t="s">
        <v>270</v>
      </c>
      <c r="B399" s="8">
        <v>2625</v>
      </c>
      <c r="C399" s="8" t="s">
        <v>485</v>
      </c>
      <c r="D399" s="8" t="s">
        <v>257</v>
      </c>
      <c r="E399" s="8">
        <v>15</v>
      </c>
      <c r="F399" s="8">
        <v>6</v>
      </c>
      <c r="G399" s="8">
        <v>14</v>
      </c>
      <c r="H399" s="8">
        <v>5891</v>
      </c>
      <c r="I399" s="8">
        <v>140904</v>
      </c>
      <c r="J399" s="16"/>
    </row>
    <row r="400" spans="1:10" s="4" customFormat="1" ht="11.25" x14ac:dyDescent="0.2">
      <c r="A400" s="8" t="s">
        <v>270</v>
      </c>
      <c r="B400" s="8">
        <v>120</v>
      </c>
      <c r="C400" s="8" t="s">
        <v>534</v>
      </c>
      <c r="D400" s="8" t="s">
        <v>94</v>
      </c>
      <c r="E400" s="8">
        <v>15</v>
      </c>
      <c r="F400" s="8">
        <v>5</v>
      </c>
      <c r="G400" s="8">
        <v>14</v>
      </c>
      <c r="H400" s="8">
        <v>6148</v>
      </c>
      <c r="I400" s="8">
        <v>140916</v>
      </c>
      <c r="J400" s="16"/>
    </row>
    <row r="401" spans="1:10" s="4" customFormat="1" ht="11.25" x14ac:dyDescent="0.2">
      <c r="A401" s="8" t="s">
        <v>270</v>
      </c>
      <c r="B401" s="8">
        <v>1100</v>
      </c>
      <c r="C401" s="8" t="s">
        <v>535</v>
      </c>
      <c r="D401" s="8"/>
      <c r="E401" s="8"/>
      <c r="F401" s="8"/>
      <c r="G401" s="8">
        <v>14</v>
      </c>
      <c r="H401" s="8">
        <v>5825</v>
      </c>
      <c r="I401" s="8">
        <v>140902</v>
      </c>
      <c r="J401" s="16"/>
    </row>
    <row r="402" spans="1:10" s="4" customFormat="1" ht="11.25" x14ac:dyDescent="0.2">
      <c r="A402" s="8" t="s">
        <v>270</v>
      </c>
      <c r="B402" s="8">
        <v>1161</v>
      </c>
      <c r="C402" s="8" t="s">
        <v>536</v>
      </c>
      <c r="D402" s="8" t="s">
        <v>537</v>
      </c>
      <c r="E402" s="8">
        <v>3</v>
      </c>
      <c r="F402" s="8">
        <v>12</v>
      </c>
      <c r="G402" s="8">
        <v>14</v>
      </c>
      <c r="H402" s="8">
        <v>6064</v>
      </c>
      <c r="I402" s="8">
        <v>140911</v>
      </c>
      <c r="J402" s="16"/>
    </row>
    <row r="403" spans="1:10" s="4" customFormat="1" ht="11.25" x14ac:dyDescent="0.2">
      <c r="A403" s="8" t="s">
        <v>270</v>
      </c>
      <c r="B403" s="8">
        <v>2520</v>
      </c>
      <c r="C403" s="8" t="s">
        <v>296</v>
      </c>
      <c r="D403" s="8" t="s">
        <v>210</v>
      </c>
      <c r="E403" s="8">
        <v>7</v>
      </c>
      <c r="F403" s="8">
        <v>17</v>
      </c>
      <c r="G403" s="8">
        <v>14</v>
      </c>
      <c r="H403" s="8">
        <v>6126</v>
      </c>
      <c r="I403" s="8">
        <v>140915</v>
      </c>
      <c r="J403" s="16"/>
    </row>
    <row r="404" spans="1:10" s="4" customFormat="1" ht="11.25" x14ac:dyDescent="0.2">
      <c r="A404" s="8" t="s">
        <v>270</v>
      </c>
      <c r="B404" s="8">
        <v>1519</v>
      </c>
      <c r="C404" s="8" t="s">
        <v>538</v>
      </c>
      <c r="D404" s="8" t="s">
        <v>374</v>
      </c>
      <c r="E404" s="8">
        <v>4</v>
      </c>
      <c r="F404" s="8">
        <v>10</v>
      </c>
      <c r="G404" s="8">
        <v>14</v>
      </c>
      <c r="H404" s="8">
        <v>6278</v>
      </c>
      <c r="I404" s="8">
        <v>140919</v>
      </c>
      <c r="J404" s="16"/>
    </row>
    <row r="405" spans="1:10" s="4" customFormat="1" ht="11.25" x14ac:dyDescent="0.2">
      <c r="A405" s="8" t="s">
        <v>270</v>
      </c>
      <c r="B405" s="8">
        <v>2831</v>
      </c>
      <c r="C405" s="8" t="s">
        <v>157</v>
      </c>
      <c r="D405" s="8" t="s">
        <v>142</v>
      </c>
      <c r="E405" s="8">
        <v>5</v>
      </c>
      <c r="F405" s="8">
        <v>15</v>
      </c>
      <c r="G405" s="8">
        <v>14</v>
      </c>
      <c r="H405" s="8">
        <v>6081</v>
      </c>
      <c r="I405" s="8">
        <v>140912</v>
      </c>
      <c r="J405" s="16"/>
    </row>
    <row r="406" spans="1:10" s="4" customFormat="1" ht="11.25" x14ac:dyDescent="0.2">
      <c r="A406" s="8" t="s">
        <v>270</v>
      </c>
      <c r="B406" s="8">
        <v>617</v>
      </c>
      <c r="C406" s="8" t="s">
        <v>539</v>
      </c>
      <c r="D406" s="8" t="s">
        <v>64</v>
      </c>
      <c r="E406" s="8">
        <v>3</v>
      </c>
      <c r="F406" s="8" t="s">
        <v>218</v>
      </c>
      <c r="G406" s="8">
        <v>14</v>
      </c>
      <c r="H406" s="8">
        <v>6441</v>
      </c>
      <c r="I406" s="8">
        <v>140925</v>
      </c>
      <c r="J406" s="16"/>
    </row>
    <row r="407" spans="1:10" s="4" customFormat="1" ht="11.25" x14ac:dyDescent="0.2">
      <c r="A407" s="8" t="s">
        <v>270</v>
      </c>
      <c r="B407" s="8">
        <v>6750</v>
      </c>
      <c r="C407" s="8" t="s">
        <v>540</v>
      </c>
      <c r="D407" s="8" t="s">
        <v>81</v>
      </c>
      <c r="E407" s="8">
        <v>11</v>
      </c>
      <c r="F407" s="8">
        <v>39</v>
      </c>
      <c r="G407" s="8">
        <v>14</v>
      </c>
      <c r="H407" s="8">
        <v>6505</v>
      </c>
      <c r="I407" s="8">
        <v>140929</v>
      </c>
      <c r="J407" s="16"/>
    </row>
    <row r="408" spans="1:10" s="4" customFormat="1" ht="11.25" x14ac:dyDescent="0.2">
      <c r="A408" s="8" t="s">
        <v>270</v>
      </c>
      <c r="B408" s="8">
        <v>7124</v>
      </c>
      <c r="C408" s="8" t="s">
        <v>133</v>
      </c>
      <c r="D408" s="8" t="s">
        <v>134</v>
      </c>
      <c r="E408" s="8">
        <v>4</v>
      </c>
      <c r="F408" s="8">
        <v>38</v>
      </c>
      <c r="G408" s="8">
        <v>14</v>
      </c>
      <c r="H408" s="8">
        <v>5961</v>
      </c>
      <c r="I408" s="8">
        <v>140908</v>
      </c>
      <c r="J408" s="16"/>
    </row>
    <row r="409" spans="1:10" s="4" customFormat="1" ht="11.25" x14ac:dyDescent="0.2">
      <c r="A409" s="8" t="s">
        <v>270</v>
      </c>
      <c r="B409" s="8">
        <v>7200</v>
      </c>
      <c r="C409" s="8" t="s">
        <v>133</v>
      </c>
      <c r="D409" s="8" t="s">
        <v>134</v>
      </c>
      <c r="E409" s="8">
        <v>4</v>
      </c>
      <c r="F409" s="8">
        <v>37</v>
      </c>
      <c r="G409" s="8">
        <v>14</v>
      </c>
      <c r="H409" s="8">
        <v>5962</v>
      </c>
      <c r="I409" s="8">
        <v>140908</v>
      </c>
      <c r="J409" s="16"/>
    </row>
    <row r="410" spans="1:10" s="4" customFormat="1" ht="11.25" x14ac:dyDescent="0.2">
      <c r="A410" s="8" t="s">
        <v>270</v>
      </c>
      <c r="B410" s="8">
        <v>7204</v>
      </c>
      <c r="C410" s="8" t="s">
        <v>133</v>
      </c>
      <c r="D410" s="8" t="s">
        <v>134</v>
      </c>
      <c r="E410" s="8">
        <v>4</v>
      </c>
      <c r="F410" s="8">
        <v>36</v>
      </c>
      <c r="G410" s="8">
        <v>14</v>
      </c>
      <c r="H410" s="8">
        <v>6420</v>
      </c>
      <c r="I410" s="8">
        <v>140924</v>
      </c>
      <c r="J410" s="16"/>
    </row>
    <row r="411" spans="1:10" s="4" customFormat="1" ht="11.25" x14ac:dyDescent="0.2">
      <c r="A411" s="8" t="s">
        <v>270</v>
      </c>
      <c r="B411" s="8">
        <v>7208</v>
      </c>
      <c r="C411" s="8" t="s">
        <v>133</v>
      </c>
      <c r="D411" s="8" t="s">
        <v>134</v>
      </c>
      <c r="E411" s="8">
        <v>4</v>
      </c>
      <c r="F411" s="8">
        <v>35</v>
      </c>
      <c r="G411" s="8">
        <v>14</v>
      </c>
      <c r="H411" s="8">
        <v>5963</v>
      </c>
      <c r="I411" s="8">
        <v>140908</v>
      </c>
      <c r="J411" s="16"/>
    </row>
    <row r="412" spans="1:10" s="4" customFormat="1" ht="11.25" x14ac:dyDescent="0.2">
      <c r="A412" s="8" t="s">
        <v>270</v>
      </c>
      <c r="B412" s="8">
        <v>7212</v>
      </c>
      <c r="C412" s="8" t="s">
        <v>133</v>
      </c>
      <c r="D412" s="8" t="s">
        <v>134</v>
      </c>
      <c r="E412" s="8">
        <v>4</v>
      </c>
      <c r="F412" s="8">
        <v>34</v>
      </c>
      <c r="G412" s="8">
        <v>14</v>
      </c>
      <c r="H412" s="8">
        <v>5964</v>
      </c>
      <c r="I412" s="8">
        <v>140908</v>
      </c>
      <c r="J412" s="16"/>
    </row>
    <row r="413" spans="1:10" s="4" customFormat="1" ht="11.25" x14ac:dyDescent="0.2">
      <c r="A413" s="8" t="s">
        <v>270</v>
      </c>
      <c r="B413" s="8">
        <v>7224</v>
      </c>
      <c r="C413" s="8" t="s">
        <v>133</v>
      </c>
      <c r="D413" s="8" t="s">
        <v>134</v>
      </c>
      <c r="E413" s="8">
        <v>4</v>
      </c>
      <c r="F413" s="8">
        <v>31</v>
      </c>
      <c r="G413" s="8">
        <v>14</v>
      </c>
      <c r="H413" s="8">
        <v>5965</v>
      </c>
      <c r="I413" s="8">
        <v>140908</v>
      </c>
      <c r="J413" s="16"/>
    </row>
    <row r="414" spans="1:10" s="4" customFormat="1" ht="11.25" x14ac:dyDescent="0.2">
      <c r="A414" s="8" t="s">
        <v>270</v>
      </c>
      <c r="B414" s="8">
        <v>1685</v>
      </c>
      <c r="C414" s="8" t="s">
        <v>541</v>
      </c>
      <c r="D414" s="8" t="s">
        <v>479</v>
      </c>
      <c r="E414" s="8">
        <v>1</v>
      </c>
      <c r="F414" s="8">
        <v>22</v>
      </c>
      <c r="G414" s="8">
        <v>14</v>
      </c>
      <c r="H414" s="8">
        <v>6507</v>
      </c>
      <c r="I414" s="8">
        <v>140929</v>
      </c>
      <c r="J414" s="16"/>
    </row>
    <row r="415" spans="1:10" s="4" customFormat="1" ht="11.25" x14ac:dyDescent="0.2">
      <c r="A415" s="8" t="s">
        <v>270</v>
      </c>
      <c r="B415" s="8">
        <v>1709</v>
      </c>
      <c r="C415" s="8" t="s">
        <v>541</v>
      </c>
      <c r="D415" s="8" t="s">
        <v>479</v>
      </c>
      <c r="E415" s="8">
        <v>1</v>
      </c>
      <c r="F415" s="8">
        <v>1</v>
      </c>
      <c r="G415" s="8">
        <v>14</v>
      </c>
      <c r="H415" s="8">
        <v>6415</v>
      </c>
      <c r="I415" s="8">
        <v>140924</v>
      </c>
      <c r="J415" s="16"/>
    </row>
    <row r="416" spans="1:10" s="4" customFormat="1" ht="11.25" x14ac:dyDescent="0.2">
      <c r="A416" s="8" t="s">
        <v>270</v>
      </c>
      <c r="B416" s="8">
        <v>4444</v>
      </c>
      <c r="C416" s="8" t="s">
        <v>542</v>
      </c>
      <c r="D416" s="8" t="s">
        <v>543</v>
      </c>
      <c r="E416" s="8"/>
      <c r="F416" s="8">
        <v>50</v>
      </c>
      <c r="G416" s="8">
        <v>14</v>
      </c>
      <c r="H416" s="8">
        <v>6442</v>
      </c>
      <c r="I416" s="8">
        <v>140925</v>
      </c>
      <c r="J416" s="16"/>
    </row>
    <row r="417" spans="1:10" s="4" customFormat="1" ht="11.25" x14ac:dyDescent="0.2">
      <c r="A417" s="8" t="s">
        <v>270</v>
      </c>
      <c r="B417" s="8">
        <v>3760</v>
      </c>
      <c r="C417" s="8" t="s">
        <v>174</v>
      </c>
      <c r="D417" s="8" t="s">
        <v>175</v>
      </c>
      <c r="E417" s="8">
        <v>1</v>
      </c>
      <c r="F417" s="8">
        <v>21</v>
      </c>
      <c r="G417" s="8">
        <v>14</v>
      </c>
      <c r="H417" s="8">
        <v>6077</v>
      </c>
      <c r="I417" s="8">
        <v>140911</v>
      </c>
      <c r="J417" s="16"/>
    </row>
    <row r="418" spans="1:10" s="4" customFormat="1" ht="11.25" x14ac:dyDescent="0.2">
      <c r="A418" s="8" t="s">
        <v>270</v>
      </c>
      <c r="B418" s="8">
        <v>813</v>
      </c>
      <c r="C418" s="8" t="s">
        <v>364</v>
      </c>
      <c r="D418" s="8" t="s">
        <v>365</v>
      </c>
      <c r="E418" s="8">
        <v>5</v>
      </c>
      <c r="F418" s="8">
        <v>6</v>
      </c>
      <c r="G418" s="8">
        <v>14</v>
      </c>
      <c r="H418" s="8">
        <v>6152</v>
      </c>
      <c r="I418" s="8">
        <v>140916</v>
      </c>
      <c r="J418" s="16"/>
    </row>
    <row r="419" spans="1:10" s="4" customFormat="1" ht="11.25" x14ac:dyDescent="0.2">
      <c r="A419" s="8" t="s">
        <v>270</v>
      </c>
      <c r="B419" s="8">
        <v>813</v>
      </c>
      <c r="C419" s="8" t="s">
        <v>364</v>
      </c>
      <c r="D419" s="8" t="s">
        <v>365</v>
      </c>
      <c r="E419" s="8">
        <v>5</v>
      </c>
      <c r="F419" s="8">
        <v>6</v>
      </c>
      <c r="G419" s="8">
        <v>14</v>
      </c>
      <c r="H419" s="8">
        <v>6244</v>
      </c>
      <c r="I419" s="8">
        <v>140917</v>
      </c>
      <c r="J419" s="16"/>
    </row>
    <row r="420" spans="1:10" s="4" customFormat="1" ht="11.25" x14ac:dyDescent="0.2">
      <c r="A420" s="8" t="s">
        <v>270</v>
      </c>
      <c r="B420" s="8">
        <v>523</v>
      </c>
      <c r="C420" s="8" t="s">
        <v>230</v>
      </c>
      <c r="D420" s="8" t="s">
        <v>260</v>
      </c>
      <c r="E420" s="8">
        <v>14</v>
      </c>
      <c r="F420" s="8">
        <v>21</v>
      </c>
      <c r="G420" s="8">
        <v>14</v>
      </c>
      <c r="H420" s="8">
        <v>6248</v>
      </c>
      <c r="I420" s="8">
        <v>140917</v>
      </c>
      <c r="J420" s="16"/>
    </row>
    <row r="421" spans="1:10" s="4" customFormat="1" ht="11.25" x14ac:dyDescent="0.2">
      <c r="A421" s="8" t="s">
        <v>270</v>
      </c>
      <c r="B421" s="8">
        <v>2501</v>
      </c>
      <c r="C421" s="8" t="s">
        <v>230</v>
      </c>
      <c r="D421" s="8" t="s">
        <v>544</v>
      </c>
      <c r="E421" s="8">
        <v>6</v>
      </c>
      <c r="F421" s="8">
        <v>1</v>
      </c>
      <c r="G421" s="8">
        <v>14</v>
      </c>
      <c r="H421" s="8">
        <v>6253</v>
      </c>
      <c r="I421" s="8">
        <v>140918</v>
      </c>
      <c r="J421" s="16"/>
    </row>
    <row r="422" spans="1:10" s="4" customFormat="1" ht="11.25" x14ac:dyDescent="0.2">
      <c r="A422" s="8" t="s">
        <v>270</v>
      </c>
      <c r="B422" s="8">
        <v>3213</v>
      </c>
      <c r="C422" s="8" t="s">
        <v>231</v>
      </c>
      <c r="D422" s="8" t="s">
        <v>232</v>
      </c>
      <c r="E422" s="8">
        <v>11</v>
      </c>
      <c r="F422" s="8">
        <v>13</v>
      </c>
      <c r="G422" s="8">
        <v>14</v>
      </c>
      <c r="H422" s="8">
        <v>6040</v>
      </c>
      <c r="I422" s="8">
        <v>140910</v>
      </c>
      <c r="J422" s="16"/>
    </row>
    <row r="423" spans="1:10" s="4" customFormat="1" ht="11.25" x14ac:dyDescent="0.2">
      <c r="A423" s="8" t="s">
        <v>270</v>
      </c>
      <c r="B423" s="8">
        <v>827</v>
      </c>
      <c r="C423" s="8" t="s">
        <v>545</v>
      </c>
      <c r="D423" s="8" t="s">
        <v>546</v>
      </c>
      <c r="E423" s="8">
        <v>2</v>
      </c>
      <c r="F423" s="8">
        <v>3</v>
      </c>
      <c r="G423" s="8">
        <v>14</v>
      </c>
      <c r="H423" s="8">
        <v>6192</v>
      </c>
      <c r="I423" s="8">
        <v>140917</v>
      </c>
      <c r="J423" s="16"/>
    </row>
    <row r="424" spans="1:10" s="4" customFormat="1" ht="11.25" x14ac:dyDescent="0.2">
      <c r="A424" s="8" t="s">
        <v>270</v>
      </c>
      <c r="B424" s="8">
        <v>4437</v>
      </c>
      <c r="C424" s="8" t="s">
        <v>545</v>
      </c>
      <c r="D424" s="8" t="s">
        <v>276</v>
      </c>
      <c r="E424" s="8">
        <v>1</v>
      </c>
      <c r="F424" s="8">
        <v>36</v>
      </c>
      <c r="G424" s="8">
        <v>14</v>
      </c>
      <c r="H424" s="8">
        <v>6370</v>
      </c>
      <c r="I424" s="8">
        <v>140923</v>
      </c>
      <c r="J424" s="16"/>
    </row>
    <row r="425" spans="1:10" s="4" customFormat="1" ht="11.25" x14ac:dyDescent="0.2">
      <c r="A425" s="8" t="s">
        <v>270</v>
      </c>
      <c r="B425" s="8">
        <v>1370</v>
      </c>
      <c r="C425" s="8" t="s">
        <v>366</v>
      </c>
      <c r="D425" s="8" t="s">
        <v>90</v>
      </c>
      <c r="E425" s="8" t="s">
        <v>368</v>
      </c>
      <c r="F425" s="8">
        <v>22</v>
      </c>
      <c r="G425" s="8">
        <v>14</v>
      </c>
      <c r="H425" s="8">
        <v>5989</v>
      </c>
      <c r="I425" s="8">
        <v>140909</v>
      </c>
      <c r="J425" s="16"/>
    </row>
    <row r="426" spans="1:10" s="4" customFormat="1" ht="11.25" x14ac:dyDescent="0.2">
      <c r="A426" s="8" t="s">
        <v>270</v>
      </c>
      <c r="B426" s="8">
        <v>568</v>
      </c>
      <c r="C426" s="8" t="s">
        <v>547</v>
      </c>
      <c r="D426" s="8" t="s">
        <v>356</v>
      </c>
      <c r="E426" s="8">
        <v>3</v>
      </c>
      <c r="F426" s="8">
        <v>33</v>
      </c>
      <c r="G426" s="8">
        <v>14</v>
      </c>
      <c r="H426" s="8">
        <v>5910</v>
      </c>
      <c r="I426" s="8">
        <v>140905</v>
      </c>
      <c r="J426" s="16"/>
    </row>
    <row r="427" spans="1:10" s="4" customFormat="1" ht="11.25" x14ac:dyDescent="0.2">
      <c r="A427" s="8" t="s">
        <v>270</v>
      </c>
      <c r="B427" s="8">
        <v>307</v>
      </c>
      <c r="C427" s="8" t="s">
        <v>336</v>
      </c>
      <c r="D427" s="8" t="s">
        <v>337</v>
      </c>
      <c r="E427" s="8">
        <v>2</v>
      </c>
      <c r="F427" s="8">
        <v>18</v>
      </c>
      <c r="G427" s="8">
        <v>14</v>
      </c>
      <c r="H427" s="8">
        <v>6166</v>
      </c>
      <c r="I427" s="8">
        <v>140916</v>
      </c>
      <c r="J427" s="16"/>
    </row>
    <row r="428" spans="1:10" s="4" customFormat="1" ht="11.25" x14ac:dyDescent="0.2">
      <c r="A428" s="8" t="s">
        <v>270</v>
      </c>
      <c r="B428" s="8">
        <v>901</v>
      </c>
      <c r="C428" s="8" t="s">
        <v>299</v>
      </c>
      <c r="D428" s="8" t="s">
        <v>300</v>
      </c>
      <c r="E428" s="8">
        <v>3</v>
      </c>
      <c r="F428" s="8">
        <v>20</v>
      </c>
      <c r="G428" s="8">
        <v>14</v>
      </c>
      <c r="H428" s="8">
        <v>6108</v>
      </c>
      <c r="I428" s="8">
        <v>140912</v>
      </c>
      <c r="J428" s="16"/>
    </row>
    <row r="429" spans="1:10" s="4" customFormat="1" ht="11.25" x14ac:dyDescent="0.2">
      <c r="A429" s="8" t="s">
        <v>270</v>
      </c>
      <c r="B429" s="8">
        <v>617</v>
      </c>
      <c r="C429" s="8" t="s">
        <v>71</v>
      </c>
      <c r="D429" s="8" t="s">
        <v>72</v>
      </c>
      <c r="E429" s="8">
        <v>3</v>
      </c>
      <c r="F429" s="8">
        <v>20</v>
      </c>
      <c r="G429" s="8">
        <v>14</v>
      </c>
      <c r="H429" s="8">
        <v>6141</v>
      </c>
      <c r="I429" s="8">
        <v>140916</v>
      </c>
      <c r="J429" s="16"/>
    </row>
    <row r="430" spans="1:10" s="4" customFormat="1" ht="11.25" x14ac:dyDescent="0.2">
      <c r="A430" s="8" t="s">
        <v>270</v>
      </c>
      <c r="B430" s="8">
        <v>6601</v>
      </c>
      <c r="C430" s="8" t="s">
        <v>548</v>
      </c>
      <c r="D430" s="8" t="s">
        <v>549</v>
      </c>
      <c r="E430" s="8">
        <v>1</v>
      </c>
      <c r="F430" s="8">
        <v>8</v>
      </c>
      <c r="G430" s="8">
        <v>14</v>
      </c>
      <c r="H430" s="8">
        <v>6523</v>
      </c>
      <c r="I430" s="8">
        <v>140930</v>
      </c>
      <c r="J430" s="16"/>
    </row>
    <row r="431" spans="1:10" s="4" customFormat="1" ht="11.25" x14ac:dyDescent="0.2">
      <c r="A431" s="8" t="s">
        <v>270</v>
      </c>
      <c r="B431" s="8">
        <v>1701</v>
      </c>
      <c r="C431" s="8" t="s">
        <v>550</v>
      </c>
      <c r="D431" s="8" t="s">
        <v>374</v>
      </c>
      <c r="E431" s="8">
        <v>1</v>
      </c>
      <c r="F431" s="8">
        <v>73</v>
      </c>
      <c r="G431" s="8">
        <v>14</v>
      </c>
      <c r="H431" s="8">
        <v>6492</v>
      </c>
      <c r="I431" s="8">
        <v>140929</v>
      </c>
      <c r="J431" s="16"/>
    </row>
    <row r="432" spans="1:10" s="4" customFormat="1" ht="11.25" x14ac:dyDescent="0.2">
      <c r="A432" s="8" t="s">
        <v>270</v>
      </c>
      <c r="B432" s="8">
        <v>1801</v>
      </c>
      <c r="C432" s="8" t="s">
        <v>141</v>
      </c>
      <c r="D432" s="8" t="s">
        <v>142</v>
      </c>
      <c r="E432" s="8">
        <v>1</v>
      </c>
      <c r="F432" s="8">
        <v>15</v>
      </c>
      <c r="G432" s="8">
        <v>14</v>
      </c>
      <c r="H432" s="8">
        <v>6339</v>
      </c>
      <c r="I432" s="8">
        <v>140923</v>
      </c>
      <c r="J432" s="16"/>
    </row>
    <row r="433" spans="1:10" s="4" customFormat="1" ht="11.25" x14ac:dyDescent="0.2">
      <c r="A433" s="8" t="s">
        <v>270</v>
      </c>
      <c r="B433" s="8">
        <v>2716</v>
      </c>
      <c r="C433" s="8" t="s">
        <v>141</v>
      </c>
      <c r="D433" s="8" t="s">
        <v>142</v>
      </c>
      <c r="E433" s="8">
        <v>1</v>
      </c>
      <c r="F433" s="8">
        <v>6</v>
      </c>
      <c r="G433" s="8">
        <v>14</v>
      </c>
      <c r="H433" s="8">
        <v>5916</v>
      </c>
      <c r="I433" s="8">
        <v>140905</v>
      </c>
      <c r="J433" s="16"/>
    </row>
    <row r="434" spans="1:10" s="4" customFormat="1" ht="11.25" x14ac:dyDescent="0.2">
      <c r="A434" s="8" t="s">
        <v>270</v>
      </c>
      <c r="B434" s="8">
        <v>643</v>
      </c>
      <c r="C434" s="8" t="s">
        <v>136</v>
      </c>
      <c r="D434" s="8" t="s">
        <v>64</v>
      </c>
      <c r="E434" s="8">
        <v>1</v>
      </c>
      <c r="F434" s="8">
        <v>10</v>
      </c>
      <c r="G434" s="8">
        <v>14</v>
      </c>
      <c r="H434" s="8">
        <v>5855</v>
      </c>
      <c r="I434" s="8">
        <v>140904</v>
      </c>
      <c r="J434" s="16"/>
    </row>
    <row r="435" spans="1:10" s="4" customFormat="1" ht="11.25" x14ac:dyDescent="0.2">
      <c r="A435" s="8" t="s">
        <v>270</v>
      </c>
      <c r="B435" s="8">
        <v>707</v>
      </c>
      <c r="C435" s="8" t="s">
        <v>136</v>
      </c>
      <c r="D435" s="8" t="s">
        <v>64</v>
      </c>
      <c r="E435" s="8">
        <v>1</v>
      </c>
      <c r="F435" s="8">
        <v>14</v>
      </c>
      <c r="G435" s="8">
        <v>14</v>
      </c>
      <c r="H435" s="8">
        <v>6345</v>
      </c>
      <c r="I435" s="8">
        <v>140923</v>
      </c>
      <c r="J435" s="16"/>
    </row>
    <row r="436" spans="1:10" s="4" customFormat="1" ht="11.25" x14ac:dyDescent="0.2">
      <c r="A436" s="8" t="s">
        <v>270</v>
      </c>
      <c r="B436" s="8">
        <v>711</v>
      </c>
      <c r="C436" s="8" t="s">
        <v>136</v>
      </c>
      <c r="D436" s="8" t="s">
        <v>64</v>
      </c>
      <c r="E436" s="8">
        <v>1</v>
      </c>
      <c r="F436" s="8">
        <v>15</v>
      </c>
      <c r="G436" s="8">
        <v>14</v>
      </c>
      <c r="H436" s="8">
        <v>5856</v>
      </c>
      <c r="I436" s="8">
        <v>140904</v>
      </c>
      <c r="J436" s="16"/>
    </row>
    <row r="437" spans="1:10" s="4" customFormat="1" ht="11.25" x14ac:dyDescent="0.2">
      <c r="A437" s="8" t="s">
        <v>270</v>
      </c>
      <c r="B437" s="8">
        <v>19</v>
      </c>
      <c r="C437" s="8" t="s">
        <v>161</v>
      </c>
      <c r="D437" s="8" t="s">
        <v>153</v>
      </c>
      <c r="E437" s="8">
        <v>4</v>
      </c>
      <c r="F437" s="8">
        <v>12</v>
      </c>
      <c r="G437" s="8">
        <v>14</v>
      </c>
      <c r="H437" s="8">
        <v>6390</v>
      </c>
      <c r="I437" s="8">
        <v>140923</v>
      </c>
      <c r="J437" s="16"/>
    </row>
    <row r="438" spans="1:10" s="4" customFormat="1" ht="11.25" x14ac:dyDescent="0.2">
      <c r="A438" s="8" t="s">
        <v>270</v>
      </c>
      <c r="B438" s="8">
        <v>27</v>
      </c>
      <c r="C438" s="8" t="s">
        <v>161</v>
      </c>
      <c r="D438" s="8" t="s">
        <v>153</v>
      </c>
      <c r="E438" s="8">
        <v>4</v>
      </c>
      <c r="F438" s="8">
        <v>14</v>
      </c>
      <c r="G438" s="8">
        <v>14</v>
      </c>
      <c r="H438" s="8">
        <v>5860</v>
      </c>
      <c r="I438" s="8">
        <v>140904</v>
      </c>
      <c r="J438" s="16"/>
    </row>
    <row r="439" spans="1:10" s="4" customFormat="1" ht="11.25" x14ac:dyDescent="0.2">
      <c r="A439" s="8" t="s">
        <v>270</v>
      </c>
      <c r="B439" s="8">
        <v>31</v>
      </c>
      <c r="C439" s="8" t="s">
        <v>161</v>
      </c>
      <c r="D439" s="8" t="s">
        <v>153</v>
      </c>
      <c r="E439" s="8">
        <v>4</v>
      </c>
      <c r="F439" s="8">
        <v>15</v>
      </c>
      <c r="G439" s="8">
        <v>14</v>
      </c>
      <c r="H439" s="8">
        <v>5859</v>
      </c>
      <c r="I439" s="8">
        <v>140904</v>
      </c>
      <c r="J439" s="16"/>
    </row>
    <row r="440" spans="1:10" s="4" customFormat="1" ht="11.25" x14ac:dyDescent="0.2">
      <c r="A440" s="8" t="s">
        <v>270</v>
      </c>
      <c r="B440" s="8">
        <v>2704</v>
      </c>
      <c r="C440" s="8" t="s">
        <v>233</v>
      </c>
      <c r="D440" s="8" t="s">
        <v>208</v>
      </c>
      <c r="E440" s="8">
        <v>1</v>
      </c>
      <c r="F440" s="8">
        <v>31</v>
      </c>
      <c r="G440" s="8">
        <v>14</v>
      </c>
      <c r="H440" s="8">
        <v>5956</v>
      </c>
      <c r="I440" s="8">
        <v>140908</v>
      </c>
      <c r="J440" s="16"/>
    </row>
    <row r="441" spans="1:10" s="4" customFormat="1" ht="11.25" x14ac:dyDescent="0.2">
      <c r="A441" s="8" t="s">
        <v>270</v>
      </c>
      <c r="B441" s="8">
        <v>2006</v>
      </c>
      <c r="C441" s="8" t="s">
        <v>259</v>
      </c>
      <c r="D441" s="8" t="s">
        <v>302</v>
      </c>
      <c r="E441" s="8">
        <v>5</v>
      </c>
      <c r="F441" s="8">
        <v>20</v>
      </c>
      <c r="G441" s="8">
        <v>14</v>
      </c>
      <c r="H441" s="8">
        <v>6112</v>
      </c>
      <c r="I441" s="8">
        <v>140915</v>
      </c>
      <c r="J441" s="16"/>
    </row>
    <row r="442" spans="1:10" s="4" customFormat="1" ht="11.25" x14ac:dyDescent="0.2">
      <c r="A442" s="8" t="s">
        <v>270</v>
      </c>
      <c r="B442" s="8">
        <v>356</v>
      </c>
      <c r="C442" s="8" t="s">
        <v>551</v>
      </c>
      <c r="D442" s="8"/>
      <c r="E442" s="8"/>
      <c r="F442" s="8"/>
      <c r="G442" s="8">
        <v>14</v>
      </c>
      <c r="H442" s="8">
        <v>6374</v>
      </c>
      <c r="I442" s="8">
        <v>140923</v>
      </c>
      <c r="J442" s="16"/>
    </row>
    <row r="443" spans="1:10" s="4" customFormat="1" ht="11.25" x14ac:dyDescent="0.2">
      <c r="A443" s="8" t="s">
        <v>270</v>
      </c>
      <c r="B443" s="8">
        <v>5027</v>
      </c>
      <c r="C443" s="8" t="s">
        <v>380</v>
      </c>
      <c r="D443" s="8" t="s">
        <v>381</v>
      </c>
      <c r="E443" s="8">
        <v>6</v>
      </c>
      <c r="F443" s="8">
        <v>20</v>
      </c>
      <c r="G443" s="8">
        <v>14</v>
      </c>
      <c r="H443" s="8">
        <v>6020</v>
      </c>
      <c r="I443" s="8">
        <v>140909</v>
      </c>
      <c r="J443" s="16"/>
    </row>
    <row r="444" spans="1:10" s="4" customFormat="1" ht="11.25" x14ac:dyDescent="0.2">
      <c r="A444" s="8" t="s">
        <v>270</v>
      </c>
      <c r="B444" s="8">
        <v>3514</v>
      </c>
      <c r="C444" s="8" t="s">
        <v>369</v>
      </c>
      <c r="D444" s="8" t="s">
        <v>370</v>
      </c>
      <c r="E444" s="8">
        <v>2</v>
      </c>
      <c r="F444" s="8">
        <v>17</v>
      </c>
      <c r="G444" s="8">
        <v>14</v>
      </c>
      <c r="H444" s="8">
        <v>5837</v>
      </c>
      <c r="I444" s="8">
        <v>140903</v>
      </c>
      <c r="J444" s="16"/>
    </row>
    <row r="445" spans="1:10" s="4" customFormat="1" ht="11.25" x14ac:dyDescent="0.2">
      <c r="A445" s="8" t="s">
        <v>270</v>
      </c>
      <c r="B445" s="8">
        <v>2853</v>
      </c>
      <c r="C445" s="8" t="s">
        <v>234</v>
      </c>
      <c r="D445" s="8" t="s">
        <v>235</v>
      </c>
      <c r="E445" s="8">
        <v>1</v>
      </c>
      <c r="F445" s="8">
        <v>34</v>
      </c>
      <c r="G445" s="8">
        <v>14</v>
      </c>
      <c r="H445" s="8">
        <v>6402</v>
      </c>
      <c r="I445" s="8">
        <v>140924</v>
      </c>
      <c r="J445" s="16"/>
    </row>
    <row r="446" spans="1:10" s="4" customFormat="1" ht="11.25" x14ac:dyDescent="0.2">
      <c r="A446" s="8" t="s">
        <v>270</v>
      </c>
      <c r="B446" s="8">
        <v>2574</v>
      </c>
      <c r="C446" s="8" t="s">
        <v>552</v>
      </c>
      <c r="D446" s="8" t="s">
        <v>210</v>
      </c>
      <c r="E446" s="8">
        <v>6</v>
      </c>
      <c r="F446" s="8">
        <v>29</v>
      </c>
      <c r="G446" s="8">
        <v>14</v>
      </c>
      <c r="H446" s="8">
        <v>5846</v>
      </c>
      <c r="I446" s="8">
        <v>140903</v>
      </c>
      <c r="J446" s="16"/>
    </row>
    <row r="447" spans="1:10" s="4" customFormat="1" ht="11.25" x14ac:dyDescent="0.2">
      <c r="A447" s="8" t="s">
        <v>270</v>
      </c>
      <c r="B447" s="8">
        <v>6755</v>
      </c>
      <c r="C447" s="8" t="s">
        <v>331</v>
      </c>
      <c r="D447" s="8" t="s">
        <v>81</v>
      </c>
      <c r="E447" s="8">
        <v>14</v>
      </c>
      <c r="F447" s="8">
        <v>2</v>
      </c>
      <c r="G447" s="8">
        <v>14</v>
      </c>
      <c r="H447" s="8">
        <v>6157</v>
      </c>
      <c r="I447" s="8">
        <v>140916</v>
      </c>
      <c r="J447" s="16"/>
    </row>
    <row r="448" spans="1:10" s="4" customFormat="1" ht="11.25" x14ac:dyDescent="0.2">
      <c r="A448" s="8" t="s">
        <v>270</v>
      </c>
      <c r="B448" s="8">
        <v>7163</v>
      </c>
      <c r="C448" s="8" t="s">
        <v>137</v>
      </c>
      <c r="D448" s="8" t="s">
        <v>138</v>
      </c>
      <c r="E448" s="8">
        <v>4</v>
      </c>
      <c r="F448" s="8">
        <v>16</v>
      </c>
      <c r="G448" s="8">
        <v>14</v>
      </c>
      <c r="H448" s="8">
        <v>5957</v>
      </c>
      <c r="I448" s="8">
        <v>140908</v>
      </c>
      <c r="J448" s="16"/>
    </row>
    <row r="449" spans="1:10" s="4" customFormat="1" ht="11.25" x14ac:dyDescent="0.2">
      <c r="A449" s="8" t="s">
        <v>270</v>
      </c>
      <c r="B449" s="8">
        <v>89</v>
      </c>
      <c r="C449" s="8" t="s">
        <v>553</v>
      </c>
      <c r="D449" s="8" t="s">
        <v>302</v>
      </c>
      <c r="E449" s="8">
        <v>4</v>
      </c>
      <c r="F449" s="8">
        <v>28</v>
      </c>
      <c r="G449" s="8">
        <v>14</v>
      </c>
      <c r="H449" s="8">
        <v>6491</v>
      </c>
      <c r="I449" s="8">
        <v>140929</v>
      </c>
      <c r="J449" s="16"/>
    </row>
    <row r="450" spans="1:10" s="4" customFormat="1" ht="11.25" x14ac:dyDescent="0.2">
      <c r="A450" s="8" t="s">
        <v>270</v>
      </c>
      <c r="B450" s="8">
        <v>102</v>
      </c>
      <c r="C450" s="8" t="s">
        <v>553</v>
      </c>
      <c r="D450" s="8" t="s">
        <v>302</v>
      </c>
      <c r="E450" s="8">
        <v>7</v>
      </c>
      <c r="F450" s="8">
        <v>9</v>
      </c>
      <c r="G450" s="8">
        <v>14</v>
      </c>
      <c r="H450" s="8">
        <v>6006</v>
      </c>
      <c r="I450" s="8">
        <v>140909</v>
      </c>
      <c r="J450" s="16"/>
    </row>
    <row r="451" spans="1:10" s="4" customFormat="1" ht="11.25" x14ac:dyDescent="0.2">
      <c r="A451" s="8" t="s">
        <v>270</v>
      </c>
      <c r="B451" s="8">
        <v>2300</v>
      </c>
      <c r="C451" s="8" t="s">
        <v>169</v>
      </c>
      <c r="D451" s="8" t="s">
        <v>85</v>
      </c>
      <c r="E451" s="8">
        <v>76</v>
      </c>
      <c r="F451" s="8">
        <v>10</v>
      </c>
      <c r="G451" s="8">
        <v>14</v>
      </c>
      <c r="H451" s="8">
        <v>6414</v>
      </c>
      <c r="I451" s="8">
        <v>140924</v>
      </c>
      <c r="J451" s="16"/>
    </row>
    <row r="452" spans="1:10" s="4" customFormat="1" ht="11.25" x14ac:dyDescent="0.2">
      <c r="A452" s="8" t="s">
        <v>270</v>
      </c>
      <c r="B452" s="8">
        <v>2308</v>
      </c>
      <c r="C452" s="8" t="s">
        <v>169</v>
      </c>
      <c r="D452" s="8" t="s">
        <v>85</v>
      </c>
      <c r="E452" s="8">
        <v>76</v>
      </c>
      <c r="F452" s="8">
        <v>8</v>
      </c>
      <c r="G452" s="8">
        <v>14</v>
      </c>
      <c r="H452" s="8">
        <v>5991</v>
      </c>
      <c r="I452" s="8">
        <v>140909</v>
      </c>
      <c r="J452" s="16"/>
    </row>
    <row r="453" spans="1:10" s="4" customFormat="1" ht="11.25" x14ac:dyDescent="0.2">
      <c r="A453" s="8" t="s">
        <v>270</v>
      </c>
      <c r="B453" s="8">
        <v>2312</v>
      </c>
      <c r="C453" s="8" t="s">
        <v>169</v>
      </c>
      <c r="D453" s="8" t="s">
        <v>85</v>
      </c>
      <c r="E453" s="8">
        <v>76</v>
      </c>
      <c r="F453" s="8">
        <v>7</v>
      </c>
      <c r="G453" s="8">
        <v>14</v>
      </c>
      <c r="H453" s="8">
        <v>5992</v>
      </c>
      <c r="I453" s="8">
        <v>140909</v>
      </c>
      <c r="J453" s="16"/>
    </row>
    <row r="454" spans="1:10" s="4" customFormat="1" ht="11.25" x14ac:dyDescent="0.2">
      <c r="A454" s="8" t="s">
        <v>270</v>
      </c>
      <c r="B454" s="8">
        <v>801</v>
      </c>
      <c r="C454" s="8" t="s">
        <v>130</v>
      </c>
      <c r="D454" s="8" t="s">
        <v>90</v>
      </c>
      <c r="E454" s="8">
        <v>2</v>
      </c>
      <c r="F454" s="8">
        <v>52</v>
      </c>
      <c r="G454" s="8">
        <v>14</v>
      </c>
      <c r="H454" s="8">
        <v>6363</v>
      </c>
      <c r="I454" s="8">
        <v>140923</v>
      </c>
      <c r="J454" s="16"/>
    </row>
    <row r="455" spans="1:10" s="4" customFormat="1" ht="11.25" x14ac:dyDescent="0.2">
      <c r="A455" s="8" t="s">
        <v>270</v>
      </c>
      <c r="B455" s="8">
        <v>1115</v>
      </c>
      <c r="C455" s="8" t="s">
        <v>114</v>
      </c>
      <c r="D455" s="8" t="s">
        <v>87</v>
      </c>
      <c r="E455" s="8">
        <v>89</v>
      </c>
      <c r="F455" s="8" t="s">
        <v>170</v>
      </c>
      <c r="G455" s="8">
        <v>14</v>
      </c>
      <c r="H455" s="8">
        <v>6330</v>
      </c>
      <c r="I455" s="8">
        <v>140922</v>
      </c>
      <c r="J455" s="16"/>
    </row>
    <row r="456" spans="1:10" s="4" customFormat="1" ht="11.25" x14ac:dyDescent="0.2">
      <c r="A456" s="8" t="s">
        <v>270</v>
      </c>
      <c r="B456" s="8">
        <v>1700</v>
      </c>
      <c r="C456" s="8" t="s">
        <v>463</v>
      </c>
      <c r="D456" s="8" t="s">
        <v>87</v>
      </c>
      <c r="E456" s="8">
        <v>13</v>
      </c>
      <c r="F456" s="8">
        <v>14</v>
      </c>
      <c r="G456" s="8">
        <v>14</v>
      </c>
      <c r="H456" s="8">
        <v>6033</v>
      </c>
      <c r="I456" s="8">
        <v>140910</v>
      </c>
      <c r="J456" s="16"/>
    </row>
    <row r="457" spans="1:10" s="4" customFormat="1" ht="11.25" x14ac:dyDescent="0.2">
      <c r="A457" s="8" t="s">
        <v>270</v>
      </c>
      <c r="B457" s="8">
        <v>1508</v>
      </c>
      <c r="C457" s="8" t="s">
        <v>303</v>
      </c>
      <c r="D457" s="8" t="s">
        <v>87</v>
      </c>
      <c r="E457" s="8">
        <v>27</v>
      </c>
      <c r="F457" s="8">
        <v>8</v>
      </c>
      <c r="G457" s="8">
        <v>14</v>
      </c>
      <c r="H457" s="8">
        <v>6035</v>
      </c>
      <c r="I457" s="8">
        <v>140910</v>
      </c>
      <c r="J457" s="16"/>
    </row>
    <row r="458" spans="1:10" s="4" customFormat="1" ht="11.25" x14ac:dyDescent="0.2">
      <c r="A458" s="8" t="s">
        <v>270</v>
      </c>
      <c r="B458" s="8">
        <v>325</v>
      </c>
      <c r="C458" s="8" t="s">
        <v>304</v>
      </c>
      <c r="D458" s="8" t="s">
        <v>68</v>
      </c>
      <c r="E458" s="8">
        <v>71</v>
      </c>
      <c r="F458" s="8">
        <v>59</v>
      </c>
      <c r="G458" s="8">
        <v>14</v>
      </c>
      <c r="H458" s="8">
        <v>6336</v>
      </c>
      <c r="I458" s="8">
        <v>140922</v>
      </c>
      <c r="J458" s="16"/>
    </row>
    <row r="459" spans="1:10" s="4" customFormat="1" ht="11.25" x14ac:dyDescent="0.2">
      <c r="A459" s="8" t="s">
        <v>270</v>
      </c>
      <c r="B459" s="8">
        <v>816</v>
      </c>
      <c r="C459" s="8" t="s">
        <v>89</v>
      </c>
      <c r="D459" s="8" t="s">
        <v>90</v>
      </c>
      <c r="E459" s="8">
        <v>7</v>
      </c>
      <c r="F459" s="8">
        <v>32</v>
      </c>
      <c r="G459" s="8">
        <v>14</v>
      </c>
      <c r="H459" s="8">
        <v>6184</v>
      </c>
      <c r="I459" s="8">
        <v>140917</v>
      </c>
      <c r="J459" s="16"/>
    </row>
    <row r="460" spans="1:10" s="4" customFormat="1" ht="11.25" x14ac:dyDescent="0.2">
      <c r="A460" s="8" t="s">
        <v>270</v>
      </c>
      <c r="B460" s="8">
        <v>553</v>
      </c>
      <c r="C460" s="8" t="s">
        <v>554</v>
      </c>
      <c r="D460" s="8" t="s">
        <v>356</v>
      </c>
      <c r="E460" s="8">
        <v>2</v>
      </c>
      <c r="F460" s="8">
        <v>13</v>
      </c>
      <c r="G460" s="8">
        <v>14</v>
      </c>
      <c r="H460" s="8">
        <v>6039</v>
      </c>
      <c r="I460" s="8">
        <v>140910</v>
      </c>
      <c r="J460" s="16"/>
    </row>
    <row r="461" spans="1:10" s="4" customFormat="1" ht="11.25" x14ac:dyDescent="0.2">
      <c r="A461" s="8" t="s">
        <v>270</v>
      </c>
      <c r="B461" s="8">
        <v>4449</v>
      </c>
      <c r="C461" s="8" t="s">
        <v>180</v>
      </c>
      <c r="D461" s="8" t="s">
        <v>356</v>
      </c>
      <c r="E461" s="8">
        <v>1</v>
      </c>
      <c r="F461" s="8">
        <v>3</v>
      </c>
      <c r="G461" s="8">
        <v>14</v>
      </c>
      <c r="H461" s="8">
        <v>5942</v>
      </c>
      <c r="I461" s="8">
        <v>140908</v>
      </c>
      <c r="J461" s="16"/>
    </row>
    <row r="462" spans="1:10" s="4" customFormat="1" ht="22.5" x14ac:dyDescent="0.2">
      <c r="A462" s="100" t="s">
        <v>305</v>
      </c>
      <c r="B462" s="8">
        <f>461-281</f>
        <v>180</v>
      </c>
      <c r="C462" s="1"/>
      <c r="D462" s="1"/>
      <c r="E462" s="1"/>
      <c r="F462" s="1"/>
      <c r="G462" s="1"/>
      <c r="H462" s="1"/>
      <c r="I462" s="1"/>
      <c r="J462" s="16"/>
    </row>
    <row r="463" spans="1:10" s="4" customFormat="1" ht="22.5" x14ac:dyDescent="0.2">
      <c r="A463" s="84" t="s">
        <v>306</v>
      </c>
      <c r="B463" s="99">
        <f>SUM(B462+B280+B207)</f>
        <v>450</v>
      </c>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sheetData>
  <phoneticPr fontId="1" type="noConversion"/>
  <pageMargins left="0.5" right="0.5" top="0.5" bottom="0.5" header="0.5" footer="0.5"/>
  <pageSetup orientation="landscape" r:id="rId1"/>
  <headerFooter alignWithMargins="0"/>
  <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17</v>
      </c>
      <c r="C1">
        <v>44</v>
      </c>
    </row>
    <row r="2" spans="1:3" x14ac:dyDescent="0.2">
      <c r="A2" t="s">
        <v>18</v>
      </c>
      <c r="C2">
        <v>50</v>
      </c>
    </row>
    <row r="3" spans="1:3" x14ac:dyDescent="0.2">
      <c r="A3" t="s">
        <v>19</v>
      </c>
      <c r="C3">
        <v>122</v>
      </c>
    </row>
    <row r="4" spans="1:3" x14ac:dyDescent="0.2">
      <c r="A4" t="s">
        <v>20</v>
      </c>
      <c r="C4">
        <v>80</v>
      </c>
    </row>
    <row r="5" spans="1:3" x14ac:dyDescent="0.2">
      <c r="A5" t="s">
        <v>21</v>
      </c>
      <c r="C5">
        <v>130</v>
      </c>
    </row>
    <row r="6" spans="1:3" x14ac:dyDescent="0.2">
      <c r="A6" t="s">
        <v>22</v>
      </c>
      <c r="C6">
        <v>0</v>
      </c>
    </row>
    <row r="7" spans="1:3" x14ac:dyDescent="0.2">
      <c r="A7" t="s">
        <v>23</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88" t="s">
        <v>40</v>
      </c>
      <c r="C1" s="88"/>
      <c r="D1" s="92"/>
      <c r="E1" s="92"/>
      <c r="F1" s="92"/>
    </row>
    <row r="2" spans="2:6" x14ac:dyDescent="0.2">
      <c r="B2" s="88" t="s">
        <v>41</v>
      </c>
      <c r="C2" s="88"/>
      <c r="D2" s="92"/>
      <c r="E2" s="92"/>
      <c r="F2" s="92"/>
    </row>
    <row r="3" spans="2:6" x14ac:dyDescent="0.2">
      <c r="B3" s="89"/>
      <c r="C3" s="89"/>
      <c r="D3" s="93"/>
      <c r="E3" s="93"/>
      <c r="F3" s="93"/>
    </row>
    <row r="4" spans="2:6" ht="51" x14ac:dyDescent="0.2">
      <c r="B4" s="89" t="s">
        <v>42</v>
      </c>
      <c r="C4" s="89"/>
      <c r="D4" s="93"/>
      <c r="E4" s="93"/>
      <c r="F4" s="93"/>
    </row>
    <row r="5" spans="2:6" x14ac:dyDescent="0.2">
      <c r="B5" s="89"/>
      <c r="C5" s="89"/>
      <c r="D5" s="93"/>
      <c r="E5" s="93"/>
      <c r="F5" s="93"/>
    </row>
    <row r="6" spans="2:6" x14ac:dyDescent="0.2">
      <c r="B6" s="88" t="s">
        <v>43</v>
      </c>
      <c r="C6" s="88"/>
      <c r="D6" s="92"/>
      <c r="E6" s="92" t="s">
        <v>44</v>
      </c>
      <c r="F6" s="92" t="s">
        <v>45</v>
      </c>
    </row>
    <row r="7" spans="2:6" ht="13.5" thickBot="1" x14ac:dyDescent="0.25">
      <c r="B7" s="89"/>
      <c r="C7" s="89"/>
      <c r="D7" s="93"/>
      <c r="E7" s="93"/>
      <c r="F7" s="93"/>
    </row>
    <row r="8" spans="2:6" ht="39" thickBot="1" x14ac:dyDescent="0.25">
      <c r="B8" s="90" t="s">
        <v>46</v>
      </c>
      <c r="C8" s="91"/>
      <c r="D8" s="94"/>
      <c r="E8" s="94">
        <v>1</v>
      </c>
      <c r="F8" s="95" t="s">
        <v>47</v>
      </c>
    </row>
    <row r="9" spans="2:6" x14ac:dyDescent="0.2">
      <c r="B9" s="89"/>
      <c r="C9" s="89"/>
      <c r="D9" s="93"/>
      <c r="E9" s="93"/>
      <c r="F9" s="93"/>
    </row>
    <row r="10" spans="2:6" x14ac:dyDescent="0.2">
      <c r="B10" s="89"/>
      <c r="C10" s="89"/>
      <c r="D10" s="93"/>
      <c r="E10" s="93"/>
      <c r="F10" s="93"/>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nmckinney</dc:creator>
  <cp:lastModifiedBy>nmckinney</cp:lastModifiedBy>
  <cp:lastPrinted>2014-10-02T17:53:13Z</cp:lastPrinted>
  <dcterms:created xsi:type="dcterms:W3CDTF">2006-02-03T14:45:36Z</dcterms:created>
  <dcterms:modified xsi:type="dcterms:W3CDTF">2014-10-02T20:21:05Z</dcterms:modified>
</cp:coreProperties>
</file>