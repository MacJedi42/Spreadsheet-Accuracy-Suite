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template.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workbookProtection workbookPassword="DCE5" lockStructure="1"/>
  <bookViews>
    <workbookView xWindow="-15" yWindow="-15" windowWidth="14835" windowHeight="10440"/>
  </bookViews>
  <sheets>
    <sheet name="Travel Form" sheetId="8" r:id="rId1"/>
    <sheet name="Look Up" sheetId="4" state="hidden" r:id="rId2"/>
  </sheets>
  <externalReferences>
    <externalReference r:id="rId3"/>
  </externalReferences>
  <definedNames>
    <definedName name="Advance">'Travel Form'!$F$33</definedName>
    <definedName name="Communting_Miles">'Travel Form'!$I$10</definedName>
    <definedName name="County">'Look Up'!$D$8:$D$17</definedName>
    <definedName name="Lodging_Tax">'Travel Form'!$AD$16</definedName>
    <definedName name="Meal_Cost">'Travel Form'!$AC$16</definedName>
    <definedName name="Mileage_Cost">'Travel Form'!$O$30</definedName>
    <definedName name="Mileage_Rate">'Look Up'!$B$6</definedName>
    <definedName name="Misc_Expense">'Travel Form'!$AE$16</definedName>
    <definedName name="PerDiemRates">'Look Up'!$A$10:$A$14</definedName>
    <definedName name="_xlnm.Print_Area" localSheetId="0">'Travel Form'!$B$1:$P$32,'Travel Form'!$R$1:$AF$39</definedName>
    <definedName name="Reduced_Rate">'Look Up'!$B$7</definedName>
    <definedName name="Send_Check">'Look Up'!$G$17:$G$20</definedName>
    <definedName name="Travel_Codes">'Look Up'!$G$8:$G$12</definedName>
    <definedName name="Youth_Meals">'Travel Form'!$AD$18</definedName>
  </definedNames>
  <calcPr calcId="145621"/>
</workbook>
</file>

<file path=xl/calcChain.xml><?xml version="1.0" encoding="utf-8"?>
<calcChain xmlns="http://schemas.openxmlformats.org/spreadsheetml/2006/main">
  <c r="D29" i="8" l="1"/>
  <c r="D28" i="8"/>
  <c r="D27" i="8"/>
  <c r="D26" i="8"/>
  <c r="D25" i="8"/>
  <c r="D24" i="8"/>
  <c r="D23" i="8"/>
  <c r="D22" i="8"/>
  <c r="D21" i="8"/>
  <c r="D20" i="8"/>
  <c r="D19" i="8"/>
  <c r="D18" i="8"/>
  <c r="D17" i="8"/>
  <c r="D16" i="8"/>
  <c r="D15" i="8"/>
  <c r="D14" i="8"/>
  <c r="O14" i="8" s="1"/>
  <c r="O16" i="8"/>
  <c r="O17" i="8"/>
  <c r="O18" i="8"/>
  <c r="O19" i="8"/>
  <c r="O20" i="8"/>
  <c r="O21" i="8"/>
  <c r="O22" i="8"/>
  <c r="O23" i="8"/>
  <c r="O24" i="8"/>
  <c r="O25" i="8"/>
  <c r="O26" i="8"/>
  <c r="O27" i="8"/>
  <c r="O28" i="8"/>
  <c r="O29" i="8"/>
  <c r="O15" i="8"/>
  <c r="AD1" i="8"/>
  <c r="Z15" i="8"/>
  <c r="Z14" i="8"/>
  <c r="Z13" i="8"/>
  <c r="Z12" i="8"/>
  <c r="Z11" i="8"/>
  <c r="Z10" i="8"/>
  <c r="Z9" i="8"/>
  <c r="AC11" i="8" l="1"/>
  <c r="AF11" i="8" s="1"/>
  <c r="AC10" i="8"/>
  <c r="AF10" i="8" s="1"/>
  <c r="AC9" i="8"/>
  <c r="AF9" i="8" s="1"/>
  <c r="Z8" i="8"/>
  <c r="AC8" i="8" s="1"/>
  <c r="AF8" i="8" s="1"/>
  <c r="AC12" i="8"/>
  <c r="AF12" i="8" s="1"/>
  <c r="AC13" i="8"/>
  <c r="AF13" i="8" s="1"/>
  <c r="AC14" i="8"/>
  <c r="AF14" i="8" s="1"/>
  <c r="AC15" i="8"/>
  <c r="AF15" i="8" s="1"/>
  <c r="AD16" i="8"/>
  <c r="AD21" i="8" s="1"/>
  <c r="AE16" i="8"/>
  <c r="AD22" i="8" s="1"/>
  <c r="M30" i="8"/>
  <c r="G33" i="8"/>
  <c r="J9" i="4"/>
  <c r="J10" i="4"/>
  <c r="J8" i="4"/>
  <c r="J11" i="4"/>
  <c r="AC16" i="8" l="1"/>
  <c r="O30" i="8"/>
  <c r="AF16" i="8"/>
  <c r="AF23" i="8" l="1"/>
  <c r="AF20" i="8"/>
  <c r="AD23" i="8"/>
  <c r="AD20" i="8"/>
</calcChain>
</file>

<file path=xl/comments1.xml><?xml version="1.0" encoding="utf-8"?>
<comments xmlns="http://schemas.openxmlformats.org/spreadsheetml/2006/main">
  <authors>
    <author>Carolina Marquette</author>
  </authors>
  <commentList>
    <comment ref="T4" authorId="0">
      <text>
        <r>
          <rPr>
            <b/>
            <sz val="8"/>
            <color indexed="10"/>
            <rFont val="Tahoma"/>
            <family val="2"/>
          </rPr>
          <t xml:space="preserve">
ALWAYS complete time of departure and return</t>
        </r>
      </text>
    </comment>
    <comment ref="U4" authorId="0">
      <text>
        <r>
          <rPr>
            <b/>
            <sz val="8"/>
            <color indexed="10"/>
            <rFont val="Tahoma"/>
            <family val="2"/>
          </rPr>
          <t xml:space="preserve">
ALWAYS complete time of departure and return.</t>
        </r>
      </text>
    </comment>
    <comment ref="Y5" authorId="0">
      <text>
        <r>
          <rPr>
            <sz val="8"/>
            <color indexed="39"/>
            <rFont val="Tahoma"/>
            <family val="2"/>
          </rPr>
          <t xml:space="preserve">For Overnight Travel, select the county in which you will be lodging for the night. </t>
        </r>
      </text>
    </comment>
    <comment ref="AA5" authorId="0">
      <text>
        <r>
          <rPr>
            <sz val="8"/>
            <color indexed="39"/>
            <rFont val="Tahoma"/>
            <family val="2"/>
          </rPr>
          <t>Please see Travel Instructions to determine the percentage of per diem you are eligible for.</t>
        </r>
      </text>
    </comment>
    <comment ref="AB5" authorId="0">
      <text>
        <r>
          <rPr>
            <sz val="8"/>
            <color indexed="39"/>
            <rFont val="Tahoma"/>
            <family val="2"/>
          </rPr>
          <t>Select the meals that are provided to you that is included in the cost of your training/conference/activity.  You do not need to include complimentary meals that are provided by hotels/motels.</t>
        </r>
      </text>
    </comment>
    <comment ref="AE6" authorId="0">
      <text>
        <r>
          <rPr>
            <sz val="8"/>
            <color indexed="39"/>
            <rFont val="Tahoma"/>
            <family val="2"/>
          </rPr>
          <t>*Misc. Expenses:  Receipts REQUIRED for personal phone calls, each purchase exceeding $25.00, and all non-travel expenses.</t>
        </r>
      </text>
    </comment>
    <comment ref="H12" authorId="0">
      <text>
        <r>
          <rPr>
            <b/>
            <u/>
            <sz val="8"/>
            <color indexed="39"/>
            <rFont val="Tahoma"/>
            <family val="2"/>
          </rPr>
          <t>Trng</t>
        </r>
        <r>
          <rPr>
            <sz val="8"/>
            <color indexed="39"/>
            <rFont val="Tahoma"/>
            <family val="2"/>
          </rPr>
          <t>: Was the purpose of this travel to attend or conduct a training?</t>
        </r>
      </text>
    </comment>
    <comment ref="J12" authorId="0">
      <text>
        <r>
          <rPr>
            <b/>
            <u/>
            <sz val="8"/>
            <color indexed="39"/>
            <rFont val="Tahoma"/>
            <family val="2"/>
          </rPr>
          <t>1 way or 2?</t>
        </r>
        <r>
          <rPr>
            <sz val="8"/>
            <color indexed="39"/>
            <rFont val="Tahoma"/>
            <family val="2"/>
          </rPr>
          <t>:If you marked "yes" for "Pers Cmtng".  How many times did you complete the personal commute? (ie. if you begin and end your trip from home and include those miles in the claim, you should mark "2".</t>
        </r>
      </text>
    </comment>
    <comment ref="M12" authorId="0">
      <text>
        <r>
          <rPr>
            <sz val="8"/>
            <color indexed="39"/>
            <rFont val="Tahoma"/>
            <family val="2"/>
          </rPr>
          <t>Do not include other personal miles.</t>
        </r>
      </text>
    </comment>
  </commentList>
</comments>
</file>

<file path=xl/sharedStrings.xml><?xml version="1.0" encoding="utf-8"?>
<sst xmlns="http://schemas.openxmlformats.org/spreadsheetml/2006/main" count="117" uniqueCount="108">
  <si>
    <t>DATE</t>
  </si>
  <si>
    <t>Meal Per Diem Calculation</t>
  </si>
  <si>
    <t>Per Diem</t>
  </si>
  <si>
    <t>Amount</t>
  </si>
  <si>
    <t>Date</t>
  </si>
  <si>
    <t>Line #</t>
  </si>
  <si>
    <t>T-Code</t>
  </si>
  <si>
    <t>Index</t>
  </si>
  <si>
    <t>PCA</t>
  </si>
  <si>
    <t>AOBJ</t>
  </si>
  <si>
    <t>AY</t>
  </si>
  <si>
    <t>Document No.</t>
  </si>
  <si>
    <t>Authorizing Supervisor Signature</t>
  </si>
  <si>
    <t>1st Day Time of Depart</t>
  </si>
  <si>
    <t>Parole</t>
  </si>
  <si>
    <t>Meal &amp; Lodging Expense (Conference/Meeting - Attach copy of registration and agenda)</t>
  </si>
  <si>
    <t>Total:</t>
  </si>
  <si>
    <t>Meals and Lodging Location/ Expense Description</t>
  </si>
  <si>
    <t>Lodging &amp; Tax</t>
  </si>
  <si>
    <t>Misc. Expenses</t>
  </si>
  <si>
    <t>Travel Awards:</t>
  </si>
  <si>
    <t>Mileage_Rate</t>
  </si>
  <si>
    <t>Per Diem Rates:</t>
  </si>
  <si>
    <t>County</t>
  </si>
  <si>
    <t>Per Diem Rates</t>
  </si>
  <si>
    <t>Clackamas</t>
  </si>
  <si>
    <t>Clatsop</t>
  </si>
  <si>
    <t>Deschutes</t>
  </si>
  <si>
    <t>Jackson</t>
  </si>
  <si>
    <t>Klamath</t>
  </si>
  <si>
    <t>Lane</t>
  </si>
  <si>
    <t>Lincoln</t>
  </si>
  <si>
    <t>Multnomah</t>
  </si>
  <si>
    <t>Washington</t>
  </si>
  <si>
    <t>Other</t>
  </si>
  <si>
    <t>Counties</t>
  </si>
  <si>
    <t xml:space="preserve">Subtotal Mileage Cost
</t>
  </si>
  <si>
    <t>Audited by:</t>
  </si>
  <si>
    <t>Date:</t>
  </si>
  <si>
    <t>Travel Summary:</t>
  </si>
  <si>
    <t>Meals:</t>
  </si>
  <si>
    <t>Misc. Expenses:</t>
  </si>
  <si>
    <t>N/A</t>
  </si>
  <si>
    <t>Code</t>
  </si>
  <si>
    <t>Rate</t>
  </si>
  <si>
    <t>Travel Codes/Mileage Rate</t>
  </si>
  <si>
    <t>NC</t>
  </si>
  <si>
    <t>CB</t>
  </si>
  <si>
    <t>MA</t>
  </si>
  <si>
    <t>EP</t>
  </si>
  <si>
    <t>Reduced_Rate</t>
  </si>
  <si>
    <t>Cost Benefit</t>
  </si>
  <si>
    <t>Medical Accomodation</t>
  </si>
  <si>
    <t>Employee Preference</t>
  </si>
  <si>
    <t>No Car Available</t>
  </si>
  <si>
    <t>RD</t>
  </si>
  <si>
    <t>Reimbursement Declined</t>
  </si>
  <si>
    <t>Description</t>
  </si>
  <si>
    <t>Backup?</t>
  </si>
  <si>
    <t>Send Check to</t>
  </si>
  <si>
    <t>Electronic Deposit</t>
  </si>
  <si>
    <t>Workstation:  Forward to workstation.</t>
  </si>
  <si>
    <t>Home:  Mail to home address.</t>
  </si>
  <si>
    <t>Pick-Up:  Hold at Central-Accounting.</t>
  </si>
  <si>
    <t>Req'd</t>
  </si>
  <si>
    <t>On File</t>
  </si>
  <si>
    <t>Business Destination and Reason for Travel (i.e. name of meeting, type of training, etc.)</t>
  </si>
  <si>
    <t>Traveler:</t>
  </si>
  <si>
    <t>Subtotal Youth Meals, (Receipt Required):</t>
  </si>
  <si>
    <t>Youth
JJIS #</t>
  </si>
  <si>
    <t>Mark One</t>
  </si>
  <si>
    <t>Mileage (Page 1):</t>
  </si>
  <si>
    <t xml:space="preserve">accept travel awards as a result of, or associated with, this state business trip.  </t>
  </si>
  <si>
    <t>% of 
Per Diem</t>
  </si>
  <si>
    <t>Meals Provided</t>
  </si>
  <si>
    <t>Reimbursable Meal Cost</t>
  </si>
  <si>
    <t>1 way
 or 2?</t>
  </si>
  <si>
    <r>
      <t xml:space="preserve">Traveler's Home Address: </t>
    </r>
    <r>
      <rPr>
        <sz val="10"/>
        <rFont val="Arial"/>
        <family val="2"/>
      </rPr>
      <t>( no PO Box please)</t>
    </r>
  </si>
  <si>
    <t>Final Day Time of Return</t>
  </si>
  <si>
    <t>*Receipt Required</t>
  </si>
  <si>
    <t>TOTAL</t>
  </si>
  <si>
    <t>Meals and Lodging, Subtotal:</t>
  </si>
  <si>
    <r>
      <t xml:space="preserve">Completion of this block is </t>
    </r>
    <r>
      <rPr>
        <b/>
        <sz val="10"/>
        <rFont val="Arial"/>
        <family val="2"/>
      </rPr>
      <t>mandatory</t>
    </r>
    <r>
      <rPr>
        <sz val="10"/>
        <rFont val="Arial"/>
        <family val="2"/>
      </rPr>
      <t xml:space="preserve"> (</t>
    </r>
    <r>
      <rPr>
        <u/>
        <sz val="10"/>
        <rFont val="Arial"/>
        <family val="2"/>
      </rPr>
      <t>see drop down box</t>
    </r>
    <r>
      <rPr>
        <sz val="10"/>
        <rFont val="Arial"/>
        <family val="2"/>
      </rPr>
      <t>). Travel expense reimbursement claims will not be processed if this block is left blank.  Travel awards include, but may not be limited to, airline frequent flyer miles and hotel or car rental frequent customer awards or miles.</t>
    </r>
  </si>
  <si>
    <t>*Misc. Expenses:  Receipts REQUIRED for personal phone calls, each purchase exceeding $25.00, and all non-travel expenses.</t>
  </si>
  <si>
    <t>Route for Private Car Mileage
(From Location to Location)</t>
  </si>
  <si>
    <t>Training
Y/N</t>
  </si>
  <si>
    <t>Reference Number</t>
  </si>
  <si>
    <t>I.</t>
  </si>
  <si>
    <r>
      <t xml:space="preserve">Total 
</t>
    </r>
    <r>
      <rPr>
        <b/>
        <sz val="10"/>
        <rFont val="Times New Roman"/>
        <family val="1"/>
      </rPr>
      <t>I. + II. + III.</t>
    </r>
  </si>
  <si>
    <r>
      <rPr>
        <b/>
        <sz val="10"/>
        <rFont val="Times New Roman"/>
        <family val="1"/>
      </rPr>
      <t>II.</t>
    </r>
    <r>
      <rPr>
        <b/>
        <sz val="10"/>
        <color indexed="10"/>
        <rFont val="Times New Roman"/>
        <family val="1"/>
      </rPr>
      <t>*</t>
    </r>
  </si>
  <si>
    <r>
      <t>III.</t>
    </r>
    <r>
      <rPr>
        <b/>
        <sz val="10"/>
        <color indexed="10"/>
        <rFont val="Times New Roman"/>
        <family val="1"/>
      </rPr>
      <t>*</t>
    </r>
  </si>
  <si>
    <t>Probation</t>
  </si>
  <si>
    <t>I certify this claim is true and correct, no part has been previously claimed or will be claimed from any other source, and the transportation method reflected in this claim is the most advantageous method to the state:</t>
  </si>
  <si>
    <t>I approve this request and certify funds for payment of this claim are available in the approved budget for the period covered and have been allotted for expenditure and the transportation method reflected in this claim is the most advantageous method to the state:</t>
  </si>
  <si>
    <t>Mileage Reimbursement and Reason For Travel</t>
  </si>
  <si>
    <t>Requesting Office Coding Information</t>
  </si>
  <si>
    <t>YA2228-C TRAVEL EXPENSE SHEET 
For Contractors and Volunteers</t>
  </si>
  <si>
    <t>Name of Payee:</t>
  </si>
  <si>
    <t>Please do not inlcude any personal miles incurred while conducting business for OYA.</t>
  </si>
  <si>
    <t xml:space="preserve">Mileage </t>
  </si>
  <si>
    <t>Payee Signature</t>
  </si>
  <si>
    <t xml:space="preserve"> CT</t>
  </si>
  <si>
    <t>Contract Number:</t>
  </si>
  <si>
    <t>Vendor/Tax ID #:</t>
  </si>
  <si>
    <t>TRAVEL EXPENSE SHEET - Contractors and Volunteers, Page 2</t>
  </si>
  <si>
    <t>For Accounting Use Only:</t>
  </si>
  <si>
    <t xml:space="preserve">If "Yes", date of approval letter? </t>
  </si>
  <si>
    <t>If claim is for a Volunteer travel reimbursement, approval letter received from program office?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</si>
</sst>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0.00_);_(&quot;$&quot;* \(#,##0.00\);_(&quot;$&quot;* &quot;-&quot;??_);_(@_)"/>
    <numFmt numFmtId="43" formatCode="_(* #,##0.00_);_(* \(#,##0.00\);_(* &quot;-&quot;??_);_(@_)"/>
    <numFmt numFmtId="164" formatCode="_(&quot;$&quot;* #,##0_);_(&quot;$&quot;* \(#,##0\);_(&quot;$&quot;* &quot;-&quot;??_);_(@_)"/>
    <numFmt numFmtId="165" formatCode="&quot;$&quot;#,##0"/>
    <numFmt numFmtId="166" formatCode="_(* #,##0_);_(* \(#,##0\);_(* &quot;-&quot;??_);_(@_)"/>
    <numFmt numFmtId="167" formatCode="m/d/yy;@"/>
    <numFmt numFmtId="168" formatCode="_(&quot;$&quot;* #,##0.000_);_(&quot;$&quot;* \(#,##0.000\);_(&quot;$&quot;* &quot;-&quot;??_);_(@_)"/>
    <numFmt numFmtId="169" formatCode="_(* #,##0.000_);_(* \(#,##0.000\);_(* &quot;-&quot;??_);_(@_)"/>
  </numFmts>
  <fonts count="38" x14ac:knownFonts="1">
    <font>
      <sz val="10"/>
      <name val="Arial"/>
    </font>
    <font>
      <sz val="10"/>
      <name val="Arial"/>
      <family val="2"/>
    </font>
    <font>
      <sz val="8"/>
      <name val="Arial"/>
      <family val="2"/>
    </font>
    <font>
      <b/>
      <sz val="8"/>
      <name val="Arial"/>
      <family val="2"/>
    </font>
    <font>
      <sz val="7"/>
      <name val="Arial"/>
      <family val="2"/>
    </font>
    <font>
      <b/>
      <sz val="7"/>
      <name val="Arial"/>
      <family val="2"/>
    </font>
    <font>
      <b/>
      <sz val="10"/>
      <name val="Arial"/>
      <family val="2"/>
    </font>
    <font>
      <b/>
      <sz val="14"/>
      <name val="Arial"/>
      <family val="2"/>
    </font>
    <font>
      <b/>
      <sz val="11"/>
      <name val="Arial"/>
      <family val="2"/>
    </font>
    <font>
      <sz val="8"/>
      <name val="Arial"/>
      <family val="2"/>
    </font>
    <font>
      <sz val="10"/>
      <name val="Arial"/>
      <family val="2"/>
    </font>
    <font>
      <sz val="8"/>
      <name val="Arial Narrow"/>
      <family val="2"/>
    </font>
    <font>
      <b/>
      <sz val="8"/>
      <color indexed="10"/>
      <name val="Arial"/>
      <family val="2"/>
    </font>
    <font>
      <b/>
      <u/>
      <sz val="11"/>
      <name val="Arial"/>
      <family val="2"/>
    </font>
    <font>
      <b/>
      <sz val="10"/>
      <color indexed="12"/>
      <name val="Arial"/>
      <family val="2"/>
    </font>
    <font>
      <sz val="10"/>
      <name val="Arial"/>
      <family val="2"/>
    </font>
    <font>
      <u/>
      <sz val="10"/>
      <name val="Arial"/>
      <family val="2"/>
    </font>
    <font>
      <sz val="10"/>
      <name val="Arial Narrow"/>
      <family val="2"/>
    </font>
    <font>
      <b/>
      <sz val="10"/>
      <name val="Arial Narrow"/>
      <family val="2"/>
    </font>
    <font>
      <sz val="8"/>
      <color indexed="39"/>
      <name val="Tahoma"/>
      <family val="2"/>
    </font>
    <font>
      <b/>
      <u/>
      <sz val="8"/>
      <color indexed="39"/>
      <name val="Tahoma"/>
      <family val="2"/>
    </font>
    <font>
      <b/>
      <sz val="10"/>
      <color indexed="10"/>
      <name val="Arial"/>
      <family val="2"/>
    </font>
    <font>
      <sz val="11"/>
      <name val="Arial"/>
      <family val="2"/>
    </font>
    <font>
      <b/>
      <i/>
      <u val="singleAccounting"/>
      <sz val="11"/>
      <color rgb="FFCC00FF"/>
      <name val="Arial Narrow"/>
      <family val="2"/>
    </font>
    <font>
      <i/>
      <sz val="8"/>
      <name val="Arial Narrow"/>
      <family val="2"/>
    </font>
    <font>
      <i/>
      <sz val="10"/>
      <name val="Arial"/>
      <family val="2"/>
    </font>
    <font>
      <b/>
      <sz val="11"/>
      <color rgb="FF1306BA"/>
      <name val="Arial"/>
      <family val="2"/>
    </font>
    <font>
      <b/>
      <u val="doubleAccounting"/>
      <sz val="11"/>
      <color indexed="12"/>
      <name val="Arial"/>
      <family val="2"/>
    </font>
    <font>
      <u/>
      <sz val="10"/>
      <color theme="10"/>
      <name val="Arial"/>
      <family val="2"/>
    </font>
    <font>
      <b/>
      <i/>
      <sz val="13"/>
      <color rgb="FFFF0000"/>
      <name val="Arial"/>
      <family val="2"/>
    </font>
    <font>
      <b/>
      <sz val="8"/>
      <color rgb="FFFF0000"/>
      <name val="Arial"/>
      <family val="2"/>
    </font>
    <font>
      <sz val="9"/>
      <name val="Arial Narrow"/>
      <family val="2"/>
    </font>
    <font>
      <b/>
      <sz val="10"/>
      <name val="Times New Roman"/>
      <family val="1"/>
    </font>
    <font>
      <sz val="8"/>
      <color rgb="FF6D6F72"/>
      <name val="Verdana"/>
      <family val="2"/>
    </font>
    <font>
      <b/>
      <sz val="8"/>
      <color indexed="10"/>
      <name val="Tahoma"/>
      <family val="2"/>
    </font>
    <font>
      <b/>
      <sz val="10"/>
      <color indexed="10"/>
      <name val="Times New Roman"/>
      <family val="1"/>
    </font>
    <font>
      <b/>
      <u/>
      <sz val="10"/>
      <name val="Arial"/>
      <family val="2"/>
    </font>
    <font>
      <sz val="8"/>
      <color rgb="FF000000"/>
      <name val="Tahoma"/>
      <family val="2"/>
    </font>
  </fonts>
  <fills count="9">
    <fill>
      <patternFill patternType="none"/>
    </fill>
    <fill>
      <patternFill patternType="gray125"/>
    </fill>
    <fill>
      <patternFill patternType="solid">
        <fgColor indexed="15"/>
        <bgColor indexed="64"/>
      </patternFill>
    </fill>
    <fill>
      <patternFill patternType="solid">
        <fgColor indexed="13"/>
        <bgColor indexed="64"/>
      </patternFill>
    </fill>
    <fill>
      <patternFill patternType="solid">
        <fgColor rgb="FFFFFF00"/>
        <bgColor indexed="64"/>
      </patternFill>
    </fill>
    <fill>
      <patternFill patternType="solid">
        <fgColor rgb="FFFFFF99"/>
        <bgColor indexed="64"/>
      </patternFill>
    </fill>
    <fill>
      <patternFill patternType="solid">
        <fgColor rgb="FFFFFFCC"/>
        <bgColor indexed="64"/>
      </patternFill>
    </fill>
    <fill>
      <patternFill patternType="solid">
        <fgColor rgb="FFFFFF66"/>
        <bgColor indexed="64"/>
      </patternFill>
    </fill>
    <fill>
      <patternFill patternType="solid">
        <fgColor theme="0" tint="-0.14999847407452621"/>
        <bgColor indexed="64"/>
      </patternFill>
    </fill>
  </fills>
  <borders count="99">
    <border>
      <left/>
      <right/>
      <top/>
      <bottom/>
      <diagonal/>
    </border>
    <border>
      <left/>
      <right/>
      <top style="medium">
        <color indexed="64"/>
      </top>
      <bottom style="thin">
        <color indexed="64"/>
      </bottom>
      <diagonal/>
    </border>
    <border>
      <left/>
      <right/>
      <top style="thin">
        <color indexed="64"/>
      </top>
      <bottom style="thin">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bottom/>
      <diagonal/>
    </border>
    <border>
      <left/>
      <right/>
      <top style="thin">
        <color indexed="64"/>
      </top>
      <bottom style="medium">
        <color indexed="64"/>
      </bottom>
      <diagonal/>
    </border>
    <border>
      <left style="medium">
        <color indexed="64"/>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right/>
      <top style="medium">
        <color indexed="64"/>
      </top>
      <bottom/>
      <diagonal/>
    </border>
    <border>
      <left/>
      <right/>
      <top style="thin">
        <color indexed="64"/>
      </top>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bottom style="medium">
        <color indexed="64"/>
      </bottom>
      <diagonal/>
    </border>
    <border>
      <left style="double">
        <color indexed="64"/>
      </left>
      <right style="double">
        <color indexed="64"/>
      </right>
      <top style="medium">
        <color indexed="64"/>
      </top>
      <bottom style="medium">
        <color indexed="64"/>
      </bottom>
      <diagonal/>
    </border>
    <border>
      <left style="double">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double">
        <color indexed="64"/>
      </right>
      <top style="medium">
        <color indexed="64"/>
      </top>
      <bottom style="medium">
        <color indexed="64"/>
      </bottom>
      <diagonal/>
    </border>
    <border>
      <left style="double">
        <color indexed="64"/>
      </left>
      <right/>
      <top style="thin">
        <color indexed="64"/>
      </top>
      <bottom style="thin">
        <color indexed="64"/>
      </bottom>
      <diagonal/>
    </border>
    <border>
      <left style="double">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double">
        <color indexed="64"/>
      </left>
      <right/>
      <top/>
      <bottom style="medium">
        <color indexed="64"/>
      </bottom>
      <diagonal/>
    </border>
    <border>
      <left style="double">
        <color indexed="64"/>
      </left>
      <right/>
      <top style="medium">
        <color indexed="64"/>
      </top>
      <bottom style="thin">
        <color indexed="64"/>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
      <left/>
      <right style="double">
        <color indexed="64"/>
      </right>
      <top style="medium">
        <color indexed="64"/>
      </top>
      <bottom/>
      <diagonal/>
    </border>
    <border>
      <left/>
      <right style="double">
        <color indexed="64"/>
      </right>
      <top/>
      <bottom/>
      <diagonal/>
    </border>
    <border>
      <left style="double">
        <color indexed="64"/>
      </left>
      <right/>
      <top style="medium">
        <color indexed="64"/>
      </top>
      <bottom/>
      <diagonal/>
    </border>
    <border>
      <left style="double">
        <color indexed="64"/>
      </left>
      <right/>
      <top/>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medium">
        <color indexed="64"/>
      </bottom>
      <diagonal/>
    </border>
    <border>
      <left style="double">
        <color indexed="64"/>
      </left>
      <right/>
      <top style="thin">
        <color indexed="64"/>
      </top>
      <bottom style="medium">
        <color indexed="64"/>
      </bottom>
      <diagonal/>
    </border>
    <border>
      <left style="hair">
        <color indexed="64"/>
      </left>
      <right/>
      <top/>
      <bottom style="thin">
        <color indexed="64"/>
      </bottom>
      <diagonal/>
    </border>
    <border>
      <left style="thin">
        <color indexed="64"/>
      </left>
      <right style="double">
        <color indexed="64"/>
      </right>
      <top/>
      <bottom style="thin">
        <color indexed="64"/>
      </bottom>
      <diagonal/>
    </border>
    <border>
      <left style="thin">
        <color indexed="64"/>
      </left>
      <right style="double">
        <color indexed="64"/>
      </right>
      <top/>
      <bottom/>
      <diagonal/>
    </border>
    <border>
      <left style="hair">
        <color indexed="64"/>
      </left>
      <right style="medium">
        <color indexed="64"/>
      </right>
      <top/>
      <bottom style="medium">
        <color indexed="64"/>
      </bottom>
      <diagonal/>
    </border>
    <border>
      <left style="hair">
        <color indexed="64"/>
      </left>
      <right style="medium">
        <color indexed="64"/>
      </right>
      <top/>
      <bottom style="thin">
        <color indexed="64"/>
      </bottom>
      <diagonal/>
    </border>
    <border>
      <left style="thin">
        <color indexed="64"/>
      </left>
      <right style="thin">
        <color indexed="64"/>
      </right>
      <top style="medium">
        <color indexed="64"/>
      </top>
      <bottom/>
      <diagonal/>
    </border>
    <border>
      <left/>
      <right style="hair">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hair">
        <color indexed="64"/>
      </right>
      <top/>
      <bottom style="medium">
        <color indexed="64"/>
      </bottom>
      <diagonal/>
    </border>
    <border>
      <left style="hair">
        <color indexed="64"/>
      </left>
      <right style="double">
        <color indexed="64"/>
      </right>
      <top/>
      <bottom style="medium">
        <color indexed="64"/>
      </bottom>
      <diagonal/>
    </border>
    <border>
      <left style="hair">
        <color indexed="64"/>
      </left>
      <right style="medium">
        <color indexed="64"/>
      </right>
      <top/>
      <bottom/>
      <diagonal/>
    </border>
    <border>
      <left/>
      <right style="hair">
        <color indexed="64"/>
      </right>
      <top/>
      <bottom/>
      <diagonal/>
    </border>
    <border>
      <left style="hair">
        <color indexed="64"/>
      </left>
      <right style="double">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hair">
        <color indexed="64"/>
      </left>
      <right style="double">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double">
        <color indexed="64"/>
      </top>
      <bottom/>
      <diagonal/>
    </border>
    <border>
      <left style="thin">
        <color indexed="64"/>
      </left>
      <right style="medium">
        <color indexed="64"/>
      </right>
      <top style="double">
        <color indexed="64"/>
      </top>
      <bottom/>
      <diagonal/>
    </border>
    <border>
      <left style="medium">
        <color indexed="64"/>
      </left>
      <right style="thin">
        <color indexed="64"/>
      </right>
      <top style="double">
        <color indexed="64"/>
      </top>
      <bottom/>
      <diagonal/>
    </border>
    <border>
      <left/>
      <right style="hair">
        <color indexed="64"/>
      </right>
      <top style="thin">
        <color indexed="64"/>
      </top>
      <bottom style="medium">
        <color indexed="64"/>
      </bottom>
      <diagonal/>
    </border>
    <border>
      <left style="hair">
        <color indexed="64"/>
      </left>
      <right/>
      <top style="medium">
        <color indexed="64"/>
      </top>
      <bottom/>
      <diagonal/>
    </border>
    <border>
      <left style="medium">
        <color indexed="64"/>
      </left>
      <right style="medium">
        <color indexed="64"/>
      </right>
      <top/>
      <bottom style="thin">
        <color indexed="64"/>
      </bottom>
      <diagonal/>
    </border>
    <border>
      <left style="hair">
        <color indexed="64"/>
      </left>
      <right/>
      <top/>
      <bottom style="medium">
        <color indexed="64"/>
      </bottom>
      <diagonal/>
    </border>
  </borders>
  <cellStyleXfs count="7">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0" borderId="0"/>
    <xf numFmtId="0" fontId="28" fillId="0" borderId="0" applyNumberFormat="0" applyFill="0" applyBorder="0" applyAlignment="0" applyProtection="0">
      <alignment vertical="top"/>
      <protection locked="0"/>
    </xf>
    <xf numFmtId="44" fontId="1" fillId="0" borderId="0" applyFont="0" applyFill="0" applyBorder="0" applyAlignment="0" applyProtection="0"/>
  </cellStyleXfs>
  <cellXfs count="409">
    <xf numFmtId="0" fontId="0" fillId="0" borderId="0" xfId="0"/>
    <xf numFmtId="0" fontId="6" fillId="2" borderId="9" xfId="0" applyFont="1" applyFill="1" applyBorder="1"/>
    <xf numFmtId="164" fontId="0" fillId="3" borderId="10" xfId="2" applyNumberFormat="1" applyFont="1" applyFill="1" applyBorder="1"/>
    <xf numFmtId="164" fontId="0" fillId="3" borderId="11" xfId="2" applyNumberFormat="1" applyFont="1" applyFill="1" applyBorder="1"/>
    <xf numFmtId="164" fontId="0" fillId="3" borderId="12" xfId="2" applyNumberFormat="1" applyFont="1" applyFill="1" applyBorder="1"/>
    <xf numFmtId="0" fontId="6" fillId="2" borderId="4" xfId="0" applyFont="1" applyFill="1" applyBorder="1"/>
    <xf numFmtId="0" fontId="6" fillId="2" borderId="5" xfId="0" applyFont="1" applyFill="1" applyBorder="1"/>
    <xf numFmtId="0" fontId="0" fillId="3" borderId="38" xfId="0" applyFill="1" applyBorder="1"/>
    <xf numFmtId="164" fontId="0" fillId="3" borderId="39" xfId="2" applyNumberFormat="1" applyFont="1" applyFill="1" applyBorder="1"/>
    <xf numFmtId="0" fontId="0" fillId="3" borderId="26" xfId="0" applyFill="1" applyBorder="1"/>
    <xf numFmtId="164" fontId="0" fillId="3" borderId="3" xfId="2" applyNumberFormat="1" applyFont="1" applyFill="1" applyBorder="1"/>
    <xf numFmtId="0" fontId="0" fillId="3" borderId="4" xfId="0" applyFill="1" applyBorder="1"/>
    <xf numFmtId="164" fontId="0" fillId="3" borderId="5" xfId="2" applyNumberFormat="1" applyFont="1" applyFill="1" applyBorder="1"/>
    <xf numFmtId="44" fontId="0" fillId="0" borderId="0" xfId="2" applyFont="1"/>
    <xf numFmtId="0" fontId="10" fillId="4" borderId="38" xfId="0" applyFont="1" applyFill="1" applyBorder="1" applyAlignment="1">
      <alignment horizontal="center"/>
    </xf>
    <xf numFmtId="0" fontId="10" fillId="4" borderId="26" xfId="0" applyFont="1" applyFill="1" applyBorder="1" applyAlignment="1">
      <alignment horizontal="center"/>
    </xf>
    <xf numFmtId="0" fontId="10" fillId="4" borderId="4" xfId="0" applyFont="1" applyFill="1" applyBorder="1" applyAlignment="1">
      <alignment horizontal="center"/>
    </xf>
    <xf numFmtId="0" fontId="10" fillId="4" borderId="41" xfId="0" applyFont="1" applyFill="1" applyBorder="1" applyAlignment="1">
      <alignment horizontal="left"/>
    </xf>
    <xf numFmtId="0" fontId="10" fillId="4" borderId="0" xfId="0" applyFont="1" applyFill="1" applyBorder="1" applyAlignment="1">
      <alignment horizontal="left"/>
    </xf>
    <xf numFmtId="0" fontId="10" fillId="4" borderId="14" xfId="0" applyFont="1" applyFill="1" applyBorder="1" applyAlignment="1">
      <alignment horizontal="left"/>
    </xf>
    <xf numFmtId="0" fontId="6" fillId="2" borderId="4" xfId="0" applyFont="1" applyFill="1" applyBorder="1" applyAlignment="1">
      <alignment horizontal="center"/>
    </xf>
    <xf numFmtId="0" fontId="6" fillId="2" borderId="14" xfId="0" applyFont="1" applyFill="1" applyBorder="1" applyAlignment="1">
      <alignment horizontal="center"/>
    </xf>
    <xf numFmtId="0" fontId="6" fillId="2" borderId="5" xfId="0" applyFont="1" applyFill="1" applyBorder="1" applyAlignment="1">
      <alignment horizontal="center"/>
    </xf>
    <xf numFmtId="44" fontId="6" fillId="0" borderId="0" xfId="2" applyFont="1" applyFill="1" applyBorder="1" applyAlignment="1" applyProtection="1">
      <alignment horizontal="center" vertical="center"/>
    </xf>
    <xf numFmtId="0" fontId="2" fillId="0" borderId="0" xfId="4" applyFont="1" applyFill="1" applyProtection="1"/>
    <xf numFmtId="0" fontId="1" fillId="0" borderId="0" xfId="4" applyFont="1" applyFill="1" applyProtection="1"/>
    <xf numFmtId="0" fontId="2" fillId="0" borderId="44" xfId="4" applyFont="1" applyFill="1" applyBorder="1" applyAlignment="1" applyProtection="1">
      <alignment horizontal="center"/>
      <protection locked="0"/>
    </xf>
    <xf numFmtId="0" fontId="2" fillId="6" borderId="19" xfId="4" applyFont="1" applyFill="1" applyBorder="1" applyAlignment="1" applyProtection="1">
      <alignment horizontal="left"/>
    </xf>
    <xf numFmtId="0" fontId="2" fillId="6" borderId="19" xfId="4" applyFont="1" applyFill="1" applyBorder="1" applyAlignment="1" applyProtection="1">
      <alignment horizontal="center"/>
    </xf>
    <xf numFmtId="0" fontId="2" fillId="6" borderId="44" xfId="4" applyFont="1" applyFill="1" applyBorder="1" applyAlignment="1" applyProtection="1">
      <alignment horizontal="center"/>
    </xf>
    <xf numFmtId="0" fontId="2" fillId="0" borderId="43" xfId="4" applyFont="1" applyFill="1" applyBorder="1" applyAlignment="1" applyProtection="1">
      <alignment horizontal="center"/>
    </xf>
    <xf numFmtId="0" fontId="2" fillId="0" borderId="13" xfId="4" applyFont="1" applyFill="1" applyBorder="1" applyAlignment="1" applyProtection="1">
      <alignment horizontal="center"/>
      <protection locked="0"/>
    </xf>
    <xf numFmtId="0" fontId="2" fillId="6" borderId="18" xfId="4" applyFont="1" applyFill="1" applyBorder="1" applyAlignment="1" applyProtection="1">
      <alignment horizontal="left"/>
    </xf>
    <xf numFmtId="0" fontId="2" fillId="6" borderId="18" xfId="4" applyFont="1" applyFill="1" applyBorder="1" applyAlignment="1" applyProtection="1">
      <alignment horizontal="center"/>
    </xf>
    <xf numFmtId="0" fontId="2" fillId="6" borderId="13" xfId="4" applyFont="1" applyFill="1" applyBorder="1" applyAlignment="1" applyProtection="1">
      <alignment horizontal="center"/>
    </xf>
    <xf numFmtId="0" fontId="2" fillId="0" borderId="31" xfId="4" applyFont="1" applyFill="1" applyBorder="1" applyAlignment="1" applyProtection="1">
      <alignment horizontal="center"/>
    </xf>
    <xf numFmtId="0" fontId="3" fillId="0" borderId="0" xfId="4" applyFont="1" applyFill="1" applyProtection="1"/>
    <xf numFmtId="0" fontId="2" fillId="0" borderId="0" xfId="4" applyFont="1" applyFill="1" applyBorder="1" applyProtection="1"/>
    <xf numFmtId="0" fontId="1" fillId="0" borderId="0" xfId="4" applyFont="1" applyFill="1" applyBorder="1" applyAlignment="1">
      <alignment horizontal="left"/>
    </xf>
    <xf numFmtId="0" fontId="1" fillId="0" borderId="0" xfId="4" applyFont="1" applyFill="1" applyBorder="1" applyAlignment="1">
      <alignment horizontal="center"/>
    </xf>
    <xf numFmtId="0" fontId="2" fillId="0" borderId="0" xfId="4" applyFont="1" applyFill="1" applyAlignment="1" applyProtection="1"/>
    <xf numFmtId="0" fontId="1" fillId="0" borderId="0" xfId="4" applyFont="1" applyFill="1" applyBorder="1" applyAlignment="1">
      <alignment horizontal="left" vertical="center"/>
    </xf>
    <xf numFmtId="0" fontId="6" fillId="0" borderId="0" xfId="4" applyFont="1" applyFill="1" applyProtection="1"/>
    <xf numFmtId="166" fontId="1" fillId="0" borderId="0" xfId="1" applyNumberFormat="1" applyFont="1" applyFill="1" applyBorder="1" applyAlignment="1" applyProtection="1">
      <alignment horizontal="right" vertical="center"/>
    </xf>
    <xf numFmtId="0" fontId="6" fillId="0" borderId="0" xfId="4" applyFont="1" applyFill="1" applyBorder="1" applyAlignment="1" applyProtection="1">
      <alignment horizontal="right" vertical="center"/>
    </xf>
    <xf numFmtId="0" fontId="4" fillId="0" borderId="0" xfId="4" applyFont="1" applyFill="1" applyBorder="1" applyAlignment="1" applyProtection="1">
      <alignment wrapText="1"/>
    </xf>
    <xf numFmtId="44" fontId="23" fillId="0" borderId="0" xfId="4" applyNumberFormat="1" applyFont="1" applyFill="1" applyBorder="1" applyAlignment="1" applyProtection="1">
      <alignment horizontal="left" vertical="top"/>
    </xf>
    <xf numFmtId="44" fontId="6" fillId="0" borderId="0" xfId="2" applyFont="1" applyFill="1" applyBorder="1" applyAlignment="1" applyProtection="1">
      <alignment vertical="center"/>
      <protection locked="0"/>
    </xf>
    <xf numFmtId="0" fontId="2" fillId="0" borderId="0" xfId="4" applyFont="1" applyFill="1" applyBorder="1" applyAlignment="1" applyProtection="1">
      <alignment wrapText="1"/>
    </xf>
    <xf numFmtId="0" fontId="6" fillId="0" borderId="0" xfId="4" applyFont="1" applyFill="1" applyBorder="1" applyAlignment="1" applyProtection="1">
      <alignment horizontal="left" vertical="center"/>
    </xf>
    <xf numFmtId="44" fontId="27" fillId="6" borderId="5" xfId="2" applyFont="1" applyFill="1" applyBorder="1" applyAlignment="1" applyProtection="1">
      <alignment horizontal="center" vertical="center"/>
    </xf>
    <xf numFmtId="0" fontId="26" fillId="6" borderId="14" xfId="4" applyFont="1" applyFill="1" applyBorder="1" applyAlignment="1" applyProtection="1">
      <alignment horizontal="right" vertical="center"/>
    </xf>
    <xf numFmtId="44" fontId="29" fillId="0" borderId="0" xfId="4" applyNumberFormat="1" applyFont="1" applyFill="1" applyBorder="1" applyAlignment="1" applyProtection="1">
      <alignment horizontal="left" vertical="top"/>
    </xf>
    <xf numFmtId="44" fontId="6" fillId="6" borderId="22" xfId="2" applyFont="1" applyFill="1" applyBorder="1" applyProtection="1"/>
    <xf numFmtId="0" fontId="6" fillId="6" borderId="34" xfId="4" applyFont="1" applyFill="1" applyBorder="1" applyAlignment="1" applyProtection="1">
      <alignment horizontal="right" vertical="center"/>
    </xf>
    <xf numFmtId="44" fontId="6" fillId="6" borderId="34" xfId="2" applyFont="1" applyFill="1" applyBorder="1" applyAlignment="1" applyProtection="1">
      <alignment horizontal="center" vertical="center"/>
    </xf>
    <xf numFmtId="0" fontId="6" fillId="6" borderId="33" xfId="4" applyFont="1" applyFill="1" applyBorder="1" applyAlignment="1" applyProtection="1">
      <alignment horizontal="left" vertical="center"/>
    </xf>
    <xf numFmtId="0" fontId="2" fillId="0" borderId="0" xfId="4" applyFont="1" applyFill="1" applyBorder="1" applyAlignment="1" applyProtection="1">
      <alignment vertical="center"/>
    </xf>
    <xf numFmtId="44" fontId="6" fillId="6" borderId="3" xfId="2" applyFont="1" applyFill="1" applyBorder="1" applyProtection="1"/>
    <xf numFmtId="0" fontId="18" fillId="6" borderId="0" xfId="4" applyFont="1" applyFill="1" applyBorder="1" applyAlignment="1" applyProtection="1">
      <alignment horizontal="right" vertical="center"/>
    </xf>
    <xf numFmtId="44" fontId="6" fillId="6" borderId="0" xfId="2" applyFont="1" applyFill="1" applyBorder="1" applyAlignment="1" applyProtection="1">
      <alignment horizontal="center" vertical="center"/>
    </xf>
    <xf numFmtId="0" fontId="6" fillId="6" borderId="0" xfId="4" applyFont="1" applyFill="1" applyBorder="1" applyAlignment="1" applyProtection="1">
      <alignment horizontal="right" vertical="center"/>
    </xf>
    <xf numFmtId="0" fontId="6" fillId="6" borderId="26" xfId="4" applyFont="1" applyFill="1" applyBorder="1" applyAlignment="1" applyProtection="1">
      <alignment horizontal="left" vertical="center"/>
    </xf>
    <xf numFmtId="166" fontId="1" fillId="6" borderId="53" xfId="1" applyNumberFormat="1" applyFont="1" applyFill="1" applyBorder="1" applyAlignment="1" applyProtection="1">
      <alignment horizontal="right" vertical="center"/>
    </xf>
    <xf numFmtId="0" fontId="6" fillId="0" borderId="41" xfId="4" applyFont="1" applyFill="1" applyBorder="1" applyAlignment="1" applyProtection="1">
      <alignment horizontal="right" vertical="center"/>
    </xf>
    <xf numFmtId="0" fontId="4" fillId="0" borderId="41" xfId="4" applyFont="1" applyFill="1" applyBorder="1" applyAlignment="1" applyProtection="1">
      <alignment wrapText="1"/>
    </xf>
    <xf numFmtId="0" fontId="2" fillId="0" borderId="41" xfId="4" applyFont="1" applyFill="1" applyBorder="1" applyProtection="1"/>
    <xf numFmtId="0" fontId="2" fillId="0" borderId="41" xfId="4" applyFont="1" applyFill="1" applyBorder="1" applyAlignment="1" applyProtection="1">
      <alignment vertical="center"/>
    </xf>
    <xf numFmtId="0" fontId="2" fillId="0" borderId="41" xfId="4" applyFont="1" applyFill="1" applyBorder="1" applyAlignment="1" applyProtection="1">
      <alignment wrapText="1"/>
    </xf>
    <xf numFmtId="44" fontId="6" fillId="6" borderId="3" xfId="2" applyFont="1" applyFill="1" applyBorder="1" applyAlignment="1" applyProtection="1">
      <alignment horizontal="center" vertical="center"/>
    </xf>
    <xf numFmtId="0" fontId="6" fillId="6" borderId="26" xfId="4" applyFont="1" applyFill="1" applyBorder="1" applyAlignment="1" applyProtection="1">
      <alignment horizontal="right" vertical="center"/>
    </xf>
    <xf numFmtId="0" fontId="2" fillId="6" borderId="3" xfId="4" applyFont="1" applyFill="1" applyBorder="1" applyAlignment="1" applyProtection="1">
      <alignment horizontal="left" vertical="center" wrapText="1"/>
    </xf>
    <xf numFmtId="0" fontId="2" fillId="6" borderId="0" xfId="4" applyFont="1" applyFill="1" applyBorder="1" applyAlignment="1" applyProtection="1">
      <alignment horizontal="left" vertical="center" wrapText="1"/>
    </xf>
    <xf numFmtId="0" fontId="1" fillId="6" borderId="0" xfId="4" applyFont="1" applyFill="1" applyBorder="1" applyAlignment="1" applyProtection="1">
      <alignment horizontal="left" vertical="center"/>
    </xf>
    <xf numFmtId="166" fontId="1" fillId="0" borderId="81" xfId="1" applyNumberFormat="1" applyFont="1" applyFill="1" applyBorder="1" applyAlignment="1" applyProtection="1">
      <alignment horizontal="right" vertical="center"/>
      <protection locked="0"/>
    </xf>
    <xf numFmtId="0" fontId="1" fillId="0" borderId="37" xfId="4" applyFont="1" applyFill="1" applyBorder="1" applyAlignment="1" applyProtection="1">
      <alignment horizontal="center" vertical="center"/>
      <protection locked="0"/>
    </xf>
    <xf numFmtId="40" fontId="6" fillId="6" borderId="39" xfId="2" applyNumberFormat="1" applyFont="1" applyFill="1" applyBorder="1" applyProtection="1"/>
    <xf numFmtId="0" fontId="12" fillId="6" borderId="41" xfId="4" applyFont="1" applyFill="1" applyBorder="1" applyAlignment="1" applyProtection="1">
      <alignment horizontal="right" vertical="center"/>
    </xf>
    <xf numFmtId="0" fontId="2" fillId="6" borderId="41" xfId="4" applyFont="1" applyFill="1" applyBorder="1" applyProtection="1"/>
    <xf numFmtId="0" fontId="13" fillId="6" borderId="38" xfId="4" applyFont="1" applyFill="1" applyBorder="1" applyProtection="1"/>
    <xf numFmtId="0" fontId="1" fillId="6" borderId="3" xfId="4" applyFill="1" applyBorder="1" applyProtection="1"/>
    <xf numFmtId="0" fontId="1" fillId="6" borderId="0" xfId="4" applyFill="1" applyBorder="1" applyProtection="1"/>
    <xf numFmtId="0" fontId="6" fillId="6" borderId="0" xfId="4" applyFont="1" applyFill="1" applyBorder="1" applyProtection="1"/>
    <xf numFmtId="0" fontId="6" fillId="6" borderId="26" xfId="4" applyFont="1" applyFill="1" applyBorder="1" applyProtection="1"/>
    <xf numFmtId="166" fontId="1" fillId="0" borderId="47" xfId="1" applyNumberFormat="1" applyFont="1" applyFill="1" applyBorder="1" applyAlignment="1" applyProtection="1">
      <alignment horizontal="right" vertical="center"/>
      <protection locked="0"/>
    </xf>
    <xf numFmtId="0" fontId="1" fillId="0" borderId="8" xfId="4" applyFont="1" applyFill="1" applyBorder="1" applyAlignment="1" applyProtection="1">
      <alignment horizontal="center" vertical="center"/>
      <protection locked="0"/>
    </xf>
    <xf numFmtId="0" fontId="2" fillId="0" borderId="0" xfId="4" applyFont="1" applyFill="1" applyAlignment="1" applyProtection="1">
      <alignment vertical="center"/>
    </xf>
    <xf numFmtId="0" fontId="1" fillId="0" borderId="0" xfId="4" applyFill="1" applyProtection="1"/>
    <xf numFmtId="166" fontId="1" fillId="0" borderId="72" xfId="1" applyNumberFormat="1" applyFont="1" applyFill="1" applyBorder="1" applyAlignment="1" applyProtection="1">
      <alignment horizontal="right" vertical="center"/>
      <protection locked="0"/>
    </xf>
    <xf numFmtId="0" fontId="1" fillId="0" borderId="40" xfId="4" applyFont="1" applyFill="1" applyBorder="1" applyAlignment="1" applyProtection="1">
      <alignment horizontal="center" vertical="center"/>
      <protection locked="0"/>
    </xf>
    <xf numFmtId="166" fontId="1" fillId="0" borderId="46" xfId="1" applyNumberFormat="1" applyFont="1" applyFill="1" applyBorder="1" applyAlignment="1" applyProtection="1">
      <alignment horizontal="right" vertical="center"/>
      <protection locked="0"/>
    </xf>
    <xf numFmtId="0" fontId="1" fillId="0" borderId="15" xfId="4" applyFont="1" applyFill="1" applyBorder="1" applyAlignment="1" applyProtection="1">
      <alignment horizontal="center" vertical="center"/>
      <protection locked="0"/>
    </xf>
    <xf numFmtId="0" fontId="6" fillId="5" borderId="17" xfId="4" applyFont="1" applyFill="1" applyBorder="1" applyAlignment="1" applyProtection="1">
      <alignment vertical="center"/>
    </xf>
    <xf numFmtId="0" fontId="3" fillId="0" borderId="0" xfId="4" applyFont="1" applyFill="1" applyAlignment="1" applyProtection="1">
      <alignment vertical="center"/>
    </xf>
    <xf numFmtId="0" fontId="2" fillId="0" borderId="0" xfId="4" applyFont="1" applyFill="1" applyAlignment="1" applyProtection="1">
      <alignment horizontal="left" vertical="center"/>
    </xf>
    <xf numFmtId="0" fontId="6" fillId="4" borderId="51" xfId="4" applyFont="1" applyFill="1" applyBorder="1" applyAlignment="1" applyProtection="1">
      <alignment horizontal="right" vertical="center"/>
    </xf>
    <xf numFmtId="0" fontId="7" fillId="0" borderId="0" xfId="4" applyFont="1" applyFill="1" applyAlignment="1" applyProtection="1">
      <alignment vertical="center"/>
    </xf>
    <xf numFmtId="0" fontId="33" fillId="0" borderId="0" xfId="4" applyFont="1"/>
    <xf numFmtId="49" fontId="2" fillId="0" borderId="8" xfId="4" applyNumberFormat="1" applyFont="1" applyFill="1" applyBorder="1" applyAlignment="1" applyProtection="1">
      <alignment horizontal="center"/>
      <protection locked="0"/>
    </xf>
    <xf numFmtId="0" fontId="3" fillId="5" borderId="57" xfId="4" applyFont="1" applyFill="1" applyBorder="1" applyAlignment="1" applyProtection="1">
      <alignment horizontal="center" vertical="center"/>
    </xf>
    <xf numFmtId="49" fontId="2" fillId="0" borderId="37" xfId="4" applyNumberFormat="1" applyFont="1" applyFill="1" applyBorder="1" applyAlignment="1" applyProtection="1">
      <alignment horizontal="center"/>
      <protection locked="0"/>
    </xf>
    <xf numFmtId="49" fontId="31" fillId="0" borderId="25" xfId="4" applyNumberFormat="1" applyFont="1" applyFill="1" applyBorder="1" applyAlignment="1" applyProtection="1">
      <alignment horizontal="center" vertical="center"/>
      <protection locked="0"/>
    </xf>
    <xf numFmtId="49" fontId="31" fillId="0" borderId="40" xfId="4" applyNumberFormat="1" applyFont="1" applyFill="1" applyBorder="1" applyAlignment="1" applyProtection="1">
      <alignment horizontal="center" vertical="center"/>
      <protection locked="0"/>
    </xf>
    <xf numFmtId="44" fontId="17" fillId="0" borderId="20" xfId="2" applyFont="1" applyFill="1" applyBorder="1" applyAlignment="1" applyProtection="1">
      <alignment horizontal="center" vertical="center"/>
      <protection locked="0"/>
    </xf>
    <xf numFmtId="165" fontId="1" fillId="6" borderId="20" xfId="4" applyNumberFormat="1" applyFont="1" applyFill="1" applyBorder="1" applyAlignment="1" applyProtection="1">
      <alignment horizontal="center" vertical="center"/>
    </xf>
    <xf numFmtId="9" fontId="1" fillId="0" borderId="15" xfId="3" applyFont="1" applyFill="1" applyBorder="1" applyAlignment="1" applyProtection="1">
      <alignment horizontal="center" vertical="center"/>
      <protection locked="0"/>
    </xf>
    <xf numFmtId="9" fontId="17" fillId="0" borderId="25" xfId="3" applyFont="1" applyFill="1" applyBorder="1" applyAlignment="1" applyProtection="1">
      <alignment horizontal="center" vertical="center"/>
      <protection locked="0"/>
    </xf>
    <xf numFmtId="43" fontId="17" fillId="6" borderId="25" xfId="1" applyFont="1" applyFill="1" applyBorder="1" applyAlignment="1" applyProtection="1">
      <alignment vertical="center"/>
    </xf>
    <xf numFmtId="43" fontId="1" fillId="0" borderId="25" xfId="1" applyFont="1" applyFill="1" applyBorder="1" applyAlignment="1" applyProtection="1">
      <alignment horizontal="right" vertical="center"/>
      <protection locked="0"/>
    </xf>
    <xf numFmtId="43" fontId="1" fillId="0" borderId="40" xfId="1" applyFont="1" applyFill="1" applyBorder="1" applyAlignment="1" applyProtection="1">
      <alignment horizontal="right" vertical="center"/>
      <protection locked="0"/>
    </xf>
    <xf numFmtId="44" fontId="1" fillId="6" borderId="78" xfId="2" applyFont="1" applyFill="1" applyBorder="1" applyAlignment="1" applyProtection="1">
      <alignment horizontal="center" vertical="center"/>
    </xf>
    <xf numFmtId="44" fontId="17" fillId="0" borderId="18" xfId="2" applyFont="1" applyFill="1" applyBorder="1" applyAlignment="1" applyProtection="1">
      <alignment horizontal="center" vertical="center"/>
      <protection locked="0"/>
    </xf>
    <xf numFmtId="165" fontId="1" fillId="6" borderId="18" xfId="4" applyNumberFormat="1" applyFont="1" applyFill="1" applyBorder="1" applyAlignment="1" applyProtection="1">
      <alignment horizontal="center" vertical="center"/>
    </xf>
    <xf numFmtId="9" fontId="1" fillId="0" borderId="8" xfId="3" applyFont="1" applyFill="1" applyBorder="1" applyAlignment="1" applyProtection="1">
      <alignment horizontal="center" vertical="center"/>
      <protection locked="0"/>
    </xf>
    <xf numFmtId="44" fontId="17" fillId="0" borderId="19" xfId="2" applyFont="1" applyFill="1" applyBorder="1" applyAlignment="1" applyProtection="1">
      <alignment horizontal="center" vertical="center"/>
      <protection locked="0"/>
    </xf>
    <xf numFmtId="165" fontId="1" fillId="6" borderId="19" xfId="4" applyNumberFormat="1" applyFont="1" applyFill="1" applyBorder="1" applyAlignment="1" applyProtection="1">
      <alignment horizontal="center" vertical="center"/>
    </xf>
    <xf numFmtId="0" fontId="2" fillId="0" borderId="84" xfId="4" applyFont="1" applyFill="1" applyBorder="1" applyAlignment="1" applyProtection="1">
      <alignment horizontal="center" vertical="top"/>
    </xf>
    <xf numFmtId="43" fontId="8" fillId="5" borderId="91" xfId="1" applyFont="1" applyFill="1" applyBorder="1" applyAlignment="1" applyProtection="1">
      <alignment horizontal="center" vertical="center"/>
    </xf>
    <xf numFmtId="0" fontId="32" fillId="5" borderId="24" xfId="4" applyFont="1" applyFill="1" applyBorder="1" applyAlignment="1" applyProtection="1">
      <alignment horizontal="center"/>
    </xf>
    <xf numFmtId="0" fontId="35" fillId="5" borderId="24" xfId="4" applyFont="1" applyFill="1" applyBorder="1" applyAlignment="1" applyProtection="1">
      <alignment horizontal="center"/>
    </xf>
    <xf numFmtId="0" fontId="32" fillId="5" borderId="6" xfId="4" applyFont="1" applyFill="1" applyBorder="1" applyAlignment="1" applyProtection="1">
      <alignment horizontal="center"/>
    </xf>
    <xf numFmtId="43" fontId="17" fillId="6" borderId="24" xfId="1" applyFont="1" applyFill="1" applyBorder="1" applyAlignment="1" applyProtection="1">
      <alignment vertical="center"/>
    </xf>
    <xf numFmtId="43" fontId="1" fillId="0" borderId="21" xfId="1" applyFont="1" applyFill="1" applyBorder="1" applyAlignment="1" applyProtection="1">
      <alignment horizontal="right" vertical="center"/>
      <protection locked="0"/>
    </xf>
    <xf numFmtId="43" fontId="1" fillId="0" borderId="17" xfId="1" applyFont="1" applyFill="1" applyBorder="1" applyAlignment="1" applyProtection="1">
      <alignment horizontal="right" vertical="center"/>
      <protection locked="0"/>
    </xf>
    <xf numFmtId="44" fontId="1" fillId="6" borderId="79" xfId="2" applyFont="1" applyFill="1" applyBorder="1" applyAlignment="1" applyProtection="1">
      <alignment horizontal="center" vertical="center"/>
    </xf>
    <xf numFmtId="0" fontId="2" fillId="0" borderId="74" xfId="4" applyFont="1" applyFill="1" applyBorder="1" applyAlignment="1" applyProtection="1">
      <alignment horizontal="center" vertical="top"/>
    </xf>
    <xf numFmtId="0" fontId="2" fillId="6" borderId="82" xfId="4" applyFont="1" applyFill="1" applyBorder="1" applyProtection="1"/>
    <xf numFmtId="0" fontId="24" fillId="6" borderId="27" xfId="4" applyFont="1" applyFill="1" applyBorder="1" applyAlignment="1" applyProtection="1">
      <alignment horizontal="right" vertical="center"/>
    </xf>
    <xf numFmtId="44" fontId="25" fillId="6" borderId="44" xfId="2" applyFont="1" applyFill="1" applyBorder="1" applyAlignment="1" applyProtection="1">
      <alignment horizontal="center" vertical="center"/>
    </xf>
    <xf numFmtId="0" fontId="3" fillId="5" borderId="18" xfId="4" applyFont="1" applyFill="1" applyBorder="1" applyAlignment="1" applyProtection="1">
      <alignment horizontal="center" vertical="center"/>
    </xf>
    <xf numFmtId="49" fontId="2" fillId="0" borderId="18" xfId="4" applyNumberFormat="1" applyFont="1" applyFill="1" applyBorder="1" applyAlignment="1" applyProtection="1">
      <alignment horizontal="center" vertical="center"/>
      <protection locked="0"/>
    </xf>
    <xf numFmtId="49" fontId="2" fillId="0" borderId="13" xfId="4" applyNumberFormat="1" applyFont="1" applyFill="1" applyBorder="1" applyAlignment="1" applyProtection="1">
      <alignment horizontal="center" vertical="center"/>
      <protection locked="0"/>
    </xf>
    <xf numFmtId="49" fontId="2" fillId="0" borderId="19" xfId="4" applyNumberFormat="1" applyFont="1" applyFill="1" applyBorder="1" applyAlignment="1" applyProtection="1">
      <alignment horizontal="center" vertical="center"/>
      <protection locked="0"/>
    </xf>
    <xf numFmtId="49" fontId="2" fillId="0" borderId="44" xfId="4" applyNumberFormat="1" applyFont="1" applyFill="1" applyBorder="1" applyAlignment="1" applyProtection="1">
      <alignment horizontal="center" vertical="center"/>
      <protection locked="0"/>
    </xf>
    <xf numFmtId="0" fontId="2" fillId="0" borderId="18" xfId="4" applyFont="1" applyFill="1" applyBorder="1" applyAlignment="1" applyProtection="1">
      <alignment horizontal="left"/>
      <protection locked="0"/>
    </xf>
    <xf numFmtId="0" fontId="2" fillId="0" borderId="19" xfId="4" applyFont="1" applyFill="1" applyBorder="1" applyAlignment="1" applyProtection="1">
      <alignment horizontal="left"/>
      <protection locked="0"/>
    </xf>
    <xf numFmtId="168" fontId="0" fillId="3" borderId="9" xfId="2" applyNumberFormat="1" applyFont="1" applyFill="1" applyBorder="1"/>
    <xf numFmtId="168" fontId="15" fillId="4" borderId="39" xfId="2" applyNumberFormat="1" applyFont="1" applyFill="1" applyBorder="1"/>
    <xf numFmtId="168" fontId="15" fillId="4" borderId="3" xfId="2" applyNumberFormat="1" applyFont="1" applyFill="1" applyBorder="1"/>
    <xf numFmtId="168" fontId="15" fillId="4" borderId="5" xfId="2" applyNumberFormat="1" applyFont="1" applyFill="1" applyBorder="1"/>
    <xf numFmtId="169" fontId="17" fillId="6" borderId="71" xfId="1" applyNumberFormat="1" applyFont="1" applyFill="1" applyBorder="1" applyAlignment="1" applyProtection="1">
      <alignment horizontal="center" vertical="center"/>
    </xf>
    <xf numFmtId="0" fontId="6" fillId="0" borderId="14" xfId="4" applyFont="1" applyFill="1" applyBorder="1" applyAlignment="1" applyProtection="1">
      <alignment horizontal="left" vertical="center"/>
    </xf>
    <xf numFmtId="0" fontId="6" fillId="0" borderId="14" xfId="4" applyFont="1" applyFill="1" applyBorder="1" applyAlignment="1" applyProtection="1">
      <alignment horizontal="left" vertical="center"/>
      <protection locked="0"/>
    </xf>
    <xf numFmtId="0" fontId="1" fillId="0" borderId="22" xfId="4" applyFont="1" applyFill="1" applyBorder="1" applyAlignment="1" applyProtection="1">
      <alignment horizontal="center" vertical="center"/>
      <protection locked="0"/>
    </xf>
    <xf numFmtId="169" fontId="17" fillId="8" borderId="97" xfId="1" applyNumberFormat="1" applyFont="1" applyFill="1" applyBorder="1" applyAlignment="1" applyProtection="1">
      <alignment horizontal="center" vertical="center"/>
    </xf>
    <xf numFmtId="169" fontId="17" fillId="8" borderId="12" xfId="1" applyNumberFormat="1" applyFont="1" applyFill="1" applyBorder="1" applyAlignment="1" applyProtection="1">
      <alignment horizontal="center" vertical="center"/>
    </xf>
    <xf numFmtId="166" fontId="1" fillId="8" borderId="49" xfId="1" applyNumberFormat="1" applyFont="1" applyFill="1" applyBorder="1" applyAlignment="1" applyProtection="1">
      <alignment horizontal="right" vertical="center"/>
    </xf>
    <xf numFmtId="0" fontId="6" fillId="0" borderId="0" xfId="4" applyFont="1" applyFill="1" applyBorder="1" applyAlignment="1" applyProtection="1">
      <alignment vertical="center"/>
    </xf>
    <xf numFmtId="0" fontId="2" fillId="0" borderId="0" xfId="4" applyFont="1" applyFill="1" applyBorder="1" applyAlignment="1" applyProtection="1">
      <alignment wrapText="1"/>
      <protection locked="0"/>
    </xf>
    <xf numFmtId="0" fontId="1" fillId="0" borderId="0" xfId="4" applyFont="1" applyFill="1" applyBorder="1" applyAlignment="1">
      <alignment vertical="center"/>
    </xf>
    <xf numFmtId="0" fontId="28" fillId="0" borderId="0" xfId="5" applyFill="1" applyBorder="1" applyAlignment="1" applyProtection="1">
      <alignment vertical="center"/>
      <protection locked="0"/>
    </xf>
    <xf numFmtId="0" fontId="6" fillId="5" borderId="38" xfId="4" applyFont="1" applyFill="1" applyBorder="1" applyAlignment="1" applyProtection="1"/>
    <xf numFmtId="0" fontId="6" fillId="5" borderId="41" xfId="4" applyFont="1" applyFill="1" applyBorder="1" applyAlignment="1" applyProtection="1"/>
    <xf numFmtId="0" fontId="2" fillId="5" borderId="39" xfId="4" applyFont="1" applyFill="1" applyBorder="1" applyProtection="1"/>
    <xf numFmtId="0" fontId="1" fillId="0" borderId="0" xfId="4" applyFont="1" applyFill="1" applyBorder="1" applyAlignment="1" applyProtection="1"/>
    <xf numFmtId="0" fontId="36" fillId="0" borderId="0" xfId="4" applyFont="1" applyFill="1" applyProtection="1"/>
    <xf numFmtId="0" fontId="1" fillId="0" borderId="0" xfId="4" applyFont="1" applyFill="1" applyBorder="1" applyAlignment="1" applyProtection="1">
      <alignment vertical="center"/>
    </xf>
    <xf numFmtId="0" fontId="2" fillId="0" borderId="34" xfId="4" applyFont="1" applyFill="1" applyBorder="1" applyAlignment="1" applyProtection="1">
      <alignment vertical="center"/>
      <protection locked="0"/>
    </xf>
    <xf numFmtId="43" fontId="8" fillId="6" borderId="92" xfId="1" applyFont="1" applyFill="1" applyBorder="1" applyAlignment="1" applyProtection="1">
      <alignment horizontal="center" vertical="center"/>
    </xf>
    <xf numFmtId="43" fontId="8" fillId="6" borderId="66" xfId="1" applyFont="1" applyFill="1" applyBorder="1" applyAlignment="1" applyProtection="1">
      <alignment horizontal="center" vertical="center"/>
    </xf>
    <xf numFmtId="44" fontId="8" fillId="6" borderId="93" xfId="2" applyFont="1" applyFill="1" applyBorder="1" applyAlignment="1" applyProtection="1">
      <alignment horizontal="center" vertical="center"/>
    </xf>
    <xf numFmtId="44" fontId="8" fillId="6" borderId="80" xfId="2" applyFont="1" applyFill="1" applyBorder="1" applyAlignment="1" applyProtection="1">
      <alignment horizontal="center" vertical="center"/>
    </xf>
    <xf numFmtId="0" fontId="2" fillId="0" borderId="34" xfId="4" applyFont="1" applyFill="1" applyBorder="1" applyAlignment="1" applyProtection="1">
      <alignment horizontal="left" vertical="center"/>
      <protection locked="0"/>
    </xf>
    <xf numFmtId="0" fontId="2" fillId="0" borderId="57" xfId="4" applyFont="1" applyFill="1" applyBorder="1" applyAlignment="1" applyProtection="1">
      <alignment horizontal="left" vertical="center"/>
      <protection locked="0"/>
    </xf>
    <xf numFmtId="44" fontId="1" fillId="6" borderId="54" xfId="2" applyFont="1" applyFill="1" applyBorder="1" applyAlignment="1" applyProtection="1">
      <alignment horizontal="center" vertical="center"/>
    </xf>
    <xf numFmtId="44" fontId="1" fillId="6" borderId="23" xfId="2" applyFont="1" applyFill="1" applyBorder="1" applyAlignment="1" applyProtection="1">
      <alignment horizontal="center" vertical="center"/>
    </xf>
    <xf numFmtId="0" fontId="2" fillId="0" borderId="2" xfId="4" applyFont="1" applyFill="1" applyBorder="1" applyAlignment="1" applyProtection="1">
      <alignment horizontal="left" vertical="center"/>
      <protection locked="0"/>
    </xf>
    <xf numFmtId="0" fontId="2" fillId="0" borderId="13" xfId="4" applyFont="1" applyFill="1" applyBorder="1" applyAlignment="1" applyProtection="1">
      <alignment horizontal="left" vertical="center"/>
      <protection locked="0"/>
    </xf>
    <xf numFmtId="0" fontId="6" fillId="7" borderId="69" xfId="4" applyFont="1" applyFill="1" applyBorder="1" applyAlignment="1" applyProtection="1">
      <alignment horizontal="center" vertical="center"/>
    </xf>
    <xf numFmtId="0" fontId="6" fillId="7" borderId="52" xfId="4" applyFont="1" applyFill="1" applyBorder="1" applyAlignment="1" applyProtection="1">
      <alignment horizontal="center" vertical="center"/>
    </xf>
    <xf numFmtId="0" fontId="1" fillId="0" borderId="26" xfId="4" applyFont="1" applyFill="1" applyBorder="1" applyAlignment="1" applyProtection="1">
      <alignment horizontal="center" vertical="center"/>
      <protection locked="0"/>
    </xf>
    <xf numFmtId="0" fontId="1" fillId="0" borderId="0" xfId="4" applyFont="1" applyFill="1" applyBorder="1" applyAlignment="1" applyProtection="1">
      <alignment horizontal="center" vertical="center"/>
      <protection locked="0"/>
    </xf>
    <xf numFmtId="0" fontId="2" fillId="0" borderId="32" xfId="4" applyFont="1" applyFill="1" applyBorder="1" applyAlignment="1" applyProtection="1">
      <alignment horizontal="center" vertical="center"/>
      <protection locked="0"/>
    </xf>
    <xf numFmtId="0" fontId="2" fillId="0" borderId="13" xfId="4" applyFont="1" applyFill="1" applyBorder="1" applyAlignment="1" applyProtection="1">
      <alignment horizontal="center" vertical="center"/>
      <protection locked="0"/>
    </xf>
    <xf numFmtId="0" fontId="8" fillId="5" borderId="52" xfId="4" applyFont="1" applyFill="1" applyBorder="1" applyAlignment="1" applyProtection="1">
      <alignment horizontal="left" vertical="center"/>
    </xf>
    <xf numFmtId="0" fontId="8" fillId="5" borderId="56" xfId="4" applyFont="1" applyFill="1" applyBorder="1" applyAlignment="1" applyProtection="1">
      <alignment horizontal="left" vertical="center"/>
    </xf>
    <xf numFmtId="0" fontId="1" fillId="0" borderId="8" xfId="4" applyFont="1" applyFill="1" applyBorder="1" applyAlignment="1" applyProtection="1">
      <alignment horizontal="left" vertical="center"/>
      <protection locked="0"/>
    </xf>
    <xf numFmtId="0" fontId="1" fillId="0" borderId="2" xfId="4" applyFont="1" applyFill="1" applyBorder="1" applyAlignment="1" applyProtection="1">
      <alignment horizontal="left" vertical="center"/>
      <protection locked="0"/>
    </xf>
    <xf numFmtId="0" fontId="1" fillId="0" borderId="13" xfId="4" applyFont="1" applyFill="1" applyBorder="1" applyAlignment="1" applyProtection="1">
      <alignment horizontal="left" vertical="center"/>
      <protection locked="0"/>
    </xf>
    <xf numFmtId="0" fontId="1" fillId="0" borderId="37" xfId="4" applyFont="1" applyFill="1" applyBorder="1" applyAlignment="1" applyProtection="1">
      <alignment horizontal="left" vertical="center"/>
      <protection locked="0"/>
    </xf>
    <xf numFmtId="0" fontId="1" fillId="0" borderId="27" xfId="4" applyFont="1" applyFill="1" applyBorder="1" applyAlignment="1" applyProtection="1">
      <alignment horizontal="left" vertical="center"/>
      <protection locked="0"/>
    </xf>
    <xf numFmtId="0" fontId="1" fillId="0" borderId="44" xfId="4" applyFont="1" applyFill="1" applyBorder="1" applyAlignment="1" applyProtection="1">
      <alignment horizontal="left" vertical="center"/>
      <protection locked="0"/>
    </xf>
    <xf numFmtId="0" fontId="6" fillId="5" borderId="89" xfId="4" applyFont="1" applyFill="1" applyBorder="1" applyAlignment="1" applyProtection="1">
      <alignment horizontal="center" vertical="center" wrapText="1"/>
    </xf>
    <xf numFmtId="0" fontId="6" fillId="5" borderId="79" xfId="4" applyFont="1" applyFill="1" applyBorder="1" applyAlignment="1" applyProtection="1">
      <alignment horizontal="center" vertical="center" wrapText="1"/>
    </xf>
    <xf numFmtId="0" fontId="6" fillId="5" borderId="80" xfId="4" applyFont="1" applyFill="1" applyBorder="1" applyAlignment="1" applyProtection="1">
      <alignment horizontal="center" vertical="center" wrapText="1"/>
    </xf>
    <xf numFmtId="0" fontId="18" fillId="5" borderId="24" xfId="4" applyFont="1" applyFill="1" applyBorder="1" applyAlignment="1" applyProtection="1">
      <alignment horizontal="center" vertical="center" wrapText="1"/>
    </xf>
    <xf numFmtId="0" fontId="18" fillId="5" borderId="66" xfId="4" applyFont="1" applyFill="1" applyBorder="1" applyAlignment="1" applyProtection="1">
      <alignment horizontal="center" vertical="center" wrapText="1"/>
    </xf>
    <xf numFmtId="0" fontId="6" fillId="5" borderId="24" xfId="4" applyFont="1" applyFill="1" applyBorder="1" applyAlignment="1" applyProtection="1">
      <alignment horizontal="center" vertical="center" wrapText="1"/>
    </xf>
    <xf numFmtId="0" fontId="6" fillId="5" borderId="66" xfId="4" applyFont="1" applyFill="1" applyBorder="1" applyAlignment="1" applyProtection="1">
      <alignment horizontal="center" vertical="center" wrapText="1"/>
    </xf>
    <xf numFmtId="0" fontId="3" fillId="6" borderId="17" xfId="4" applyFont="1" applyFill="1" applyBorder="1" applyAlignment="1" applyProtection="1">
      <alignment horizontal="left" vertical="top"/>
    </xf>
    <xf numFmtId="0" fontId="3" fillId="6" borderId="42" xfId="4" applyFont="1" applyFill="1" applyBorder="1" applyAlignment="1" applyProtection="1">
      <alignment horizontal="left" vertical="top"/>
    </xf>
    <xf numFmtId="0" fontId="3" fillId="6" borderId="30" xfId="4" applyFont="1" applyFill="1" applyBorder="1" applyAlignment="1" applyProtection="1">
      <alignment horizontal="left" vertical="top"/>
    </xf>
    <xf numFmtId="0" fontId="3" fillId="6" borderId="6" xfId="4" applyFont="1" applyFill="1" applyBorder="1" applyAlignment="1" applyProtection="1">
      <alignment horizontal="left" vertical="top"/>
    </xf>
    <xf numFmtId="0" fontId="3" fillId="6" borderId="0" xfId="4" applyFont="1" applyFill="1" applyBorder="1" applyAlignment="1" applyProtection="1">
      <alignment horizontal="left" vertical="top"/>
    </xf>
    <xf numFmtId="0" fontId="3" fillId="6" borderId="3" xfId="4" applyFont="1" applyFill="1" applyBorder="1" applyAlignment="1" applyProtection="1">
      <alignment horizontal="left" vertical="top"/>
    </xf>
    <xf numFmtId="0" fontId="3" fillId="6" borderId="45" xfId="4" applyFont="1" applyFill="1" applyBorder="1" applyAlignment="1" applyProtection="1">
      <alignment horizontal="left" vertical="top"/>
    </xf>
    <xf numFmtId="0" fontId="3" fillId="6" borderId="14" xfId="4" applyFont="1" applyFill="1" applyBorder="1" applyAlignment="1" applyProtection="1">
      <alignment horizontal="left" vertical="top"/>
    </xf>
    <xf numFmtId="0" fontId="3" fillId="6" borderId="5" xfId="4" applyFont="1" applyFill="1" applyBorder="1" applyAlignment="1" applyProtection="1">
      <alignment horizontal="left" vertical="top"/>
    </xf>
    <xf numFmtId="0" fontId="6" fillId="7" borderId="51" xfId="4" applyFont="1" applyFill="1" applyBorder="1" applyAlignment="1" applyProtection="1">
      <alignment horizontal="center" vertical="center"/>
    </xf>
    <xf numFmtId="0" fontId="6" fillId="7" borderId="56" xfId="4" applyFont="1" applyFill="1" applyBorder="1" applyAlignment="1" applyProtection="1">
      <alignment horizontal="center" vertical="center"/>
    </xf>
    <xf numFmtId="0" fontId="6" fillId="5" borderId="6" xfId="4" applyFont="1" applyFill="1" applyBorder="1" applyAlignment="1" applyProtection="1">
      <alignment horizontal="center" vertical="center" wrapText="1"/>
    </xf>
    <xf numFmtId="0" fontId="6" fillId="5" borderId="0" xfId="4" applyFont="1" applyFill="1" applyBorder="1" applyAlignment="1" applyProtection="1">
      <alignment horizontal="center" vertical="center" wrapText="1"/>
    </xf>
    <xf numFmtId="0" fontId="6" fillId="5" borderId="7" xfId="4" applyFont="1" applyFill="1" applyBorder="1" applyAlignment="1" applyProtection="1">
      <alignment horizontal="center" vertical="center" wrapText="1"/>
    </xf>
    <xf numFmtId="0" fontId="6" fillId="5" borderId="45" xfId="4" applyFont="1" applyFill="1" applyBorder="1" applyAlignment="1" applyProtection="1">
      <alignment horizontal="center" vertical="center" wrapText="1"/>
    </xf>
    <xf numFmtId="0" fontId="6" fillId="5" borderId="14" xfId="4" applyFont="1" applyFill="1" applyBorder="1" applyAlignment="1" applyProtection="1">
      <alignment horizontal="center" vertical="center" wrapText="1"/>
    </xf>
    <xf numFmtId="0" fontId="6" fillId="5" borderId="60" xfId="4" applyFont="1" applyFill="1" applyBorder="1" applyAlignment="1" applyProtection="1">
      <alignment horizontal="center" vertical="center" wrapText="1"/>
    </xf>
    <xf numFmtId="0" fontId="21" fillId="5" borderId="41" xfId="4" applyFont="1" applyFill="1" applyBorder="1" applyAlignment="1" applyProtection="1">
      <alignment horizontal="center"/>
    </xf>
    <xf numFmtId="0" fontId="21" fillId="5" borderId="68" xfId="4" applyFont="1" applyFill="1" applyBorder="1" applyAlignment="1" applyProtection="1">
      <alignment horizontal="center"/>
    </xf>
    <xf numFmtId="0" fontId="6" fillId="5" borderId="15" xfId="4" applyFont="1" applyFill="1" applyBorder="1" applyAlignment="1" applyProtection="1">
      <alignment horizontal="center"/>
    </xf>
    <xf numFmtId="0" fontId="6" fillId="5" borderId="1" xfId="4" applyFont="1" applyFill="1" applyBorder="1" applyAlignment="1" applyProtection="1">
      <alignment horizontal="center"/>
    </xf>
    <xf numFmtId="0" fontId="6" fillId="5" borderId="16" xfId="4" applyFont="1" applyFill="1" applyBorder="1" applyAlignment="1" applyProtection="1">
      <alignment horizontal="center"/>
    </xf>
    <xf numFmtId="0" fontId="1" fillId="0" borderId="15" xfId="4" applyFont="1" applyFill="1" applyBorder="1" applyAlignment="1" applyProtection="1">
      <alignment horizontal="left" vertical="center"/>
      <protection locked="0"/>
    </xf>
    <xf numFmtId="0" fontId="1" fillId="0" borderId="1" xfId="4" applyFont="1" applyFill="1" applyBorder="1" applyAlignment="1" applyProtection="1">
      <alignment horizontal="left" vertical="center"/>
      <protection locked="0"/>
    </xf>
    <xf numFmtId="0" fontId="1" fillId="0" borderId="16" xfId="4" applyFont="1" applyFill="1" applyBorder="1" applyAlignment="1" applyProtection="1">
      <alignment horizontal="left" vertical="center"/>
      <protection locked="0"/>
    </xf>
    <xf numFmtId="167" fontId="1" fillId="0" borderId="32" xfId="4" applyNumberFormat="1" applyFont="1" applyFill="1" applyBorder="1" applyAlignment="1" applyProtection="1">
      <alignment horizontal="center" vertical="center"/>
      <protection locked="0"/>
    </xf>
    <xf numFmtId="167" fontId="1" fillId="0" borderId="13" xfId="4" applyNumberFormat="1" applyFont="1" applyFill="1" applyBorder="1" applyAlignment="1" applyProtection="1">
      <alignment horizontal="center" vertical="center"/>
      <protection locked="0"/>
    </xf>
    <xf numFmtId="0" fontId="2" fillId="0" borderId="8" xfId="4" applyFont="1" applyFill="1" applyBorder="1" applyAlignment="1" applyProtection="1">
      <alignment horizontal="center"/>
      <protection locked="0"/>
    </xf>
    <xf numFmtId="0" fontId="2" fillId="0" borderId="13" xfId="4" applyFont="1" applyFill="1" applyBorder="1" applyAlignment="1" applyProtection="1">
      <alignment horizontal="center"/>
      <protection locked="0"/>
    </xf>
    <xf numFmtId="0" fontId="2" fillId="0" borderId="37" xfId="4" applyFont="1" applyFill="1" applyBorder="1" applyAlignment="1" applyProtection="1">
      <alignment horizontal="center"/>
      <protection locked="0"/>
    </xf>
    <xf numFmtId="0" fontId="2" fillId="0" borderId="44" xfId="4" applyFont="1" applyFill="1" applyBorder="1" applyAlignment="1" applyProtection="1">
      <alignment horizontal="center"/>
      <protection locked="0"/>
    </xf>
    <xf numFmtId="0" fontId="1" fillId="6" borderId="26" xfId="4" applyNumberFormat="1" applyFont="1" applyFill="1" applyBorder="1" applyAlignment="1" applyProtection="1">
      <alignment horizontal="left" vertical="center" wrapText="1"/>
    </xf>
    <xf numFmtId="0" fontId="1" fillId="6" borderId="0" xfId="4" applyNumberFormat="1" applyFont="1" applyFill="1" applyBorder="1" applyAlignment="1" applyProtection="1">
      <alignment horizontal="left" vertical="center" wrapText="1"/>
    </xf>
    <xf numFmtId="0" fontId="1" fillId="6" borderId="3" xfId="4" applyNumberFormat="1" applyFont="1" applyFill="1" applyBorder="1" applyAlignment="1" applyProtection="1">
      <alignment horizontal="left" vertical="center" wrapText="1"/>
    </xf>
    <xf numFmtId="0" fontId="1" fillId="6" borderId="4" xfId="4" applyNumberFormat="1" applyFont="1" applyFill="1" applyBorder="1" applyAlignment="1" applyProtection="1">
      <alignment horizontal="left" vertical="center" wrapText="1"/>
    </xf>
    <xf numFmtId="0" fontId="1" fillId="6" borderId="14" xfId="4" applyNumberFormat="1" applyFont="1" applyFill="1" applyBorder="1" applyAlignment="1" applyProtection="1">
      <alignment horizontal="left" vertical="center" wrapText="1"/>
    </xf>
    <xf numFmtId="0" fontId="1" fillId="6" borderId="5" xfId="4" applyNumberFormat="1" applyFont="1" applyFill="1" applyBorder="1" applyAlignment="1" applyProtection="1">
      <alignment horizontal="left" vertical="center" wrapText="1"/>
    </xf>
    <xf numFmtId="0" fontId="30" fillId="5" borderId="38" xfId="4" applyFont="1" applyFill="1" applyBorder="1" applyAlignment="1" applyProtection="1">
      <alignment horizontal="center" vertical="center" wrapText="1"/>
    </xf>
    <xf numFmtId="0" fontId="30" fillId="5" borderId="41" xfId="4" applyFont="1" applyFill="1" applyBorder="1" applyAlignment="1" applyProtection="1">
      <alignment horizontal="center" vertical="center" wrapText="1"/>
    </xf>
    <xf numFmtId="0" fontId="30" fillId="5" borderId="39" xfId="4" applyFont="1" applyFill="1" applyBorder="1" applyAlignment="1" applyProtection="1">
      <alignment horizontal="center" vertical="center" wrapText="1"/>
    </xf>
    <xf numFmtId="0" fontId="30" fillId="5" borderId="4" xfId="4" applyFont="1" applyFill="1" applyBorder="1" applyAlignment="1" applyProtection="1">
      <alignment horizontal="center" vertical="center" wrapText="1"/>
    </xf>
    <xf numFmtId="0" fontId="30" fillId="5" borderId="14" xfId="4" applyFont="1" applyFill="1" applyBorder="1" applyAlignment="1" applyProtection="1">
      <alignment horizontal="center" vertical="center" wrapText="1"/>
    </xf>
    <xf numFmtId="0" fontId="30" fillId="5" borderId="5" xfId="4" applyFont="1" applyFill="1" applyBorder="1" applyAlignment="1" applyProtection="1">
      <alignment horizontal="center" vertical="center" wrapText="1"/>
    </xf>
    <xf numFmtId="43" fontId="8" fillId="0" borderId="94" xfId="1" applyFont="1" applyFill="1" applyBorder="1" applyAlignment="1" applyProtection="1">
      <alignment horizontal="center" vertical="center"/>
    </xf>
    <xf numFmtId="43" fontId="8" fillId="0" borderId="88" xfId="1" applyFont="1" applyFill="1" applyBorder="1" applyAlignment="1" applyProtection="1">
      <alignment horizontal="center" vertical="center"/>
    </xf>
    <xf numFmtId="0" fontId="7" fillId="7" borderId="38" xfId="4" applyFont="1" applyFill="1" applyBorder="1" applyAlignment="1" applyProtection="1">
      <alignment horizontal="center" vertical="center" wrapText="1"/>
    </xf>
    <xf numFmtId="0" fontId="7" fillId="7" borderId="41" xfId="4" applyFont="1" applyFill="1" applyBorder="1" applyAlignment="1" applyProtection="1">
      <alignment horizontal="center" vertical="center" wrapText="1"/>
    </xf>
    <xf numFmtId="0" fontId="7" fillId="7" borderId="39" xfId="4" applyFont="1" applyFill="1" applyBorder="1" applyAlignment="1" applyProtection="1">
      <alignment horizontal="center" vertical="center" wrapText="1"/>
    </xf>
    <xf numFmtId="0" fontId="7" fillId="7" borderId="26" xfId="4" applyFont="1" applyFill="1" applyBorder="1" applyAlignment="1" applyProtection="1">
      <alignment horizontal="center" vertical="center" wrapText="1"/>
    </xf>
    <xf numFmtId="0" fontId="7" fillId="7" borderId="0" xfId="4" applyFont="1" applyFill="1" applyBorder="1" applyAlignment="1" applyProtection="1">
      <alignment horizontal="center" vertical="center" wrapText="1"/>
    </xf>
    <xf numFmtId="0" fontId="7" fillId="7" borderId="3" xfId="4" applyFont="1" applyFill="1" applyBorder="1" applyAlignment="1" applyProtection="1">
      <alignment horizontal="center" vertical="center" wrapText="1"/>
    </xf>
    <xf numFmtId="0" fontId="7" fillId="7" borderId="4" xfId="4" applyFont="1" applyFill="1" applyBorder="1" applyAlignment="1" applyProtection="1">
      <alignment horizontal="center" vertical="center" wrapText="1"/>
    </xf>
    <xf numFmtId="0" fontId="7" fillId="7" borderId="14" xfId="4" applyFont="1" applyFill="1" applyBorder="1" applyAlignment="1" applyProtection="1">
      <alignment horizontal="center" vertical="center" wrapText="1"/>
    </xf>
    <xf numFmtId="0" fontId="7" fillId="7" borderId="5" xfId="4" applyFont="1" applyFill="1" applyBorder="1" applyAlignment="1" applyProtection="1">
      <alignment horizontal="center" vertical="center" wrapText="1"/>
    </xf>
    <xf numFmtId="0" fontId="5" fillId="0" borderId="38" xfId="4" applyFont="1" applyFill="1" applyBorder="1" applyAlignment="1" applyProtection="1">
      <alignment horizontal="center" vertical="center"/>
    </xf>
    <xf numFmtId="0" fontId="5" fillId="0" borderId="41" xfId="4" applyFont="1" applyFill="1" applyBorder="1" applyAlignment="1" applyProtection="1">
      <alignment horizontal="center" vertical="center"/>
    </xf>
    <xf numFmtId="0" fontId="5" fillId="0" borderId="39" xfId="4" applyFont="1" applyFill="1" applyBorder="1" applyAlignment="1" applyProtection="1">
      <alignment horizontal="center" vertical="center"/>
    </xf>
    <xf numFmtId="0" fontId="8" fillId="0" borderId="26" xfId="4" applyFont="1" applyFill="1" applyBorder="1" applyAlignment="1" applyProtection="1">
      <alignment horizontal="left" vertical="top"/>
    </xf>
    <xf numFmtId="0" fontId="8" fillId="0" borderId="0" xfId="4" applyFont="1" applyFill="1" applyBorder="1" applyAlignment="1" applyProtection="1">
      <alignment horizontal="left" vertical="top"/>
    </xf>
    <xf numFmtId="0" fontId="8" fillId="0" borderId="3" xfId="4" applyFont="1" applyFill="1" applyBorder="1" applyAlignment="1" applyProtection="1">
      <alignment horizontal="left" vertical="top"/>
    </xf>
    <xf numFmtId="0" fontId="8" fillId="0" borderId="4" xfId="4" applyFont="1" applyFill="1" applyBorder="1" applyAlignment="1" applyProtection="1">
      <alignment horizontal="left" vertical="top"/>
    </xf>
    <xf numFmtId="0" fontId="8" fillId="0" borderId="14" xfId="4" applyFont="1" applyFill="1" applyBorder="1" applyAlignment="1" applyProtection="1">
      <alignment horizontal="left" vertical="top"/>
    </xf>
    <xf numFmtId="0" fontId="8" fillId="0" borderId="5" xfId="4" applyFont="1" applyFill="1" applyBorder="1" applyAlignment="1" applyProtection="1">
      <alignment horizontal="left" vertical="top"/>
    </xf>
    <xf numFmtId="0" fontId="6" fillId="5" borderId="38" xfId="4" applyFont="1" applyFill="1" applyBorder="1" applyAlignment="1" applyProtection="1">
      <alignment horizontal="center" vertical="center" wrapText="1"/>
    </xf>
    <xf numFmtId="0" fontId="6" fillId="5" borderId="41" xfId="4" applyFont="1" applyFill="1" applyBorder="1" applyAlignment="1" applyProtection="1">
      <alignment horizontal="center" vertical="center"/>
    </xf>
    <xf numFmtId="0" fontId="6" fillId="5" borderId="26" xfId="4" applyFont="1" applyFill="1" applyBorder="1" applyAlignment="1" applyProtection="1">
      <alignment horizontal="center" vertical="center"/>
    </xf>
    <xf numFmtId="0" fontId="6" fillId="5" borderId="7" xfId="4" applyFont="1" applyFill="1" applyBorder="1" applyAlignment="1" applyProtection="1">
      <alignment horizontal="center" vertical="center"/>
    </xf>
    <xf numFmtId="0" fontId="6" fillId="5" borderId="4" xfId="4" applyFont="1" applyFill="1" applyBorder="1" applyAlignment="1" applyProtection="1">
      <alignment horizontal="center" vertical="center"/>
    </xf>
    <xf numFmtId="0" fontId="6" fillId="5" borderId="60" xfId="4" applyFont="1" applyFill="1" applyBorder="1" applyAlignment="1" applyProtection="1">
      <alignment horizontal="center" vertical="center"/>
    </xf>
    <xf numFmtId="0" fontId="18" fillId="5" borderId="67" xfId="4" applyFont="1" applyFill="1" applyBorder="1" applyAlignment="1" applyProtection="1">
      <alignment horizontal="center" vertical="center" wrapText="1"/>
    </xf>
    <xf numFmtId="0" fontId="18" fillId="5" borderId="6" xfId="4" applyFont="1" applyFill="1" applyBorder="1" applyAlignment="1" applyProtection="1">
      <alignment horizontal="center" vertical="center" wrapText="1"/>
    </xf>
    <xf numFmtId="0" fontId="18" fillId="5" borderId="45" xfId="4" applyFont="1" applyFill="1" applyBorder="1" applyAlignment="1" applyProtection="1">
      <alignment horizontal="center" vertical="center" wrapText="1"/>
    </xf>
    <xf numFmtId="167" fontId="22" fillId="0" borderId="14" xfId="4" applyNumberFormat="1" applyFont="1" applyFill="1" applyBorder="1" applyAlignment="1" applyProtection="1">
      <alignment horizontal="left" vertical="center"/>
      <protection locked="0"/>
    </xf>
    <xf numFmtId="0" fontId="8" fillId="0" borderId="14" xfId="4" applyFont="1" applyFill="1" applyBorder="1" applyAlignment="1" applyProtection="1">
      <alignment horizontal="left" vertical="center"/>
      <protection locked="0"/>
    </xf>
    <xf numFmtId="0" fontId="6" fillId="5" borderId="38" xfId="4" applyFont="1" applyFill="1" applyBorder="1" applyAlignment="1" applyProtection="1">
      <alignment horizontal="left" vertical="center"/>
    </xf>
    <xf numFmtId="0" fontId="6" fillId="5" borderId="41" xfId="4" applyFont="1" applyFill="1" applyBorder="1" applyAlignment="1" applyProtection="1">
      <alignment horizontal="left" vertical="center"/>
    </xf>
    <xf numFmtId="0" fontId="6" fillId="5" borderId="68" xfId="4" applyFont="1" applyFill="1" applyBorder="1" applyAlignment="1" applyProtection="1">
      <alignment horizontal="left" vertical="center"/>
    </xf>
    <xf numFmtId="0" fontId="6" fillId="5" borderId="67" xfId="4" applyFont="1" applyFill="1" applyBorder="1" applyAlignment="1" applyProtection="1">
      <alignment horizontal="left" vertical="center"/>
    </xf>
    <xf numFmtId="0" fontId="6" fillId="5" borderId="39" xfId="4" applyFont="1" applyFill="1" applyBorder="1" applyAlignment="1" applyProtection="1">
      <alignment horizontal="left" vertical="center"/>
    </xf>
    <xf numFmtId="0" fontId="6" fillId="0" borderId="26" xfId="4" applyFont="1" applyFill="1" applyBorder="1" applyAlignment="1" applyProtection="1">
      <alignment horizontal="center"/>
    </xf>
    <xf numFmtId="0" fontId="6" fillId="0" borderId="0" xfId="4" applyFont="1" applyFill="1" applyBorder="1" applyAlignment="1" applyProtection="1">
      <alignment horizontal="center"/>
    </xf>
    <xf numFmtId="0" fontId="6" fillId="0" borderId="3" xfId="4" applyFont="1" applyFill="1" applyBorder="1" applyAlignment="1" applyProtection="1">
      <alignment horizontal="center"/>
    </xf>
    <xf numFmtId="0" fontId="6" fillId="0" borderId="4" xfId="4" applyFont="1" applyFill="1" applyBorder="1" applyAlignment="1" applyProtection="1">
      <alignment horizontal="center"/>
    </xf>
    <xf numFmtId="0" fontId="6" fillId="0" borderId="14" xfId="4" applyFont="1" applyFill="1" applyBorder="1" applyAlignment="1" applyProtection="1">
      <alignment horizontal="center"/>
    </xf>
    <xf numFmtId="0" fontId="6" fillId="0" borderId="5" xfId="4" applyFont="1" applyFill="1" applyBorder="1" applyAlignment="1" applyProtection="1">
      <alignment horizontal="center"/>
    </xf>
    <xf numFmtId="49" fontId="8" fillId="0" borderId="33" xfId="4" applyNumberFormat="1" applyFont="1" applyFill="1" applyBorder="1" applyAlignment="1" applyProtection="1">
      <alignment horizontal="center"/>
      <protection locked="0"/>
    </xf>
    <xf numFmtId="49" fontId="8" fillId="0" borderId="34" xfId="4" applyNumberFormat="1" applyFont="1" applyFill="1" applyBorder="1" applyAlignment="1" applyProtection="1">
      <alignment horizontal="center"/>
      <protection locked="0"/>
    </xf>
    <xf numFmtId="49" fontId="8" fillId="0" borderId="57" xfId="4" applyNumberFormat="1" applyFont="1" applyFill="1" applyBorder="1" applyAlignment="1" applyProtection="1">
      <alignment horizontal="center"/>
      <protection locked="0"/>
    </xf>
    <xf numFmtId="0" fontId="8" fillId="0" borderId="40" xfId="4" applyFont="1" applyFill="1" applyBorder="1" applyAlignment="1" applyProtection="1">
      <alignment horizontal="left" vertical="center"/>
      <protection locked="0"/>
    </xf>
    <xf numFmtId="0" fontId="8" fillId="0" borderId="34" xfId="4" applyFont="1" applyFill="1" applyBorder="1" applyAlignment="1" applyProtection="1">
      <alignment horizontal="left" vertical="center"/>
      <protection locked="0"/>
    </xf>
    <xf numFmtId="0" fontId="8" fillId="0" borderId="57" xfId="4" applyFont="1" applyFill="1" applyBorder="1" applyAlignment="1" applyProtection="1">
      <alignment horizontal="left" vertical="center"/>
      <protection locked="0"/>
    </xf>
    <xf numFmtId="0" fontId="6" fillId="0" borderId="40" xfId="4" applyFont="1" applyFill="1" applyBorder="1" applyAlignment="1" applyProtection="1">
      <alignment horizontal="left"/>
      <protection locked="0"/>
    </xf>
    <xf numFmtId="0" fontId="6" fillId="0" borderId="34" xfId="4" applyFont="1" applyFill="1" applyBorder="1" applyAlignment="1" applyProtection="1">
      <alignment horizontal="left"/>
      <protection locked="0"/>
    </xf>
    <xf numFmtId="0" fontId="6" fillId="0" borderId="22" xfId="4" applyFont="1" applyFill="1" applyBorder="1" applyAlignment="1" applyProtection="1">
      <alignment horizontal="left"/>
      <protection locked="0"/>
    </xf>
    <xf numFmtId="0" fontId="2" fillId="5" borderId="67" xfId="4" applyFont="1" applyFill="1" applyBorder="1" applyAlignment="1" applyProtection="1">
      <alignment horizontal="center" vertical="center" wrapText="1"/>
    </xf>
    <xf numFmtId="0" fontId="2" fillId="5" borderId="45" xfId="4" applyFont="1" applyFill="1" applyBorder="1" applyAlignment="1" applyProtection="1">
      <alignment horizontal="center" vertical="center"/>
    </xf>
    <xf numFmtId="0" fontId="14" fillId="0" borderId="42" xfId="4" applyFont="1" applyFill="1" applyBorder="1" applyAlignment="1" applyProtection="1">
      <alignment horizontal="left" vertical="center"/>
      <protection locked="0"/>
    </xf>
    <xf numFmtId="0" fontId="14" fillId="0" borderId="30" xfId="4" applyFont="1" applyFill="1" applyBorder="1" applyAlignment="1" applyProtection="1">
      <alignment horizontal="left" vertical="center"/>
      <protection locked="0"/>
    </xf>
    <xf numFmtId="167" fontId="1" fillId="0" borderId="33" xfId="4" applyNumberFormat="1" applyFont="1" applyFill="1" applyBorder="1" applyAlignment="1" applyProtection="1">
      <alignment horizontal="center" vertical="center"/>
      <protection locked="0"/>
    </xf>
    <xf numFmtId="167" fontId="1" fillId="0" borderId="57" xfId="4" applyNumberFormat="1" applyFont="1" applyFill="1" applyBorder="1" applyAlignment="1" applyProtection="1">
      <alignment horizontal="center" vertical="center"/>
      <protection locked="0"/>
    </xf>
    <xf numFmtId="0" fontId="8" fillId="7" borderId="51" xfId="4" applyFont="1" applyFill="1" applyBorder="1" applyAlignment="1" applyProtection="1">
      <alignment horizontal="center" vertical="center"/>
    </xf>
    <xf numFmtId="0" fontId="8" fillId="7" borderId="52" xfId="4" applyFont="1" applyFill="1" applyBorder="1" applyAlignment="1" applyProtection="1">
      <alignment horizontal="center" vertical="center"/>
    </xf>
    <xf numFmtId="0" fontId="8" fillId="7" borderId="56" xfId="4" applyFont="1" applyFill="1" applyBorder="1" applyAlignment="1" applyProtection="1">
      <alignment horizontal="center" vertical="center"/>
    </xf>
    <xf numFmtId="0" fontId="11" fillId="5" borderId="39" xfId="4" applyFont="1" applyFill="1" applyBorder="1" applyAlignment="1" applyProtection="1">
      <alignment horizontal="center" vertical="center" wrapText="1"/>
    </xf>
    <xf numFmtId="0" fontId="11" fillId="5" borderId="5" xfId="4" applyFont="1" applyFill="1" applyBorder="1" applyAlignment="1" applyProtection="1">
      <alignment horizontal="center" vertical="center" wrapText="1"/>
    </xf>
    <xf numFmtId="0" fontId="2" fillId="5" borderId="0" xfId="4" applyFont="1" applyFill="1" applyBorder="1" applyAlignment="1" applyProtection="1">
      <alignment horizontal="center" vertical="center" wrapText="1"/>
    </xf>
    <xf numFmtId="0" fontId="2" fillId="5" borderId="7" xfId="4" applyFont="1" applyFill="1" applyBorder="1" applyAlignment="1" applyProtection="1">
      <alignment horizontal="center" vertical="center" wrapText="1"/>
    </xf>
    <xf numFmtId="0" fontId="2" fillId="5" borderId="14" xfId="4" applyFont="1" applyFill="1" applyBorder="1" applyAlignment="1" applyProtection="1">
      <alignment horizontal="center" vertical="center" wrapText="1"/>
    </xf>
    <xf numFmtId="0" fontId="2" fillId="5" borderId="60" xfId="4" applyFont="1" applyFill="1" applyBorder="1" applyAlignment="1" applyProtection="1">
      <alignment horizontal="center" vertical="center" wrapText="1"/>
    </xf>
    <xf numFmtId="0" fontId="2" fillId="5" borderId="73" xfId="4" applyFont="1" applyFill="1" applyBorder="1" applyAlignment="1" applyProtection="1">
      <alignment horizontal="center" vertical="center" wrapText="1"/>
    </xf>
    <xf numFmtId="0" fontId="2" fillId="5" borderId="48" xfId="4" applyFont="1" applyFill="1" applyBorder="1" applyAlignment="1" applyProtection="1">
      <alignment horizontal="center" vertical="center" wrapText="1"/>
    </xf>
    <xf numFmtId="0" fontId="11" fillId="8" borderId="10" xfId="4" applyFont="1" applyFill="1" applyBorder="1" applyAlignment="1" applyProtection="1">
      <alignment horizontal="center" vertical="center" wrapText="1"/>
    </xf>
    <xf numFmtId="0" fontId="11" fillId="8" borderId="12" xfId="4" applyFont="1" applyFill="1" applyBorder="1" applyAlignment="1" applyProtection="1">
      <alignment horizontal="center" vertical="center" wrapText="1"/>
    </xf>
    <xf numFmtId="0" fontId="2" fillId="5" borderId="64" xfId="4" applyFont="1" applyFill="1" applyBorder="1" applyAlignment="1" applyProtection="1">
      <alignment horizontal="center" vertical="center" wrapText="1"/>
    </xf>
    <xf numFmtId="0" fontId="2" fillId="5" borderId="39" xfId="4" applyFont="1" applyFill="1" applyBorder="1" applyAlignment="1" applyProtection="1">
      <alignment horizontal="center" vertical="center" wrapText="1"/>
    </xf>
    <xf numFmtId="0" fontId="2" fillId="5" borderId="58" xfId="4" applyFont="1" applyFill="1" applyBorder="1" applyAlignment="1" applyProtection="1">
      <alignment horizontal="center" vertical="center" wrapText="1"/>
    </xf>
    <xf numFmtId="0" fontId="2" fillId="5" borderId="5" xfId="4" applyFont="1" applyFill="1" applyBorder="1" applyAlignment="1" applyProtection="1">
      <alignment horizontal="center" vertical="center" wrapText="1"/>
    </xf>
    <xf numFmtId="0" fontId="2" fillId="5" borderId="96" xfId="4" applyFont="1" applyFill="1" applyBorder="1" applyAlignment="1" applyProtection="1">
      <alignment horizontal="center" vertical="center"/>
    </xf>
    <xf numFmtId="0" fontId="2" fillId="5" borderId="98" xfId="4" applyFont="1" applyFill="1" applyBorder="1" applyAlignment="1" applyProtection="1">
      <alignment horizontal="center" vertical="center"/>
    </xf>
    <xf numFmtId="167" fontId="1" fillId="0" borderId="28" xfId="4" applyNumberFormat="1" applyFont="1" applyFill="1" applyBorder="1" applyAlignment="1" applyProtection="1">
      <alignment horizontal="center" vertical="center"/>
      <protection locked="0"/>
    </xf>
    <xf numFmtId="167" fontId="1" fillId="0" borderId="29" xfId="4" applyNumberFormat="1" applyFont="1" applyFill="1" applyBorder="1" applyAlignment="1" applyProtection="1">
      <alignment horizontal="center" vertical="center"/>
      <protection locked="0"/>
    </xf>
    <xf numFmtId="167" fontId="1" fillId="0" borderId="36" xfId="4" applyNumberFormat="1" applyFont="1" applyFill="1" applyBorder="1" applyAlignment="1" applyProtection="1">
      <alignment horizontal="center" vertical="center"/>
      <protection locked="0"/>
    </xf>
    <xf numFmtId="167" fontId="1" fillId="0" borderId="35" xfId="4" applyNumberFormat="1" applyFont="1" applyFill="1" applyBorder="1" applyAlignment="1" applyProtection="1">
      <alignment horizontal="center" vertical="center"/>
      <protection locked="0"/>
    </xf>
    <xf numFmtId="167" fontId="1" fillId="0" borderId="23" xfId="4" applyNumberFormat="1" applyFont="1" applyFill="1" applyBorder="1" applyAlignment="1" applyProtection="1">
      <alignment horizontal="center" vertical="center"/>
      <protection locked="0"/>
    </xf>
    <xf numFmtId="0" fontId="2" fillId="0" borderId="8" xfId="4" applyFont="1" applyFill="1" applyBorder="1" applyAlignment="1" applyProtection="1">
      <alignment horizontal="center" vertical="center"/>
    </xf>
    <xf numFmtId="0" fontId="2" fillId="0" borderId="2" xfId="4" applyFont="1" applyFill="1" applyBorder="1" applyAlignment="1" applyProtection="1">
      <alignment horizontal="center" vertical="center"/>
    </xf>
    <xf numFmtId="0" fontId="2" fillId="0" borderId="13" xfId="4" applyFont="1" applyFill="1" applyBorder="1" applyAlignment="1" applyProtection="1">
      <alignment horizontal="center" vertical="center"/>
    </xf>
    <xf numFmtId="44" fontId="1" fillId="6" borderId="59" xfId="2" applyFont="1" applyFill="1" applyBorder="1" applyAlignment="1" applyProtection="1">
      <alignment horizontal="center" vertical="center"/>
    </xf>
    <xf numFmtId="44" fontId="1" fillId="6" borderId="35" xfId="2" applyFont="1" applyFill="1" applyBorder="1" applyAlignment="1" applyProtection="1">
      <alignment horizontal="center" vertical="center"/>
    </xf>
    <xf numFmtId="0" fontId="6" fillId="5" borderId="82" xfId="4" applyFont="1" applyFill="1" applyBorder="1" applyAlignment="1" applyProtection="1">
      <alignment horizontal="center" vertical="center"/>
    </xf>
    <xf numFmtId="0" fontId="6" fillId="5" borderId="27" xfId="4" applyFont="1" applyFill="1" applyBorder="1" applyAlignment="1" applyProtection="1">
      <alignment horizontal="center" vertical="center"/>
    </xf>
    <xf numFmtId="0" fontId="6" fillId="5" borderId="44" xfId="4" applyFont="1" applyFill="1" applyBorder="1" applyAlignment="1" applyProtection="1">
      <alignment horizontal="center" vertical="center"/>
    </xf>
    <xf numFmtId="0" fontId="1" fillId="5" borderId="15" xfId="4" applyFont="1" applyFill="1" applyBorder="1" applyAlignment="1" applyProtection="1">
      <alignment horizontal="center" wrapText="1"/>
    </xf>
    <xf numFmtId="0" fontId="1" fillId="5" borderId="1" xfId="4" applyFont="1" applyFill="1" applyBorder="1" applyAlignment="1" applyProtection="1">
      <alignment horizontal="center" wrapText="1"/>
    </xf>
    <xf numFmtId="0" fontId="1" fillId="5" borderId="16" xfId="4" applyFont="1" applyFill="1" applyBorder="1" applyAlignment="1" applyProtection="1">
      <alignment horizontal="center" wrapText="1"/>
    </xf>
    <xf numFmtId="0" fontId="1" fillId="5" borderId="37" xfId="4" applyFont="1" applyFill="1" applyBorder="1" applyAlignment="1" applyProtection="1">
      <alignment horizontal="center" wrapText="1"/>
    </xf>
    <xf numFmtId="0" fontId="1" fillId="5" borderId="27" xfId="4" applyFont="1" applyFill="1" applyBorder="1" applyAlignment="1" applyProtection="1">
      <alignment horizontal="center" wrapText="1"/>
    </xf>
    <xf numFmtId="0" fontId="1" fillId="5" borderId="44" xfId="4" applyFont="1" applyFill="1" applyBorder="1" applyAlignment="1" applyProtection="1">
      <alignment horizontal="center" wrapText="1"/>
    </xf>
    <xf numFmtId="0" fontId="2" fillId="0" borderId="40" xfId="4" applyFont="1" applyFill="1" applyBorder="1" applyAlignment="1" applyProtection="1">
      <alignment horizontal="center" vertical="center"/>
    </xf>
    <xf numFmtId="0" fontId="2" fillId="0" borderId="34" xfId="4" applyFont="1" applyFill="1" applyBorder="1" applyAlignment="1" applyProtection="1">
      <alignment horizontal="center" vertical="center"/>
    </xf>
    <xf numFmtId="0" fontId="2" fillId="0" borderId="57" xfId="4" applyFont="1" applyFill="1" applyBorder="1" applyAlignment="1" applyProtection="1">
      <alignment horizontal="center" vertical="center"/>
    </xf>
    <xf numFmtId="0" fontId="2" fillId="5" borderId="38" xfId="4" applyFont="1" applyFill="1" applyBorder="1" applyAlignment="1" applyProtection="1">
      <alignment horizontal="center" vertical="center"/>
    </xf>
    <xf numFmtId="0" fontId="2" fillId="5" borderId="39" xfId="4" applyFont="1" applyFill="1" applyBorder="1" applyAlignment="1" applyProtection="1">
      <alignment horizontal="center" vertical="center"/>
    </xf>
    <xf numFmtId="0" fontId="2" fillId="5" borderId="4" xfId="4" applyFont="1" applyFill="1" applyBorder="1" applyAlignment="1" applyProtection="1">
      <alignment horizontal="center" vertical="center"/>
    </xf>
    <xf numFmtId="0" fontId="2" fillId="5" borderId="5" xfId="4" applyFont="1" applyFill="1" applyBorder="1" applyAlignment="1" applyProtection="1">
      <alignment horizontal="center" vertical="center"/>
    </xf>
    <xf numFmtId="0" fontId="2" fillId="0" borderId="37" xfId="4" applyFont="1" applyFill="1" applyBorder="1" applyAlignment="1" applyProtection="1">
      <alignment horizontal="center" vertical="center"/>
    </xf>
    <xf numFmtId="0" fontId="2" fillId="0" borderId="27" xfId="4" applyFont="1" applyFill="1" applyBorder="1" applyAlignment="1" applyProtection="1">
      <alignment horizontal="center" vertical="center"/>
    </xf>
    <xf numFmtId="0" fontId="2" fillId="0" borderId="44" xfId="4" applyFont="1" applyFill="1" applyBorder="1" applyAlignment="1" applyProtection="1">
      <alignment horizontal="center" vertical="center"/>
    </xf>
    <xf numFmtId="167" fontId="1" fillId="0" borderId="82" xfId="4" applyNumberFormat="1" applyFont="1" applyFill="1" applyBorder="1" applyAlignment="1" applyProtection="1">
      <alignment horizontal="center" vertical="center"/>
      <protection locked="0"/>
    </xf>
    <xf numFmtId="167" fontId="1" fillId="0" borderId="61" xfId="4" applyNumberFormat="1" applyFont="1" applyFill="1" applyBorder="1" applyAlignment="1" applyProtection="1">
      <alignment horizontal="center" vertical="center"/>
      <protection locked="0"/>
    </xf>
    <xf numFmtId="0" fontId="3" fillId="6" borderId="67" xfId="4" applyFont="1" applyFill="1" applyBorder="1" applyAlignment="1" applyProtection="1">
      <alignment horizontal="left" vertical="top"/>
    </xf>
    <xf numFmtId="0" fontId="3" fillId="6" borderId="41" xfId="4" applyFont="1" applyFill="1" applyBorder="1" applyAlignment="1" applyProtection="1">
      <alignment horizontal="left" vertical="top"/>
    </xf>
    <xf numFmtId="0" fontId="3" fillId="6" borderId="39" xfId="4" applyFont="1" applyFill="1" applyBorder="1" applyAlignment="1" applyProtection="1">
      <alignment horizontal="left" vertical="top"/>
    </xf>
    <xf numFmtId="0" fontId="3" fillId="6" borderId="40" xfId="4" applyFont="1" applyFill="1" applyBorder="1" applyAlignment="1" applyProtection="1">
      <alignment horizontal="left" vertical="top"/>
    </xf>
    <xf numFmtId="0" fontId="3" fillId="6" borderId="34" xfId="4" applyFont="1" applyFill="1" applyBorder="1" applyAlignment="1" applyProtection="1">
      <alignment horizontal="left" vertical="top"/>
    </xf>
    <xf numFmtId="0" fontId="3" fillId="6" borderId="22" xfId="4" applyFont="1" applyFill="1" applyBorder="1" applyAlignment="1" applyProtection="1">
      <alignment horizontal="left" vertical="top"/>
    </xf>
    <xf numFmtId="0" fontId="3" fillId="5" borderId="67" xfId="4" applyFont="1" applyFill="1" applyBorder="1" applyAlignment="1" applyProtection="1">
      <alignment horizontal="center" vertical="center" wrapText="1"/>
    </xf>
    <xf numFmtId="0" fontId="3" fillId="5" borderId="68" xfId="4" applyFont="1" applyFill="1" applyBorder="1" applyAlignment="1" applyProtection="1">
      <alignment horizontal="center" vertical="center" wrapText="1"/>
    </xf>
    <xf numFmtId="0" fontId="3" fillId="5" borderId="40" xfId="4" applyFont="1" applyFill="1" applyBorder="1" applyAlignment="1" applyProtection="1">
      <alignment horizontal="center" vertical="center" wrapText="1"/>
    </xf>
    <xf numFmtId="0" fontId="3" fillId="5" borderId="57" xfId="4" applyFont="1" applyFill="1" applyBorder="1" applyAlignment="1" applyProtection="1">
      <alignment horizontal="center" vertical="center" wrapText="1"/>
    </xf>
    <xf numFmtId="0" fontId="2" fillId="0" borderId="26" xfId="4" applyFont="1" applyFill="1" applyBorder="1" applyAlignment="1" applyProtection="1">
      <alignment horizontal="center"/>
    </xf>
    <xf numFmtId="0" fontId="2" fillId="0" borderId="0" xfId="4" applyFont="1" applyFill="1" applyBorder="1" applyAlignment="1" applyProtection="1">
      <alignment horizontal="center"/>
    </xf>
    <xf numFmtId="0" fontId="2" fillId="0" borderId="86" xfId="4" applyFont="1" applyFill="1" applyBorder="1" applyAlignment="1" applyProtection="1">
      <alignment horizontal="center"/>
    </xf>
    <xf numFmtId="0" fontId="2" fillId="0" borderId="33" xfId="4" applyFont="1" applyFill="1" applyBorder="1" applyAlignment="1" applyProtection="1">
      <alignment horizontal="center"/>
    </xf>
    <xf numFmtId="0" fontId="2" fillId="0" borderId="34" xfId="4" applyFont="1" applyFill="1" applyBorder="1" applyAlignment="1" applyProtection="1">
      <alignment horizontal="center"/>
    </xf>
    <xf numFmtId="0" fontId="2" fillId="0" borderId="77" xfId="4" applyFont="1" applyFill="1" applyBorder="1" applyAlignment="1" applyProtection="1">
      <alignment horizontal="center"/>
    </xf>
    <xf numFmtId="0" fontId="2" fillId="0" borderId="4" xfId="4" applyFont="1" applyFill="1" applyBorder="1" applyAlignment="1" applyProtection="1">
      <alignment horizontal="center" vertical="top"/>
    </xf>
    <xf numFmtId="0" fontId="2" fillId="0" borderId="14" xfId="4" applyFont="1" applyFill="1" applyBorder="1" applyAlignment="1" applyProtection="1">
      <alignment horizontal="center" vertical="top"/>
    </xf>
    <xf numFmtId="0" fontId="2" fillId="0" borderId="83" xfId="4" applyFont="1" applyFill="1" applyBorder="1" applyAlignment="1" applyProtection="1">
      <alignment horizontal="center" vertical="top"/>
    </xf>
    <xf numFmtId="0" fontId="2" fillId="0" borderId="27" xfId="4" applyFont="1" applyFill="1" applyBorder="1" applyAlignment="1" applyProtection="1">
      <alignment horizontal="left" vertical="center"/>
      <protection locked="0"/>
    </xf>
    <xf numFmtId="0" fontId="2" fillId="0" borderId="44" xfId="4" applyFont="1" applyFill="1" applyBorder="1" applyAlignment="1" applyProtection="1">
      <alignment horizontal="left" vertical="center"/>
      <protection locked="0"/>
    </xf>
    <xf numFmtId="0" fontId="2" fillId="0" borderId="65" xfId="4" applyFont="1" applyFill="1" applyBorder="1" applyAlignment="1" applyProtection="1">
      <alignment horizontal="left"/>
    </xf>
    <xf numFmtId="0" fontId="2" fillId="0" borderId="0" xfId="4" applyFont="1" applyFill="1" applyBorder="1" applyAlignment="1" applyProtection="1">
      <alignment horizontal="left"/>
    </xf>
    <xf numFmtId="0" fontId="2" fillId="0" borderId="86" xfId="4" applyFont="1" applyFill="1" applyBorder="1" applyAlignment="1" applyProtection="1">
      <alignment horizontal="left"/>
    </xf>
    <xf numFmtId="0" fontId="2" fillId="0" borderId="50" xfId="4" applyFont="1" applyFill="1" applyBorder="1" applyAlignment="1" applyProtection="1">
      <alignment horizontal="left"/>
    </xf>
    <xf numFmtId="0" fontId="2" fillId="0" borderId="34" xfId="4" applyFont="1" applyFill="1" applyBorder="1" applyAlignment="1" applyProtection="1">
      <alignment horizontal="left"/>
    </xf>
    <xf numFmtId="0" fontId="2" fillId="0" borderId="77" xfId="4" applyFont="1" applyFill="1" applyBorder="1" applyAlignment="1" applyProtection="1">
      <alignment horizontal="left"/>
    </xf>
    <xf numFmtId="0" fontId="2" fillId="0" borderId="70" xfId="4" applyFont="1" applyFill="1" applyBorder="1" applyAlignment="1" applyProtection="1">
      <alignment horizontal="center" vertical="top"/>
    </xf>
    <xf numFmtId="0" fontId="2" fillId="0" borderId="27" xfId="4" applyFont="1" applyFill="1" applyBorder="1" applyAlignment="1" applyProtection="1">
      <alignment horizontal="center" vertical="top"/>
    </xf>
    <xf numFmtId="0" fontId="2" fillId="0" borderId="95" xfId="4" applyFont="1" applyFill="1" applyBorder="1" applyAlignment="1" applyProtection="1">
      <alignment horizontal="center" vertical="top"/>
    </xf>
    <xf numFmtId="0" fontId="3" fillId="5" borderId="76" xfId="4" applyFont="1" applyFill="1" applyBorder="1" applyAlignment="1" applyProtection="1">
      <alignment horizontal="center" vertical="center"/>
    </xf>
    <xf numFmtId="0" fontId="3" fillId="5" borderId="25" xfId="4" applyFont="1" applyFill="1" applyBorder="1" applyAlignment="1" applyProtection="1">
      <alignment horizontal="center" vertical="center"/>
    </xf>
    <xf numFmtId="0" fontId="3" fillId="5" borderId="15" xfId="4" applyFont="1" applyFill="1" applyBorder="1" applyAlignment="1" applyProtection="1">
      <alignment horizontal="center" vertical="center"/>
    </xf>
    <xf numFmtId="0" fontId="3" fillId="5" borderId="16" xfId="4" applyFont="1" applyFill="1" applyBorder="1" applyAlignment="1" applyProtection="1">
      <alignment horizontal="center" vertical="center"/>
    </xf>
    <xf numFmtId="0" fontId="2" fillId="0" borderId="85" xfId="4" applyFont="1" applyFill="1" applyBorder="1" applyAlignment="1" applyProtection="1">
      <alignment horizontal="center" wrapText="1"/>
      <protection locked="0"/>
    </xf>
    <xf numFmtId="0" fontId="2" fillId="0" borderId="75" xfId="4" applyFont="1" applyFill="1" applyBorder="1" applyAlignment="1" applyProtection="1">
      <alignment horizontal="center" wrapText="1"/>
      <protection locked="0"/>
    </xf>
    <xf numFmtId="0" fontId="3" fillId="5" borderId="38" xfId="4" applyFont="1" applyFill="1" applyBorder="1" applyAlignment="1" applyProtection="1">
      <alignment horizontal="center" vertical="center"/>
    </xf>
    <xf numFmtId="0" fontId="3" fillId="5" borderId="68" xfId="4" applyFont="1" applyFill="1" applyBorder="1" applyAlignment="1" applyProtection="1">
      <alignment horizontal="center" vertical="center"/>
    </xf>
    <xf numFmtId="0" fontId="3" fillId="5" borderId="33" xfId="4" applyFont="1" applyFill="1" applyBorder="1" applyAlignment="1" applyProtection="1">
      <alignment horizontal="center" vertical="center"/>
    </xf>
    <xf numFmtId="0" fontId="3" fillId="5" borderId="57" xfId="4" applyFont="1" applyFill="1" applyBorder="1" applyAlignment="1" applyProtection="1">
      <alignment horizontal="center" vertical="center"/>
    </xf>
    <xf numFmtId="44" fontId="6" fillId="6" borderId="55" xfId="2" applyFont="1" applyFill="1" applyBorder="1" applyAlignment="1" applyProtection="1">
      <alignment horizontal="center" vertical="center"/>
    </xf>
    <xf numFmtId="44" fontId="6" fillId="6" borderId="56" xfId="2" applyFont="1" applyFill="1" applyBorder="1" applyAlignment="1" applyProtection="1">
      <alignment horizontal="center" vertical="center"/>
    </xf>
    <xf numFmtId="0" fontId="2" fillId="0" borderId="87" xfId="4" applyFont="1" applyFill="1" applyBorder="1" applyAlignment="1" applyProtection="1">
      <alignment horizontal="center"/>
      <protection locked="0"/>
    </xf>
    <xf numFmtId="0" fontId="2" fillId="0" borderId="90" xfId="4" applyFont="1" applyFill="1" applyBorder="1" applyAlignment="1" applyProtection="1">
      <alignment horizontal="center"/>
      <protection locked="0"/>
    </xf>
    <xf numFmtId="0" fontId="3" fillId="7" borderId="51" xfId="4" applyFont="1" applyFill="1" applyBorder="1" applyAlignment="1" applyProtection="1">
      <alignment horizontal="center"/>
    </xf>
    <xf numFmtId="0" fontId="3" fillId="7" borderId="52" xfId="4" applyFont="1" applyFill="1" applyBorder="1" applyAlignment="1" applyProtection="1">
      <alignment horizontal="center"/>
    </xf>
    <xf numFmtId="0" fontId="3" fillId="7" borderId="56" xfId="4" applyFont="1" applyFill="1" applyBorder="1" applyAlignment="1" applyProtection="1">
      <alignment horizontal="center"/>
    </xf>
    <xf numFmtId="0" fontId="1" fillId="0" borderId="64" xfId="4" applyNumberFormat="1" applyFont="1" applyFill="1" applyBorder="1" applyAlignment="1" applyProtection="1">
      <alignment horizontal="center" vertical="center" wrapText="1"/>
    </xf>
    <xf numFmtId="0" fontId="1" fillId="0" borderId="41" xfId="4" applyNumberFormat="1" applyFont="1" applyFill="1" applyBorder="1" applyAlignment="1" applyProtection="1">
      <alignment horizontal="center" vertical="center" wrapText="1"/>
    </xf>
    <xf numFmtId="0" fontId="1" fillId="0" borderId="39" xfId="4" applyNumberFormat="1" applyFont="1" applyFill="1" applyBorder="1" applyAlignment="1" applyProtection="1">
      <alignment horizontal="center" vertical="center" wrapText="1"/>
    </xf>
    <xf numFmtId="0" fontId="1" fillId="0" borderId="65" xfId="4" applyNumberFormat="1" applyFont="1" applyFill="1" applyBorder="1" applyAlignment="1" applyProtection="1">
      <alignment horizontal="center" vertical="center" wrapText="1"/>
    </xf>
    <xf numFmtId="0" fontId="1" fillId="0" borderId="0" xfId="4" applyNumberFormat="1" applyFont="1" applyFill="1" applyBorder="1" applyAlignment="1" applyProtection="1">
      <alignment horizontal="center" vertical="center" wrapText="1"/>
    </xf>
    <xf numFmtId="0" fontId="1" fillId="0" borderId="3" xfId="4" applyNumberFormat="1" applyFont="1" applyFill="1" applyBorder="1" applyAlignment="1" applyProtection="1">
      <alignment horizontal="center" vertical="center" wrapText="1"/>
    </xf>
    <xf numFmtId="0" fontId="1" fillId="0" borderId="38" xfId="4" applyFont="1" applyFill="1" applyBorder="1" applyAlignment="1" applyProtection="1">
      <alignment horizontal="center" vertical="center" wrapText="1"/>
    </xf>
    <xf numFmtId="0" fontId="1" fillId="0" borderId="41" xfId="4" applyFont="1" applyFill="1" applyBorder="1" applyAlignment="1" applyProtection="1">
      <alignment horizontal="center" vertical="center" wrapText="1"/>
    </xf>
    <xf numFmtId="0" fontId="1" fillId="0" borderId="62" xfId="4" applyFont="1" applyFill="1" applyBorder="1" applyAlignment="1" applyProtection="1">
      <alignment horizontal="center" vertical="center" wrapText="1"/>
    </xf>
    <xf numFmtId="0" fontId="1" fillId="0" borderId="26" xfId="4" applyFont="1" applyFill="1" applyBorder="1" applyAlignment="1" applyProtection="1">
      <alignment horizontal="center" vertical="center" wrapText="1"/>
    </xf>
    <xf numFmtId="0" fontId="1" fillId="0" borderId="0" xfId="4" applyFont="1" applyFill="1" applyBorder="1" applyAlignment="1" applyProtection="1">
      <alignment horizontal="center" vertical="center" wrapText="1"/>
    </xf>
    <xf numFmtId="0" fontId="1" fillId="0" borderId="63" xfId="4" applyFont="1" applyFill="1" applyBorder="1" applyAlignment="1" applyProtection="1">
      <alignment horizontal="center" vertical="center" wrapText="1"/>
    </xf>
    <xf numFmtId="0" fontId="0" fillId="3" borderId="4" xfId="0" applyFill="1" applyBorder="1" applyAlignment="1">
      <alignment horizontal="center"/>
    </xf>
    <xf numFmtId="0" fontId="0" fillId="3" borderId="5" xfId="0" applyFill="1" applyBorder="1" applyAlignment="1">
      <alignment horizontal="center"/>
    </xf>
    <xf numFmtId="0" fontId="6" fillId="2" borderId="38" xfId="0" applyFont="1" applyFill="1" applyBorder="1" applyAlignment="1">
      <alignment horizontal="center"/>
    </xf>
    <xf numFmtId="0" fontId="6" fillId="2" borderId="39" xfId="0" applyFont="1" applyFill="1" applyBorder="1" applyAlignment="1">
      <alignment horizontal="center"/>
    </xf>
    <xf numFmtId="0" fontId="6" fillId="2" borderId="38" xfId="0" applyFont="1" applyFill="1" applyBorder="1" applyAlignment="1">
      <alignment horizontal="center" wrapText="1"/>
    </xf>
    <xf numFmtId="0" fontId="6" fillId="2" borderId="41" xfId="0" applyFont="1" applyFill="1" applyBorder="1" applyAlignment="1">
      <alignment horizontal="center" wrapText="1"/>
    </xf>
    <xf numFmtId="0" fontId="6" fillId="2" borderId="39" xfId="0" applyFont="1" applyFill="1" applyBorder="1" applyAlignment="1">
      <alignment horizontal="center" wrapText="1"/>
    </xf>
    <xf numFmtId="0" fontId="6" fillId="2" borderId="51" xfId="0" applyFont="1" applyFill="1" applyBorder="1" applyAlignment="1">
      <alignment horizontal="center"/>
    </xf>
    <xf numFmtId="0" fontId="6" fillId="2" borderId="56" xfId="0" applyFont="1" applyFill="1" applyBorder="1" applyAlignment="1">
      <alignment horizontal="center"/>
    </xf>
    <xf numFmtId="0" fontId="0" fillId="3" borderId="26" xfId="0" applyFill="1" applyBorder="1" applyAlignment="1">
      <alignment horizontal="center"/>
    </xf>
    <xf numFmtId="0" fontId="0" fillId="3" borderId="3" xfId="0" applyFill="1" applyBorder="1" applyAlignment="1">
      <alignment horizontal="center"/>
    </xf>
  </cellXfs>
  <cellStyles count="7">
    <cellStyle name="Comma" xfId="1" builtinId="3"/>
    <cellStyle name="Currency" xfId="2" builtinId="4"/>
    <cellStyle name="Currency 2" xfId="6"/>
    <cellStyle name="Hyperlink" xfId="5" builtinId="8"/>
    <cellStyle name="Normal" xfId="0" builtinId="0"/>
    <cellStyle name="Normal 2" xfId="4"/>
    <cellStyle name="Percent" xfId="3" builtinId="5"/>
  </cellStyles>
  <dxfs count="0"/>
  <tableStyles count="0" defaultTableStyle="TableStyleMedium9" defaultPivotStyle="PivotStyleLight16"/>
  <colors>
    <mruColors>
      <color rgb="FFFFFF99"/>
      <color rgb="FF1306BA"/>
      <color rgb="FFCC00FF"/>
      <color rgb="FFFF0066"/>
      <color rgb="FFCCFF99"/>
      <color rgb="FF99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http://oyanet.oya.state.or.us/ResourceCenter/_layouts/listform.aspx?PageType=4&amp;ListId=%7bD0C1E55E-4548-4C9C-8EDE-2695507D7EF8%7d&amp;ID=16"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1152524</xdr:colOff>
      <xdr:row>6</xdr:row>
      <xdr:rowOff>28575</xdr:rowOff>
    </xdr:from>
    <xdr:to>
      <xdr:col>0</xdr:col>
      <xdr:colOff>1533524</xdr:colOff>
      <xdr:row>11</xdr:row>
      <xdr:rowOff>19050</xdr:rowOff>
    </xdr:to>
    <xdr:sp macro="" textlink="">
      <xdr:nvSpPr>
        <xdr:cNvPr id="2" name="Left Brace 1"/>
        <xdr:cNvSpPr/>
      </xdr:nvSpPr>
      <xdr:spPr bwMode="auto">
        <a:xfrm>
          <a:off x="1152524" y="1162050"/>
          <a:ext cx="381000" cy="990600"/>
        </a:xfrm>
        <a:prstGeom prst="leftBrac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US" sz="1100"/>
        </a:p>
      </xdr:txBody>
    </xdr:sp>
    <xdr:clientData/>
  </xdr:twoCellAnchor>
  <xdr:twoCellAnchor>
    <xdr:from>
      <xdr:col>0</xdr:col>
      <xdr:colOff>123824</xdr:colOff>
      <xdr:row>7</xdr:row>
      <xdr:rowOff>0</xdr:rowOff>
    </xdr:from>
    <xdr:to>
      <xdr:col>0</xdr:col>
      <xdr:colOff>1142999</xdr:colOff>
      <xdr:row>10</xdr:row>
      <xdr:rowOff>19050</xdr:rowOff>
    </xdr:to>
    <xdr:sp macro="" textlink="">
      <xdr:nvSpPr>
        <xdr:cNvPr id="3" name="TextBox 2"/>
        <xdr:cNvSpPr txBox="1"/>
      </xdr:nvSpPr>
      <xdr:spPr>
        <a:xfrm>
          <a:off x="123824" y="1333500"/>
          <a:ext cx="1019175" cy="6191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US" sz="1100" b="1">
              <a:solidFill>
                <a:srgbClr val="1306BA"/>
              </a:solidFill>
            </a:rPr>
            <a:t>Complete  all white fields.</a:t>
          </a:r>
        </a:p>
      </xdr:txBody>
    </xdr:sp>
    <xdr:clientData/>
  </xdr:twoCellAnchor>
  <xdr:twoCellAnchor>
    <xdr:from>
      <xdr:col>0</xdr:col>
      <xdr:colOff>1152524</xdr:colOff>
      <xdr:row>13</xdr:row>
      <xdr:rowOff>28575</xdr:rowOff>
    </xdr:from>
    <xdr:to>
      <xdr:col>0</xdr:col>
      <xdr:colOff>1533524</xdr:colOff>
      <xdr:row>28</xdr:row>
      <xdr:rowOff>123825</xdr:rowOff>
    </xdr:to>
    <xdr:sp macro="" textlink="">
      <xdr:nvSpPr>
        <xdr:cNvPr id="4" name="Left Brace 3"/>
        <xdr:cNvSpPr/>
      </xdr:nvSpPr>
      <xdr:spPr bwMode="auto">
        <a:xfrm>
          <a:off x="1152524" y="2562225"/>
          <a:ext cx="381000" cy="3095625"/>
        </a:xfrm>
        <a:prstGeom prst="leftBrac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US" sz="1100"/>
        </a:p>
      </xdr:txBody>
    </xdr:sp>
    <xdr:clientData/>
  </xdr:twoCellAnchor>
  <xdr:twoCellAnchor>
    <xdr:from>
      <xdr:col>0</xdr:col>
      <xdr:colOff>28575</xdr:colOff>
      <xdr:row>19</xdr:row>
      <xdr:rowOff>66675</xdr:rowOff>
    </xdr:from>
    <xdr:to>
      <xdr:col>0</xdr:col>
      <xdr:colOff>1133475</xdr:colOff>
      <xdr:row>22</xdr:row>
      <xdr:rowOff>123825</xdr:rowOff>
    </xdr:to>
    <xdr:sp macro="" textlink="">
      <xdr:nvSpPr>
        <xdr:cNvPr id="5" name="TextBox 4"/>
        <xdr:cNvSpPr txBox="1"/>
      </xdr:nvSpPr>
      <xdr:spPr>
        <a:xfrm>
          <a:off x="28575" y="3800475"/>
          <a:ext cx="1104900" cy="6572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US" sz="1100" b="1">
              <a:solidFill>
                <a:srgbClr val="1306BA"/>
              </a:solidFill>
            </a:rPr>
            <a:t>Complete white</a:t>
          </a:r>
          <a:r>
            <a:rPr lang="en-US" sz="1100" b="1" baseline="0">
              <a:solidFill>
                <a:srgbClr val="1306BA"/>
              </a:solidFill>
            </a:rPr>
            <a:t> fields as needed</a:t>
          </a:r>
          <a:r>
            <a:rPr lang="en-US" sz="1100" b="1">
              <a:solidFill>
                <a:srgbClr val="1306BA"/>
              </a:solidFill>
            </a:rPr>
            <a:t>.   </a:t>
          </a:r>
        </a:p>
        <a:p>
          <a:endParaRPr lang="en-US" sz="800">
            <a:solidFill>
              <a:srgbClr val="1306BA"/>
            </a:solidFill>
          </a:endParaRPr>
        </a:p>
      </xdr:txBody>
    </xdr:sp>
    <xdr:clientData/>
  </xdr:twoCellAnchor>
  <xdr:twoCellAnchor>
    <xdr:from>
      <xdr:col>1</xdr:col>
      <xdr:colOff>9525</xdr:colOff>
      <xdr:row>32</xdr:row>
      <xdr:rowOff>38100</xdr:rowOff>
    </xdr:from>
    <xdr:to>
      <xdr:col>5</xdr:col>
      <xdr:colOff>1438276</xdr:colOff>
      <xdr:row>35</xdr:row>
      <xdr:rowOff>161925</xdr:rowOff>
    </xdr:to>
    <xdr:sp macro="" textlink="">
      <xdr:nvSpPr>
        <xdr:cNvPr id="6" name="TextBox 5"/>
        <xdr:cNvSpPr txBox="1"/>
      </xdr:nvSpPr>
      <xdr:spPr>
        <a:xfrm>
          <a:off x="1590675" y="6276975"/>
          <a:ext cx="3267076" cy="7239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US" sz="1200" b="1">
              <a:solidFill>
                <a:srgbClr val="1306BA"/>
              </a:solidFill>
            </a:rPr>
            <a:t>Fields</a:t>
          </a:r>
          <a:r>
            <a:rPr lang="en-US" sz="1200" b="1" baseline="0">
              <a:solidFill>
                <a:srgbClr val="1306BA"/>
              </a:solidFill>
            </a:rPr>
            <a:t> with </a:t>
          </a:r>
          <a:r>
            <a:rPr lang="en-US" sz="1200" b="1" baseline="0">
              <a:solidFill>
                <a:srgbClr val="FF0000"/>
              </a:solidFill>
            </a:rPr>
            <a:t>red triangles</a:t>
          </a:r>
          <a:r>
            <a:rPr lang="en-US" sz="1200" b="1" baseline="0">
              <a:solidFill>
                <a:srgbClr val="1306BA"/>
              </a:solidFill>
            </a:rPr>
            <a:t> in the corner contain definitions or information.  Hover over the field to display comment.</a:t>
          </a:r>
          <a:endParaRPr lang="en-US" sz="1200" b="1">
            <a:solidFill>
              <a:srgbClr val="1306BA"/>
            </a:solidFill>
          </a:endParaRPr>
        </a:p>
      </xdr:txBody>
    </xdr:sp>
    <xdr:clientData/>
  </xdr:twoCellAnchor>
  <xdr:twoCellAnchor editAs="oneCell">
    <xdr:from>
      <xdr:col>0</xdr:col>
      <xdr:colOff>1066799</xdr:colOff>
      <xdr:row>31</xdr:row>
      <xdr:rowOff>200024</xdr:rowOff>
    </xdr:from>
    <xdr:to>
      <xdr:col>0</xdr:col>
      <xdr:colOff>1571624</xdr:colOff>
      <xdr:row>34</xdr:row>
      <xdr:rowOff>104774</xdr:rowOff>
    </xdr:to>
    <xdr:pic>
      <xdr:nvPicPr>
        <xdr:cNvPr id="7" name="Picture 15"/>
        <xdr:cNvPicPr>
          <a:picLocks noChangeAspect="1" noChangeArrowheads="1"/>
        </xdr:cNvPicPr>
      </xdr:nvPicPr>
      <xdr:blipFill>
        <a:blip xmlns:r="http://schemas.openxmlformats.org/officeDocument/2006/relationships" r:embed="rId1" cstate="print"/>
        <a:srcRect/>
        <a:stretch>
          <a:fillRect/>
        </a:stretch>
      </xdr:blipFill>
      <xdr:spPr bwMode="auto">
        <a:xfrm>
          <a:off x="1066799" y="6438899"/>
          <a:ext cx="504825" cy="504825"/>
        </a:xfrm>
        <a:prstGeom prst="rect">
          <a:avLst/>
        </a:prstGeom>
        <a:noFill/>
      </xdr:spPr>
    </xdr:pic>
    <xdr:clientData/>
  </xdr:twoCellAnchor>
  <xdr:twoCellAnchor>
    <xdr:from>
      <xdr:col>1</xdr:col>
      <xdr:colOff>9525</xdr:colOff>
      <xdr:row>36</xdr:row>
      <xdr:rowOff>19049</xdr:rowOff>
    </xdr:from>
    <xdr:to>
      <xdr:col>8</xdr:col>
      <xdr:colOff>495301</xdr:colOff>
      <xdr:row>40</xdr:row>
      <xdr:rowOff>47625</xdr:rowOff>
    </xdr:to>
    <xdr:sp macro="" textlink="">
      <xdr:nvSpPr>
        <xdr:cNvPr id="8" name="TextBox 7"/>
        <xdr:cNvSpPr txBox="1"/>
      </xdr:nvSpPr>
      <xdr:spPr>
        <a:xfrm>
          <a:off x="1590675" y="7058024"/>
          <a:ext cx="5524501" cy="819151"/>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r>
            <a:rPr lang="en-US" sz="1200" b="1">
              <a:solidFill>
                <a:srgbClr val="FF0000"/>
              </a:solidFill>
              <a:latin typeface="+mn-lt"/>
              <a:ea typeface="+mn-ea"/>
              <a:cs typeface="+mn-cs"/>
            </a:rPr>
            <a:t>Drop Down Box: </a:t>
          </a:r>
          <a:r>
            <a:rPr lang="en-US" sz="1200" b="1">
              <a:solidFill>
                <a:srgbClr val="1306BA"/>
              </a:solidFill>
              <a:latin typeface="+mn-lt"/>
              <a:ea typeface="+mn-ea"/>
              <a:cs typeface="+mn-cs"/>
            </a:rPr>
            <a:t>"Trng", 1" way or 2?, Travel Awards" all use a drop down box. Click on the cell and a gray box with a down arrow will apprear.  Click the arrow to make selection.</a:t>
          </a:r>
        </a:p>
        <a:p>
          <a:pPr marL="0" indent="0"/>
          <a:endParaRPr lang="en-US" sz="1200" b="1">
            <a:solidFill>
              <a:srgbClr val="1306BA"/>
            </a:solidFill>
            <a:latin typeface="+mn-lt"/>
            <a:ea typeface="+mn-ea"/>
            <a:cs typeface="+mn-cs"/>
          </a:endParaRPr>
        </a:p>
      </xdr:txBody>
    </xdr:sp>
    <xdr:clientData/>
  </xdr:twoCellAnchor>
  <xdr:twoCellAnchor editAs="oneCell">
    <xdr:from>
      <xdr:col>0</xdr:col>
      <xdr:colOff>1028699</xdr:colOff>
      <xdr:row>35</xdr:row>
      <xdr:rowOff>171449</xdr:rowOff>
    </xdr:from>
    <xdr:to>
      <xdr:col>0</xdr:col>
      <xdr:colOff>1533524</xdr:colOff>
      <xdr:row>38</xdr:row>
      <xdr:rowOff>76199</xdr:rowOff>
    </xdr:to>
    <xdr:pic>
      <xdr:nvPicPr>
        <xdr:cNvPr id="9" name="Picture 15"/>
        <xdr:cNvPicPr>
          <a:picLocks noChangeAspect="1" noChangeArrowheads="1"/>
        </xdr:cNvPicPr>
      </xdr:nvPicPr>
      <xdr:blipFill>
        <a:blip xmlns:r="http://schemas.openxmlformats.org/officeDocument/2006/relationships" r:embed="rId1" cstate="print"/>
        <a:srcRect/>
        <a:stretch>
          <a:fillRect/>
        </a:stretch>
      </xdr:blipFill>
      <xdr:spPr bwMode="auto">
        <a:xfrm>
          <a:off x="1028699" y="7210424"/>
          <a:ext cx="504825" cy="504825"/>
        </a:xfrm>
        <a:prstGeom prst="rect">
          <a:avLst/>
        </a:prstGeom>
        <a:noFill/>
      </xdr:spPr>
    </xdr:pic>
    <xdr:clientData/>
  </xdr:twoCellAnchor>
  <xdr:twoCellAnchor>
    <xdr:from>
      <xdr:col>16</xdr:col>
      <xdr:colOff>952499</xdr:colOff>
      <xdr:row>7</xdr:row>
      <xdr:rowOff>9526</xdr:rowOff>
    </xdr:from>
    <xdr:to>
      <xdr:col>16</xdr:col>
      <xdr:colOff>1209674</xdr:colOff>
      <xdr:row>14</xdr:row>
      <xdr:rowOff>180975</xdr:rowOff>
    </xdr:to>
    <xdr:sp macro="" textlink="">
      <xdr:nvSpPr>
        <xdr:cNvPr id="12" name="Left Brace 11"/>
        <xdr:cNvSpPr/>
      </xdr:nvSpPr>
      <xdr:spPr bwMode="auto">
        <a:xfrm>
          <a:off x="12096749" y="1343026"/>
          <a:ext cx="257175" cy="1571624"/>
        </a:xfrm>
        <a:prstGeom prst="leftBrac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US" sz="1100"/>
        </a:p>
      </xdr:txBody>
    </xdr:sp>
    <xdr:clientData/>
  </xdr:twoCellAnchor>
  <xdr:twoCellAnchor>
    <xdr:from>
      <xdr:col>16</xdr:col>
      <xdr:colOff>76200</xdr:colOff>
      <xdr:row>7</xdr:row>
      <xdr:rowOff>38099</xdr:rowOff>
    </xdr:from>
    <xdr:to>
      <xdr:col>16</xdr:col>
      <xdr:colOff>990600</xdr:colOff>
      <xdr:row>14</xdr:row>
      <xdr:rowOff>133349</xdr:rowOff>
    </xdr:to>
    <xdr:sp macro="" textlink="">
      <xdr:nvSpPr>
        <xdr:cNvPr id="13" name="TextBox 12"/>
        <xdr:cNvSpPr txBox="1"/>
      </xdr:nvSpPr>
      <xdr:spPr>
        <a:xfrm>
          <a:off x="11220450" y="1371599"/>
          <a:ext cx="914400" cy="14954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US" sz="1100" b="1">
              <a:solidFill>
                <a:srgbClr val="1306BA"/>
              </a:solidFill>
            </a:rPr>
            <a:t>Complete  white</a:t>
          </a:r>
          <a:r>
            <a:rPr lang="en-US" sz="1100" b="1" baseline="0">
              <a:solidFill>
                <a:srgbClr val="1306BA"/>
              </a:solidFill>
            </a:rPr>
            <a:t> fields in each row for claiming Meals or  Lodging expenses</a:t>
          </a:r>
          <a:r>
            <a:rPr lang="en-US" sz="1100" b="1">
              <a:solidFill>
                <a:srgbClr val="1306BA"/>
              </a:solidFill>
            </a:rPr>
            <a:t>.</a:t>
          </a:r>
        </a:p>
      </xdr:txBody>
    </xdr:sp>
    <xdr:clientData/>
  </xdr:twoCellAnchor>
  <xdr:twoCellAnchor>
    <xdr:from>
      <xdr:col>16</xdr:col>
      <xdr:colOff>57149</xdr:colOff>
      <xdr:row>18</xdr:row>
      <xdr:rowOff>38099</xdr:rowOff>
    </xdr:from>
    <xdr:to>
      <xdr:col>16</xdr:col>
      <xdr:colOff>962024</xdr:colOff>
      <xdr:row>24</xdr:row>
      <xdr:rowOff>85724</xdr:rowOff>
    </xdr:to>
    <xdr:sp macro="" textlink="">
      <xdr:nvSpPr>
        <xdr:cNvPr id="14" name="TextBox 13"/>
        <xdr:cNvSpPr txBox="1"/>
      </xdr:nvSpPr>
      <xdr:spPr>
        <a:xfrm>
          <a:off x="11201399" y="3571874"/>
          <a:ext cx="904875" cy="124777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US" sz="1100" b="1">
              <a:solidFill>
                <a:srgbClr val="1306BA"/>
              </a:solidFill>
            </a:rPr>
            <a:t>White</a:t>
          </a:r>
          <a:r>
            <a:rPr lang="en-US" sz="1100" b="1" baseline="0">
              <a:solidFill>
                <a:srgbClr val="1306BA"/>
              </a:solidFill>
            </a:rPr>
            <a:t> field must be completed.  Click on white field for drop down.</a:t>
          </a:r>
          <a:endParaRPr lang="en-US" sz="1100" b="1">
            <a:solidFill>
              <a:srgbClr val="1306BA"/>
            </a:solidFill>
          </a:endParaRPr>
        </a:p>
        <a:p>
          <a:endParaRPr lang="en-US" sz="800">
            <a:solidFill>
              <a:srgbClr val="1306BA"/>
            </a:solidFill>
          </a:endParaRPr>
        </a:p>
      </xdr:txBody>
    </xdr:sp>
    <xdr:clientData/>
  </xdr:twoCellAnchor>
  <xdr:twoCellAnchor>
    <xdr:from>
      <xdr:col>16</xdr:col>
      <xdr:colOff>1000125</xdr:colOff>
      <xdr:row>18</xdr:row>
      <xdr:rowOff>0</xdr:rowOff>
    </xdr:from>
    <xdr:to>
      <xdr:col>16</xdr:col>
      <xdr:colOff>1228726</xdr:colOff>
      <xdr:row>23</xdr:row>
      <xdr:rowOff>123825</xdr:rowOff>
    </xdr:to>
    <xdr:sp macro="" textlink="">
      <xdr:nvSpPr>
        <xdr:cNvPr id="15" name="Left Brace 14"/>
        <xdr:cNvSpPr/>
      </xdr:nvSpPr>
      <xdr:spPr bwMode="auto">
        <a:xfrm>
          <a:off x="12144375" y="3533775"/>
          <a:ext cx="228601" cy="1123950"/>
        </a:xfrm>
        <a:prstGeom prst="leftBrac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US" sz="1100"/>
        </a:p>
      </xdr:txBody>
    </xdr:sp>
    <xdr:clientData/>
  </xdr:twoCellAnchor>
  <xdr:twoCellAnchor>
    <xdr:from>
      <xdr:col>16</xdr:col>
      <xdr:colOff>19049</xdr:colOff>
      <xdr:row>30</xdr:row>
      <xdr:rowOff>66676</xdr:rowOff>
    </xdr:from>
    <xdr:to>
      <xdr:col>16</xdr:col>
      <xdr:colOff>1152525</xdr:colOff>
      <xdr:row>39</xdr:row>
      <xdr:rowOff>38100</xdr:rowOff>
    </xdr:to>
    <xdr:sp macro="" textlink="">
      <xdr:nvSpPr>
        <xdr:cNvPr id="16" name="TextBox 15"/>
        <xdr:cNvSpPr txBox="1"/>
      </xdr:nvSpPr>
      <xdr:spPr>
        <a:xfrm>
          <a:off x="11163299" y="6105526"/>
          <a:ext cx="1133476" cy="1762124"/>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US" sz="1100" b="1" baseline="0">
              <a:solidFill>
                <a:srgbClr val="1306BA"/>
              </a:solidFill>
            </a:rPr>
            <a:t>White Fields are required information to be completed by the OYA office authorizing reimbursement.</a:t>
          </a:r>
          <a:endParaRPr lang="en-US" sz="800">
            <a:solidFill>
              <a:srgbClr val="1306BA"/>
            </a:solidFill>
          </a:endParaRPr>
        </a:p>
      </xdr:txBody>
    </xdr:sp>
    <xdr:clientData/>
  </xdr:twoCellAnchor>
  <xdr:twoCellAnchor>
    <xdr:from>
      <xdr:col>16</xdr:col>
      <xdr:colOff>1009651</xdr:colOff>
      <xdr:row>30</xdr:row>
      <xdr:rowOff>57150</xdr:rowOff>
    </xdr:from>
    <xdr:to>
      <xdr:col>16</xdr:col>
      <xdr:colOff>1238251</xdr:colOff>
      <xdr:row>39</xdr:row>
      <xdr:rowOff>38100</xdr:rowOff>
    </xdr:to>
    <xdr:sp macro="" textlink="">
      <xdr:nvSpPr>
        <xdr:cNvPr id="17" name="Left Brace 16"/>
        <xdr:cNvSpPr/>
      </xdr:nvSpPr>
      <xdr:spPr bwMode="auto">
        <a:xfrm>
          <a:off x="12153901" y="6096000"/>
          <a:ext cx="228600" cy="1771650"/>
        </a:xfrm>
        <a:prstGeom prst="leftBrac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US" sz="1100"/>
        </a:p>
      </xdr:txBody>
    </xdr:sp>
    <xdr:clientData/>
  </xdr:twoCellAnchor>
  <xdr:twoCellAnchor>
    <xdr:from>
      <xdr:col>11</xdr:col>
      <xdr:colOff>561975</xdr:colOff>
      <xdr:row>32</xdr:row>
      <xdr:rowOff>76200</xdr:rowOff>
    </xdr:from>
    <xdr:to>
      <xdr:col>15</xdr:col>
      <xdr:colOff>323850</xdr:colOff>
      <xdr:row>38</xdr:row>
      <xdr:rowOff>9525</xdr:rowOff>
    </xdr:to>
    <xdr:sp macro="" textlink="">
      <xdr:nvSpPr>
        <xdr:cNvPr id="22" name="Striped Right Arrow 21"/>
        <xdr:cNvSpPr/>
      </xdr:nvSpPr>
      <xdr:spPr bwMode="auto">
        <a:xfrm>
          <a:off x="9172575" y="6315075"/>
          <a:ext cx="1914525" cy="1133475"/>
        </a:xfrm>
        <a:prstGeom prst="stripedRightArrow">
          <a:avLst/>
        </a:prstGeom>
        <a:solidFill>
          <a:schemeClr val="accent2"/>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US" sz="1100"/>
        </a:p>
      </xdr:txBody>
    </xdr:sp>
    <xdr:clientData/>
  </xdr:twoCellAnchor>
  <xdr:twoCellAnchor>
    <xdr:from>
      <xdr:col>16</xdr:col>
      <xdr:colOff>800100</xdr:colOff>
      <xdr:row>19</xdr:row>
      <xdr:rowOff>152400</xdr:rowOff>
    </xdr:from>
    <xdr:to>
      <xdr:col>16</xdr:col>
      <xdr:colOff>1228725</xdr:colOff>
      <xdr:row>19</xdr:row>
      <xdr:rowOff>153988</xdr:rowOff>
    </xdr:to>
    <xdr:cxnSp macro="">
      <xdr:nvCxnSpPr>
        <xdr:cNvPr id="23" name="Straight Arrow Connector 22"/>
        <xdr:cNvCxnSpPr/>
      </xdr:nvCxnSpPr>
      <xdr:spPr bwMode="auto">
        <a:xfrm>
          <a:off x="11944350" y="3886200"/>
          <a:ext cx="428625" cy="1588"/>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oneCellAnchor>
    <xdr:from>
      <xdr:col>12</xdr:col>
      <xdr:colOff>57150</xdr:colOff>
      <xdr:row>33</xdr:row>
      <xdr:rowOff>119603</xdr:rowOff>
    </xdr:from>
    <xdr:ext cx="1228725" cy="499522"/>
    <xdr:sp macro="" textlink="">
      <xdr:nvSpPr>
        <xdr:cNvPr id="24" name="Rectangle 23"/>
        <xdr:cNvSpPr/>
      </xdr:nvSpPr>
      <xdr:spPr>
        <a:xfrm>
          <a:off x="9544050" y="6758528"/>
          <a:ext cx="1228725" cy="499522"/>
        </a:xfrm>
        <a:prstGeom prst="rect">
          <a:avLst/>
        </a:prstGeom>
        <a:noFill/>
      </xdr:spPr>
      <xdr:txBody>
        <a:bodyPr wrap="square" lIns="91440" tIns="45720" rIns="91440" bIns="45720">
          <a:no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1">
              <a:solidFill>
                <a:schemeClr val="bg1"/>
              </a:solidFill>
              <a:latin typeface="+mn-lt"/>
              <a:ea typeface="+mn-ea"/>
              <a:cs typeface="+mn-cs"/>
            </a:rPr>
            <a:t>Go to the right to continue</a:t>
          </a:r>
          <a:r>
            <a:rPr lang="en-US" sz="1100" b="1" baseline="0">
              <a:solidFill>
                <a:schemeClr val="bg1"/>
              </a:solidFill>
              <a:latin typeface="+mn-lt"/>
              <a:ea typeface="+mn-ea"/>
              <a:cs typeface="+mn-cs"/>
            </a:rPr>
            <a:t> claim.</a:t>
          </a:r>
          <a:endParaRPr lang="en-US" sz="1100" b="1">
            <a:solidFill>
              <a:schemeClr val="bg1"/>
            </a:solidFill>
            <a:latin typeface="+mn-lt"/>
            <a:ea typeface="+mn-ea"/>
            <a:cs typeface="+mn-cs"/>
          </a:endParaRPr>
        </a:p>
        <a:p>
          <a:pPr algn="ctr"/>
          <a:endParaRPr lang="en-US" sz="800" b="1" cap="all" spc="0">
            <a:ln w="0"/>
            <a:solidFill>
              <a:schemeClr val="bg1"/>
            </a:solidFill>
            <a:effectLst>
              <a:reflection blurRad="12700" stA="50000" endPos="50000" dist="5000" dir="5400000" sy="-100000" rotWithShape="0"/>
            </a:effectLst>
          </a:endParaRPr>
        </a:p>
      </xdr:txBody>
    </xdr:sp>
    <xdr:clientData/>
  </xdr:oneCellAnchor>
  <xdr:twoCellAnchor editAs="oneCell">
    <xdr:from>
      <xdr:col>0</xdr:col>
      <xdr:colOff>76199</xdr:colOff>
      <xdr:row>0</xdr:row>
      <xdr:rowOff>95249</xdr:rowOff>
    </xdr:from>
    <xdr:to>
      <xdr:col>0</xdr:col>
      <xdr:colOff>581024</xdr:colOff>
      <xdr:row>3</xdr:row>
      <xdr:rowOff>76199</xdr:rowOff>
    </xdr:to>
    <xdr:pic>
      <xdr:nvPicPr>
        <xdr:cNvPr id="25" name="Picture 15"/>
        <xdr:cNvPicPr>
          <a:picLocks noChangeAspect="1" noChangeArrowheads="1"/>
        </xdr:cNvPicPr>
      </xdr:nvPicPr>
      <xdr:blipFill>
        <a:blip xmlns:r="http://schemas.openxmlformats.org/officeDocument/2006/relationships" r:embed="rId1" cstate="print"/>
        <a:srcRect/>
        <a:stretch>
          <a:fillRect/>
        </a:stretch>
      </xdr:blipFill>
      <xdr:spPr bwMode="auto">
        <a:xfrm>
          <a:off x="76199" y="95249"/>
          <a:ext cx="504825" cy="504825"/>
        </a:xfrm>
        <a:prstGeom prst="rect">
          <a:avLst/>
        </a:prstGeom>
        <a:noFill/>
      </xdr:spPr>
    </xdr:pic>
    <xdr:clientData/>
  </xdr:twoCellAnchor>
  <xdr:twoCellAnchor>
    <xdr:from>
      <xdr:col>0</xdr:col>
      <xdr:colOff>628650</xdr:colOff>
      <xdr:row>0</xdr:row>
      <xdr:rowOff>47625</xdr:rowOff>
    </xdr:from>
    <xdr:to>
      <xdr:col>0</xdr:col>
      <xdr:colOff>1504949</xdr:colOff>
      <xdr:row>3</xdr:row>
      <xdr:rowOff>85725</xdr:rowOff>
    </xdr:to>
    <xdr:sp macro="" textlink="">
      <xdr:nvSpPr>
        <xdr:cNvPr id="26" name="TextBox 25"/>
        <xdr:cNvSpPr txBox="1"/>
      </xdr:nvSpPr>
      <xdr:spPr>
        <a:xfrm>
          <a:off x="628650" y="47625"/>
          <a:ext cx="876299" cy="5619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US" sz="1000" b="1">
              <a:solidFill>
                <a:srgbClr val="1306BA"/>
              </a:solidFill>
            </a:rPr>
            <a:t>See below for</a:t>
          </a:r>
          <a:r>
            <a:rPr lang="en-US" sz="1000" b="1" baseline="0">
              <a:solidFill>
                <a:srgbClr val="1306BA"/>
              </a:solidFill>
            </a:rPr>
            <a:t> more instructions.</a:t>
          </a:r>
          <a:endParaRPr lang="en-US" sz="1000" b="1">
            <a:solidFill>
              <a:srgbClr val="1306BA"/>
            </a:solidFill>
          </a:endParaRPr>
        </a:p>
      </xdr:txBody>
    </xdr:sp>
    <xdr:clientData/>
  </xdr:twoCellAnchor>
  <xdr:twoCellAnchor editAs="oneCell">
    <xdr:from>
      <xdr:col>1</xdr:col>
      <xdr:colOff>371477</xdr:colOff>
      <xdr:row>0</xdr:row>
      <xdr:rowOff>38100</xdr:rowOff>
    </xdr:from>
    <xdr:to>
      <xdr:col>3</xdr:col>
      <xdr:colOff>404337</xdr:colOff>
      <xdr:row>5</xdr:row>
      <xdr:rowOff>95250</xdr:rowOff>
    </xdr:to>
    <xdr:pic>
      <xdr:nvPicPr>
        <xdr:cNvPr id="27" name="Picture 58" descr="http://oyanet.oya.state.or.us/ResourceCenter/Logos/_t/oya_logo_bw_600_tif.jpg%20%20%20%20%20%20%20%20%20%20%20%20%20%20%20%20%20%20%20%20%20%20%20%20">
          <a:hlinkClick xmlns:r="http://schemas.openxmlformats.org/officeDocument/2006/relationships" r:id="rId2"/>
        </xdr:cNvPr>
        <xdr:cNvPicPr>
          <a:picLocks noChangeAspect="1" noChangeArrowheads="1"/>
        </xdr:cNvPicPr>
      </xdr:nvPicPr>
      <xdr:blipFill>
        <a:blip xmlns:r="http://schemas.openxmlformats.org/officeDocument/2006/relationships" r:embed="rId3" cstate="print"/>
        <a:srcRect/>
        <a:stretch>
          <a:fillRect/>
        </a:stretch>
      </xdr:blipFill>
      <xdr:spPr bwMode="auto">
        <a:xfrm>
          <a:off x="1952627" y="38100"/>
          <a:ext cx="947260" cy="990600"/>
        </a:xfrm>
        <a:prstGeom prst="rect">
          <a:avLst/>
        </a:prstGeom>
        <a:noFill/>
      </xdr:spPr>
    </xdr:pic>
    <xdr:clientData/>
  </xdr:twoCellAnchor>
  <mc:AlternateContent xmlns:mc="http://schemas.openxmlformats.org/markup-compatibility/2006">
    <mc:Choice xmlns:a14="http://schemas.microsoft.com/office/drawing/2010/main" Requires="a14">
      <xdr:twoCellAnchor editAs="oneCell">
        <xdr:from>
          <xdr:col>8</xdr:col>
          <xdr:colOff>0</xdr:colOff>
          <xdr:row>30</xdr:row>
          <xdr:rowOff>9525</xdr:rowOff>
        </xdr:from>
        <xdr:to>
          <xdr:col>8</xdr:col>
          <xdr:colOff>381000</xdr:colOff>
          <xdr:row>31</xdr:row>
          <xdr:rowOff>28575</xdr:rowOff>
        </xdr:to>
        <xdr:sp macro="" textlink="">
          <xdr:nvSpPr>
            <xdr:cNvPr id="8216" name="Check Box 24" hidden="1">
              <a:extLst>
                <a:ext uri="{63B3BB69-23CF-44E3-9099-C40C66FF867C}">
                  <a14:compatExt spid="_x0000_s8216"/>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Yes</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30</xdr:row>
          <xdr:rowOff>9525</xdr:rowOff>
        </xdr:from>
        <xdr:to>
          <xdr:col>9</xdr:col>
          <xdr:colOff>219075</xdr:colOff>
          <xdr:row>31</xdr:row>
          <xdr:rowOff>28575</xdr:rowOff>
        </xdr:to>
        <xdr:sp macro="" textlink="">
          <xdr:nvSpPr>
            <xdr:cNvPr id="8217" name="Check Box 25" hidden="1">
              <a:extLst>
                <a:ext uri="{63B3BB69-23CF-44E3-9099-C40C66FF867C}">
                  <a14:compatExt spid="_x0000_s8217"/>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No</a:t>
              </a:r>
              <a:endParaRPr lang="en-US"/>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oyanet.oya.state.or.us/OYA_Salem/Accounting/Travel/Travel%20Forms/YA%202228%20A%20-%20(C)%20-%20Effective%20Jan%202012.xlt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FSCME Travel Form"/>
      <sheetName val="Look Up"/>
    </sheetNames>
    <sheetDataSet>
      <sheetData sheetId="0"/>
      <sheetData sheetId="1">
        <row r="8">
          <cell r="D8" t="str">
            <v>Clackamas</v>
          </cell>
          <cell r="E8">
            <v>61</v>
          </cell>
        </row>
        <row r="9">
          <cell r="D9" t="str">
            <v>Clatsop</v>
          </cell>
          <cell r="E9">
            <v>51</v>
          </cell>
        </row>
        <row r="10">
          <cell r="D10" t="str">
            <v>Deschutes</v>
          </cell>
          <cell r="E10">
            <v>61</v>
          </cell>
        </row>
        <row r="11">
          <cell r="D11" t="str">
            <v>Jackson</v>
          </cell>
          <cell r="E11">
            <v>56</v>
          </cell>
        </row>
        <row r="12">
          <cell r="D12" t="str">
            <v>Klamath</v>
          </cell>
          <cell r="E12">
            <v>56</v>
          </cell>
        </row>
        <row r="13">
          <cell r="D13" t="str">
            <v>Lane</v>
          </cell>
          <cell r="E13">
            <v>51</v>
          </cell>
        </row>
        <row r="14">
          <cell r="D14" t="str">
            <v>Lincoln</v>
          </cell>
          <cell r="E14">
            <v>56</v>
          </cell>
        </row>
        <row r="15">
          <cell r="D15" t="str">
            <v>Multnomah</v>
          </cell>
          <cell r="E15">
            <v>66</v>
          </cell>
        </row>
        <row r="16">
          <cell r="D16" t="str">
            <v>Other</v>
          </cell>
          <cell r="E16">
            <v>46</v>
          </cell>
        </row>
        <row r="17">
          <cell r="D17" t="str">
            <v>Washington</v>
          </cell>
          <cell r="E17">
            <v>51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F44"/>
  <sheetViews>
    <sheetView tabSelected="1" zoomScaleNormal="100" workbookViewId="0">
      <selection activeCell="B9" sqref="B9:E9"/>
    </sheetView>
  </sheetViews>
  <sheetFormatPr defaultRowHeight="11.25" x14ac:dyDescent="0.2"/>
  <cols>
    <col min="1" max="1" width="23.7109375" style="24" customWidth="1"/>
    <col min="2" max="2" width="8.28515625" style="24" customWidth="1"/>
    <col min="3" max="3" width="5.42578125" style="24" customWidth="1"/>
    <col min="4" max="4" width="7.5703125" style="24" customWidth="1"/>
    <col min="5" max="5" width="6.28515625" style="24" customWidth="1"/>
    <col min="6" max="6" width="24.140625" style="24" customWidth="1"/>
    <col min="7" max="7" width="15.140625" style="24" customWidth="1"/>
    <col min="8" max="8" width="8.7109375" style="24" customWidth="1"/>
    <col min="9" max="9" width="8.28515625" style="24" customWidth="1"/>
    <col min="10" max="10" width="6.140625" style="24" customWidth="1"/>
    <col min="11" max="11" width="15.42578125" style="24" customWidth="1"/>
    <col min="12" max="12" width="13.140625" style="24" customWidth="1"/>
    <col min="13" max="14" width="6.7109375" style="24" customWidth="1"/>
    <col min="15" max="16" width="5.7109375" style="24" customWidth="1"/>
    <col min="17" max="17" width="18.85546875" style="24" customWidth="1"/>
    <col min="18" max="18" width="2" style="24" customWidth="1"/>
    <col min="19" max="19" width="6.140625" style="24" customWidth="1"/>
    <col min="20" max="22" width="9.7109375" style="24" customWidth="1"/>
    <col min="23" max="23" width="9.5703125" style="24" customWidth="1"/>
    <col min="24" max="24" width="13.42578125" style="24" customWidth="1"/>
    <col min="25" max="25" width="10.28515625" style="24" customWidth="1"/>
    <col min="26" max="26" width="9" style="24" customWidth="1"/>
    <col min="27" max="27" width="7.7109375" style="24" customWidth="1"/>
    <col min="28" max="32" width="13.7109375" style="24" customWidth="1"/>
    <col min="33" max="16384" width="9.140625" style="24"/>
  </cols>
  <sheetData>
    <row r="1" spans="1:32" ht="18.75" customHeight="1" thickBot="1" x14ac:dyDescent="0.25">
      <c r="B1" s="97"/>
      <c r="F1" s="234" t="s">
        <v>96</v>
      </c>
      <c r="G1" s="235"/>
      <c r="H1" s="235"/>
      <c r="I1" s="235"/>
      <c r="J1" s="235"/>
      <c r="K1" s="236"/>
      <c r="M1" s="243" t="s">
        <v>86</v>
      </c>
      <c r="N1" s="244"/>
      <c r="O1" s="244"/>
      <c r="P1" s="245"/>
      <c r="Q1" s="86"/>
      <c r="R1" s="96" t="s">
        <v>104</v>
      </c>
      <c r="S1" s="86"/>
      <c r="T1" s="86"/>
      <c r="U1" s="86"/>
      <c r="V1" s="86"/>
      <c r="W1" s="86"/>
      <c r="X1" s="86"/>
      <c r="Y1" s="86"/>
      <c r="Z1" s="86"/>
      <c r="AA1" s="86"/>
      <c r="AC1" s="95" t="s">
        <v>67</v>
      </c>
      <c r="AD1" s="174" t="str">
        <f>$F$9&amp;" "&amp;$B$9</f>
        <v xml:space="preserve"> </v>
      </c>
      <c r="AE1" s="174"/>
      <c r="AF1" s="175"/>
    </row>
    <row r="2" spans="1:32" ht="6" customHeight="1" thickBot="1" x14ac:dyDescent="0.25">
      <c r="F2" s="237"/>
      <c r="G2" s="238"/>
      <c r="H2" s="238"/>
      <c r="I2" s="238"/>
      <c r="J2" s="238"/>
      <c r="K2" s="239"/>
      <c r="M2" s="246" t="s">
        <v>101</v>
      </c>
      <c r="N2" s="247"/>
      <c r="O2" s="247"/>
      <c r="P2" s="248"/>
    </row>
    <row r="3" spans="1:32" ht="16.5" customHeight="1" thickBot="1" x14ac:dyDescent="0.25">
      <c r="F3" s="240"/>
      <c r="G3" s="241"/>
      <c r="H3" s="241"/>
      <c r="I3" s="241"/>
      <c r="J3" s="241"/>
      <c r="K3" s="242"/>
      <c r="M3" s="249"/>
      <c r="N3" s="250"/>
      <c r="O3" s="250"/>
      <c r="P3" s="251"/>
      <c r="Q3" s="86"/>
      <c r="R3" s="198" t="s">
        <v>15</v>
      </c>
      <c r="S3" s="169"/>
      <c r="T3" s="169"/>
      <c r="U3" s="169"/>
      <c r="V3" s="169"/>
      <c r="W3" s="169"/>
      <c r="X3" s="169"/>
      <c r="Y3" s="169"/>
      <c r="Z3" s="169"/>
      <c r="AA3" s="169"/>
      <c r="AB3" s="169"/>
      <c r="AC3" s="169"/>
      <c r="AD3" s="169"/>
      <c r="AE3" s="169"/>
      <c r="AF3" s="199"/>
    </row>
    <row r="4" spans="1:32" ht="16.5" customHeight="1" x14ac:dyDescent="0.2">
      <c r="F4" s="40"/>
      <c r="G4" s="40"/>
      <c r="M4" s="151" t="s">
        <v>102</v>
      </c>
      <c r="N4" s="152"/>
      <c r="O4" s="152"/>
      <c r="P4" s="153"/>
      <c r="R4" s="252" t="s">
        <v>4</v>
      </c>
      <c r="S4" s="253"/>
      <c r="T4" s="258" t="s">
        <v>13</v>
      </c>
      <c r="U4" s="258" t="s">
        <v>78</v>
      </c>
      <c r="V4" s="208" t="s">
        <v>1</v>
      </c>
      <c r="W4" s="209"/>
      <c r="X4" s="209"/>
      <c r="Y4" s="209"/>
      <c r="Z4" s="209"/>
      <c r="AA4" s="209"/>
      <c r="AB4" s="209"/>
      <c r="AC4" s="210"/>
      <c r="AD4" s="206" t="s">
        <v>79</v>
      </c>
      <c r="AE4" s="207"/>
      <c r="AF4" s="182" t="s">
        <v>88</v>
      </c>
    </row>
    <row r="5" spans="1:32" s="94" customFormat="1" ht="15.95" customHeight="1" x14ac:dyDescent="0.2">
      <c r="A5" s="24"/>
      <c r="B5" s="24"/>
      <c r="C5" s="24"/>
      <c r="D5" s="24"/>
      <c r="E5" s="24"/>
      <c r="F5" s="40"/>
      <c r="G5" s="40"/>
      <c r="H5" s="24"/>
      <c r="I5" s="24"/>
      <c r="J5" s="24"/>
      <c r="K5" s="24"/>
      <c r="L5" s="24"/>
      <c r="M5" s="268"/>
      <c r="N5" s="269"/>
      <c r="O5" s="269"/>
      <c r="P5" s="270"/>
      <c r="Q5" s="24"/>
      <c r="R5" s="254"/>
      <c r="S5" s="255"/>
      <c r="T5" s="259"/>
      <c r="U5" s="259"/>
      <c r="V5" s="200" t="s">
        <v>17</v>
      </c>
      <c r="W5" s="201"/>
      <c r="X5" s="202"/>
      <c r="Y5" s="187" t="s">
        <v>23</v>
      </c>
      <c r="Z5" s="187" t="s">
        <v>2</v>
      </c>
      <c r="AA5" s="185" t="s">
        <v>73</v>
      </c>
      <c r="AB5" s="187" t="s">
        <v>74</v>
      </c>
      <c r="AC5" s="118" t="s">
        <v>87</v>
      </c>
      <c r="AD5" s="119" t="s">
        <v>89</v>
      </c>
      <c r="AE5" s="120" t="s">
        <v>90</v>
      </c>
      <c r="AF5" s="183"/>
    </row>
    <row r="6" spans="1:32" s="93" customFormat="1" ht="15.95" customHeight="1" thickBot="1" x14ac:dyDescent="0.25">
      <c r="A6" s="24"/>
      <c r="B6" s="24"/>
      <c r="C6" s="24"/>
      <c r="D6" s="24"/>
      <c r="E6" s="24"/>
      <c r="F6" s="40"/>
      <c r="G6" s="40"/>
      <c r="H6" s="24"/>
      <c r="I6" s="24"/>
      <c r="J6" s="24"/>
      <c r="K6" s="24"/>
      <c r="L6" s="24"/>
      <c r="M6" s="271"/>
      <c r="N6" s="272"/>
      <c r="O6" s="272"/>
      <c r="P6" s="273"/>
      <c r="Q6" s="24"/>
      <c r="R6" s="254"/>
      <c r="S6" s="255"/>
      <c r="T6" s="259"/>
      <c r="U6" s="259"/>
      <c r="V6" s="200"/>
      <c r="W6" s="201"/>
      <c r="X6" s="202"/>
      <c r="Y6" s="187"/>
      <c r="Z6" s="187"/>
      <c r="AA6" s="185"/>
      <c r="AB6" s="187"/>
      <c r="AC6" s="185" t="s">
        <v>75</v>
      </c>
      <c r="AD6" s="187" t="s">
        <v>18</v>
      </c>
      <c r="AE6" s="185" t="s">
        <v>19</v>
      </c>
      <c r="AF6" s="183"/>
    </row>
    <row r="7" spans="1:32" ht="15.95" customHeight="1" thickBot="1" x14ac:dyDescent="0.25">
      <c r="A7" s="94"/>
      <c r="B7" s="141"/>
      <c r="C7" s="261"/>
      <c r="D7" s="261"/>
      <c r="E7" s="261"/>
      <c r="F7" s="141"/>
      <c r="G7" s="262"/>
      <c r="H7" s="262"/>
      <c r="I7" s="262"/>
      <c r="J7" s="262"/>
      <c r="K7" s="141"/>
      <c r="L7" s="142"/>
      <c r="M7" s="142"/>
      <c r="N7" s="142"/>
      <c r="O7" s="142"/>
      <c r="P7" s="142"/>
      <c r="R7" s="256"/>
      <c r="S7" s="257"/>
      <c r="T7" s="260"/>
      <c r="U7" s="260"/>
      <c r="V7" s="203"/>
      <c r="W7" s="204"/>
      <c r="X7" s="205"/>
      <c r="Y7" s="188"/>
      <c r="Z7" s="188"/>
      <c r="AA7" s="186"/>
      <c r="AB7" s="188"/>
      <c r="AC7" s="186"/>
      <c r="AD7" s="188"/>
      <c r="AE7" s="186"/>
      <c r="AF7" s="184"/>
    </row>
    <row r="8" spans="1:32" s="86" customFormat="1" ht="15.95" customHeight="1" x14ac:dyDescent="0.2">
      <c r="A8" s="93"/>
      <c r="B8" s="263" t="s">
        <v>4</v>
      </c>
      <c r="C8" s="264"/>
      <c r="D8" s="264"/>
      <c r="E8" s="265"/>
      <c r="F8" s="266" t="s">
        <v>97</v>
      </c>
      <c r="G8" s="264"/>
      <c r="H8" s="264"/>
      <c r="I8" s="264"/>
      <c r="J8" s="265"/>
      <c r="K8" s="266" t="s">
        <v>77</v>
      </c>
      <c r="L8" s="264"/>
      <c r="M8" s="264"/>
      <c r="N8" s="264"/>
      <c r="O8" s="264"/>
      <c r="P8" s="267"/>
      <c r="Q8" s="24"/>
      <c r="R8" s="287"/>
      <c r="S8" s="288"/>
      <c r="T8" s="101"/>
      <c r="U8" s="102"/>
      <c r="V8" s="211"/>
      <c r="W8" s="212"/>
      <c r="X8" s="213"/>
      <c r="Y8" s="103"/>
      <c r="Z8" s="104" t="str">
        <f>IF(R8="","",VLOOKUP($Y8,'[1]Look Up'!$D$8:$E$17,2,FALSE))</f>
        <v/>
      </c>
      <c r="AA8" s="105"/>
      <c r="AB8" s="106"/>
      <c r="AC8" s="107" t="str">
        <f t="shared" ref="AC8:AC15" si="0">IF($Y8="","",IF($AB8="None",$Z8*$AA8,IF($AB8="Lunch",($Z8*$AA8)-($Z8*25%),IF($AB8="Dinner",($Z8*$AA8)-($Z8*50%),IF($AB8="Breakfast",($Z8*$AA8)-($Z8*25%),IF($AB8="All",($Z8*$AA8)-($Z8*100%),IF($AB8="Lunch/Dinner",($Z8*$AA8)-($Z8*75%),IF($AB8="Breakfast/Lunch",($Z8*$AA8)-($Z8*50%),IF($AB8="Breakfast/Dinner",($Z8*$AA8)-($Z8*75%),"Incomplete")))))))))</f>
        <v/>
      </c>
      <c r="AD8" s="108"/>
      <c r="AE8" s="109"/>
      <c r="AF8" s="110">
        <f t="shared" ref="AF8:AF15" si="1">SUM($AC8:$AE8)</f>
        <v>0</v>
      </c>
    </row>
    <row r="9" spans="1:32" s="86" customFormat="1" ht="15.95" customHeight="1" x14ac:dyDescent="0.25">
      <c r="A9" s="24"/>
      <c r="B9" s="274"/>
      <c r="C9" s="275"/>
      <c r="D9" s="275"/>
      <c r="E9" s="276"/>
      <c r="F9" s="277"/>
      <c r="G9" s="278"/>
      <c r="H9" s="278"/>
      <c r="I9" s="278"/>
      <c r="J9" s="279"/>
      <c r="K9" s="280"/>
      <c r="L9" s="281"/>
      <c r="M9" s="281"/>
      <c r="N9" s="281"/>
      <c r="O9" s="281"/>
      <c r="P9" s="282"/>
      <c r="Q9" s="24"/>
      <c r="R9" s="214"/>
      <c r="S9" s="215"/>
      <c r="T9" s="101"/>
      <c r="U9" s="102"/>
      <c r="V9" s="176"/>
      <c r="W9" s="177"/>
      <c r="X9" s="178"/>
      <c r="Y9" s="111"/>
      <c r="Z9" s="112" t="str">
        <f>IF(R9="","",VLOOKUP($Y9,'[1]Look Up'!$D$8:$E$17,2,FALSE))</f>
        <v/>
      </c>
      <c r="AA9" s="113"/>
      <c r="AB9" s="106"/>
      <c r="AC9" s="107" t="str">
        <f t="shared" si="0"/>
        <v/>
      </c>
      <c r="AD9" s="108"/>
      <c r="AE9" s="109"/>
      <c r="AF9" s="110">
        <f t="shared" si="1"/>
        <v>0</v>
      </c>
    </row>
    <row r="10" spans="1:32" ht="15.95" customHeight="1" thickBot="1" x14ac:dyDescent="0.25">
      <c r="A10" s="86"/>
      <c r="B10" s="318" t="s">
        <v>98</v>
      </c>
      <c r="C10" s="319"/>
      <c r="D10" s="319"/>
      <c r="E10" s="319"/>
      <c r="F10" s="319"/>
      <c r="G10" s="319"/>
      <c r="H10" s="319"/>
      <c r="I10" s="319"/>
      <c r="J10" s="320"/>
      <c r="K10" s="92" t="s">
        <v>103</v>
      </c>
      <c r="L10" s="285"/>
      <c r="M10" s="285"/>
      <c r="N10" s="285"/>
      <c r="O10" s="285"/>
      <c r="P10" s="286"/>
      <c r="R10" s="214"/>
      <c r="S10" s="215"/>
      <c r="T10" s="101"/>
      <c r="U10" s="102"/>
      <c r="V10" s="176"/>
      <c r="W10" s="177"/>
      <c r="X10" s="178"/>
      <c r="Y10" s="111"/>
      <c r="Z10" s="112" t="str">
        <f>IF(R10="","",VLOOKUP($Y10,'[1]Look Up'!$D$8:$E$17,2,FALSE))</f>
        <v/>
      </c>
      <c r="AA10" s="113"/>
      <c r="AB10" s="106"/>
      <c r="AC10" s="107" t="str">
        <f t="shared" si="0"/>
        <v/>
      </c>
      <c r="AD10" s="108"/>
      <c r="AE10" s="109"/>
      <c r="AF10" s="110">
        <f t="shared" si="1"/>
        <v>0</v>
      </c>
    </row>
    <row r="11" spans="1:32" ht="15.95" customHeight="1" thickBot="1" x14ac:dyDescent="0.25">
      <c r="A11" s="86"/>
      <c r="B11" s="289" t="s">
        <v>94</v>
      </c>
      <c r="C11" s="290"/>
      <c r="D11" s="290"/>
      <c r="E11" s="290"/>
      <c r="F11" s="290"/>
      <c r="G11" s="290"/>
      <c r="H11" s="290"/>
      <c r="I11" s="290"/>
      <c r="J11" s="290"/>
      <c r="K11" s="290"/>
      <c r="L11" s="290"/>
      <c r="M11" s="290"/>
      <c r="N11" s="290"/>
      <c r="O11" s="290"/>
      <c r="P11" s="291"/>
      <c r="R11" s="214"/>
      <c r="S11" s="215"/>
      <c r="T11" s="101"/>
      <c r="U11" s="102"/>
      <c r="V11" s="176"/>
      <c r="W11" s="177"/>
      <c r="X11" s="178"/>
      <c r="Y11" s="111"/>
      <c r="Z11" s="112" t="str">
        <f>IF(R11="","",VLOOKUP($Y11,'[1]Look Up'!$D$8:$E$17,2,FALSE))</f>
        <v/>
      </c>
      <c r="AA11" s="113"/>
      <c r="AB11" s="106"/>
      <c r="AC11" s="107" t="str">
        <f t="shared" si="0"/>
        <v/>
      </c>
      <c r="AD11" s="108"/>
      <c r="AE11" s="109"/>
      <c r="AF11" s="110">
        <f t="shared" si="1"/>
        <v>0</v>
      </c>
    </row>
    <row r="12" spans="1:32" s="86" customFormat="1" ht="15.95" customHeight="1" x14ac:dyDescent="0.2">
      <c r="A12" s="24"/>
      <c r="B12" s="330" t="s">
        <v>0</v>
      </c>
      <c r="C12" s="331"/>
      <c r="D12" s="306" t="s">
        <v>44</v>
      </c>
      <c r="E12" s="321" t="s">
        <v>66</v>
      </c>
      <c r="F12" s="322"/>
      <c r="G12" s="323"/>
      <c r="H12" s="283" t="s">
        <v>85</v>
      </c>
      <c r="I12" s="300"/>
      <c r="J12" s="292" t="s">
        <v>76</v>
      </c>
      <c r="K12" s="294" t="s">
        <v>84</v>
      </c>
      <c r="L12" s="295"/>
      <c r="M12" s="298" t="s">
        <v>99</v>
      </c>
      <c r="N12" s="300"/>
      <c r="O12" s="302" t="s">
        <v>36</v>
      </c>
      <c r="P12" s="303"/>
      <c r="Q12" s="24"/>
      <c r="R12" s="214"/>
      <c r="S12" s="215"/>
      <c r="T12" s="101"/>
      <c r="U12" s="102"/>
      <c r="V12" s="176"/>
      <c r="W12" s="177"/>
      <c r="X12" s="178"/>
      <c r="Y12" s="111"/>
      <c r="Z12" s="112" t="str">
        <f>IF(R12="","",VLOOKUP($Y12,'[1]Look Up'!$D$8:$E$17,2,FALSE))</f>
        <v/>
      </c>
      <c r="AA12" s="113"/>
      <c r="AB12" s="106"/>
      <c r="AC12" s="107" t="str">
        <f t="shared" si="0"/>
        <v/>
      </c>
      <c r="AD12" s="108"/>
      <c r="AE12" s="109"/>
      <c r="AF12" s="110">
        <f t="shared" si="1"/>
        <v>0</v>
      </c>
    </row>
    <row r="13" spans="1:32" s="86" customFormat="1" ht="15.95" customHeight="1" thickBot="1" x14ac:dyDescent="0.25">
      <c r="A13" s="24"/>
      <c r="B13" s="332"/>
      <c r="C13" s="333"/>
      <c r="D13" s="307"/>
      <c r="E13" s="324"/>
      <c r="F13" s="325"/>
      <c r="G13" s="326"/>
      <c r="H13" s="284"/>
      <c r="I13" s="301"/>
      <c r="J13" s="293"/>
      <c r="K13" s="296"/>
      <c r="L13" s="297"/>
      <c r="M13" s="299"/>
      <c r="N13" s="301"/>
      <c r="O13" s="304"/>
      <c r="P13" s="305"/>
      <c r="Q13" s="24"/>
      <c r="R13" s="214"/>
      <c r="S13" s="215"/>
      <c r="T13" s="101"/>
      <c r="U13" s="102"/>
      <c r="V13" s="176"/>
      <c r="W13" s="177"/>
      <c r="X13" s="178"/>
      <c r="Y13" s="111"/>
      <c r="Z13" s="112" t="str">
        <f>IF(R13="","",VLOOKUP($Y13,'[1]Look Up'!$D$8:$E$17,2,FALSE))</f>
        <v/>
      </c>
      <c r="AA13" s="113"/>
      <c r="AB13" s="106"/>
      <c r="AC13" s="107" t="str">
        <f t="shared" si="0"/>
        <v/>
      </c>
      <c r="AD13" s="108"/>
      <c r="AE13" s="109"/>
      <c r="AF13" s="110">
        <f t="shared" si="1"/>
        <v>0</v>
      </c>
    </row>
    <row r="14" spans="1:32" s="86" customFormat="1" ht="15.95" customHeight="1" x14ac:dyDescent="0.2">
      <c r="B14" s="310"/>
      <c r="C14" s="311"/>
      <c r="D14" s="140" t="str">
        <f>IF($B14="","",0.555)</f>
        <v/>
      </c>
      <c r="E14" s="327"/>
      <c r="F14" s="328"/>
      <c r="G14" s="329"/>
      <c r="H14" s="91"/>
      <c r="I14" s="144"/>
      <c r="J14" s="143"/>
      <c r="K14" s="162"/>
      <c r="L14" s="163"/>
      <c r="M14" s="90"/>
      <c r="N14" s="144"/>
      <c r="O14" s="316">
        <f>IF(M14&lt;=0,0,$M14*$D14)</f>
        <v>0</v>
      </c>
      <c r="P14" s="317"/>
      <c r="Q14" s="24"/>
      <c r="R14" s="214"/>
      <c r="S14" s="215"/>
      <c r="T14" s="101"/>
      <c r="U14" s="102"/>
      <c r="V14" s="176"/>
      <c r="W14" s="177"/>
      <c r="X14" s="178"/>
      <c r="Y14" s="111"/>
      <c r="Z14" s="112" t="str">
        <f>IF(R14="","",VLOOKUP($Y14,'[1]Look Up'!$D$8:$E$17,2,FALSE))</f>
        <v/>
      </c>
      <c r="AA14" s="113"/>
      <c r="AB14" s="106"/>
      <c r="AC14" s="107" t="str">
        <f t="shared" si="0"/>
        <v/>
      </c>
      <c r="AD14" s="108"/>
      <c r="AE14" s="109"/>
      <c r="AF14" s="110">
        <f t="shared" si="1"/>
        <v>0</v>
      </c>
    </row>
    <row r="15" spans="1:32" s="86" customFormat="1" ht="15.95" customHeight="1" thickBot="1" x14ac:dyDescent="0.25">
      <c r="B15" s="214"/>
      <c r="C15" s="312"/>
      <c r="D15" s="140" t="str">
        <f t="shared" ref="D15:D29" si="2">IF($B15="","",0.555)</f>
        <v/>
      </c>
      <c r="E15" s="313"/>
      <c r="F15" s="314"/>
      <c r="G15" s="315"/>
      <c r="H15" s="89"/>
      <c r="I15" s="144"/>
      <c r="J15" s="143"/>
      <c r="K15" s="162"/>
      <c r="L15" s="163"/>
      <c r="M15" s="88"/>
      <c r="N15" s="144"/>
      <c r="O15" s="164">
        <f>IF(M15&lt;=0,0,$M15*$D15)</f>
        <v>0</v>
      </c>
      <c r="P15" s="165"/>
      <c r="Q15" s="24"/>
      <c r="R15" s="308"/>
      <c r="S15" s="309"/>
      <c r="T15" s="101"/>
      <c r="U15" s="102"/>
      <c r="V15" s="179"/>
      <c r="W15" s="180"/>
      <c r="X15" s="181"/>
      <c r="Y15" s="114"/>
      <c r="Z15" s="115" t="str">
        <f>IF(R15="","",VLOOKUP($Y15,'[1]Look Up'!$D$8:$E$17,2,FALSE))</f>
        <v/>
      </c>
      <c r="AA15" s="113"/>
      <c r="AB15" s="106"/>
      <c r="AC15" s="121" t="str">
        <f t="shared" si="0"/>
        <v/>
      </c>
      <c r="AD15" s="122"/>
      <c r="AE15" s="123"/>
      <c r="AF15" s="124">
        <f t="shared" si="1"/>
        <v>0</v>
      </c>
    </row>
    <row r="16" spans="1:32" s="86" customFormat="1" ht="15.95" customHeight="1" thickTop="1" x14ac:dyDescent="0.2">
      <c r="B16" s="214"/>
      <c r="C16" s="312"/>
      <c r="D16" s="140" t="str">
        <f t="shared" si="2"/>
        <v/>
      </c>
      <c r="E16" s="313"/>
      <c r="F16" s="314"/>
      <c r="G16" s="315"/>
      <c r="H16" s="89"/>
      <c r="I16" s="144"/>
      <c r="J16" s="143"/>
      <c r="K16" s="172"/>
      <c r="L16" s="173"/>
      <c r="M16" s="88"/>
      <c r="N16" s="144"/>
      <c r="O16" s="164">
        <f t="shared" ref="O16:O29" si="3">IF(M16&lt;=0,0,$M16*$D16)</f>
        <v>0</v>
      </c>
      <c r="P16" s="165"/>
      <c r="Q16" s="87"/>
      <c r="R16" s="226" t="s">
        <v>83</v>
      </c>
      <c r="S16" s="227"/>
      <c r="T16" s="227"/>
      <c r="U16" s="227"/>
      <c r="V16" s="227"/>
      <c r="W16" s="227"/>
      <c r="X16" s="227"/>
      <c r="Y16" s="227"/>
      <c r="Z16" s="227"/>
      <c r="AA16" s="228"/>
      <c r="AB16" s="232" t="s">
        <v>16</v>
      </c>
      <c r="AC16" s="158">
        <f>SUM(AC$8:AC$15)</f>
        <v>0</v>
      </c>
      <c r="AD16" s="158">
        <f>SUM(AD$8:AD$15)</f>
        <v>0</v>
      </c>
      <c r="AE16" s="158">
        <f>SUM(AE$8:AE$15)</f>
        <v>0</v>
      </c>
      <c r="AF16" s="160">
        <f>SUM(AF8:AF15)</f>
        <v>0</v>
      </c>
    </row>
    <row r="17" spans="1:32" s="86" customFormat="1" ht="15.95" customHeight="1" thickBot="1" x14ac:dyDescent="0.25">
      <c r="B17" s="214"/>
      <c r="C17" s="312"/>
      <c r="D17" s="140" t="str">
        <f t="shared" si="2"/>
        <v/>
      </c>
      <c r="E17" s="313"/>
      <c r="F17" s="314"/>
      <c r="G17" s="315"/>
      <c r="H17" s="89"/>
      <c r="I17" s="144"/>
      <c r="J17" s="143"/>
      <c r="K17" s="172"/>
      <c r="L17" s="173"/>
      <c r="M17" s="88"/>
      <c r="N17" s="144"/>
      <c r="O17" s="164">
        <f t="shared" si="3"/>
        <v>0</v>
      </c>
      <c r="P17" s="165"/>
      <c r="Q17" s="87"/>
      <c r="R17" s="229"/>
      <c r="S17" s="230"/>
      <c r="T17" s="230"/>
      <c r="U17" s="230"/>
      <c r="V17" s="230"/>
      <c r="W17" s="230"/>
      <c r="X17" s="230"/>
      <c r="Y17" s="230"/>
      <c r="Z17" s="230"/>
      <c r="AA17" s="231"/>
      <c r="AB17" s="233"/>
      <c r="AC17" s="159"/>
      <c r="AD17" s="159"/>
      <c r="AE17" s="159"/>
      <c r="AF17" s="161"/>
    </row>
    <row r="18" spans="1:32" s="86" customFormat="1" ht="15.95" customHeight="1" thickBot="1" x14ac:dyDescent="0.25">
      <c r="B18" s="214"/>
      <c r="C18" s="312"/>
      <c r="D18" s="140" t="str">
        <f t="shared" si="2"/>
        <v/>
      </c>
      <c r="E18" s="313"/>
      <c r="F18" s="314"/>
      <c r="G18" s="315"/>
      <c r="H18" s="85"/>
      <c r="I18" s="144"/>
      <c r="J18" s="143"/>
      <c r="K18" s="162"/>
      <c r="L18" s="163"/>
      <c r="M18" s="84"/>
      <c r="N18" s="144"/>
      <c r="O18" s="164">
        <f t="shared" si="3"/>
        <v>0</v>
      </c>
      <c r="P18" s="165"/>
      <c r="Q18" s="24"/>
      <c r="R18" s="198" t="s">
        <v>68</v>
      </c>
      <c r="S18" s="169"/>
      <c r="T18" s="169"/>
      <c r="U18" s="169"/>
      <c r="V18" s="169"/>
      <c r="W18" s="169"/>
      <c r="X18" s="169"/>
      <c r="Y18" s="169"/>
      <c r="Z18" s="169"/>
      <c r="AA18" s="169"/>
      <c r="AB18" s="169"/>
      <c r="AC18" s="169"/>
      <c r="AD18" s="117"/>
      <c r="AE18" s="168"/>
      <c r="AF18" s="169"/>
    </row>
    <row r="19" spans="1:32" s="86" customFormat="1" ht="15.95" customHeight="1" x14ac:dyDescent="0.25">
      <c r="B19" s="214"/>
      <c r="C19" s="312"/>
      <c r="D19" s="140" t="str">
        <f t="shared" si="2"/>
        <v/>
      </c>
      <c r="E19" s="313"/>
      <c r="F19" s="314"/>
      <c r="G19" s="315"/>
      <c r="H19" s="85"/>
      <c r="I19" s="144"/>
      <c r="J19" s="143"/>
      <c r="K19" s="162"/>
      <c r="L19" s="163"/>
      <c r="M19" s="84"/>
      <c r="N19" s="144"/>
      <c r="O19" s="164">
        <f t="shared" si="3"/>
        <v>0</v>
      </c>
      <c r="P19" s="165"/>
      <c r="Q19" s="24"/>
      <c r="R19" s="83" t="s">
        <v>20</v>
      </c>
      <c r="S19" s="82"/>
      <c r="T19" s="81"/>
      <c r="U19" s="81"/>
      <c r="V19" s="81"/>
      <c r="W19" s="81"/>
      <c r="X19" s="81"/>
      <c r="Y19" s="81"/>
      <c r="Z19" s="81"/>
      <c r="AA19" s="80"/>
      <c r="AB19" s="79" t="s">
        <v>39</v>
      </c>
      <c r="AC19" s="78"/>
      <c r="AD19" s="78"/>
      <c r="AE19" s="77"/>
      <c r="AF19" s="76"/>
    </row>
    <row r="20" spans="1:32" s="86" customFormat="1" ht="15.95" customHeight="1" x14ac:dyDescent="0.2">
      <c r="B20" s="214"/>
      <c r="C20" s="312"/>
      <c r="D20" s="140" t="str">
        <f t="shared" si="2"/>
        <v/>
      </c>
      <c r="E20" s="313"/>
      <c r="F20" s="314"/>
      <c r="G20" s="315"/>
      <c r="H20" s="85"/>
      <c r="I20" s="144"/>
      <c r="J20" s="143"/>
      <c r="K20" s="162"/>
      <c r="L20" s="163"/>
      <c r="M20" s="84"/>
      <c r="N20" s="144"/>
      <c r="O20" s="164">
        <f t="shared" si="3"/>
        <v>0</v>
      </c>
      <c r="P20" s="165"/>
      <c r="Q20" s="24"/>
      <c r="R20" s="170"/>
      <c r="S20" s="171"/>
      <c r="T20" s="171"/>
      <c r="U20" s="73" t="s">
        <v>72</v>
      </c>
      <c r="V20" s="72"/>
      <c r="W20" s="72"/>
      <c r="X20" s="72"/>
      <c r="Y20" s="72"/>
      <c r="Z20" s="72"/>
      <c r="AA20" s="71"/>
      <c r="AB20" s="62"/>
      <c r="AC20" s="70" t="s">
        <v>71</v>
      </c>
      <c r="AD20" s="60">
        <f>Mileage_Cost</f>
        <v>0</v>
      </c>
      <c r="AE20" s="61" t="s">
        <v>40</v>
      </c>
      <c r="AF20" s="69">
        <f>Meal_Cost</f>
        <v>0</v>
      </c>
    </row>
    <row r="21" spans="1:32" ht="15.95" customHeight="1" x14ac:dyDescent="0.2">
      <c r="A21" s="86"/>
      <c r="B21" s="214"/>
      <c r="C21" s="312"/>
      <c r="D21" s="140" t="str">
        <f t="shared" si="2"/>
        <v/>
      </c>
      <c r="E21" s="313"/>
      <c r="F21" s="314"/>
      <c r="G21" s="315"/>
      <c r="H21" s="85"/>
      <c r="I21" s="144"/>
      <c r="J21" s="143"/>
      <c r="K21" s="162"/>
      <c r="L21" s="163"/>
      <c r="M21" s="84"/>
      <c r="N21" s="144"/>
      <c r="O21" s="164">
        <f t="shared" si="3"/>
        <v>0</v>
      </c>
      <c r="P21" s="165"/>
      <c r="R21" s="220" t="s">
        <v>82</v>
      </c>
      <c r="S21" s="221"/>
      <c r="T21" s="221"/>
      <c r="U21" s="221"/>
      <c r="V21" s="221"/>
      <c r="W21" s="221"/>
      <c r="X21" s="221"/>
      <c r="Y21" s="221"/>
      <c r="Z21" s="221"/>
      <c r="AA21" s="222"/>
      <c r="AB21" s="62"/>
      <c r="AC21" s="61" t="s">
        <v>18</v>
      </c>
      <c r="AD21" s="60">
        <f>Lodging_Tax</f>
        <v>0</v>
      </c>
      <c r="AE21" s="59"/>
      <c r="AF21" s="58"/>
    </row>
    <row r="22" spans="1:32" ht="15.95" customHeight="1" x14ac:dyDescent="0.2">
      <c r="A22" s="86"/>
      <c r="B22" s="214"/>
      <c r="C22" s="312"/>
      <c r="D22" s="140" t="str">
        <f t="shared" si="2"/>
        <v/>
      </c>
      <c r="E22" s="313"/>
      <c r="F22" s="314"/>
      <c r="G22" s="315"/>
      <c r="H22" s="85"/>
      <c r="I22" s="144"/>
      <c r="J22" s="143"/>
      <c r="K22" s="166"/>
      <c r="L22" s="167"/>
      <c r="M22" s="84"/>
      <c r="N22" s="144"/>
      <c r="O22" s="164">
        <f t="shared" si="3"/>
        <v>0</v>
      </c>
      <c r="P22" s="165"/>
      <c r="R22" s="220"/>
      <c r="S22" s="221"/>
      <c r="T22" s="221"/>
      <c r="U22" s="221"/>
      <c r="V22" s="221"/>
      <c r="W22" s="221"/>
      <c r="X22" s="221"/>
      <c r="Y22" s="221"/>
      <c r="Z22" s="221"/>
      <c r="AA22" s="222"/>
      <c r="AB22" s="56"/>
      <c r="AC22" s="54" t="s">
        <v>41</v>
      </c>
      <c r="AD22" s="55">
        <f>Misc_Expense</f>
        <v>0</v>
      </c>
      <c r="AE22" s="54"/>
      <c r="AF22" s="53"/>
    </row>
    <row r="23" spans="1:32" ht="15.95" customHeight="1" thickBot="1" x14ac:dyDescent="0.25">
      <c r="B23" s="214"/>
      <c r="C23" s="312"/>
      <c r="D23" s="140" t="str">
        <f t="shared" si="2"/>
        <v/>
      </c>
      <c r="E23" s="313"/>
      <c r="F23" s="314"/>
      <c r="G23" s="315"/>
      <c r="H23" s="85"/>
      <c r="I23" s="144"/>
      <c r="J23" s="143"/>
      <c r="K23" s="162"/>
      <c r="L23" s="163"/>
      <c r="M23" s="84"/>
      <c r="N23" s="144"/>
      <c r="O23" s="164">
        <f t="shared" si="3"/>
        <v>0</v>
      </c>
      <c r="P23" s="165"/>
      <c r="R23" s="223"/>
      <c r="S23" s="224"/>
      <c r="T23" s="224"/>
      <c r="U23" s="224"/>
      <c r="V23" s="224"/>
      <c r="W23" s="224"/>
      <c r="X23" s="224"/>
      <c r="Y23" s="224"/>
      <c r="Z23" s="224"/>
      <c r="AA23" s="225"/>
      <c r="AB23" s="126"/>
      <c r="AC23" s="127" t="s">
        <v>81</v>
      </c>
      <c r="AD23" s="128">
        <f>Meal_Cost+Lodging_Tax</f>
        <v>0</v>
      </c>
      <c r="AE23" s="51" t="s">
        <v>80</v>
      </c>
      <c r="AF23" s="50">
        <f>SUM(Mileage_Cost,Lodging_Tax,Misc_Expense,Meal_Cost)</f>
        <v>0</v>
      </c>
    </row>
    <row r="24" spans="1:32" ht="15.95" customHeight="1" x14ac:dyDescent="0.2">
      <c r="B24" s="214"/>
      <c r="C24" s="312"/>
      <c r="D24" s="140" t="str">
        <f t="shared" si="2"/>
        <v/>
      </c>
      <c r="E24" s="313"/>
      <c r="F24" s="314"/>
      <c r="G24" s="315"/>
      <c r="H24" s="85"/>
      <c r="I24" s="144"/>
      <c r="J24" s="143"/>
      <c r="K24" s="166"/>
      <c r="L24" s="167"/>
      <c r="M24" s="84"/>
      <c r="N24" s="144"/>
      <c r="O24" s="164">
        <f t="shared" si="3"/>
        <v>0</v>
      </c>
      <c r="P24" s="165"/>
      <c r="R24" s="392" t="s">
        <v>92</v>
      </c>
      <c r="S24" s="393"/>
      <c r="T24" s="393"/>
      <c r="U24" s="393"/>
      <c r="V24" s="393"/>
      <c r="W24" s="393"/>
      <c r="X24" s="393"/>
      <c r="Y24" s="393"/>
      <c r="Z24" s="394"/>
      <c r="AA24" s="386" t="s">
        <v>93</v>
      </c>
      <c r="AB24" s="387"/>
      <c r="AC24" s="387"/>
      <c r="AD24" s="387"/>
      <c r="AE24" s="387"/>
      <c r="AF24" s="388"/>
    </row>
    <row r="25" spans="1:32" ht="15.95" customHeight="1" x14ac:dyDescent="0.2">
      <c r="B25" s="214"/>
      <c r="C25" s="312"/>
      <c r="D25" s="140" t="str">
        <f t="shared" si="2"/>
        <v/>
      </c>
      <c r="E25" s="313"/>
      <c r="F25" s="314"/>
      <c r="G25" s="315"/>
      <c r="H25" s="85"/>
      <c r="I25" s="144"/>
      <c r="J25" s="143"/>
      <c r="K25" s="162"/>
      <c r="L25" s="163"/>
      <c r="M25" s="84"/>
      <c r="N25" s="144"/>
      <c r="O25" s="164">
        <f t="shared" si="3"/>
        <v>0</v>
      </c>
      <c r="P25" s="165"/>
      <c r="R25" s="395"/>
      <c r="S25" s="396"/>
      <c r="T25" s="396"/>
      <c r="U25" s="396"/>
      <c r="V25" s="396"/>
      <c r="W25" s="396"/>
      <c r="X25" s="396"/>
      <c r="Y25" s="396"/>
      <c r="Z25" s="397"/>
      <c r="AA25" s="389"/>
      <c r="AB25" s="390"/>
      <c r="AC25" s="390"/>
      <c r="AD25" s="390"/>
      <c r="AE25" s="390"/>
      <c r="AF25" s="391"/>
    </row>
    <row r="26" spans="1:32" ht="15.95" customHeight="1" x14ac:dyDescent="0.2">
      <c r="B26" s="214"/>
      <c r="C26" s="312"/>
      <c r="D26" s="140" t="str">
        <f t="shared" si="2"/>
        <v/>
      </c>
      <c r="E26" s="313"/>
      <c r="F26" s="314"/>
      <c r="G26" s="315"/>
      <c r="H26" s="85"/>
      <c r="I26" s="144"/>
      <c r="J26" s="143"/>
      <c r="K26" s="166"/>
      <c r="L26" s="167"/>
      <c r="M26" s="84"/>
      <c r="N26" s="144"/>
      <c r="O26" s="164">
        <f t="shared" si="3"/>
        <v>0</v>
      </c>
      <c r="P26" s="165"/>
      <c r="R26" s="395"/>
      <c r="S26" s="396"/>
      <c r="T26" s="396"/>
      <c r="U26" s="396"/>
      <c r="V26" s="396"/>
      <c r="W26" s="396"/>
      <c r="X26" s="396"/>
      <c r="Y26" s="396"/>
      <c r="Z26" s="397"/>
      <c r="AA26" s="389"/>
      <c r="AB26" s="390"/>
      <c r="AC26" s="390"/>
      <c r="AD26" s="390"/>
      <c r="AE26" s="390"/>
      <c r="AF26" s="391"/>
    </row>
    <row r="27" spans="1:32" ht="15.95" customHeight="1" x14ac:dyDescent="0.2">
      <c r="B27" s="214"/>
      <c r="C27" s="312"/>
      <c r="D27" s="140" t="str">
        <f t="shared" si="2"/>
        <v/>
      </c>
      <c r="E27" s="313"/>
      <c r="F27" s="314"/>
      <c r="G27" s="315"/>
      <c r="H27" s="85"/>
      <c r="I27" s="144"/>
      <c r="J27" s="143"/>
      <c r="K27" s="166"/>
      <c r="L27" s="167"/>
      <c r="M27" s="84"/>
      <c r="N27" s="144"/>
      <c r="O27" s="164">
        <f t="shared" si="3"/>
        <v>0</v>
      </c>
      <c r="P27" s="165"/>
      <c r="R27" s="349"/>
      <c r="S27" s="350"/>
      <c r="T27" s="350"/>
      <c r="U27" s="350"/>
      <c r="V27" s="350"/>
      <c r="W27" s="350"/>
      <c r="X27" s="350"/>
      <c r="Y27" s="351"/>
      <c r="Z27" s="381"/>
      <c r="AA27" s="360"/>
      <c r="AB27" s="361"/>
      <c r="AC27" s="361"/>
      <c r="AD27" s="361"/>
      <c r="AE27" s="362"/>
      <c r="AF27" s="373"/>
    </row>
    <row r="28" spans="1:32" ht="15.95" customHeight="1" x14ac:dyDescent="0.2">
      <c r="B28" s="214"/>
      <c r="C28" s="312"/>
      <c r="D28" s="140" t="str">
        <f t="shared" si="2"/>
        <v/>
      </c>
      <c r="E28" s="313"/>
      <c r="F28" s="314"/>
      <c r="G28" s="315"/>
      <c r="H28" s="85"/>
      <c r="I28" s="144"/>
      <c r="J28" s="143"/>
      <c r="K28" s="166"/>
      <c r="L28" s="167"/>
      <c r="M28" s="84"/>
      <c r="N28" s="144"/>
      <c r="O28" s="164">
        <f t="shared" si="3"/>
        <v>0</v>
      </c>
      <c r="P28" s="165"/>
      <c r="R28" s="352"/>
      <c r="S28" s="353"/>
      <c r="T28" s="353"/>
      <c r="U28" s="353"/>
      <c r="V28" s="353"/>
      <c r="W28" s="353"/>
      <c r="X28" s="353"/>
      <c r="Y28" s="354"/>
      <c r="Z28" s="382"/>
      <c r="AA28" s="363"/>
      <c r="AB28" s="364"/>
      <c r="AC28" s="364"/>
      <c r="AD28" s="364"/>
      <c r="AE28" s="365"/>
      <c r="AF28" s="374"/>
    </row>
    <row r="29" spans="1:32" ht="15.95" customHeight="1" thickBot="1" x14ac:dyDescent="0.25">
      <c r="B29" s="337"/>
      <c r="C29" s="338"/>
      <c r="D29" s="140" t="str">
        <f t="shared" si="2"/>
        <v/>
      </c>
      <c r="E29" s="334"/>
      <c r="F29" s="335"/>
      <c r="G29" s="336"/>
      <c r="H29" s="75"/>
      <c r="I29" s="145"/>
      <c r="J29" s="143"/>
      <c r="K29" s="358"/>
      <c r="L29" s="359"/>
      <c r="M29" s="74"/>
      <c r="N29" s="145"/>
      <c r="O29" s="164">
        <f t="shared" si="3"/>
        <v>0</v>
      </c>
      <c r="P29" s="165"/>
      <c r="R29" s="355" t="s">
        <v>100</v>
      </c>
      <c r="S29" s="356"/>
      <c r="T29" s="356"/>
      <c r="U29" s="356"/>
      <c r="V29" s="356"/>
      <c r="W29" s="356"/>
      <c r="X29" s="356"/>
      <c r="Y29" s="357"/>
      <c r="Z29" s="116" t="s">
        <v>4</v>
      </c>
      <c r="AA29" s="366" t="s">
        <v>12</v>
      </c>
      <c r="AB29" s="367"/>
      <c r="AC29" s="367"/>
      <c r="AD29" s="367"/>
      <c r="AE29" s="368"/>
      <c r="AF29" s="125" t="s">
        <v>4</v>
      </c>
    </row>
    <row r="30" spans="1:32" ht="24" customHeight="1" thickBot="1" x14ac:dyDescent="0.25">
      <c r="B30" s="155" t="s">
        <v>105</v>
      </c>
      <c r="C30" s="48"/>
      <c r="D30" s="68"/>
      <c r="E30" s="68"/>
      <c r="F30" s="67"/>
      <c r="G30" s="67"/>
      <c r="H30" s="66"/>
      <c r="I30" s="65"/>
      <c r="J30" s="65"/>
      <c r="K30" s="65"/>
      <c r="L30" s="64" t="s">
        <v>16</v>
      </c>
      <c r="M30" s="63">
        <f>SUM($M$14:$M$29)</f>
        <v>0</v>
      </c>
      <c r="N30" s="146"/>
      <c r="O30" s="379">
        <f>SUM($O$14:$P$29)</f>
        <v>0</v>
      </c>
      <c r="P30" s="380"/>
      <c r="R30" s="383" t="s">
        <v>95</v>
      </c>
      <c r="S30" s="384"/>
      <c r="T30" s="384"/>
      <c r="U30" s="384"/>
      <c r="V30" s="384"/>
      <c r="W30" s="384"/>
      <c r="X30" s="384"/>
      <c r="Y30" s="384"/>
      <c r="Z30" s="384"/>
      <c r="AA30" s="384"/>
      <c r="AB30" s="384"/>
      <c r="AC30" s="384"/>
      <c r="AD30" s="384"/>
      <c r="AE30" s="384"/>
      <c r="AF30" s="385"/>
    </row>
    <row r="31" spans="1:32" ht="15.95" customHeight="1" x14ac:dyDescent="0.2">
      <c r="B31" s="154" t="s">
        <v>107</v>
      </c>
      <c r="C31" s="48"/>
      <c r="D31" s="48"/>
      <c r="E31" s="48"/>
      <c r="F31" s="57"/>
      <c r="G31" s="57"/>
      <c r="H31" s="37"/>
      <c r="I31" s="45"/>
      <c r="J31" s="45"/>
      <c r="K31" s="45"/>
      <c r="L31" s="44"/>
      <c r="M31" s="43"/>
      <c r="N31" s="43"/>
      <c r="O31" s="23"/>
      <c r="P31" s="23"/>
      <c r="R31" s="375" t="s">
        <v>5</v>
      </c>
      <c r="S31" s="376"/>
      <c r="T31" s="369" t="s">
        <v>6</v>
      </c>
      <c r="U31" s="369" t="s">
        <v>7</v>
      </c>
      <c r="V31" s="369" t="s">
        <v>8</v>
      </c>
      <c r="W31" s="369" t="s">
        <v>10</v>
      </c>
      <c r="X31" s="369" t="s">
        <v>9</v>
      </c>
      <c r="Y31" s="369" t="s">
        <v>3</v>
      </c>
      <c r="Z31" s="345" t="s">
        <v>69</v>
      </c>
      <c r="AA31" s="346"/>
      <c r="AB31" s="371" t="s">
        <v>70</v>
      </c>
      <c r="AC31" s="372"/>
      <c r="AD31" s="339" t="s">
        <v>11</v>
      </c>
      <c r="AE31" s="340"/>
      <c r="AF31" s="341"/>
    </row>
    <row r="32" spans="1:32" ht="15.95" customHeight="1" x14ac:dyDescent="0.2">
      <c r="B32" s="156" t="s">
        <v>106</v>
      </c>
      <c r="C32" s="48"/>
      <c r="D32" s="48"/>
      <c r="E32" s="148"/>
      <c r="F32" s="157"/>
      <c r="G32" s="57"/>
      <c r="H32" s="37"/>
      <c r="I32" s="45"/>
      <c r="J32" s="45"/>
      <c r="K32" s="45"/>
      <c r="L32" s="44"/>
      <c r="M32" s="43"/>
      <c r="N32" s="43"/>
      <c r="O32" s="23"/>
      <c r="P32" s="23"/>
      <c r="R32" s="377"/>
      <c r="S32" s="378"/>
      <c r="T32" s="370"/>
      <c r="U32" s="370"/>
      <c r="V32" s="370"/>
      <c r="W32" s="370"/>
      <c r="X32" s="370"/>
      <c r="Y32" s="370"/>
      <c r="Z32" s="347"/>
      <c r="AA32" s="348"/>
      <c r="AB32" s="129" t="s">
        <v>14</v>
      </c>
      <c r="AC32" s="99" t="s">
        <v>91</v>
      </c>
      <c r="AD32" s="192"/>
      <c r="AE32" s="193"/>
      <c r="AF32" s="194"/>
    </row>
    <row r="33" spans="2:32" ht="15.95" customHeight="1" x14ac:dyDescent="0.2">
      <c r="B33" s="147"/>
      <c r="C33" s="147"/>
      <c r="D33" s="147"/>
      <c r="E33" s="147"/>
      <c r="F33" s="47"/>
      <c r="G33" s="52" t="str">
        <f>IF($F$33&lt;0,"*Correct Advance info! Amount must be positive.","")</f>
        <v/>
      </c>
      <c r="I33" s="45"/>
      <c r="J33" s="45"/>
      <c r="K33" s="45"/>
      <c r="L33" s="44"/>
      <c r="M33" s="43"/>
      <c r="N33" s="43"/>
      <c r="O33" s="23"/>
      <c r="P33" s="23"/>
      <c r="Q33" s="36"/>
      <c r="R33" s="35">
        <v>1</v>
      </c>
      <c r="S33" s="34"/>
      <c r="T33" s="33">
        <v>222</v>
      </c>
      <c r="U33" s="98"/>
      <c r="V33" s="98"/>
      <c r="W33" s="32"/>
      <c r="X33" s="134"/>
      <c r="Y33" s="31"/>
      <c r="Z33" s="216"/>
      <c r="AA33" s="217"/>
      <c r="AB33" s="130"/>
      <c r="AC33" s="131"/>
      <c r="AD33" s="342"/>
      <c r="AE33" s="343"/>
      <c r="AF33" s="344"/>
    </row>
    <row r="34" spans="2:32" ht="15.95" customHeight="1" x14ac:dyDescent="0.2">
      <c r="B34" s="49"/>
      <c r="C34" s="48"/>
      <c r="D34" s="48"/>
      <c r="E34" s="48"/>
      <c r="F34" s="47"/>
      <c r="G34" s="46"/>
      <c r="I34" s="45"/>
      <c r="J34" s="45"/>
      <c r="K34" s="45"/>
      <c r="L34" s="44"/>
      <c r="M34" s="43"/>
      <c r="N34" s="43"/>
      <c r="O34" s="23"/>
      <c r="P34" s="23"/>
      <c r="R34" s="35">
        <v>2</v>
      </c>
      <c r="S34" s="34"/>
      <c r="T34" s="33"/>
      <c r="U34" s="98"/>
      <c r="V34" s="98"/>
      <c r="W34" s="32"/>
      <c r="X34" s="134"/>
      <c r="Y34" s="31"/>
      <c r="Z34" s="216"/>
      <c r="AA34" s="217"/>
      <c r="AB34" s="130"/>
      <c r="AC34" s="131"/>
      <c r="AD34" s="189" t="s">
        <v>37</v>
      </c>
      <c r="AE34" s="190"/>
      <c r="AF34" s="191"/>
    </row>
    <row r="35" spans="2:32" ht="15.95" customHeight="1" x14ac:dyDescent="0.2">
      <c r="B35" s="42"/>
      <c r="C35" s="25"/>
      <c r="D35" s="25"/>
      <c r="R35" s="35">
        <v>3</v>
      </c>
      <c r="S35" s="34"/>
      <c r="T35" s="33"/>
      <c r="U35" s="98"/>
      <c r="V35" s="98"/>
      <c r="W35" s="32"/>
      <c r="X35" s="134"/>
      <c r="Y35" s="31"/>
      <c r="Z35" s="216"/>
      <c r="AA35" s="217"/>
      <c r="AB35" s="130"/>
      <c r="AC35" s="131"/>
      <c r="AD35" s="192"/>
      <c r="AE35" s="193"/>
      <c r="AF35" s="194"/>
    </row>
    <row r="36" spans="2:32" ht="15.95" customHeight="1" x14ac:dyDescent="0.2">
      <c r="B36" s="149"/>
      <c r="C36" s="41"/>
      <c r="D36" s="41"/>
      <c r="E36" s="41"/>
      <c r="F36" s="41"/>
      <c r="G36" s="41"/>
      <c r="H36" s="41"/>
      <c r="I36" s="41"/>
      <c r="J36" s="41"/>
      <c r="K36" s="41"/>
      <c r="L36" s="40"/>
      <c r="R36" s="35">
        <v>4</v>
      </c>
      <c r="S36" s="34"/>
      <c r="T36" s="33"/>
      <c r="U36" s="98"/>
      <c r="V36" s="98"/>
      <c r="W36" s="32"/>
      <c r="X36" s="134"/>
      <c r="Y36" s="31"/>
      <c r="Z36" s="216"/>
      <c r="AA36" s="217"/>
      <c r="AB36" s="130"/>
      <c r="AC36" s="131"/>
      <c r="AD36" s="192"/>
      <c r="AE36" s="193"/>
      <c r="AF36" s="194"/>
    </row>
    <row r="37" spans="2:32" ht="15.95" customHeight="1" x14ac:dyDescent="0.2">
      <c r="B37" s="149"/>
      <c r="C37" s="150"/>
      <c r="D37" s="150"/>
      <c r="E37" s="150"/>
      <c r="F37" s="150"/>
      <c r="G37" s="150"/>
      <c r="H37" s="150"/>
      <c r="R37" s="35">
        <v>5</v>
      </c>
      <c r="S37" s="34"/>
      <c r="T37" s="33"/>
      <c r="U37" s="98"/>
      <c r="V37" s="98"/>
      <c r="W37" s="32"/>
      <c r="X37" s="134"/>
      <c r="Y37" s="31"/>
      <c r="Z37" s="216"/>
      <c r="AA37" s="217"/>
      <c r="AB37" s="130"/>
      <c r="AC37" s="131"/>
      <c r="AD37" s="192"/>
      <c r="AE37" s="193"/>
      <c r="AF37" s="194"/>
    </row>
    <row r="38" spans="2:32" ht="15.95" customHeight="1" x14ac:dyDescent="0.2">
      <c r="B38" s="39"/>
      <c r="C38" s="38"/>
      <c r="D38" s="38"/>
      <c r="E38" s="37"/>
      <c r="R38" s="35">
        <v>6</v>
      </c>
      <c r="S38" s="34"/>
      <c r="T38" s="33"/>
      <c r="U38" s="98"/>
      <c r="V38" s="98"/>
      <c r="W38" s="32"/>
      <c r="X38" s="134"/>
      <c r="Y38" s="31"/>
      <c r="Z38" s="216"/>
      <c r="AA38" s="217"/>
      <c r="AB38" s="130"/>
      <c r="AC38" s="131"/>
      <c r="AD38" s="192" t="s">
        <v>38</v>
      </c>
      <c r="AE38" s="193"/>
      <c r="AF38" s="194"/>
    </row>
    <row r="39" spans="2:32" ht="15" customHeight="1" thickBot="1" x14ac:dyDescent="0.25">
      <c r="B39" s="39"/>
      <c r="C39" s="38"/>
      <c r="D39" s="38"/>
      <c r="E39" s="37"/>
      <c r="R39" s="30">
        <v>7</v>
      </c>
      <c r="S39" s="29"/>
      <c r="T39" s="28"/>
      <c r="U39" s="100"/>
      <c r="V39" s="100"/>
      <c r="W39" s="27"/>
      <c r="X39" s="135"/>
      <c r="Y39" s="26"/>
      <c r="Z39" s="218"/>
      <c r="AA39" s="219"/>
      <c r="AB39" s="132"/>
      <c r="AC39" s="133"/>
      <c r="AD39" s="195"/>
      <c r="AE39" s="196"/>
      <c r="AF39" s="197"/>
    </row>
    <row r="40" spans="2:32" ht="15" customHeight="1" x14ac:dyDescent="0.2">
      <c r="B40" s="39"/>
      <c r="C40" s="38"/>
      <c r="D40" s="38"/>
      <c r="E40" s="37"/>
      <c r="Q40" s="25"/>
    </row>
    <row r="41" spans="2:32" ht="15" customHeight="1" x14ac:dyDescent="0.2">
      <c r="B41" s="39"/>
      <c r="C41" s="38"/>
      <c r="D41" s="38"/>
      <c r="E41" s="37"/>
      <c r="Q41" s="25"/>
      <c r="R41" s="25"/>
      <c r="S41" s="25"/>
      <c r="T41" s="25"/>
      <c r="U41" s="25"/>
      <c r="V41" s="25"/>
      <c r="W41" s="25"/>
      <c r="X41" s="25"/>
      <c r="Y41" s="25"/>
      <c r="Z41" s="25"/>
      <c r="AA41" s="25"/>
      <c r="AB41" s="25"/>
      <c r="AC41" s="25"/>
      <c r="AD41" s="25"/>
      <c r="AE41" s="25"/>
      <c r="AF41" s="25"/>
    </row>
    <row r="42" spans="2:32" ht="15" customHeight="1" x14ac:dyDescent="0.2">
      <c r="Q42" s="25"/>
      <c r="R42" s="25"/>
      <c r="S42" s="25"/>
      <c r="T42" s="25"/>
      <c r="U42" s="25"/>
      <c r="V42" s="25"/>
      <c r="W42" s="25"/>
      <c r="X42" s="25"/>
      <c r="Y42" s="25"/>
      <c r="Z42" s="25"/>
      <c r="AA42" s="25"/>
      <c r="AB42" s="25"/>
      <c r="AC42" s="25"/>
      <c r="AD42" s="25"/>
      <c r="AE42" s="25"/>
      <c r="AF42" s="25"/>
    </row>
    <row r="43" spans="2:32" ht="15" customHeight="1" x14ac:dyDescent="0.2">
      <c r="Q43" s="25"/>
      <c r="R43" s="25"/>
      <c r="S43" s="25"/>
      <c r="T43" s="25"/>
      <c r="U43" s="25"/>
      <c r="V43" s="25"/>
      <c r="W43" s="25"/>
      <c r="X43" s="25"/>
      <c r="Y43" s="25"/>
      <c r="Z43" s="25"/>
      <c r="AA43" s="25"/>
      <c r="AB43" s="25"/>
      <c r="AC43" s="25"/>
      <c r="AD43" s="25"/>
      <c r="AE43" s="25"/>
      <c r="AF43" s="25"/>
    </row>
    <row r="44" spans="2:32" ht="12.75" x14ac:dyDescent="0.2">
      <c r="R44" s="25"/>
      <c r="S44" s="25"/>
      <c r="T44" s="25"/>
      <c r="U44" s="25"/>
      <c r="V44" s="25"/>
      <c r="W44" s="25"/>
      <c r="X44" s="25"/>
      <c r="Y44" s="25"/>
      <c r="Z44" s="25"/>
      <c r="AA44" s="25"/>
      <c r="AB44" s="25"/>
      <c r="AC44" s="25"/>
      <c r="AD44" s="25"/>
      <c r="AE44" s="25"/>
      <c r="AF44" s="25"/>
    </row>
  </sheetData>
  <sheetProtection password="DCE5" sheet="1" objects="1" scenarios="1" selectLockedCells="1"/>
  <mergeCells count="160">
    <mergeCell ref="AA24:AF26"/>
    <mergeCell ref="R24:Z26"/>
    <mergeCell ref="E19:G19"/>
    <mergeCell ref="E20:G20"/>
    <mergeCell ref="E21:G21"/>
    <mergeCell ref="E22:G22"/>
    <mergeCell ref="E23:G23"/>
    <mergeCell ref="E24:G24"/>
    <mergeCell ref="E25:G25"/>
    <mergeCell ref="E26:G26"/>
    <mergeCell ref="O24:P24"/>
    <mergeCell ref="K24:L24"/>
    <mergeCell ref="K23:L23"/>
    <mergeCell ref="O23:P23"/>
    <mergeCell ref="K25:L25"/>
    <mergeCell ref="O25:P25"/>
    <mergeCell ref="O26:P26"/>
    <mergeCell ref="AD31:AF33"/>
    <mergeCell ref="Z31:AA32"/>
    <mergeCell ref="Z33:AA33"/>
    <mergeCell ref="R27:Y28"/>
    <mergeCell ref="R29:Y29"/>
    <mergeCell ref="K28:L28"/>
    <mergeCell ref="O28:P28"/>
    <mergeCell ref="K29:L29"/>
    <mergeCell ref="O29:P29"/>
    <mergeCell ref="AA27:AE28"/>
    <mergeCell ref="AA29:AE29"/>
    <mergeCell ref="Y31:Y32"/>
    <mergeCell ref="AB31:AC31"/>
    <mergeCell ref="AF27:AF28"/>
    <mergeCell ref="R31:S32"/>
    <mergeCell ref="T31:T32"/>
    <mergeCell ref="U31:U32"/>
    <mergeCell ref="V31:V32"/>
    <mergeCell ref="W31:W32"/>
    <mergeCell ref="X31:X32"/>
    <mergeCell ref="O30:P30"/>
    <mergeCell ref="Z27:Z28"/>
    <mergeCell ref="R30:AF30"/>
    <mergeCell ref="K27:L27"/>
    <mergeCell ref="E29:G29"/>
    <mergeCell ref="B23:C23"/>
    <mergeCell ref="B24:C24"/>
    <mergeCell ref="B25:C25"/>
    <mergeCell ref="B26:C26"/>
    <mergeCell ref="B27:C27"/>
    <mergeCell ref="B28:C28"/>
    <mergeCell ref="B29:C29"/>
    <mergeCell ref="B17:C17"/>
    <mergeCell ref="B18:C18"/>
    <mergeCell ref="B19:C19"/>
    <mergeCell ref="B20:C20"/>
    <mergeCell ref="B21:C21"/>
    <mergeCell ref="B22:C22"/>
    <mergeCell ref="E27:G27"/>
    <mergeCell ref="E28:G28"/>
    <mergeCell ref="E18:G18"/>
    <mergeCell ref="O27:P27"/>
    <mergeCell ref="K26:L26"/>
    <mergeCell ref="O14:P14"/>
    <mergeCell ref="I12:I13"/>
    <mergeCell ref="B10:J10"/>
    <mergeCell ref="E12:G13"/>
    <mergeCell ref="E14:G14"/>
    <mergeCell ref="B12:C13"/>
    <mergeCell ref="O15:P15"/>
    <mergeCell ref="E17:G17"/>
    <mergeCell ref="R15:S15"/>
    <mergeCell ref="K16:L16"/>
    <mergeCell ref="O16:P16"/>
    <mergeCell ref="B14:C14"/>
    <mergeCell ref="B15:C15"/>
    <mergeCell ref="B16:C16"/>
    <mergeCell ref="K14:L14"/>
    <mergeCell ref="K15:L15"/>
    <mergeCell ref="E15:G15"/>
    <mergeCell ref="E16:G16"/>
    <mergeCell ref="B9:E9"/>
    <mergeCell ref="F9:J9"/>
    <mergeCell ref="K9:P9"/>
    <mergeCell ref="H12:H13"/>
    <mergeCell ref="L10:P10"/>
    <mergeCell ref="R8:S8"/>
    <mergeCell ref="B11:P11"/>
    <mergeCell ref="R12:S12"/>
    <mergeCell ref="J12:J13"/>
    <mergeCell ref="K12:L13"/>
    <mergeCell ref="M12:M13"/>
    <mergeCell ref="N12:N13"/>
    <mergeCell ref="O12:P13"/>
    <mergeCell ref="D12:D13"/>
    <mergeCell ref="R9:S9"/>
    <mergeCell ref="R11:S11"/>
    <mergeCell ref="F1:K3"/>
    <mergeCell ref="M1:P1"/>
    <mergeCell ref="M2:P3"/>
    <mergeCell ref="R4:S7"/>
    <mergeCell ref="T4:T7"/>
    <mergeCell ref="U4:U7"/>
    <mergeCell ref="C7:E7"/>
    <mergeCell ref="G7:J7"/>
    <mergeCell ref="B8:E8"/>
    <mergeCell ref="F8:J8"/>
    <mergeCell ref="K8:P8"/>
    <mergeCell ref="M5:P6"/>
    <mergeCell ref="AD34:AF37"/>
    <mergeCell ref="AD38:AF39"/>
    <mergeCell ref="R3:AF3"/>
    <mergeCell ref="V5:X7"/>
    <mergeCell ref="Z5:Z7"/>
    <mergeCell ref="AA5:AA7"/>
    <mergeCell ref="AD4:AE4"/>
    <mergeCell ref="V4:AC4"/>
    <mergeCell ref="V8:X8"/>
    <mergeCell ref="Y5:Y7"/>
    <mergeCell ref="AB5:AB7"/>
    <mergeCell ref="R13:S13"/>
    <mergeCell ref="R14:S14"/>
    <mergeCell ref="Z34:AA34"/>
    <mergeCell ref="Z35:AA35"/>
    <mergeCell ref="Z36:AA36"/>
    <mergeCell ref="Z37:AA37"/>
    <mergeCell ref="Z38:AA38"/>
    <mergeCell ref="Z39:AA39"/>
    <mergeCell ref="R18:AC18"/>
    <mergeCell ref="R21:AA23"/>
    <mergeCell ref="R10:S10"/>
    <mergeCell ref="R16:AA17"/>
    <mergeCell ref="AB16:AB17"/>
    <mergeCell ref="AD1:AF1"/>
    <mergeCell ref="V12:X12"/>
    <mergeCell ref="V13:X13"/>
    <mergeCell ref="V14:X14"/>
    <mergeCell ref="V15:X15"/>
    <mergeCell ref="AF4:AF7"/>
    <mergeCell ref="AC6:AC7"/>
    <mergeCell ref="AD6:AD7"/>
    <mergeCell ref="AE6:AE7"/>
    <mergeCell ref="V9:X9"/>
    <mergeCell ref="V10:X10"/>
    <mergeCell ref="V11:X11"/>
    <mergeCell ref="AD16:AD17"/>
    <mergeCell ref="AE16:AE17"/>
    <mergeCell ref="AF16:AF17"/>
    <mergeCell ref="K18:L18"/>
    <mergeCell ref="O18:P18"/>
    <mergeCell ref="K20:L20"/>
    <mergeCell ref="O20:P20"/>
    <mergeCell ref="K22:L22"/>
    <mergeCell ref="O22:P22"/>
    <mergeCell ref="AE18:AF18"/>
    <mergeCell ref="R20:T20"/>
    <mergeCell ref="AC16:AC17"/>
    <mergeCell ref="K19:L19"/>
    <mergeCell ref="O19:P19"/>
    <mergeCell ref="K21:L21"/>
    <mergeCell ref="O21:P21"/>
    <mergeCell ref="K17:L17"/>
    <mergeCell ref="O17:P17"/>
  </mergeCells>
  <dataValidations count="6">
    <dataValidation type="list" allowBlank="1" showInputMessage="1" showErrorMessage="1" sqref="R20">
      <formula1>"I did/will, I did not/will not"</formula1>
    </dataValidation>
    <dataValidation type="list" allowBlank="1" showInputMessage="1" showErrorMessage="1" sqref="AA8:AA15">
      <formula1>"25%,50%,75%,100%"</formula1>
    </dataValidation>
    <dataValidation type="list" allowBlank="1" showInputMessage="1" showErrorMessage="1" sqref="Y8:Y15">
      <formula1>County</formula1>
    </dataValidation>
    <dataValidation type="list" allowBlank="1" showInputMessage="1" showErrorMessage="1" sqref="AB8:AB15">
      <formula1>"None,Breakfast,Lunch,Dinner,All,Breakfast/Lunch,Lunch/Dinner,Breakfast/Dinner"</formula1>
    </dataValidation>
    <dataValidation type="list" allowBlank="1" showInputMessage="1" showErrorMessage="1" sqref="H14:H29">
      <formula1>"Yes,No"</formula1>
    </dataValidation>
    <dataValidation type="list" allowBlank="1" showInputMessage="1" showErrorMessage="1" sqref="J14:J29">
      <formula1>"0,1,2"</formula1>
    </dataValidation>
  </dataValidations>
  <printOptions horizontalCentered="1"/>
  <pageMargins left="0.25" right="0.25" top="0.36" bottom="0.27" header="0.24" footer="0.23"/>
  <pageSetup scale="85" fitToWidth="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8216" r:id="rId4" name="Check Box 24">
              <controlPr defaultSize="0" autoFill="0" autoLine="0" autoPict="0">
                <anchor moveWithCells="1">
                  <from>
                    <xdr:col>8</xdr:col>
                    <xdr:colOff>0</xdr:colOff>
                    <xdr:row>30</xdr:row>
                    <xdr:rowOff>9525</xdr:rowOff>
                  </from>
                  <to>
                    <xdr:col>8</xdr:col>
                    <xdr:colOff>381000</xdr:colOff>
                    <xdr:row>31</xdr:row>
                    <xdr:rowOff>28575</xdr:rowOff>
                  </to>
                </anchor>
              </controlPr>
            </control>
          </mc:Choice>
        </mc:AlternateContent>
        <mc:AlternateContent xmlns:mc="http://schemas.openxmlformats.org/markup-compatibility/2006">
          <mc:Choice Requires="x14">
            <control shapeId="8217" r:id="rId5" name="Check Box 25">
              <controlPr defaultSize="0" autoFill="0" autoLine="0" autoPict="0">
                <anchor moveWithCells="1">
                  <from>
                    <xdr:col>8</xdr:col>
                    <xdr:colOff>390525</xdr:colOff>
                    <xdr:row>30</xdr:row>
                    <xdr:rowOff>9525</xdr:rowOff>
                  </from>
                  <to>
                    <xdr:col>9</xdr:col>
                    <xdr:colOff>219075</xdr:colOff>
                    <xdr:row>31</xdr:row>
                    <xdr:rowOff>28575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enableFormatConditionsCalculation="0">
    <tabColor indexed="22"/>
  </sheetPr>
  <dimension ref="A5:J20"/>
  <sheetViews>
    <sheetView workbookViewId="0">
      <selection activeCell="A10" sqref="A10"/>
    </sheetView>
  </sheetViews>
  <sheetFormatPr defaultRowHeight="12.75" x14ac:dyDescent="0.2"/>
  <cols>
    <col min="1" max="1" width="15.5703125" customWidth="1"/>
    <col min="2" max="2" width="10.5703125" customWidth="1"/>
    <col min="4" max="4" width="14.28515625" bestFit="1" customWidth="1"/>
    <col min="5" max="5" width="10.140625" customWidth="1"/>
    <col min="6" max="6" width="6.85546875" bestFit="1" customWidth="1"/>
    <col min="7" max="7" width="6.5703125" customWidth="1"/>
    <col min="8" max="8" width="25.28515625" customWidth="1"/>
    <col min="9" max="9" width="14.5703125" customWidth="1"/>
    <col min="10" max="10" width="8.42578125" customWidth="1"/>
  </cols>
  <sheetData>
    <row r="5" spans="1:10" ht="13.5" thickBot="1" x14ac:dyDescent="0.25"/>
    <row r="6" spans="1:10" ht="13.5" customHeight="1" thickBot="1" x14ac:dyDescent="0.25">
      <c r="A6" s="1" t="s">
        <v>21</v>
      </c>
      <c r="B6" s="136">
        <v>0.55500000000000005</v>
      </c>
      <c r="D6" s="400" t="s">
        <v>24</v>
      </c>
      <c r="E6" s="401"/>
      <c r="G6" s="402" t="s">
        <v>45</v>
      </c>
      <c r="H6" s="403"/>
      <c r="I6" s="403"/>
      <c r="J6" s="404"/>
    </row>
    <row r="7" spans="1:10" ht="13.5" thickBot="1" x14ac:dyDescent="0.25">
      <c r="A7" s="1" t="s">
        <v>50</v>
      </c>
      <c r="B7" s="136">
        <v>0.23</v>
      </c>
      <c r="D7" s="5" t="s">
        <v>35</v>
      </c>
      <c r="E7" s="6" t="s">
        <v>2</v>
      </c>
      <c r="G7" s="20" t="s">
        <v>43</v>
      </c>
      <c r="H7" s="21" t="s">
        <v>57</v>
      </c>
      <c r="I7" s="21" t="s">
        <v>58</v>
      </c>
      <c r="J7" s="22" t="s">
        <v>44</v>
      </c>
    </row>
    <row r="8" spans="1:10" ht="13.5" thickBot="1" x14ac:dyDescent="0.25">
      <c r="D8" s="7" t="s">
        <v>25</v>
      </c>
      <c r="E8" s="8">
        <v>61</v>
      </c>
      <c r="G8" s="14" t="s">
        <v>47</v>
      </c>
      <c r="H8" s="17" t="s">
        <v>51</v>
      </c>
      <c r="I8" s="17" t="s">
        <v>64</v>
      </c>
      <c r="J8" s="137">
        <f>Mileage_Rate</f>
        <v>0.55500000000000005</v>
      </c>
    </row>
    <row r="9" spans="1:10" ht="13.5" thickBot="1" x14ac:dyDescent="0.25">
      <c r="A9" s="1" t="s">
        <v>22</v>
      </c>
      <c r="D9" s="9" t="s">
        <v>26</v>
      </c>
      <c r="E9" s="10">
        <v>51</v>
      </c>
      <c r="G9" s="15" t="s">
        <v>49</v>
      </c>
      <c r="H9" s="18" t="s">
        <v>53</v>
      </c>
      <c r="I9" s="18" t="s">
        <v>42</v>
      </c>
      <c r="J9" s="138">
        <f>Reduced_Rate</f>
        <v>0.23</v>
      </c>
    </row>
    <row r="10" spans="1:10" x14ac:dyDescent="0.2">
      <c r="A10" s="2">
        <v>46</v>
      </c>
      <c r="D10" s="9" t="s">
        <v>27</v>
      </c>
      <c r="E10" s="10">
        <v>61</v>
      </c>
      <c r="G10" s="15" t="s">
        <v>48</v>
      </c>
      <c r="H10" s="18" t="s">
        <v>52</v>
      </c>
      <c r="I10" s="18" t="s">
        <v>65</v>
      </c>
      <c r="J10" s="138">
        <f>Mileage_Rate</f>
        <v>0.55500000000000005</v>
      </c>
    </row>
    <row r="11" spans="1:10" x14ac:dyDescent="0.2">
      <c r="A11" s="3">
        <v>51</v>
      </c>
      <c r="D11" s="9" t="s">
        <v>28</v>
      </c>
      <c r="E11" s="10">
        <v>56</v>
      </c>
      <c r="G11" s="15" t="s">
        <v>46</v>
      </c>
      <c r="H11" s="18" t="s">
        <v>54</v>
      </c>
      <c r="I11" s="18" t="s">
        <v>64</v>
      </c>
      <c r="J11" s="138">
        <f>Mileage_Rate</f>
        <v>0.55500000000000005</v>
      </c>
    </row>
    <row r="12" spans="1:10" ht="13.5" thickBot="1" x14ac:dyDescent="0.25">
      <c r="A12" s="3">
        <v>56</v>
      </c>
      <c r="D12" s="9" t="s">
        <v>29</v>
      </c>
      <c r="E12" s="10">
        <v>56</v>
      </c>
      <c r="G12" s="16" t="s">
        <v>55</v>
      </c>
      <c r="H12" s="19" t="s">
        <v>56</v>
      </c>
      <c r="I12" s="19" t="s">
        <v>42</v>
      </c>
      <c r="J12" s="139">
        <v>0</v>
      </c>
    </row>
    <row r="13" spans="1:10" x14ac:dyDescent="0.2">
      <c r="A13" s="3">
        <v>61</v>
      </c>
      <c r="D13" s="9" t="s">
        <v>30</v>
      </c>
      <c r="E13" s="10">
        <v>51</v>
      </c>
      <c r="J13" s="13"/>
    </row>
    <row r="14" spans="1:10" ht="13.5" thickBot="1" x14ac:dyDescent="0.25">
      <c r="A14" s="4">
        <v>66</v>
      </c>
      <c r="D14" s="9" t="s">
        <v>31</v>
      </c>
      <c r="E14" s="10">
        <v>56</v>
      </c>
    </row>
    <row r="15" spans="1:10" ht="13.5" thickBot="1" x14ac:dyDescent="0.25">
      <c r="D15" s="9" t="s">
        <v>32</v>
      </c>
      <c r="E15" s="10">
        <v>66</v>
      </c>
    </row>
    <row r="16" spans="1:10" ht="13.5" thickBot="1" x14ac:dyDescent="0.25">
      <c r="D16" s="9" t="s">
        <v>34</v>
      </c>
      <c r="E16" s="10">
        <v>46</v>
      </c>
      <c r="G16" s="405" t="s">
        <v>59</v>
      </c>
      <c r="H16" s="406"/>
    </row>
    <row r="17" spans="4:8" ht="13.5" thickBot="1" x14ac:dyDescent="0.25">
      <c r="D17" s="11" t="s">
        <v>33</v>
      </c>
      <c r="E17" s="12">
        <v>51</v>
      </c>
      <c r="G17" s="407" t="s">
        <v>62</v>
      </c>
      <c r="H17" s="408"/>
    </row>
    <row r="18" spans="4:8" x14ac:dyDescent="0.2">
      <c r="G18" s="407" t="s">
        <v>61</v>
      </c>
      <c r="H18" s="408"/>
    </row>
    <row r="19" spans="4:8" x14ac:dyDescent="0.2">
      <c r="G19" s="407" t="s">
        <v>63</v>
      </c>
      <c r="H19" s="408"/>
    </row>
    <row r="20" spans="4:8" ht="13.5" thickBot="1" x14ac:dyDescent="0.25">
      <c r="G20" s="398" t="s">
        <v>60</v>
      </c>
      <c r="H20" s="399"/>
    </row>
  </sheetData>
  <sheetProtection selectLockedCells="1" selectUnlockedCells="1"/>
  <mergeCells count="7">
    <mergeCell ref="G20:H20"/>
    <mergeCell ref="D6:E6"/>
    <mergeCell ref="G6:J6"/>
    <mergeCell ref="G16:H16"/>
    <mergeCell ref="G17:H17"/>
    <mergeCell ref="G18:H18"/>
    <mergeCell ref="G19:H19"/>
  </mergeCells>
  <phoneticPr fontId="9" type="noConversion"/>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RetentionPeriodDate xmlns="http://schemas.microsoft.com/sharepoint/v4" xsi:nil="true"/>
    <CopyToStateLib xmlns="http://schemas.microsoft.com/sharepoint/v4">false</CopyToStateLib>
    <Metadata xmlns="http://schemas.microsoft.com/sharepoint/v4" xsi:nil="true"/>
    <DocumentLocale xmlns="http://schemas.microsoft.com/sharepoint/v4">en</DocumentLocale>
    <RoutingRuleDescription xmlns="http://schemas.microsoft.com/sharepoint/v3">YA 2228 C Travel Expense Sheet Contractors Volunteers Sept 2012</RoutingRuleDescription>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1BA2DF59E1F70449D2BF6CBA84BBBE8" ma:contentTypeVersion="7" ma:contentTypeDescription="Create a new document." ma:contentTypeScope="" ma:versionID="63226cf207b80fceac87e41eed509ff6">
  <xsd:schema xmlns:xsd="http://www.w3.org/2001/XMLSchema" xmlns:xs="http://www.w3.org/2001/XMLSchema" xmlns:p="http://schemas.microsoft.com/office/2006/metadata/properties" xmlns:ns1="http://schemas.microsoft.com/sharepoint/v3" xmlns:ns2="http://schemas.microsoft.com/sharepoint/v4" targetNamespace="http://schemas.microsoft.com/office/2006/metadata/properties" ma:root="true" ma:fieldsID="4d487315c01e68a6724fafae8ceb1591" ns1:_="" ns2:_="">
    <xsd:import namespace="http://schemas.microsoft.com/sharepoint/v3"/>
    <xsd:import namespace="http://schemas.microsoft.com/sharepoint/v4"/>
    <xsd:element name="properties">
      <xsd:complexType>
        <xsd:sequence>
          <xsd:element name="documentManagement">
            <xsd:complexType>
              <xsd:all>
                <xsd:element ref="ns2:CopyToStateLib" minOccurs="0"/>
                <xsd:element ref="ns2:DocumentLocale" minOccurs="0"/>
                <xsd:element ref="ns2:Metadata" minOccurs="0"/>
                <xsd:element ref="ns2:RetentionPeriodDate" minOccurs="0"/>
                <xsd:element ref="ns1:RoutingRule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RoutingRuleDescription" ma:index="12" nillable="true" ma:displayName="Description" ma:internalName="RoutingRuleDescription"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CopyToStateLib" ma:index="8" nillable="true" ma:displayName="Copy To State Library" ma:default="0" ma:description="Many documents are automatically archived by the Oregon State Library. Choose 'Yes' for ensure that this document will be archived. Follow this link for more information: http://oregon.gov/OSL/GRES/metatag_attribute_set.shtml" ma:internalName="CopyToStateLib">
      <xsd:simpleType>
        <xsd:restriction base="dms:Boolean"/>
      </xsd:simpleType>
    </xsd:element>
    <xsd:element name="DocumentLocale" ma:index="9" nillable="true" ma:displayName="Locale" ma:default="en" ma:internalName="DocumentLocale">
      <xsd:simpleType>
        <xsd:restriction base="dms:Text">
          <xsd:maxLength value="10"/>
        </xsd:restriction>
      </xsd:simpleType>
    </xsd:element>
    <xsd:element name="Metadata" ma:index="10" nillable="true" ma:displayName="Metadata" ma:internalName="Metadata">
      <xsd:simpleType>
        <xsd:restriction base="dms:Note"/>
      </xsd:simpleType>
    </xsd:element>
    <xsd:element name="RetentionPeriodDate" ma:index="11" nillable="true" ma:displayName="Retention Period Date" ma:format="DateOnly" ma:internalName="RetentionPeriodDat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ma:index="13"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9F38472-46C6-40AA-AF0A-06433ABA4DA2}"/>
</file>

<file path=customXml/itemProps2.xml><?xml version="1.0" encoding="utf-8"?>
<ds:datastoreItem xmlns:ds="http://schemas.openxmlformats.org/officeDocument/2006/customXml" ds:itemID="{ED718242-2AD9-416F-A3CB-11F8A19A7EE8}">
  <ds:schemaRefs>
    <ds:schemaRef ds:uri="http://schemas.microsoft.com/sharepoint/v3/contenttype/forms"/>
  </ds:schemaRefs>
</ds:datastoreItem>
</file>

<file path=customXml/itemProps3.xml><?xml version="1.0" encoding="utf-8"?>
<ds:datastoreItem xmlns:ds="http://schemas.openxmlformats.org/officeDocument/2006/customXml" ds:itemID="{39F28D40-C98A-4A4C-82A9-979D997542D1}"/>
</file>

<file path=customXml/itemProps4.xml><?xml version="1.0" encoding="utf-8"?>
<ds:datastoreItem xmlns:ds="http://schemas.openxmlformats.org/officeDocument/2006/customXml" ds:itemID="{ED718242-2AD9-416F-A3CB-11F8A19A7EE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14</vt:i4>
      </vt:variant>
    </vt:vector>
  </HeadingPairs>
  <TitlesOfParts>
    <vt:vector size="16" baseType="lpstr">
      <vt:lpstr>Travel Form</vt:lpstr>
      <vt:lpstr>Look Up</vt:lpstr>
      <vt:lpstr>Advance</vt:lpstr>
      <vt:lpstr>Communting_Miles</vt:lpstr>
      <vt:lpstr>County</vt:lpstr>
      <vt:lpstr>Lodging_Tax</vt:lpstr>
      <vt:lpstr>Meal_Cost</vt:lpstr>
      <vt:lpstr>Mileage_Cost</vt:lpstr>
      <vt:lpstr>Mileage_Rate</vt:lpstr>
      <vt:lpstr>Misc_Expense</vt:lpstr>
      <vt:lpstr>PerDiemRates</vt:lpstr>
      <vt:lpstr>'Travel Form'!Print_Area</vt:lpstr>
      <vt:lpstr>Reduced_Rate</vt:lpstr>
      <vt:lpstr>Send_Check</vt:lpstr>
      <vt:lpstr>Travel_Codes</vt:lpstr>
      <vt:lpstr>Youth_Meals</vt:lpstr>
    </vt:vector>
  </TitlesOfParts>
  <Company>State of Oregon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YA 2228 C Travel Expense Sheet Contractors Volunteers Sept 2012</dc:title>
  <dc:creator>Susanna Ramus</dc:creator>
  <cp:keywords/>
  <cp:lastModifiedBy>mogensj</cp:lastModifiedBy>
  <cp:lastPrinted>2012-09-05T21:25:25Z</cp:lastPrinted>
  <dcterms:created xsi:type="dcterms:W3CDTF">1999-12-02T21:04:58Z</dcterms:created>
  <dcterms:modified xsi:type="dcterms:W3CDTF">2012-10-24T21:01:48Z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1933260185</vt:i4>
  </property>
  <property fmtid="{D5CDD505-2E9C-101B-9397-08002B2CF9AE}" pid="3" name="_EmailSubject">
    <vt:lpwstr>2228 A &amp; 2228 B</vt:lpwstr>
  </property>
  <property fmtid="{D5CDD505-2E9C-101B-9397-08002B2CF9AE}" pid="4" name="_AuthorEmail">
    <vt:lpwstr>Angie.Minahan@oya.state.or.us</vt:lpwstr>
  </property>
  <property fmtid="{D5CDD505-2E9C-101B-9397-08002B2CF9AE}" pid="5" name="_AuthorEmailDisplayName">
    <vt:lpwstr>Minahan Angie</vt:lpwstr>
  </property>
  <property fmtid="{D5CDD505-2E9C-101B-9397-08002B2CF9AE}" pid="6" name="_PreviousAdHocReviewCycleID">
    <vt:i4>1530815038</vt:i4>
  </property>
  <property fmtid="{D5CDD505-2E9C-101B-9397-08002B2CF9AE}" pid="7" name="_NewReviewCycle">
    <vt:lpwstr/>
  </property>
  <property fmtid="{D5CDD505-2E9C-101B-9397-08002B2CF9AE}" pid="8" name="_ReviewingToolsShownOnce">
    <vt:lpwstr/>
  </property>
  <property fmtid="{D5CDD505-2E9C-101B-9397-08002B2CF9AE}" pid="9" name="ContentTypeId">
    <vt:lpwstr>0x01010031BA2DF59E1F70449D2BF6CBA84BBBE8</vt:lpwstr>
  </property>
  <property fmtid="{D5CDD505-2E9C-101B-9397-08002B2CF9AE}" pid="10" name="_dlc_DocIdItemGuid">
    <vt:lpwstr>657bd000-3e01-4279-85ac-743e62e29ed0</vt:lpwstr>
  </property>
</Properties>
</file>