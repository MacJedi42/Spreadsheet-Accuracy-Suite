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85" yWindow="120" windowWidth="23775" windowHeight="11625"/>
  </bookViews>
  <sheets>
    <sheet name="Sheet1" sheetId="1" r:id="rId1"/>
    <sheet name="DOLA Info" sheetId="2" r:id="rId2"/>
    <sheet name="Sheet3" sheetId="3" r:id="rId3"/>
  </sheets>
  <definedNames>
    <definedName name="_xlnm.Print_Area" localSheetId="0">Sheet1!$A$1:$F$71</definedName>
  </definedNames>
  <calcPr calcId="125725"/>
</workbook>
</file>

<file path=xl/calcChain.xml><?xml version="1.0" encoding="utf-8"?>
<calcChain xmlns="http://schemas.openxmlformats.org/spreadsheetml/2006/main">
  <c r="D17" i="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10"/>
  <c r="E15"/>
  <c r="E17" s="1"/>
  <c r="D8" s="1"/>
  <c r="D10" s="1"/>
  <c r="D15"/>
  <c r="C8" s="1"/>
  <c r="C10" s="1"/>
  <c r="B7" i="2"/>
  <c r="D71" i="1" l="1"/>
  <c r="E71" s="1"/>
</calcChain>
</file>

<file path=xl/sharedStrings.xml><?xml version="1.0" encoding="utf-8"?>
<sst xmlns="http://schemas.openxmlformats.org/spreadsheetml/2006/main" count="77" uniqueCount="77">
  <si>
    <t>A</t>
  </si>
  <si>
    <t>B</t>
  </si>
  <si>
    <t>Estimated GF</t>
  </si>
  <si>
    <t>Tobacco</t>
  </si>
  <si>
    <t>DOLA Mineral Grants</t>
  </si>
  <si>
    <t>State Support Inputs</t>
  </si>
  <si>
    <t>CU</t>
  </si>
  <si>
    <t>CSU</t>
  </si>
  <si>
    <t>FLC</t>
  </si>
  <si>
    <t>CCCS</t>
  </si>
  <si>
    <t>FY10-11 DOLA Minearl Impact Ammounts from Long Bill</t>
  </si>
  <si>
    <t>Local Appropriations</t>
  </si>
  <si>
    <t xml:space="preserve">Scenario </t>
  </si>
  <si>
    <t xml:space="preserve"> </t>
  </si>
  <si>
    <t>Total</t>
  </si>
  <si>
    <t>Potential State Support</t>
  </si>
  <si>
    <t>State and Local Support for Higher Education</t>
  </si>
  <si>
    <t>Personal Income (in 1,000s)</t>
  </si>
  <si>
    <t>Higher Education Support1 Per $1000 of Personal Income   (FY 08)</t>
  </si>
  <si>
    <t>New Hampshire</t>
  </si>
  <si>
    <t>Colorado</t>
  </si>
  <si>
    <t>Vermont</t>
  </si>
  <si>
    <t>Massachusetts</t>
  </si>
  <si>
    <t>Rhode Island</t>
  </si>
  <si>
    <t>Pennsylvania</t>
  </si>
  <si>
    <t>New Jersey</t>
  </si>
  <si>
    <t>Connecticut</t>
  </si>
  <si>
    <t>Missouri</t>
  </si>
  <si>
    <t>Virginia</t>
  </si>
  <si>
    <t>New York</t>
  </si>
  <si>
    <t>Maine</t>
  </si>
  <si>
    <t>Nevada</t>
  </si>
  <si>
    <t>Ohio</t>
  </si>
  <si>
    <t>Montana</t>
  </si>
  <si>
    <t>Oregon</t>
  </si>
  <si>
    <t>Florida</t>
  </si>
  <si>
    <t>Washington</t>
  </si>
  <si>
    <t>South Dakota</t>
  </si>
  <si>
    <t>Illinois</t>
  </si>
  <si>
    <t>Maryland</t>
  </si>
  <si>
    <t>Delaware</t>
  </si>
  <si>
    <t>Indiana</t>
  </si>
  <si>
    <t>Minnesota</t>
  </si>
  <si>
    <t>Tennessee</t>
  </si>
  <si>
    <t>Michigan</t>
  </si>
  <si>
    <t>Wisconsin</t>
  </si>
  <si>
    <t>Texas</t>
  </si>
  <si>
    <t>Iowa</t>
  </si>
  <si>
    <t>Idaho</t>
  </si>
  <si>
    <t>California</t>
  </si>
  <si>
    <t>South Carolina</t>
  </si>
  <si>
    <t>Oklahoma</t>
  </si>
  <si>
    <t>Georgia</t>
  </si>
  <si>
    <t>Arizona</t>
  </si>
  <si>
    <t>Kansas</t>
  </si>
  <si>
    <t>Utah</t>
  </si>
  <si>
    <t>Arkansas</t>
  </si>
  <si>
    <t>Kentucky</t>
  </si>
  <si>
    <t>West Virginia</t>
  </si>
  <si>
    <t>Alaska</t>
  </si>
  <si>
    <t>North Dakota</t>
  </si>
  <si>
    <t>Hawaii</t>
  </si>
  <si>
    <t>Nebraska</t>
  </si>
  <si>
    <t>Louisiana</t>
  </si>
  <si>
    <t>Mississippi</t>
  </si>
  <si>
    <t>North Carolina</t>
  </si>
  <si>
    <t>Alabama</t>
  </si>
  <si>
    <t>Wyoming</t>
  </si>
  <si>
    <t>New Mexico</t>
  </si>
  <si>
    <t xml:space="preserve">State </t>
  </si>
  <si>
    <t>Higher Ed Support per $1000 of personal income</t>
  </si>
  <si>
    <t>2008 Higher Ed Support per $1000 of Personal Income from SHEEO SHEF Study</t>
  </si>
  <si>
    <t xml:space="preserve">Higher Education Support per $1000 of Personal Income - Scenarios and National Comparison </t>
  </si>
  <si>
    <t xml:space="preserve">Personal Income </t>
  </si>
  <si>
    <t>US Total</t>
  </si>
  <si>
    <t>A- 760M in GF Support</t>
  </si>
  <si>
    <t>B  660M in GF Support</t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</si>
</sst>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3" fontId="0" fillId="0" borderId="0" xfId="0" applyNumberFormat="1"/>
    <xf numFmtId="0" fontId="0" fillId="0" borderId="0" xfId="0" applyBorder="1"/>
    <xf numFmtId="0" fontId="2" fillId="0" borderId="0" xfId="0" applyFont="1" applyFill="1" applyBorder="1" applyAlignment="1" applyProtection="1">
      <alignment horizontal="center" vertical="top" wrapText="1"/>
      <protection locked="0"/>
    </xf>
    <xf numFmtId="6" fontId="0" fillId="0" borderId="0" xfId="0" applyNumberFormat="1"/>
    <xf numFmtId="6" fontId="0" fillId="0" borderId="2" xfId="0" applyNumberFormat="1" applyBorder="1"/>
    <xf numFmtId="0" fontId="0" fillId="0" borderId="0" xfId="0" applyFont="1" applyBorder="1"/>
    <xf numFmtId="3" fontId="0" fillId="0" borderId="0" xfId="0" applyNumberFormat="1" applyFont="1" applyBorder="1"/>
    <xf numFmtId="0" fontId="3" fillId="0" borderId="0" xfId="0" applyFont="1"/>
    <xf numFmtId="0" fontId="0" fillId="0" borderId="7" xfId="0" applyBorder="1"/>
    <xf numFmtId="0" fontId="3" fillId="0" borderId="8" xfId="0" applyFont="1" applyBorder="1"/>
    <xf numFmtId="0" fontId="0" fillId="0" borderId="8" xfId="0" applyBorder="1"/>
    <xf numFmtId="0" fontId="0" fillId="0" borderId="8" xfId="0" applyFill="1" applyBorder="1"/>
    <xf numFmtId="0" fontId="0" fillId="0" borderId="9" xfId="0" applyBorder="1"/>
    <xf numFmtId="0" fontId="0" fillId="0" borderId="9" xfId="0" applyFill="1" applyBorder="1"/>
    <xf numFmtId="0" fontId="3" fillId="0" borderId="7" xfId="0" applyFont="1" applyBorder="1"/>
    <xf numFmtId="44" fontId="0" fillId="0" borderId="0" xfId="1" applyFont="1" applyBorder="1"/>
    <xf numFmtId="165" fontId="0" fillId="0" borderId="0" xfId="0" applyNumberFormat="1" applyBorder="1"/>
    <xf numFmtId="164" fontId="0" fillId="0" borderId="5" xfId="0" applyNumberFormat="1" applyBorder="1"/>
    <xf numFmtId="165" fontId="3" fillId="0" borderId="0" xfId="0" applyNumberFormat="1" applyFont="1" applyBorder="1"/>
    <xf numFmtId="164" fontId="3" fillId="0" borderId="5" xfId="0" applyNumberFormat="1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9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1" xfId="0" applyFont="1" applyBorder="1" applyAlignment="1">
      <alignment horizontal="right"/>
    </xf>
    <xf numFmtId="0" fontId="0" fillId="0" borderId="7" xfId="0" applyFont="1" applyBorder="1"/>
    <xf numFmtId="0" fontId="3" fillId="0" borderId="0" xfId="0" applyFont="1" applyBorder="1" applyAlignment="1">
      <alignment wrapText="1"/>
    </xf>
    <xf numFmtId="44" fontId="1" fillId="0" borderId="0" xfId="1" applyFont="1" applyBorder="1"/>
    <xf numFmtId="165" fontId="0" fillId="0" borderId="2" xfId="0" applyNumberFormat="1" applyBorder="1"/>
    <xf numFmtId="164" fontId="0" fillId="0" borderId="4" xfId="0" applyNumberFormat="1" applyBorder="1"/>
    <xf numFmtId="0" fontId="5" fillId="0" borderId="0" xfId="0" applyFont="1"/>
    <xf numFmtId="0" fontId="6" fillId="0" borderId="0" xfId="0" applyFont="1"/>
    <xf numFmtId="165" fontId="0" fillId="0" borderId="0" xfId="0" applyNumberFormat="1" applyFont="1" applyBorder="1"/>
    <xf numFmtId="165" fontId="0" fillId="0" borderId="5" xfId="0" applyNumberFormat="1" applyFont="1" applyBorder="1"/>
    <xf numFmtId="165" fontId="4" fillId="0" borderId="0" xfId="0" applyNumberFormat="1" applyFont="1" applyBorder="1" applyAlignment="1" applyProtection="1">
      <alignment horizontal="right" vertical="center" wrapText="1"/>
      <protection locked="0"/>
    </xf>
    <xf numFmtId="165" fontId="0" fillId="0" borderId="1" xfId="0" applyNumberFormat="1" applyFont="1" applyBorder="1"/>
    <xf numFmtId="165" fontId="0" fillId="0" borderId="5" xfId="0" applyNumberFormat="1" applyBorder="1"/>
    <xf numFmtId="165" fontId="0" fillId="0" borderId="8" xfId="0" applyNumberFormat="1" applyFont="1" applyBorder="1"/>
    <xf numFmtId="164" fontId="1" fillId="0" borderId="3" xfId="1" applyNumberFormat="1" applyFont="1" applyBorder="1"/>
    <xf numFmtId="164" fontId="1" fillId="0" borderId="6" xfId="1" applyNumberFormat="1" applyFont="1" applyBorder="1"/>
    <xf numFmtId="164" fontId="0" fillId="0" borderId="6" xfId="1" applyNumberFormat="1" applyFont="1" applyBorder="1"/>
    <xf numFmtId="0" fontId="3" fillId="0" borderId="3" xfId="0" applyFont="1" applyBorder="1" applyAlignment="1">
      <alignment horizontal="center" vertical="center" wrapText="1"/>
    </xf>
    <xf numFmtId="165" fontId="0" fillId="0" borderId="7" xfId="0" applyNumberFormat="1" applyBorder="1"/>
    <xf numFmtId="165" fontId="3" fillId="0" borderId="8" xfId="0" applyNumberFormat="1" applyFont="1" applyBorder="1"/>
    <xf numFmtId="165" fontId="0" fillId="0" borderId="8" xfId="0" applyNumberFormat="1" applyBorder="1"/>
    <xf numFmtId="165" fontId="3" fillId="0" borderId="1" xfId="0" applyNumberFormat="1" applyFont="1" applyBorder="1"/>
    <xf numFmtId="165" fontId="3" fillId="0" borderId="3" xfId="0" applyNumberFormat="1" applyFont="1" applyBorder="1"/>
    <xf numFmtId="164" fontId="3" fillId="0" borderId="6" xfId="0" applyNumberFormat="1" applyFont="1" applyBorder="1"/>
    <xf numFmtId="0" fontId="3" fillId="0" borderId="3" xfId="0" applyFont="1" applyBorder="1" applyAlignment="1">
      <alignment horizontal="right"/>
    </xf>
    <xf numFmtId="165" fontId="4" fillId="0" borderId="8" xfId="0" applyNumberFormat="1" applyFont="1" applyBorder="1" applyAlignment="1" applyProtection="1">
      <alignment horizontal="right" vertical="center" wrapText="1"/>
      <protection locked="0"/>
    </xf>
    <xf numFmtId="165" fontId="0" fillId="0" borderId="3" xfId="0" applyNumberFormat="1" applyFont="1" applyBorder="1"/>
    <xf numFmtId="165" fontId="0" fillId="2" borderId="0" xfId="0" applyNumberFormat="1" applyFont="1" applyFill="1" applyBorder="1"/>
    <xf numFmtId="165" fontId="0" fillId="2" borderId="8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71"/>
  <sheetViews>
    <sheetView tabSelected="1" zoomScaleNormal="100" workbookViewId="0">
      <selection activeCell="H20" sqref="H20"/>
    </sheetView>
  </sheetViews>
  <sheetFormatPr defaultRowHeight="15"/>
  <cols>
    <col min="1" max="1" width="8.140625" customWidth="1"/>
    <col min="2" max="2" width="26.7109375" customWidth="1"/>
    <col min="3" max="3" width="22.42578125" customWidth="1"/>
    <col min="4" max="4" width="35" customWidth="1"/>
    <col min="5" max="5" width="27.42578125" customWidth="1"/>
    <col min="6" max="6" width="17.28515625" customWidth="1"/>
    <col min="7" max="7" width="15.42578125" customWidth="1"/>
    <col min="8" max="8" width="10.85546875" bestFit="1" customWidth="1"/>
    <col min="13" max="13" width="6.28515625" customWidth="1"/>
    <col min="14" max="14" width="18.85546875" customWidth="1"/>
    <col min="15" max="15" width="13" customWidth="1"/>
    <col min="16" max="16" width="14.7109375" customWidth="1"/>
  </cols>
  <sheetData>
    <row r="2" spans="1:8" ht="18.75">
      <c r="B2" s="34" t="s">
        <v>72</v>
      </c>
      <c r="C2" s="35"/>
      <c r="D2" s="35"/>
      <c r="E2" s="35"/>
    </row>
    <row r="4" spans="1:8">
      <c r="B4" s="9"/>
      <c r="C4" s="15" t="s">
        <v>12</v>
      </c>
      <c r="D4" s="21"/>
      <c r="E4" s="29"/>
      <c r="F4" s="6"/>
    </row>
    <row r="5" spans="1:8">
      <c r="A5" t="s">
        <v>13</v>
      </c>
      <c r="B5" s="11"/>
      <c r="C5" s="22" t="s">
        <v>75</v>
      </c>
      <c r="D5" s="23" t="s">
        <v>76</v>
      </c>
      <c r="E5" s="22">
        <v>2008</v>
      </c>
    </row>
    <row r="6" spans="1:8">
      <c r="B6" s="10" t="s">
        <v>73</v>
      </c>
      <c r="C6" s="41">
        <v>207742661000</v>
      </c>
      <c r="D6" s="37">
        <v>207742661000</v>
      </c>
      <c r="E6" s="40">
        <v>212320185000</v>
      </c>
    </row>
    <row r="7" spans="1:8">
      <c r="B7" s="10"/>
      <c r="C7" s="41"/>
      <c r="D7" s="37"/>
      <c r="E7" s="40"/>
      <c r="G7" s="1"/>
    </row>
    <row r="8" spans="1:8">
      <c r="B8" s="10" t="s">
        <v>15</v>
      </c>
      <c r="C8" s="41">
        <f>D17</f>
        <v>829568933</v>
      </c>
      <c r="D8" s="37">
        <f>E17</f>
        <v>729568933</v>
      </c>
      <c r="E8" s="40">
        <v>794718033</v>
      </c>
    </row>
    <row r="9" spans="1:8">
      <c r="B9" s="10"/>
      <c r="C9" s="41"/>
      <c r="D9" s="37"/>
      <c r="E9" s="40"/>
    </row>
    <row r="10" spans="1:8" ht="30">
      <c r="B10" s="24" t="s">
        <v>70</v>
      </c>
      <c r="C10" s="42">
        <f>(C8/C6)*1000</f>
        <v>3.9932526569494549</v>
      </c>
      <c r="D10" s="43">
        <f>(D8/D6)*1000</f>
        <v>3.5118878784362928</v>
      </c>
      <c r="E10" s="44">
        <f>(E8/E6)*1000</f>
        <v>3.7430168638935579</v>
      </c>
      <c r="G10" s="1"/>
    </row>
    <row r="11" spans="1:8">
      <c r="B11" s="30"/>
      <c r="C11" s="31"/>
      <c r="D11" s="31"/>
      <c r="E11" s="16"/>
      <c r="G11" s="1"/>
    </row>
    <row r="12" spans="1:8">
      <c r="A12" s="2"/>
      <c r="B12" s="3"/>
      <c r="C12" s="27" t="s">
        <v>5</v>
      </c>
      <c r="D12" s="28" t="s">
        <v>0</v>
      </c>
      <c r="E12" s="52" t="s">
        <v>1</v>
      </c>
      <c r="H12" s="4"/>
    </row>
    <row r="13" spans="1:8">
      <c r="A13" s="2"/>
      <c r="B13" s="2"/>
      <c r="C13" s="11" t="s">
        <v>2</v>
      </c>
      <c r="D13" s="55">
        <v>760000000</v>
      </c>
      <c r="E13" s="56">
        <v>660000000</v>
      </c>
    </row>
    <row r="14" spans="1:8">
      <c r="C14" s="11" t="s">
        <v>3</v>
      </c>
      <c r="D14" s="38">
        <v>16004485</v>
      </c>
      <c r="E14" s="53">
        <v>16004485</v>
      </c>
    </row>
    <row r="15" spans="1:8">
      <c r="C15" s="12" t="s">
        <v>4</v>
      </c>
      <c r="D15" s="36">
        <f>'DOLA Info'!B7</f>
        <v>2375531</v>
      </c>
      <c r="E15" s="41">
        <f>'DOLA Info'!B7</f>
        <v>2375531</v>
      </c>
    </row>
    <row r="16" spans="1:8">
      <c r="C16" s="14" t="s">
        <v>11</v>
      </c>
      <c r="D16" s="36">
        <v>51188917</v>
      </c>
      <c r="E16" s="41">
        <v>51188917</v>
      </c>
    </row>
    <row r="17" spans="2:5">
      <c r="C17" s="13" t="s">
        <v>14</v>
      </c>
      <c r="D17" s="39">
        <f>SUM(D13:D16)</f>
        <v>829568933</v>
      </c>
      <c r="E17" s="54">
        <f>SUM(E13:E16)</f>
        <v>729568933</v>
      </c>
    </row>
    <row r="18" spans="2:5">
      <c r="C18" s="2"/>
      <c r="D18" s="7"/>
      <c r="E18" s="7"/>
    </row>
    <row r="19" spans="2:5">
      <c r="B19" s="8" t="s">
        <v>71</v>
      </c>
      <c r="C19" s="8"/>
      <c r="D19" s="8"/>
      <c r="E19" s="8"/>
    </row>
    <row r="20" spans="2:5" ht="70.5" customHeight="1">
      <c r="B20" s="45" t="s">
        <v>69</v>
      </c>
      <c r="C20" s="25" t="s">
        <v>16</v>
      </c>
      <c r="D20" s="45" t="s">
        <v>17</v>
      </c>
      <c r="E20" s="26" t="s">
        <v>18</v>
      </c>
    </row>
    <row r="21" spans="2:5">
      <c r="B21" s="9" t="s">
        <v>19</v>
      </c>
      <c r="C21" s="32">
        <v>133093000</v>
      </c>
      <c r="D21" s="46">
        <v>57399130</v>
      </c>
      <c r="E21" s="33">
        <f>C21/D21</f>
        <v>2.3187285242825109</v>
      </c>
    </row>
    <row r="22" spans="2:5">
      <c r="B22" s="10" t="s">
        <v>20</v>
      </c>
      <c r="C22" s="19">
        <v>794718033</v>
      </c>
      <c r="D22" s="47">
        <v>212320185</v>
      </c>
      <c r="E22" s="20">
        <f>C22/D22</f>
        <v>3.7430168638935579</v>
      </c>
    </row>
    <row r="23" spans="2:5">
      <c r="B23" s="11" t="s">
        <v>21</v>
      </c>
      <c r="C23" s="17">
        <v>90801444.339996338</v>
      </c>
      <c r="D23" s="48">
        <v>24034394</v>
      </c>
      <c r="E23" s="18">
        <f>C23/D23</f>
        <v>3.7779793549193017</v>
      </c>
    </row>
    <row r="24" spans="2:5">
      <c r="B24" s="11" t="s">
        <v>22</v>
      </c>
      <c r="C24" s="17">
        <v>1335981876</v>
      </c>
      <c r="D24" s="48">
        <v>333046494</v>
      </c>
      <c r="E24" s="18">
        <f>C24/D24</f>
        <v>4.0113975077605835</v>
      </c>
    </row>
    <row r="25" spans="2:5">
      <c r="B25" s="11" t="s">
        <v>23</v>
      </c>
      <c r="C25" s="17">
        <v>191329662</v>
      </c>
      <c r="D25" s="48">
        <v>43468678</v>
      </c>
      <c r="E25" s="18">
        <f>C25/D25</f>
        <v>4.4015523545482562</v>
      </c>
    </row>
    <row r="26" spans="2:5">
      <c r="B26" s="11" t="s">
        <v>24</v>
      </c>
      <c r="C26" s="17">
        <v>2304414847</v>
      </c>
      <c r="D26" s="48">
        <v>499669401</v>
      </c>
      <c r="E26" s="18">
        <f>C26/D26</f>
        <v>4.6118790592101915</v>
      </c>
    </row>
    <row r="27" spans="2:5">
      <c r="B27" s="11" t="s">
        <v>25</v>
      </c>
      <c r="C27" s="17">
        <v>2255163000</v>
      </c>
      <c r="D27" s="48">
        <v>445928224</v>
      </c>
      <c r="E27" s="18">
        <f>C27/D27</f>
        <v>5.0572331568768343</v>
      </c>
    </row>
    <row r="28" spans="2:5">
      <c r="B28" s="11" t="s">
        <v>26</v>
      </c>
      <c r="C28" s="17">
        <v>1034480989</v>
      </c>
      <c r="D28" s="48">
        <v>197023620</v>
      </c>
      <c r="E28" s="18">
        <f>C28/D28</f>
        <v>5.2505430008848686</v>
      </c>
    </row>
    <row r="29" spans="2:5">
      <c r="B29" s="11" t="s">
        <v>27</v>
      </c>
      <c r="C29" s="17">
        <v>1154709224</v>
      </c>
      <c r="D29" s="48">
        <v>216546820</v>
      </c>
      <c r="E29" s="18">
        <f>C29/D29</f>
        <v>5.3323767303532792</v>
      </c>
    </row>
    <row r="30" spans="2:5">
      <c r="B30" s="11" t="s">
        <v>28</v>
      </c>
      <c r="C30" s="17">
        <v>1902952314</v>
      </c>
      <c r="D30" s="48">
        <v>343580294</v>
      </c>
      <c r="E30" s="18">
        <f>C30/D30</f>
        <v>5.538595627373204</v>
      </c>
    </row>
    <row r="31" spans="2:5">
      <c r="B31" s="11" t="s">
        <v>29</v>
      </c>
      <c r="C31" s="17">
        <v>5386383480</v>
      </c>
      <c r="D31" s="48">
        <v>950209504</v>
      </c>
      <c r="E31" s="18">
        <f>C31/D31</f>
        <v>5.6686272420192507</v>
      </c>
    </row>
    <row r="32" spans="2:5">
      <c r="B32" s="11" t="s">
        <v>30</v>
      </c>
      <c r="C32" s="17">
        <v>275867961</v>
      </c>
      <c r="D32" s="48">
        <v>47994130</v>
      </c>
      <c r="E32" s="18">
        <f>C32/D32</f>
        <v>5.7479521141439589</v>
      </c>
    </row>
    <row r="33" spans="2:5">
      <c r="B33" s="11" t="s">
        <v>31</v>
      </c>
      <c r="C33" s="17">
        <v>620032581</v>
      </c>
      <c r="D33" s="48">
        <v>107079263</v>
      </c>
      <c r="E33" s="18">
        <f>C33/D33</f>
        <v>5.7904076254241685</v>
      </c>
    </row>
    <row r="34" spans="2:5">
      <c r="B34" s="11" t="s">
        <v>32</v>
      </c>
      <c r="C34" s="17">
        <v>2425206616</v>
      </c>
      <c r="D34" s="48">
        <v>413732085</v>
      </c>
      <c r="E34" s="18">
        <f>C34/D34</f>
        <v>5.8617803741278607</v>
      </c>
    </row>
    <row r="35" spans="2:5">
      <c r="B35" s="11" t="s">
        <v>33</v>
      </c>
      <c r="C35" s="17">
        <v>200738808</v>
      </c>
      <c r="D35" s="48">
        <v>33515577</v>
      </c>
      <c r="E35" s="18">
        <f>C35/D35</f>
        <v>5.9894182337961839</v>
      </c>
    </row>
    <row r="36" spans="2:5">
      <c r="B36" s="11" t="s">
        <v>34</v>
      </c>
      <c r="C36" s="17">
        <v>849601772</v>
      </c>
      <c r="D36" s="48">
        <v>137569686</v>
      </c>
      <c r="E36" s="18">
        <f>C36/D36</f>
        <v>6.1757920418601522</v>
      </c>
    </row>
    <row r="37" spans="2:5">
      <c r="B37" s="11" t="s">
        <v>35</v>
      </c>
      <c r="C37" s="17">
        <v>4448930438</v>
      </c>
      <c r="D37" s="48">
        <v>719707709</v>
      </c>
      <c r="E37" s="18">
        <f>C37/D37</f>
        <v>6.1815795250846755</v>
      </c>
    </row>
    <row r="38" spans="2:5">
      <c r="B38" s="11" t="s">
        <v>36</v>
      </c>
      <c r="C38" s="17">
        <v>1767760000</v>
      </c>
      <c r="D38" s="48">
        <v>280677561</v>
      </c>
      <c r="E38" s="18">
        <f>C38/D38</f>
        <v>6.2981878341175976</v>
      </c>
    </row>
    <row r="39" spans="2:5">
      <c r="B39" s="11" t="s">
        <v>37</v>
      </c>
      <c r="C39" s="17">
        <v>196133172</v>
      </c>
      <c r="D39" s="48">
        <v>31090547</v>
      </c>
      <c r="E39" s="18">
        <f>C39/D39</f>
        <v>6.308450346660031</v>
      </c>
    </row>
    <row r="40" spans="2:5">
      <c r="B40" s="11" t="s">
        <v>38</v>
      </c>
      <c r="C40" s="17">
        <v>3699066751</v>
      </c>
      <c r="D40" s="48">
        <v>546344259</v>
      </c>
      <c r="E40" s="18">
        <f>C40/D40</f>
        <v>6.770578605091556</v>
      </c>
    </row>
    <row r="41" spans="2:5">
      <c r="B41" s="11" t="s">
        <v>39</v>
      </c>
      <c r="C41" s="17">
        <v>1867267820</v>
      </c>
      <c r="D41" s="48">
        <v>272542169</v>
      </c>
      <c r="E41" s="18">
        <f>C41/D41</f>
        <v>6.8512987434249117</v>
      </c>
    </row>
    <row r="42" spans="2:5">
      <c r="B42" s="11" t="s">
        <v>40</v>
      </c>
      <c r="C42" s="17">
        <v>243130000</v>
      </c>
      <c r="D42" s="48">
        <v>35376923</v>
      </c>
      <c r="E42" s="18">
        <f>C42/D42</f>
        <v>6.8725592669549016</v>
      </c>
    </row>
    <row r="43" spans="2:5">
      <c r="B43" s="11" t="s">
        <v>41</v>
      </c>
      <c r="C43" s="17">
        <v>1528494000</v>
      </c>
      <c r="D43" s="48">
        <v>220670002</v>
      </c>
      <c r="E43" s="18">
        <f>C43/D43</f>
        <v>6.9266052755099894</v>
      </c>
    </row>
    <row r="44" spans="2:5">
      <c r="B44" s="11" t="s">
        <v>42</v>
      </c>
      <c r="C44" s="17">
        <v>1574499000</v>
      </c>
      <c r="D44" s="48">
        <v>224670738</v>
      </c>
      <c r="E44" s="18">
        <f>C44/D44</f>
        <v>7.0080287892230988</v>
      </c>
    </row>
    <row r="45" spans="2:5">
      <c r="B45" s="11" t="s">
        <v>43</v>
      </c>
      <c r="C45" s="17">
        <v>1598765500</v>
      </c>
      <c r="D45" s="48">
        <v>217372834</v>
      </c>
      <c r="E45" s="18">
        <f>C45/D45</f>
        <v>7.3549462027071879</v>
      </c>
    </row>
    <row r="46" spans="2:5">
      <c r="B46" s="11" t="s">
        <v>44</v>
      </c>
      <c r="C46" s="17">
        <v>2583709000</v>
      </c>
      <c r="D46" s="48">
        <v>349612178</v>
      </c>
      <c r="E46" s="18">
        <f>C46/D46</f>
        <v>7.3902145365199496</v>
      </c>
    </row>
    <row r="47" spans="2:5">
      <c r="B47" s="11" t="s">
        <v>45</v>
      </c>
      <c r="C47" s="17">
        <v>1647134242</v>
      </c>
      <c r="D47" s="48">
        <v>212553339</v>
      </c>
      <c r="E47" s="18">
        <f>C47/D47</f>
        <v>7.7492748396674207</v>
      </c>
    </row>
    <row r="48" spans="2:5">
      <c r="B48" s="11" t="s">
        <v>46</v>
      </c>
      <c r="C48" s="17">
        <v>7406399559</v>
      </c>
      <c r="D48" s="48">
        <v>918921246</v>
      </c>
      <c r="E48" s="18">
        <f>C48/D48</f>
        <v>8.0598849914936022</v>
      </c>
    </row>
    <row r="49" spans="2:5">
      <c r="B49" s="11" t="s">
        <v>47</v>
      </c>
      <c r="C49" s="17">
        <v>921007211</v>
      </c>
      <c r="D49" s="48">
        <v>112302300</v>
      </c>
      <c r="E49" s="18">
        <f>C49/D49</f>
        <v>8.2011429062450194</v>
      </c>
    </row>
    <row r="50" spans="2:5">
      <c r="B50" s="11" t="s">
        <v>48</v>
      </c>
      <c r="C50" s="17">
        <v>423002400</v>
      </c>
      <c r="D50" s="48">
        <v>50398859</v>
      </c>
      <c r="E50" s="18">
        <f>C50/D50</f>
        <v>8.3930947722447442</v>
      </c>
    </row>
    <row r="51" spans="2:5">
      <c r="B51" s="11" t="s">
        <v>49</v>
      </c>
      <c r="C51" s="17">
        <v>13795924000</v>
      </c>
      <c r="D51" s="48">
        <v>1604112764</v>
      </c>
      <c r="E51" s="18">
        <f>C51/D51</f>
        <v>8.6003455053861781</v>
      </c>
    </row>
    <row r="52" spans="2:5">
      <c r="B52" s="11" t="s">
        <v>50</v>
      </c>
      <c r="C52" s="17">
        <v>1267030856</v>
      </c>
      <c r="D52" s="48">
        <v>146334933</v>
      </c>
      <c r="E52" s="18">
        <f>C52/D52</f>
        <v>8.6584305608012269</v>
      </c>
    </row>
    <row r="53" spans="2:5">
      <c r="B53" s="11" t="s">
        <v>51</v>
      </c>
      <c r="C53" s="17">
        <v>1134926352</v>
      </c>
      <c r="D53" s="48">
        <v>131070218</v>
      </c>
      <c r="E53" s="18">
        <f>C53/D53</f>
        <v>8.6589186263503422</v>
      </c>
    </row>
    <row r="54" spans="2:5">
      <c r="B54" s="11" t="s">
        <v>52</v>
      </c>
      <c r="C54" s="17">
        <v>2953507623</v>
      </c>
      <c r="D54" s="48">
        <v>337960830</v>
      </c>
      <c r="E54" s="18">
        <f>C54/D54</f>
        <v>8.7392009985299186</v>
      </c>
    </row>
    <row r="55" spans="2:5">
      <c r="B55" s="11" t="s">
        <v>53</v>
      </c>
      <c r="C55" s="17">
        <v>1950753200</v>
      </c>
      <c r="D55" s="48">
        <v>223184451</v>
      </c>
      <c r="E55" s="18">
        <f>C55/D55</f>
        <v>8.7405425927274827</v>
      </c>
    </row>
    <row r="56" spans="2:5">
      <c r="B56" s="11" t="s">
        <v>54</v>
      </c>
      <c r="C56" s="17">
        <v>1010691886</v>
      </c>
      <c r="D56" s="48">
        <v>108778736</v>
      </c>
      <c r="E56" s="18">
        <f>C56/D56</f>
        <v>9.2912633770629576</v>
      </c>
    </row>
    <row r="57" spans="2:5">
      <c r="B57" s="11" t="s">
        <v>55</v>
      </c>
      <c r="C57" s="17">
        <v>812337500</v>
      </c>
      <c r="D57" s="48">
        <v>87411357</v>
      </c>
      <c r="E57" s="18">
        <f>C57/D57</f>
        <v>9.2932718113505555</v>
      </c>
    </row>
    <row r="58" spans="2:5">
      <c r="B58" s="11" t="s">
        <v>56</v>
      </c>
      <c r="C58" s="17">
        <v>899171445.72999573</v>
      </c>
      <c r="D58" s="48">
        <v>92505191</v>
      </c>
      <c r="E58" s="18">
        <f>C58/D58</f>
        <v>9.7202268976450821</v>
      </c>
    </row>
    <row r="59" spans="2:5">
      <c r="B59" s="11" t="s">
        <v>57</v>
      </c>
      <c r="C59" s="17">
        <v>1334959500</v>
      </c>
      <c r="D59" s="48">
        <v>136939777</v>
      </c>
      <c r="E59" s="18">
        <f>C59/D59</f>
        <v>9.7485152177515229</v>
      </c>
    </row>
    <row r="60" spans="2:5">
      <c r="B60" s="11" t="s">
        <v>58</v>
      </c>
      <c r="C60" s="17">
        <v>562253000</v>
      </c>
      <c r="D60" s="48">
        <v>57410905</v>
      </c>
      <c r="E60" s="18">
        <f>C60/D60</f>
        <v>9.7934878399844063</v>
      </c>
    </row>
    <row r="61" spans="2:5">
      <c r="B61" s="11" t="s">
        <v>59</v>
      </c>
      <c r="C61" s="17">
        <v>299944731</v>
      </c>
      <c r="D61" s="48">
        <v>30223608</v>
      </c>
      <c r="E61" s="18">
        <f>C61/D61</f>
        <v>9.924186781406112</v>
      </c>
    </row>
    <row r="62" spans="2:5">
      <c r="B62" s="11" t="s">
        <v>60</v>
      </c>
      <c r="C62" s="17">
        <v>253901000</v>
      </c>
      <c r="D62" s="48">
        <v>25575905</v>
      </c>
      <c r="E62" s="18">
        <f>C62/D62</f>
        <v>9.9273515443539537</v>
      </c>
    </row>
    <row r="63" spans="2:5">
      <c r="B63" s="11" t="s">
        <v>61</v>
      </c>
      <c r="C63" s="17">
        <v>554292000</v>
      </c>
      <c r="D63" s="48">
        <v>54175210</v>
      </c>
      <c r="E63" s="18">
        <f>C63/D63</f>
        <v>10.231469338097629</v>
      </c>
    </row>
    <row r="64" spans="2:5">
      <c r="B64" s="11" t="s">
        <v>62</v>
      </c>
      <c r="C64" s="17">
        <v>740054153</v>
      </c>
      <c r="D64" s="48">
        <v>69820901</v>
      </c>
      <c r="E64" s="18">
        <f>C64/D64</f>
        <v>10.599321154563732</v>
      </c>
    </row>
    <row r="65" spans="2:5">
      <c r="B65" s="11" t="s">
        <v>63</v>
      </c>
      <c r="C65" s="17">
        <v>1707668337</v>
      </c>
      <c r="D65" s="48">
        <v>160658930</v>
      </c>
      <c r="E65" s="18">
        <f>C65/D65</f>
        <v>10.629152932862182</v>
      </c>
    </row>
    <row r="66" spans="2:5">
      <c r="B66" s="11" t="s">
        <v>64</v>
      </c>
      <c r="C66" s="17">
        <v>1095346981</v>
      </c>
      <c r="D66" s="48">
        <v>89331219</v>
      </c>
      <c r="E66" s="18">
        <f>C66/D66</f>
        <v>12.261637009565492</v>
      </c>
    </row>
    <row r="67" spans="2:5">
      <c r="B67" s="11" t="s">
        <v>65</v>
      </c>
      <c r="C67" s="17">
        <v>4023228520</v>
      </c>
      <c r="D67" s="48">
        <v>325953820</v>
      </c>
      <c r="E67" s="18">
        <f>C67/D67</f>
        <v>12.342940236135291</v>
      </c>
    </row>
    <row r="68" spans="2:5">
      <c r="B68" s="11" t="s">
        <v>66</v>
      </c>
      <c r="C68" s="17">
        <v>1964218104</v>
      </c>
      <c r="D68" s="48">
        <v>157421997</v>
      </c>
      <c r="E68" s="18">
        <f>C68/D68</f>
        <v>12.477405581381362</v>
      </c>
    </row>
    <row r="69" spans="2:5">
      <c r="B69" s="11" t="s">
        <v>67</v>
      </c>
      <c r="C69" s="17">
        <v>327448738</v>
      </c>
      <c r="D69" s="48">
        <v>25892041</v>
      </c>
      <c r="E69" s="18">
        <f>C69/D69</f>
        <v>12.646694712093188</v>
      </c>
    </row>
    <row r="70" spans="2:5">
      <c r="B70" s="11" t="s">
        <v>68</v>
      </c>
      <c r="C70" s="17">
        <v>1153348068</v>
      </c>
      <c r="D70" s="48">
        <v>66336940</v>
      </c>
      <c r="E70" s="18">
        <f>C70/D70</f>
        <v>17.386211483375629</v>
      </c>
    </row>
    <row r="71" spans="2:5">
      <c r="B71" s="27" t="s">
        <v>74</v>
      </c>
      <c r="C71" s="49">
        <v>88701780695.069992</v>
      </c>
      <c r="D71" s="50">
        <f>SUM(D17:D44)</f>
        <v>7223766326</v>
      </c>
      <c r="E71" s="51">
        <f>C71/D71</f>
        <v>12.279159747431452</v>
      </c>
    </row>
  </sheetData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7"/>
  <sheetViews>
    <sheetView workbookViewId="0">
      <selection activeCell="C11" sqref="C11"/>
    </sheetView>
  </sheetViews>
  <sheetFormatPr defaultRowHeight="15"/>
  <cols>
    <col min="2" max="2" width="12.42578125" customWidth="1"/>
  </cols>
  <sheetData>
    <row r="2" spans="1:2">
      <c r="A2" t="s">
        <v>10</v>
      </c>
    </row>
    <row r="3" spans="1:2">
      <c r="A3" t="s">
        <v>6</v>
      </c>
      <c r="B3" s="4">
        <v>657531</v>
      </c>
    </row>
    <row r="4" spans="1:2">
      <c r="A4" t="s">
        <v>7</v>
      </c>
      <c r="B4" s="4">
        <v>170000</v>
      </c>
    </row>
    <row r="5" spans="1:2">
      <c r="A5" t="s">
        <v>8</v>
      </c>
      <c r="B5" s="4">
        <v>48000</v>
      </c>
    </row>
    <row r="6" spans="1:2">
      <c r="A6" t="s">
        <v>9</v>
      </c>
      <c r="B6" s="4">
        <v>1500000</v>
      </c>
    </row>
    <row r="7" spans="1:2">
      <c r="B7" s="5">
        <f>SUM(B3:B6)</f>
        <v>2375531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DOLA Info</vt:lpstr>
      <vt:lpstr>Sheet3</vt:lpstr>
      <vt:lpstr>Sheet1!Print_Area</vt:lpstr>
    </vt:vector>
  </TitlesOfParts>
  <Company>DHE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jkarakoulakis</dc:creator>
  <cp:lastModifiedBy>jkarakoulakis</cp:lastModifiedBy>
  <cp:lastPrinted>2010-07-21T18:22:15Z</cp:lastPrinted>
  <dcterms:created xsi:type="dcterms:W3CDTF">2010-07-20T16:29:42Z</dcterms:created>
  <dcterms:modified xsi:type="dcterms:W3CDTF">2010-07-21T18:25:52Z</dcterms:modified>
</cp:coreProperties>
</file>