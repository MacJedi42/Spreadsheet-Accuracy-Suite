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Financial Data\Allowable Costs\IDC\"/>
    </mc:Choice>
  </mc:AlternateContent>
  <bookViews>
    <workbookView xWindow="0" yWindow="0" windowWidth="28800" windowHeight="12435"/>
  </bookViews>
  <sheets>
    <sheet name="IDC Tool" sheetId="1" r:id="rId1"/>
  </sheets>
  <definedNames>
    <definedName name="_xlnm.Print_Area" localSheetId="0">'IDC Tool'!$A$1:$B$32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1" l="1"/>
  <c r="A30" i="1" s="1"/>
  <c r="A32" i="1" s="1"/>
  <c r="A14" i="1"/>
  <c r="A13" i="1"/>
  <c r="A15" i="1" s="1"/>
  <c r="A5" i="1"/>
  <c r="A10" i="1" s="1"/>
  <c r="A12" i="1" s="1"/>
  <c r="A16" i="1" s="1"/>
  <c r="A17" i="1" s="1"/>
</calcChain>
</file>

<file path=xl/sharedStrings.xml><?xml version="1.0" encoding="utf-8"?>
<sst xmlns="http://schemas.openxmlformats.org/spreadsheetml/2006/main" count="31" uniqueCount="31">
  <si>
    <t xml:space="preserve">Food Service Fund: Indirect Costs </t>
  </si>
  <si>
    <t xml:space="preserve">total annual expenditures - food service </t>
  </si>
  <si>
    <t>less unallowed costs to food service fund, if any (such as bad debts, fines, capitalized equipment</t>
  </si>
  <si>
    <t>less 0630 food cost</t>
  </si>
  <si>
    <t>less 0632, 0633 USDA foods/fees</t>
  </si>
  <si>
    <t>less the amount of indirect cost that was charged against food service fund SY12-13 (0869), if applicable
      (overhead 0868 is not to be used for food service program)</t>
  </si>
  <si>
    <r>
      <t xml:space="preserve">deduct any expense(s) that are considered part of the </t>
    </r>
    <r>
      <rPr>
        <b/>
        <sz val="12"/>
        <rFont val="Calibri"/>
        <family val="2"/>
        <scheme val="minor"/>
      </rPr>
      <t>indirect cost pool and charged directly to food service fund (program codes: 2300s, 2500s, 2600s, 2800-2809, 2815-2899, 2900s)</t>
    </r>
  </si>
  <si>
    <r>
      <t xml:space="preserve">subtotal, </t>
    </r>
    <r>
      <rPr>
        <b/>
        <sz val="12"/>
        <rFont val="Calibri"/>
        <family val="2"/>
        <scheme val="minor"/>
      </rPr>
      <t>indirect cost base</t>
    </r>
  </si>
  <si>
    <r>
      <t xml:space="preserve">multiply by nonrestricted indirect cost rate (%), this can be found on Public School Finance website, 
              </t>
    </r>
    <r>
      <rPr>
        <u/>
        <sz val="12"/>
        <rFont val="Calibri"/>
        <family val="2"/>
        <scheme val="minor"/>
      </rPr>
      <t>http://sites.cde.state.co.us/cdefinance/icrc</t>
    </r>
  </si>
  <si>
    <t>subtotal of indirect charges and direct charges related to indirect cost pool</t>
  </si>
  <si>
    <t xml:space="preserve">What is my nonrestricted indirect cost rate?  </t>
  </si>
  <si>
    <t>This is a generic calculation, please refer to the website for District's specific details.</t>
  </si>
  <si>
    <r>
      <t xml:space="preserve">Please visit Public School Finance website, </t>
    </r>
    <r>
      <rPr>
        <i/>
        <u val="singleAccounting"/>
        <sz val="12"/>
        <rFont val="Calibri"/>
        <family val="2"/>
        <scheme val="minor"/>
      </rPr>
      <t xml:space="preserve">http://sites.cde.state.co.us/cdefinance/icrc </t>
    </r>
    <r>
      <rPr>
        <i/>
        <sz val="12"/>
        <rFont val="Calibri"/>
        <family val="2"/>
        <scheme val="minor"/>
      </rPr>
      <t>for your district's annual nonrestricted indirect cost rate!</t>
    </r>
  </si>
  <si>
    <r>
      <rPr>
        <b/>
        <sz val="12"/>
        <rFont val="Calibri"/>
        <family val="2"/>
        <scheme val="minor"/>
      </rPr>
      <t xml:space="preserve">           </t>
    </r>
    <r>
      <rPr>
        <b/>
        <u/>
        <sz val="12"/>
        <rFont val="Calibri"/>
        <family val="2"/>
        <scheme val="minor"/>
      </rPr>
      <t xml:space="preserve"> Program expenses (District wide):</t>
    </r>
  </si>
  <si>
    <r>
      <t xml:space="preserve">Support Services- </t>
    </r>
    <r>
      <rPr>
        <b/>
        <sz val="12"/>
        <color theme="1"/>
        <rFont val="Calibri"/>
        <family val="2"/>
        <scheme val="minor"/>
      </rPr>
      <t>General Admin (2300s)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such as a legal services, audit services, executive administration services</t>
    </r>
  </si>
  <si>
    <r>
      <t xml:space="preserve">Support Services- </t>
    </r>
    <r>
      <rPr>
        <b/>
        <sz val="12"/>
        <rFont val="Calibri"/>
        <family val="2"/>
        <scheme val="minor"/>
      </rPr>
      <t>Business (2500s)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such as business/fiscal services, budgeting, payroll, financial accounting, purchasing, warehouse distributing services, printing services</t>
    </r>
  </si>
  <si>
    <r>
      <rPr>
        <b/>
        <sz val="12"/>
        <rFont val="Calibri"/>
        <family val="2"/>
        <scheme val="minor"/>
      </rPr>
      <t>Operation and Maintenance (2600s)</t>
    </r>
    <r>
      <rPr>
        <i/>
        <sz val="12"/>
        <rFont val="Calibri"/>
        <family val="2"/>
        <scheme val="minor"/>
      </rPr>
      <t xml:space="preserve"> such as operating building services (HVAC), vehicle operation and maintenance, security, safety</t>
    </r>
  </si>
  <si>
    <r>
      <rPr>
        <b/>
        <sz val="12"/>
        <rFont val="Calibri"/>
        <family val="2"/>
        <scheme val="minor"/>
      </rPr>
      <t xml:space="preserve"> Support Service Center (2800-2809,2815-2899)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such as communication services, recruiting, in-service trainings, information systems, risk management</t>
    </r>
  </si>
  <si>
    <r>
      <rPr>
        <b/>
        <sz val="12"/>
        <rFont val="Calibri"/>
        <family val="2"/>
        <scheme val="minor"/>
      </rPr>
      <t>Other Support Services  (2900s)</t>
    </r>
    <r>
      <rPr>
        <i/>
        <sz val="12"/>
        <rFont val="Calibri"/>
        <family val="2"/>
        <scheme val="minor"/>
      </rPr>
      <t xml:space="preserve"> such as severance payment, volunteer services</t>
    </r>
  </si>
  <si>
    <t xml:space="preserve"> Administrative Charges part of indirect cost pool </t>
  </si>
  <si>
    <t>(-/+) Carry Forward Amount, if applicable</t>
  </si>
  <si>
    <t xml:space="preserve">District Wide Indirect Cost Pool </t>
  </si>
  <si>
    <t xml:space="preserve">   District Wide Direct Costs</t>
  </si>
  <si>
    <t>Nonrestricted Indirect Cost Rate (divide indirect costs into direct costs)</t>
  </si>
  <si>
    <r>
      <t xml:space="preserve">add any expense(s) that are considered part of the </t>
    </r>
    <r>
      <rPr>
        <b/>
        <sz val="12"/>
        <rFont val="Calibri"/>
        <family val="2"/>
        <scheme val="minor"/>
      </rPr>
      <t>indirect cost pool and charged directly to food service fund (program codes: 2300s, 2500s, 2600s, 2800-2809, 2815-2899, 2900s)</t>
    </r>
  </si>
  <si>
    <t>the amount of indirect cost that was charged against food service fund SY12-13 (0869), if applicable
      (overhead 0868 is not to be used for food service program)</t>
  </si>
  <si>
    <t>Adjusted total annual expenditures - food service</t>
  </si>
  <si>
    <r>
      <rPr>
        <b/>
        <i/>
        <u/>
        <sz val="14"/>
        <rFont val="Calibri"/>
        <family val="2"/>
        <scheme val="minor"/>
      </rPr>
      <t>MAX</t>
    </r>
    <r>
      <rPr>
        <b/>
        <i/>
        <sz val="14"/>
        <rFont val="Calibri"/>
        <family val="2"/>
        <scheme val="minor"/>
      </rPr>
      <t xml:space="preserve"> indirect cost, </t>
    </r>
    <r>
      <rPr>
        <b/>
        <i/>
        <sz val="12"/>
        <rFont val="Calibri"/>
        <family val="2"/>
        <scheme val="minor"/>
      </rPr>
      <t xml:space="preserve">(indirect cost base x nonrestricted rate)  </t>
    </r>
    <r>
      <rPr>
        <b/>
        <i/>
        <sz val="14"/>
        <rFont val="Calibri"/>
        <family val="2"/>
        <scheme val="minor"/>
      </rPr>
      <t xml:space="preserve">
     </t>
    </r>
    <r>
      <rPr>
        <b/>
        <i/>
        <sz val="12"/>
        <rFont val="Calibri"/>
        <family val="2"/>
        <scheme val="minor"/>
      </rPr>
      <t xml:space="preserve">School Districts are not allowed to charge food service fund </t>
    </r>
    <r>
      <rPr>
        <b/>
        <i/>
        <u/>
        <sz val="12"/>
        <rFont val="Calibri"/>
        <family val="2"/>
        <scheme val="minor"/>
      </rPr>
      <t>above</t>
    </r>
    <r>
      <rPr>
        <b/>
        <i/>
        <sz val="12"/>
        <rFont val="Calibri"/>
        <family val="2"/>
        <scheme val="minor"/>
      </rPr>
      <t xml:space="preserve"> this amount,</t>
    </r>
    <r>
      <rPr>
        <b/>
        <i/>
        <u/>
        <sz val="12"/>
        <rFont val="Calibri"/>
        <family val="2"/>
        <scheme val="minor"/>
      </rPr>
      <t xml:space="preserve"> directly</t>
    </r>
    <r>
      <rPr>
        <b/>
        <i/>
        <sz val="12"/>
        <rFont val="Calibri"/>
        <family val="2"/>
        <scheme val="minor"/>
      </rPr>
      <t xml:space="preserve"> and/or </t>
    </r>
    <r>
      <rPr>
        <b/>
        <i/>
        <u/>
        <sz val="12"/>
        <rFont val="Calibri"/>
        <family val="2"/>
        <scheme val="minor"/>
      </rPr>
      <t>indirectly</t>
    </r>
  </si>
  <si>
    <r>
      <t xml:space="preserve">Calculating your </t>
    </r>
    <r>
      <rPr>
        <b/>
        <i/>
        <u/>
        <sz val="16"/>
        <color theme="1"/>
        <rFont val="Calibri"/>
        <family val="2"/>
        <scheme val="minor"/>
      </rPr>
      <t>MAX</t>
    </r>
    <r>
      <rPr>
        <b/>
        <i/>
        <sz val="16"/>
        <color theme="1"/>
        <rFont val="Calibri"/>
        <family val="2"/>
        <scheme val="minor"/>
      </rPr>
      <t xml:space="preserve"> indirect cost threshold:</t>
    </r>
  </si>
  <si>
    <r>
      <t xml:space="preserve">If amount is greater than </t>
    </r>
    <r>
      <rPr>
        <b/>
        <i/>
        <u/>
        <sz val="14"/>
        <rFont val="Calibri"/>
        <family val="2"/>
        <scheme val="minor"/>
      </rPr>
      <t>MAX</t>
    </r>
    <r>
      <rPr>
        <b/>
        <i/>
        <sz val="14"/>
        <rFont val="Calibri"/>
        <family val="2"/>
        <scheme val="minor"/>
      </rPr>
      <t xml:space="preserve"> indirect cost, then the food service fund was overcharged for indirect costs</t>
    </r>
  </si>
  <si>
    <r>
      <t>(subtract</t>
    </r>
    <r>
      <rPr>
        <b/>
        <u/>
        <sz val="12"/>
        <rFont val="Calibri"/>
        <family val="2"/>
        <scheme val="minor"/>
      </rPr>
      <t xml:space="preserve"> MAX</t>
    </r>
    <r>
      <rPr>
        <b/>
        <sz val="12"/>
        <rFont val="Calibri"/>
        <family val="2"/>
        <scheme val="minor"/>
      </rPr>
      <t xml:space="preserve"> indirect cost)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</si>
</sst>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Tahoma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6"/>
      <name val="Calibri"/>
      <family val="2"/>
      <scheme val="minor"/>
    </font>
    <font>
      <i/>
      <sz val="12"/>
      <name val="Calibri"/>
      <family val="2"/>
      <scheme val="minor"/>
    </font>
    <font>
      <i/>
      <u val="singleAccounting"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u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6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BA79D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53">
    <xf numFmtId="0" fontId="0" fillId="0" borderId="0" xfId="0"/>
    <xf numFmtId="0" fontId="3" fillId="0" borderId="0" xfId="0" applyFont="1"/>
    <xf numFmtId="0" fontId="6" fillId="0" borderId="0" xfId="0" applyFont="1" applyBorder="1"/>
    <xf numFmtId="0" fontId="6" fillId="0" borderId="0" xfId="0" applyFont="1"/>
    <xf numFmtId="44" fontId="7" fillId="3" borderId="3" xfId="2" applyFont="1" applyFill="1" applyBorder="1" applyAlignment="1" applyProtection="1">
      <alignment horizontal="right"/>
      <protection locked="0"/>
    </xf>
    <xf numFmtId="49" fontId="7" fillId="0" borderId="4" xfId="4" applyNumberFormat="1" applyFont="1" applyFill="1" applyBorder="1" applyAlignment="1">
      <alignment horizontal="left" vertical="center" wrapText="1" indent="2"/>
    </xf>
    <xf numFmtId="0" fontId="3" fillId="0" borderId="0" xfId="0" applyFont="1" applyBorder="1"/>
    <xf numFmtId="44" fontId="9" fillId="3" borderId="5" xfId="2" applyFont="1" applyFill="1" applyBorder="1" applyAlignment="1" applyProtection="1">
      <alignment horizontal="right" indent="1"/>
      <protection locked="0"/>
    </xf>
    <xf numFmtId="49" fontId="3" fillId="0" borderId="6" xfId="0" applyNumberFormat="1" applyFont="1" applyBorder="1" applyAlignment="1">
      <alignment horizontal="left" vertical="center" wrapText="1" indent="2"/>
    </xf>
    <xf numFmtId="44" fontId="10" fillId="4" borderId="7" xfId="2" applyFont="1" applyFill="1" applyBorder="1" applyAlignment="1" applyProtection="1">
      <alignment horizontal="right" indent="1"/>
    </xf>
    <xf numFmtId="49" fontId="10" fillId="4" borderId="8" xfId="4" applyNumberFormat="1" applyFont="1" applyFill="1" applyBorder="1" applyAlignment="1">
      <alignment horizontal="left" vertical="center" wrapText="1" indent="2"/>
    </xf>
    <xf numFmtId="44" fontId="9" fillId="3" borderId="9" xfId="2" applyFont="1" applyFill="1" applyBorder="1" applyAlignment="1" applyProtection="1">
      <alignment horizontal="right" indent="1"/>
      <protection locked="0"/>
    </xf>
    <xf numFmtId="49" fontId="7" fillId="0" borderId="6" xfId="4" applyNumberFormat="1" applyFont="1" applyFill="1" applyBorder="1" applyAlignment="1">
      <alignment horizontal="left" vertical="center" wrapText="1" indent="2"/>
    </xf>
    <xf numFmtId="44" fontId="9" fillId="3" borderId="10" xfId="2" applyFont="1" applyFill="1" applyBorder="1" applyAlignment="1" applyProtection="1">
      <alignment horizontal="right" indent="1"/>
      <protection locked="0"/>
    </xf>
    <xf numFmtId="49" fontId="7" fillId="4" borderId="6" xfId="4" applyNumberFormat="1" applyFont="1" applyFill="1" applyBorder="1" applyAlignment="1">
      <alignment horizontal="left" vertical="center" wrapText="1" indent="2"/>
    </xf>
    <xf numFmtId="44" fontId="12" fillId="4" borderId="7" xfId="2" applyFont="1" applyFill="1" applyBorder="1" applyAlignment="1" applyProtection="1">
      <alignment horizontal="right" indent="1"/>
    </xf>
    <xf numFmtId="49" fontId="13" fillId="4" borderId="7" xfId="4" applyNumberFormat="1" applyFont="1" applyFill="1" applyBorder="1" applyAlignment="1">
      <alignment horizontal="left" vertical="center" wrapText="1" indent="2"/>
    </xf>
    <xf numFmtId="44" fontId="9" fillId="0" borderId="11" xfId="2" applyFont="1" applyFill="1" applyBorder="1" applyAlignment="1" applyProtection="1">
      <alignment horizontal="right" indent="1"/>
    </xf>
    <xf numFmtId="44" fontId="9" fillId="0" borderId="12" xfId="2" applyFont="1" applyFill="1" applyBorder="1" applyAlignment="1" applyProtection="1">
      <alignment horizontal="right" indent="1"/>
    </xf>
    <xf numFmtId="44" fontId="10" fillId="0" borderId="12" xfId="2" applyFont="1" applyFill="1" applyBorder="1" applyAlignment="1" applyProtection="1">
      <alignment horizontal="right" indent="1"/>
    </xf>
    <xf numFmtId="44" fontId="9" fillId="0" borderId="5" xfId="2" applyFont="1" applyFill="1" applyBorder="1" applyAlignment="1" applyProtection="1">
      <alignment horizontal="right" indent="1"/>
    </xf>
    <xf numFmtId="49" fontId="10" fillId="0" borderId="6" xfId="4" applyNumberFormat="1" applyFont="1" applyFill="1" applyBorder="1" applyAlignment="1">
      <alignment horizontal="left" vertical="center" wrapText="1" indent="2"/>
    </xf>
    <xf numFmtId="49" fontId="3" fillId="0" borderId="0" xfId="2" applyNumberFormat="1" applyFont="1" applyBorder="1" applyProtection="1"/>
    <xf numFmtId="49" fontId="3" fillId="0" borderId="0" xfId="0" applyNumberFormat="1" applyFont="1" applyBorder="1" applyAlignment="1">
      <alignment horizontal="left" vertical="center" indent="1"/>
    </xf>
    <xf numFmtId="44" fontId="20" fillId="3" borderId="3" xfId="2" applyFont="1" applyFill="1" applyBorder="1" applyAlignment="1" applyProtection="1">
      <alignment horizontal="right"/>
      <protection locked="0"/>
    </xf>
    <xf numFmtId="49" fontId="3" fillId="0" borderId="4" xfId="0" applyNumberFormat="1" applyFont="1" applyBorder="1" applyAlignment="1">
      <alignment horizontal="left" vertical="center" wrapText="1" indent="2"/>
    </xf>
    <xf numFmtId="44" fontId="20" fillId="3" borderId="9" xfId="2" applyFont="1" applyFill="1" applyBorder="1" applyAlignment="1" applyProtection="1">
      <alignment horizontal="right" indent="1"/>
      <protection locked="0"/>
    </xf>
    <xf numFmtId="44" fontId="10" fillId="3" borderId="5" xfId="2" applyFont="1" applyFill="1" applyBorder="1" applyAlignment="1" applyProtection="1">
      <alignment horizontal="right" indent="1"/>
      <protection locked="0"/>
    </xf>
    <xf numFmtId="44" fontId="10" fillId="3" borderId="5" xfId="2" applyFont="1" applyFill="1" applyBorder="1" applyAlignment="1" applyProtection="1">
      <alignment horizontal="right"/>
      <protection locked="0"/>
    </xf>
    <xf numFmtId="44" fontId="20" fillId="4" borderId="7" xfId="2" applyFont="1" applyFill="1" applyBorder="1" applyAlignment="1" applyProtection="1">
      <alignment horizontal="right" indent="1"/>
    </xf>
    <xf numFmtId="49" fontId="10" fillId="4" borderId="6" xfId="4" applyNumberFormat="1" applyFont="1" applyFill="1" applyBorder="1" applyAlignment="1">
      <alignment horizontal="left" vertical="center" wrapText="1" indent="2"/>
    </xf>
    <xf numFmtId="44" fontId="22" fillId="3" borderId="11" xfId="2" applyFont="1" applyFill="1" applyBorder="1" applyAlignment="1" applyProtection="1">
      <alignment horizontal="right" indent="1"/>
      <protection locked="0"/>
    </xf>
    <xf numFmtId="49" fontId="10" fillId="0" borderId="6" xfId="4" applyNumberFormat="1" applyFont="1" applyFill="1" applyBorder="1" applyAlignment="1">
      <alignment horizontal="left" vertical="center" wrapText="1" indent="1"/>
    </xf>
    <xf numFmtId="9" fontId="23" fillId="4" borderId="7" xfId="3" applyFont="1" applyFill="1" applyBorder="1" applyAlignment="1" applyProtection="1">
      <alignment horizontal="right" indent="1"/>
    </xf>
    <xf numFmtId="49" fontId="12" fillId="4" borderId="2" xfId="4" applyNumberFormat="1" applyFont="1" applyFill="1" applyBorder="1" applyAlignment="1">
      <alignment horizontal="left" vertical="center" wrapText="1" indent="2"/>
    </xf>
    <xf numFmtId="49" fontId="3" fillId="0" borderId="0" xfId="0" applyNumberFormat="1" applyFont="1" applyFill="1" applyBorder="1" applyProtection="1"/>
    <xf numFmtId="49" fontId="3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Protection="1"/>
    <xf numFmtId="0" fontId="3" fillId="0" borderId="0" xfId="0" applyFont="1" applyProtection="1"/>
    <xf numFmtId="49" fontId="24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 indent="1"/>
    </xf>
    <xf numFmtId="10" fontId="10" fillId="3" borderId="10" xfId="3" applyNumberFormat="1" applyFont="1" applyFill="1" applyBorder="1" applyAlignment="1" applyProtection="1">
      <alignment horizontal="right"/>
      <protection locked="0"/>
    </xf>
    <xf numFmtId="49" fontId="19" fillId="0" borderId="11" xfId="4" applyNumberFormat="1" applyFont="1" applyFill="1" applyBorder="1" applyAlignment="1">
      <alignment horizontal="left" vertical="center" indent="8"/>
    </xf>
    <xf numFmtId="49" fontId="19" fillId="0" borderId="4" xfId="4" applyNumberFormat="1" applyFont="1" applyFill="1" applyBorder="1" applyAlignment="1">
      <alignment horizontal="left" vertical="center" indent="8"/>
    </xf>
    <xf numFmtId="0" fontId="2" fillId="0" borderId="0" xfId="0" applyFont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left"/>
    </xf>
    <xf numFmtId="49" fontId="4" fillId="2" borderId="2" xfId="0" applyNumberFormat="1" applyFont="1" applyFill="1" applyBorder="1" applyAlignment="1" applyProtection="1">
      <alignment horizontal="left"/>
    </xf>
    <xf numFmtId="43" fontId="16" fillId="5" borderId="11" xfId="1" applyFont="1" applyFill="1" applyBorder="1" applyAlignment="1" applyProtection="1">
      <alignment horizontal="left" wrapText="1"/>
    </xf>
    <xf numFmtId="43" fontId="16" fillId="5" borderId="4" xfId="1" applyFont="1" applyFill="1" applyBorder="1" applyAlignment="1" applyProtection="1">
      <alignment horizontal="left"/>
    </xf>
    <xf numFmtId="43" fontId="15" fillId="5" borderId="5" xfId="1" applyFont="1" applyFill="1" applyBorder="1" applyAlignment="1" applyProtection="1">
      <alignment horizontal="left" vertical="center" indent="6"/>
    </xf>
    <xf numFmtId="43" fontId="15" fillId="5" borderId="13" xfId="1" applyFont="1" applyFill="1" applyBorder="1" applyAlignment="1" applyProtection="1">
      <alignment horizontal="left" vertical="center" indent="6"/>
    </xf>
    <xf numFmtId="43" fontId="17" fillId="0" borderId="1" xfId="1" applyFont="1" applyFill="1" applyBorder="1" applyAlignment="1" applyProtection="1">
      <alignment horizontal="left" indent="6"/>
    </xf>
    <xf numFmtId="43" fontId="17" fillId="0" borderId="2" xfId="1" applyFont="1" applyFill="1" applyBorder="1" applyAlignment="1" applyProtection="1">
      <alignment horizontal="left" indent="6"/>
    </xf>
  </cellXfs>
  <cellStyles count="5">
    <cellStyle name="Comma" xfId="1" builtinId="3"/>
    <cellStyle name="Currency" xfId="2" builtinId="4"/>
    <cellStyle name="Normal" xfId="0" builtinId="0"/>
    <cellStyle name="Normal 2" xfId="4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tabSelected="1" zoomScaleNormal="100" zoomScalePageLayoutView="50" workbookViewId="0">
      <selection activeCell="A11" sqref="A11"/>
    </sheetView>
  </sheetViews>
  <sheetFormatPr defaultRowHeight="15.75" x14ac:dyDescent="0.25"/>
  <cols>
    <col min="1" max="1" width="19.5703125" style="38" customWidth="1"/>
    <col min="2" max="2" width="129.28515625" style="40" customWidth="1"/>
    <col min="3" max="16384" width="9.140625" style="1"/>
  </cols>
  <sheetData>
    <row r="1" spans="1:4" ht="26.25" customHeight="1" thickBot="1" x14ac:dyDescent="0.4">
      <c r="A1" s="44" t="s">
        <v>0</v>
      </c>
      <c r="B1" s="44"/>
    </row>
    <row r="2" spans="1:4" s="3" customFormat="1" ht="27.75" customHeight="1" thickBot="1" x14ac:dyDescent="0.4">
      <c r="A2" s="45" t="s">
        <v>28</v>
      </c>
      <c r="B2" s="46"/>
      <c r="C2" s="2"/>
      <c r="D2" s="2"/>
    </row>
    <row r="3" spans="1:4" ht="23.1" customHeight="1" x14ac:dyDescent="0.25">
      <c r="A3" s="4"/>
      <c r="B3" s="5" t="s">
        <v>1</v>
      </c>
      <c r="C3" s="6"/>
      <c r="D3" s="6"/>
    </row>
    <row r="4" spans="1:4" ht="22.5" customHeight="1" thickBot="1" x14ac:dyDescent="0.3">
      <c r="A4" s="7"/>
      <c r="B4" s="8" t="s">
        <v>2</v>
      </c>
      <c r="C4" s="6"/>
      <c r="D4" s="6"/>
    </row>
    <row r="5" spans="1:4" ht="23.1" customHeight="1" thickBot="1" x14ac:dyDescent="0.3">
      <c r="A5" s="9">
        <f>A3-A4</f>
        <v>0</v>
      </c>
      <c r="B5" s="10" t="s">
        <v>26</v>
      </c>
      <c r="C5" s="6"/>
      <c r="D5" s="6"/>
    </row>
    <row r="6" spans="1:4" ht="23.1" customHeight="1" x14ac:dyDescent="0.25">
      <c r="A6" s="11"/>
      <c r="B6" s="8" t="s">
        <v>3</v>
      </c>
      <c r="C6" s="6"/>
      <c r="D6" s="6"/>
    </row>
    <row r="7" spans="1:4" ht="23.1" customHeight="1" x14ac:dyDescent="0.25">
      <c r="A7" s="11"/>
      <c r="B7" s="8" t="s">
        <v>4</v>
      </c>
      <c r="C7" s="6"/>
      <c r="D7" s="6"/>
    </row>
    <row r="8" spans="1:4" ht="29.25" customHeight="1" x14ac:dyDescent="0.25">
      <c r="A8" s="11"/>
      <c r="B8" s="12" t="s">
        <v>5</v>
      </c>
      <c r="C8" s="6"/>
      <c r="D8" s="6"/>
    </row>
    <row r="9" spans="1:4" ht="32.25" customHeight="1" thickBot="1" x14ac:dyDescent="0.3">
      <c r="A9" s="13"/>
      <c r="B9" s="12" t="s">
        <v>6</v>
      </c>
      <c r="C9" s="6"/>
      <c r="D9" s="6"/>
    </row>
    <row r="10" spans="1:4" ht="23.1" customHeight="1" thickBot="1" x14ac:dyDescent="0.3">
      <c r="A10" s="9">
        <f>A5-A6-A8-A9</f>
        <v>0</v>
      </c>
      <c r="B10" s="14" t="s">
        <v>7</v>
      </c>
      <c r="C10" s="6"/>
      <c r="D10" s="6"/>
    </row>
    <row r="11" spans="1:4" ht="32.25" customHeight="1" thickBot="1" x14ac:dyDescent="0.3">
      <c r="A11" s="41"/>
      <c r="B11" s="12" t="s">
        <v>8</v>
      </c>
      <c r="C11" s="6"/>
      <c r="D11" s="6"/>
    </row>
    <row r="12" spans="1:4" ht="36.75" customHeight="1" thickBot="1" x14ac:dyDescent="0.35">
      <c r="A12" s="15">
        <f>A10*A11</f>
        <v>0</v>
      </c>
      <c r="B12" s="16" t="s">
        <v>27</v>
      </c>
      <c r="C12" s="6"/>
      <c r="D12" s="6"/>
    </row>
    <row r="13" spans="1:4" ht="32.25" customHeight="1" x14ac:dyDescent="0.25">
      <c r="A13" s="17">
        <f>A8</f>
        <v>0</v>
      </c>
      <c r="B13" s="5" t="s">
        <v>25</v>
      </c>
      <c r="C13" s="6"/>
      <c r="D13" s="6"/>
    </row>
    <row r="14" spans="1:4" ht="32.25" customHeight="1" x14ac:dyDescent="0.25">
      <c r="A14" s="18">
        <f>A9</f>
        <v>0</v>
      </c>
      <c r="B14" s="12" t="s">
        <v>24</v>
      </c>
      <c r="C14" s="6"/>
      <c r="D14" s="6"/>
    </row>
    <row r="15" spans="1:4" ht="23.1" customHeight="1" x14ac:dyDescent="0.25">
      <c r="A15" s="19">
        <f>A13+A14</f>
        <v>0</v>
      </c>
      <c r="B15" s="12" t="s">
        <v>9</v>
      </c>
      <c r="C15" s="6"/>
      <c r="D15" s="6"/>
    </row>
    <row r="16" spans="1:4" ht="23.1" customHeight="1" thickBot="1" x14ac:dyDescent="0.3">
      <c r="A16" s="20">
        <f>A12</f>
        <v>0</v>
      </c>
      <c r="B16" s="21" t="s">
        <v>30</v>
      </c>
      <c r="C16" s="6"/>
      <c r="D16" s="6"/>
    </row>
    <row r="17" spans="1:4" ht="23.1" customHeight="1" thickBot="1" x14ac:dyDescent="0.35">
      <c r="A17" s="15">
        <f>A15-A16</f>
        <v>0</v>
      </c>
      <c r="B17" s="16" t="s">
        <v>29</v>
      </c>
      <c r="C17" s="6"/>
      <c r="D17" s="6"/>
    </row>
    <row r="18" spans="1:4" ht="16.5" customHeight="1" thickBot="1" x14ac:dyDescent="0.3">
      <c r="A18" s="22"/>
      <c r="B18" s="23"/>
    </row>
    <row r="19" spans="1:4" ht="18.75" customHeight="1" x14ac:dyDescent="0.35">
      <c r="A19" s="47" t="s">
        <v>10</v>
      </c>
      <c r="B19" s="48"/>
    </row>
    <row r="20" spans="1:4" ht="18" customHeight="1" thickBot="1" x14ac:dyDescent="0.3">
      <c r="A20" s="49" t="s">
        <v>11</v>
      </c>
      <c r="B20" s="50"/>
    </row>
    <row r="21" spans="1:4" ht="18.75" customHeight="1" thickBot="1" x14ac:dyDescent="0.45">
      <c r="A21" s="51" t="s">
        <v>12</v>
      </c>
      <c r="B21" s="52"/>
    </row>
    <row r="22" spans="1:4" ht="16.5" thickBot="1" x14ac:dyDescent="0.3">
      <c r="A22" s="42" t="s">
        <v>13</v>
      </c>
      <c r="B22" s="43"/>
    </row>
    <row r="23" spans="1:4" ht="27.75" customHeight="1" x14ac:dyDescent="0.25">
      <c r="A23" s="24"/>
      <c r="B23" s="25" t="s">
        <v>14</v>
      </c>
    </row>
    <row r="24" spans="1:4" ht="31.5" x14ac:dyDescent="0.25">
      <c r="A24" s="26"/>
      <c r="B24" s="12" t="s">
        <v>15</v>
      </c>
    </row>
    <row r="25" spans="1:4" ht="31.5" x14ac:dyDescent="0.25">
      <c r="A25" s="26"/>
      <c r="B25" s="12" t="s">
        <v>16</v>
      </c>
    </row>
    <row r="26" spans="1:4" ht="31.5" x14ac:dyDescent="0.25">
      <c r="A26" s="26"/>
      <c r="B26" s="12" t="s">
        <v>17</v>
      </c>
    </row>
    <row r="27" spans="1:4" ht="30.75" customHeight="1" thickBot="1" x14ac:dyDescent="0.3">
      <c r="A27" s="27"/>
      <c r="B27" s="12" t="s">
        <v>18</v>
      </c>
    </row>
    <row r="28" spans="1:4" ht="28.5" customHeight="1" thickBot="1" x14ac:dyDescent="0.3">
      <c r="A28" s="9">
        <f>A23+A24+A25+A26+A27</f>
        <v>0</v>
      </c>
      <c r="B28" s="14" t="s">
        <v>19</v>
      </c>
    </row>
    <row r="29" spans="1:4" ht="30.75" customHeight="1" thickBot="1" x14ac:dyDescent="0.3">
      <c r="A29" s="28"/>
      <c r="B29" s="12" t="s">
        <v>20</v>
      </c>
    </row>
    <row r="30" spans="1:4" ht="30.75" customHeight="1" thickBot="1" x14ac:dyDescent="0.3">
      <c r="A30" s="29">
        <f>A28+A29</f>
        <v>0</v>
      </c>
      <c r="B30" s="30" t="s">
        <v>21</v>
      </c>
    </row>
    <row r="31" spans="1:4" ht="35.25" customHeight="1" thickBot="1" x14ac:dyDescent="0.45">
      <c r="A31" s="31"/>
      <c r="B31" s="32" t="s">
        <v>22</v>
      </c>
    </row>
    <row r="32" spans="1:4" ht="32.25" customHeight="1" thickBot="1" x14ac:dyDescent="0.3">
      <c r="A32" s="33" t="e">
        <f>A30/A31</f>
        <v>#DIV/0!</v>
      </c>
      <c r="B32" s="34" t="s">
        <v>23</v>
      </c>
    </row>
    <row r="33" spans="1:2" x14ac:dyDescent="0.25">
      <c r="A33" s="35"/>
      <c r="B33" s="36"/>
    </row>
    <row r="34" spans="1:2" x14ac:dyDescent="0.25">
      <c r="A34" s="37"/>
      <c r="B34" s="36"/>
    </row>
    <row r="35" spans="1:2" x14ac:dyDescent="0.25">
      <c r="A35" s="37"/>
      <c r="B35" s="36"/>
    </row>
    <row r="36" spans="1:2" x14ac:dyDescent="0.25">
      <c r="B36" s="39"/>
    </row>
  </sheetData>
  <sheetProtection algorithmName="SHA-512" hashValue="IEZy26NQlPVkXqF9bodQI0gB3FUDue4KNO/I64FPLA3jvN5j9isPtskqFo7KTLAo4vNJw/z9eoXEE9hV5v2m8g==" saltValue="Hy2KFM+eAU0KMnoUZtKpHg==" spinCount="100000" sheet="1" objects="1" scenarios="1"/>
  <mergeCells count="6">
    <mergeCell ref="A22:B22"/>
    <mergeCell ref="A1:B1"/>
    <mergeCell ref="A2:B2"/>
    <mergeCell ref="A19:B19"/>
    <mergeCell ref="A20:B20"/>
    <mergeCell ref="A21:B21"/>
  </mergeCells>
  <conditionalFormatting sqref="A17">
    <cfRule type="colorScale" priority="1">
      <colorScale>
        <cfvo type="num" val="&quot;&gt;$A$12&quot;"/>
        <cfvo type="num" val="&quot;&lt;=$A$12&quot;"/>
        <color rgb="FFFF0000"/>
        <color rgb="FF00B050"/>
      </colorScale>
    </cfRule>
  </conditionalFormatting>
  <printOptions horizontalCentered="1" verticalCentered="1"/>
  <pageMargins left="0.25" right="0.25" top="0.25" bottom="0.25" header="0" footer="0"/>
  <pageSetup scale="80" orientation="landscape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IDC Tool</vt:lpstr>
      <vt:lpstr>'IDC Tool'!Print_Area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Lyza</dc:creator>
  <cp:lastModifiedBy>Shaw, Lyza</cp:lastModifiedBy>
  <dcterms:created xsi:type="dcterms:W3CDTF">2014-06-13T22:24:09Z</dcterms:created>
  <dcterms:modified xsi:type="dcterms:W3CDTF">2014-06-19T18:47:25Z</dcterms:modified>
</cp:coreProperties>
</file>